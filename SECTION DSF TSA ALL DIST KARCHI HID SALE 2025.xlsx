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EVO X1 YOGA\Desktop\SEASON\"/>
    </mc:Choice>
  </mc:AlternateContent>
  <bookViews>
    <workbookView xWindow="0" yWindow="0" windowWidth="19200" windowHeight="6585" activeTab="6"/>
  </bookViews>
  <sheets>
    <sheet name="AMIR" sheetId="1" r:id="rId1"/>
    <sheet name="RAMEEZ" sheetId="2" r:id="rId2"/>
    <sheet name="RIZWAN " sheetId="3" r:id="rId3"/>
    <sheet name="SHOAIB" sheetId="4" r:id="rId4"/>
    <sheet name="FARZAN " sheetId="6" r:id="rId5"/>
    <sheet name="TAHA " sheetId="7" r:id="rId6"/>
    <sheet name="IQBAL " sheetId="8" r:id="rId7"/>
    <sheet name="MUZEEF" sheetId="9" r:id="rId8"/>
    <sheet name="KASHIF" sheetId="10" r:id="rId9"/>
    <sheet name="QAMAR" sheetId="11" r:id="rId10"/>
    <sheet name="AQEEL" sheetId="12" r:id="rId11"/>
    <sheet name="SHAHBAZ  HYD" sheetId="20" r:id="rId12"/>
    <sheet name="SHOAIB IQBAL HYD" sheetId="21" r:id="rId13"/>
    <sheet name="SUMMARY" sheetId="19" state="hidden" r:id="rId14"/>
    <sheet name="MAKKA MARKETING" sheetId="13" state="hidden" r:id="rId15"/>
    <sheet name="MA TRADERS" sheetId="14" state="hidden" r:id="rId16"/>
    <sheet name="SHASH EBTERPRISES" sheetId="15" state="hidden" r:id="rId17"/>
    <sheet name="SALES MOVER" sheetId="17" state="hidden" r:id="rId18"/>
    <sheet name="AL NOOR TRADERS" sheetId="18" state="hidden" r:id="rId19"/>
  </sheets>
  <definedNames>
    <definedName name="_xlnm._FilterDatabase" localSheetId="18" hidden="1">'AL NOOR TRADERS'!$A$4:$AE$29</definedName>
    <definedName name="_xlnm._FilterDatabase" localSheetId="0" hidden="1">AMIR!$A$7:$BH$174</definedName>
    <definedName name="_xlnm._FilterDatabase" localSheetId="10" hidden="1">AQEEL!$A$6:$AE$101</definedName>
    <definedName name="_xlnm._FilterDatabase" localSheetId="4" hidden="1">'FARZAN '!$A$7:$BC$7</definedName>
    <definedName name="_xlnm._FilterDatabase" localSheetId="6" hidden="1">'IQBAL '!$A$8:$AD$8</definedName>
    <definedName name="_xlnm._FilterDatabase" localSheetId="8" hidden="1">KASHIF!$A$5:$AD$159</definedName>
    <definedName name="_xlnm._FilterDatabase" localSheetId="15" hidden="1">'MA TRADERS'!$A$4:$AE$50</definedName>
    <definedName name="_xlnm._FilterDatabase" localSheetId="14" hidden="1">'MAKKA MARKETING'!$A$4:$AE$123</definedName>
    <definedName name="_xlnm._FilterDatabase" localSheetId="7" hidden="1">MUZEEF!$A$7:$AM$7</definedName>
    <definedName name="_xlnm._FilterDatabase" localSheetId="9" hidden="1">QAMAR!$A$5:$AD$158</definedName>
    <definedName name="_xlnm._FilterDatabase" localSheetId="1" hidden="1">RAMEEZ!$A$7:$BI$93</definedName>
    <definedName name="_xlnm._FilterDatabase" localSheetId="2" hidden="1">'RIZWAN '!$A$7:$BI$99</definedName>
    <definedName name="_xlnm._FilterDatabase" localSheetId="17" hidden="1">'SALES MOVER'!$A$5:$AE$70</definedName>
    <definedName name="_xlnm._FilterDatabase" localSheetId="11" hidden="1">'SHAHBAZ  HYD'!$A$7:$FL$7</definedName>
    <definedName name="_xlnm._FilterDatabase" localSheetId="16" hidden="1">'SHASH EBTERPRISES'!$A$5:$AE$62</definedName>
    <definedName name="_xlnm._FilterDatabase" localSheetId="3" hidden="1">SHOAIB!$A$7:$BI$118</definedName>
    <definedName name="_xlnm._FilterDatabase" localSheetId="12" hidden="1">'SHOAIB IQBAL HYD'!$A$7:$DC$112</definedName>
    <definedName name="_xlnm._FilterDatabase" localSheetId="5" hidden="1">'TAHA '!$A$8:$AF$8</definedName>
  </definedNames>
  <calcPr calcId="162913"/>
</workbook>
</file>

<file path=xl/calcChain.xml><?xml version="1.0" encoding="utf-8"?>
<calcChain xmlns="http://schemas.openxmlformats.org/spreadsheetml/2006/main">
  <c r="Y169" i="9" l="1"/>
  <c r="Z169" i="9"/>
  <c r="AA169" i="9"/>
  <c r="AB169" i="9"/>
  <c r="AC169" i="9"/>
  <c r="AD169" i="9"/>
  <c r="AE169" i="9"/>
  <c r="AF169" i="9"/>
  <c r="AG169" i="9"/>
  <c r="X169" i="9"/>
  <c r="X172" i="9" s="1"/>
  <c r="X173" i="9" s="1"/>
  <c r="X171" i="9"/>
  <c r="Y171" i="9" s="1"/>
  <c r="X174" i="9" l="1"/>
  <c r="Z171" i="9"/>
  <c r="U134" i="7"/>
  <c r="AN117" i="4"/>
  <c r="AN116" i="4"/>
  <c r="AN115" i="4"/>
  <c r="AN114" i="4"/>
  <c r="AN113" i="4"/>
  <c r="AN112" i="4"/>
  <c r="AN111" i="4"/>
  <c r="AN110" i="4"/>
  <c r="AN109" i="4"/>
  <c r="AN108" i="4"/>
  <c r="AN107" i="4"/>
  <c r="AN106" i="4"/>
  <c r="AN105" i="4"/>
  <c r="AN104" i="4"/>
  <c r="AN103" i="4"/>
  <c r="AN102" i="4"/>
  <c r="AN101" i="4"/>
  <c r="AN100" i="4"/>
  <c r="AN99" i="4"/>
  <c r="AN98" i="4"/>
  <c r="AN97" i="4"/>
  <c r="AN96" i="4"/>
  <c r="AN95" i="4"/>
  <c r="AN94" i="4"/>
  <c r="AN93" i="4"/>
  <c r="AN92" i="4"/>
  <c r="AN91" i="4"/>
  <c r="AN90" i="4"/>
  <c r="AN89" i="4"/>
  <c r="AN88" i="4"/>
  <c r="AN87" i="4"/>
  <c r="AN86" i="4"/>
  <c r="AN85" i="4"/>
  <c r="AN84" i="4"/>
  <c r="AN83" i="4"/>
  <c r="AN82" i="4"/>
  <c r="AN81" i="4"/>
  <c r="AN80" i="4"/>
  <c r="AN79" i="4"/>
  <c r="AN78" i="4"/>
  <c r="AN77" i="4"/>
  <c r="AN76" i="4"/>
  <c r="AN75" i="4"/>
  <c r="AN74" i="4"/>
  <c r="AN73" i="4"/>
  <c r="AN72" i="4"/>
  <c r="AN71" i="4"/>
  <c r="AN70" i="4"/>
  <c r="AN69" i="4"/>
  <c r="AN68" i="4"/>
  <c r="AN67" i="4"/>
  <c r="AN66" i="4"/>
  <c r="AN65" i="4"/>
  <c r="AN64" i="4"/>
  <c r="AN63" i="4"/>
  <c r="AN62" i="4"/>
  <c r="AN61" i="4"/>
  <c r="AN60" i="4"/>
  <c r="AN59" i="4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3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30" i="4"/>
  <c r="AN29" i="4"/>
  <c r="AN28" i="4"/>
  <c r="AN27" i="4"/>
  <c r="AN26" i="4"/>
  <c r="AN25" i="4"/>
  <c r="AN24" i="4"/>
  <c r="AN23" i="4"/>
  <c r="AN22" i="4"/>
  <c r="AN21" i="4"/>
  <c r="AN20" i="4"/>
  <c r="AN19" i="4"/>
  <c r="AN18" i="4"/>
  <c r="AN17" i="4"/>
  <c r="AN16" i="4"/>
  <c r="AN15" i="4"/>
  <c r="AN14" i="4"/>
  <c r="AN13" i="4"/>
  <c r="AN12" i="4"/>
  <c r="AN11" i="4"/>
  <c r="AN10" i="4"/>
  <c r="AN9" i="4"/>
  <c r="AN8" i="4"/>
  <c r="AK117" i="4"/>
  <c r="AK116" i="4"/>
  <c r="AK115" i="4"/>
  <c r="AK114" i="4"/>
  <c r="AK113" i="4"/>
  <c r="AK112" i="4"/>
  <c r="AK111" i="4"/>
  <c r="AK110" i="4"/>
  <c r="AK109" i="4"/>
  <c r="AK108" i="4"/>
  <c r="AK107" i="4"/>
  <c r="AK106" i="4"/>
  <c r="AK105" i="4"/>
  <c r="AK104" i="4"/>
  <c r="AK103" i="4"/>
  <c r="AK102" i="4"/>
  <c r="AK101" i="4"/>
  <c r="AK100" i="4"/>
  <c r="AK99" i="4"/>
  <c r="AK98" i="4"/>
  <c r="AK97" i="4"/>
  <c r="AK96" i="4"/>
  <c r="AK95" i="4"/>
  <c r="AK94" i="4"/>
  <c r="AK93" i="4"/>
  <c r="AK92" i="4"/>
  <c r="AK91" i="4"/>
  <c r="AK90" i="4"/>
  <c r="AK89" i="4"/>
  <c r="AK88" i="4"/>
  <c r="AK87" i="4"/>
  <c r="AK86" i="4"/>
  <c r="AK85" i="4"/>
  <c r="AK84" i="4"/>
  <c r="AK83" i="4"/>
  <c r="AK82" i="4"/>
  <c r="AK81" i="4"/>
  <c r="AK80" i="4"/>
  <c r="AK79" i="4"/>
  <c r="AK78" i="4"/>
  <c r="AK77" i="4"/>
  <c r="AK76" i="4"/>
  <c r="AK75" i="4"/>
  <c r="AK74" i="4"/>
  <c r="AK73" i="4"/>
  <c r="AK72" i="4"/>
  <c r="AK71" i="4"/>
  <c r="AK70" i="4"/>
  <c r="AK69" i="4"/>
  <c r="AK68" i="4"/>
  <c r="AK67" i="4"/>
  <c r="AK66" i="4"/>
  <c r="AK65" i="4"/>
  <c r="AK64" i="4"/>
  <c r="AK63" i="4"/>
  <c r="AK62" i="4"/>
  <c r="AK61" i="4"/>
  <c r="AK60" i="4"/>
  <c r="AK59" i="4"/>
  <c r="AK58" i="4"/>
  <c r="AK57" i="4"/>
  <c r="AK56" i="4"/>
  <c r="AK55" i="4"/>
  <c r="AK54" i="4"/>
  <c r="AK53" i="4"/>
  <c r="AK52" i="4"/>
  <c r="AK51" i="4"/>
  <c r="AK50" i="4"/>
  <c r="AK49" i="4"/>
  <c r="AK48" i="4"/>
  <c r="AK47" i="4"/>
  <c r="AK46" i="4"/>
  <c r="AK45" i="4"/>
  <c r="AK44" i="4"/>
  <c r="AK43" i="4"/>
  <c r="AK42" i="4"/>
  <c r="AK41" i="4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N98" i="3"/>
  <c r="AN97" i="3"/>
  <c r="AN96" i="3"/>
  <c r="AN95" i="3"/>
  <c r="AN94" i="3"/>
  <c r="AN93" i="3"/>
  <c r="AN92" i="3"/>
  <c r="AN91" i="3"/>
  <c r="AN90" i="3"/>
  <c r="AN89" i="3"/>
  <c r="AN88" i="3"/>
  <c r="AN87" i="3"/>
  <c r="AN86" i="3"/>
  <c r="AN85" i="3"/>
  <c r="AN84" i="3"/>
  <c r="AN83" i="3"/>
  <c r="AN82" i="3"/>
  <c r="AN81" i="3"/>
  <c r="AN80" i="3"/>
  <c r="AN79" i="3"/>
  <c r="AN78" i="3"/>
  <c r="AN77" i="3"/>
  <c r="AN76" i="3"/>
  <c r="AN75" i="3"/>
  <c r="AN74" i="3"/>
  <c r="AN73" i="3"/>
  <c r="AN72" i="3"/>
  <c r="AN71" i="3"/>
  <c r="AN70" i="3"/>
  <c r="AN69" i="3"/>
  <c r="AN68" i="3"/>
  <c r="AN67" i="3"/>
  <c r="AN66" i="3"/>
  <c r="AN65" i="3"/>
  <c r="AN64" i="3"/>
  <c r="AN63" i="3"/>
  <c r="AN62" i="3"/>
  <c r="AN61" i="3"/>
  <c r="AN60" i="3"/>
  <c r="AN59" i="3"/>
  <c r="AN58" i="3"/>
  <c r="AN57" i="3"/>
  <c r="AN56" i="3"/>
  <c r="AN55" i="3"/>
  <c r="AN54" i="3"/>
  <c r="AN53" i="3"/>
  <c r="AN52" i="3"/>
  <c r="AN51" i="3"/>
  <c r="AN50" i="3"/>
  <c r="AN49" i="3"/>
  <c r="AN48" i="3"/>
  <c r="AN47" i="3"/>
  <c r="AN46" i="3"/>
  <c r="AN45" i="3"/>
  <c r="AN44" i="3"/>
  <c r="AN43" i="3"/>
  <c r="AN42" i="3"/>
  <c r="AN41" i="3"/>
  <c r="AN40" i="3"/>
  <c r="AN39" i="3"/>
  <c r="AN38" i="3"/>
  <c r="AN37" i="3"/>
  <c r="AN36" i="3"/>
  <c r="AN35" i="3"/>
  <c r="AN34" i="3"/>
  <c r="AN33" i="3"/>
  <c r="AN32" i="3"/>
  <c r="AN31" i="3"/>
  <c r="AN30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AA171" i="9" l="1"/>
  <c r="AM99" i="3"/>
  <c r="AL99" i="3"/>
  <c r="AJ99" i="3"/>
  <c r="AI99" i="3"/>
  <c r="AK98" i="3"/>
  <c r="AK97" i="3"/>
  <c r="AK96" i="3"/>
  <c r="AK95" i="3"/>
  <c r="AK94" i="3"/>
  <c r="AK93" i="3"/>
  <c r="AK92" i="3"/>
  <c r="AK91" i="3"/>
  <c r="AK90" i="3"/>
  <c r="AK89" i="3"/>
  <c r="AK88" i="3"/>
  <c r="AK87" i="3"/>
  <c r="AK86" i="3"/>
  <c r="AK85" i="3"/>
  <c r="AK84" i="3"/>
  <c r="AK83" i="3"/>
  <c r="AK82" i="3"/>
  <c r="AK81" i="3"/>
  <c r="AK80" i="3"/>
  <c r="AK79" i="3"/>
  <c r="AK78" i="3"/>
  <c r="AK77" i="3"/>
  <c r="AK76" i="3"/>
  <c r="AK75" i="3"/>
  <c r="AK74" i="3"/>
  <c r="AK73" i="3"/>
  <c r="AK72" i="3"/>
  <c r="AK71" i="3"/>
  <c r="AK70" i="3"/>
  <c r="AK69" i="3"/>
  <c r="AK68" i="3"/>
  <c r="AK67" i="3"/>
  <c r="AK66" i="3"/>
  <c r="AK65" i="3"/>
  <c r="AK64" i="3"/>
  <c r="AK63" i="3"/>
  <c r="AK62" i="3"/>
  <c r="AK61" i="3"/>
  <c r="AK60" i="3"/>
  <c r="AK59" i="3"/>
  <c r="AK58" i="3"/>
  <c r="AK57" i="3"/>
  <c r="AK56" i="3"/>
  <c r="AK55" i="3"/>
  <c r="AK54" i="3"/>
  <c r="AK53" i="3"/>
  <c r="AK52" i="3"/>
  <c r="AK51" i="3"/>
  <c r="AK50" i="3"/>
  <c r="AK49" i="3"/>
  <c r="AK48" i="3"/>
  <c r="AK47" i="3"/>
  <c r="AK46" i="3"/>
  <c r="AK45" i="3"/>
  <c r="AK44" i="3"/>
  <c r="AK43" i="3"/>
  <c r="AK42" i="3"/>
  <c r="AK41" i="3"/>
  <c r="AK40" i="3"/>
  <c r="AK39" i="3"/>
  <c r="AK38" i="3"/>
  <c r="AK37" i="3"/>
  <c r="AK36" i="3"/>
  <c r="AK35" i="3"/>
  <c r="AK34" i="3"/>
  <c r="AK33" i="3"/>
  <c r="AK32" i="3"/>
  <c r="AK31" i="3"/>
  <c r="AK30" i="3"/>
  <c r="AK29" i="3"/>
  <c r="AK28" i="3"/>
  <c r="AK27" i="3"/>
  <c r="AK26" i="3"/>
  <c r="AK25" i="3"/>
  <c r="AK24" i="3"/>
  <c r="AK23" i="3"/>
  <c r="AK22" i="3"/>
  <c r="AK21" i="3"/>
  <c r="AK20" i="3"/>
  <c r="AK19" i="3"/>
  <c r="AK18" i="3"/>
  <c r="AK17" i="3"/>
  <c r="AK16" i="3"/>
  <c r="AK15" i="3"/>
  <c r="AK14" i="3"/>
  <c r="AK13" i="3"/>
  <c r="AK12" i="3"/>
  <c r="AK11" i="3"/>
  <c r="AK10" i="3"/>
  <c r="AK9" i="3"/>
  <c r="AK8" i="3"/>
  <c r="AP92" i="2"/>
  <c r="AS92" i="2" s="1"/>
  <c r="AO92" i="2"/>
  <c r="AR92" i="2" s="1"/>
  <c r="AP91" i="2"/>
  <c r="AS91" i="2" s="1"/>
  <c r="AO91" i="2"/>
  <c r="AR91" i="2" s="1"/>
  <c r="AP90" i="2"/>
  <c r="AS90" i="2" s="1"/>
  <c r="AO90" i="2"/>
  <c r="AR90" i="2" s="1"/>
  <c r="AP89" i="2"/>
  <c r="AS89" i="2" s="1"/>
  <c r="AO89" i="2"/>
  <c r="AR89" i="2" s="1"/>
  <c r="AP88" i="2"/>
  <c r="AS88" i="2" s="1"/>
  <c r="AO88" i="2"/>
  <c r="AR88" i="2" s="1"/>
  <c r="AP87" i="2"/>
  <c r="AS87" i="2" s="1"/>
  <c r="AO87" i="2"/>
  <c r="AR87" i="2" s="1"/>
  <c r="AP86" i="2"/>
  <c r="AS86" i="2" s="1"/>
  <c r="AO86" i="2"/>
  <c r="AR86" i="2" s="1"/>
  <c r="AP85" i="2"/>
  <c r="AS85" i="2" s="1"/>
  <c r="AO85" i="2"/>
  <c r="AR85" i="2" s="1"/>
  <c r="AN92" i="2"/>
  <c r="AN91" i="2"/>
  <c r="AN90" i="2"/>
  <c r="AN89" i="2"/>
  <c r="AN88" i="2"/>
  <c r="AN87" i="2"/>
  <c r="AN86" i="2"/>
  <c r="AN85" i="2"/>
  <c r="AN84" i="2"/>
  <c r="AN83" i="2"/>
  <c r="AN82" i="2"/>
  <c r="AN81" i="2"/>
  <c r="AN80" i="2"/>
  <c r="AN79" i="2"/>
  <c r="AN76" i="2"/>
  <c r="AN75" i="2"/>
  <c r="AN74" i="2"/>
  <c r="AN73" i="2"/>
  <c r="AN72" i="2"/>
  <c r="AN71" i="2"/>
  <c r="AN70" i="2"/>
  <c r="AN69" i="2"/>
  <c r="AN67" i="2"/>
  <c r="AN66" i="2"/>
  <c r="AN65" i="2"/>
  <c r="AN64" i="2"/>
  <c r="AN63" i="2"/>
  <c r="AN61" i="2"/>
  <c r="AN60" i="2"/>
  <c r="AN58" i="2"/>
  <c r="AN57" i="2"/>
  <c r="AN56" i="2"/>
  <c r="AN54" i="2"/>
  <c r="AN52" i="2"/>
  <c r="AN51" i="2"/>
  <c r="AN50" i="2"/>
  <c r="AN49" i="2"/>
  <c r="AN48" i="2"/>
  <c r="AN47" i="2"/>
  <c r="AN46" i="2"/>
  <c r="AN45" i="2"/>
  <c r="AN42" i="2"/>
  <c r="AN41" i="2"/>
  <c r="AN40" i="2"/>
  <c r="AN39" i="2"/>
  <c r="AN38" i="2"/>
  <c r="AN37" i="2"/>
  <c r="AN36" i="2"/>
  <c r="AN35" i="2"/>
  <c r="AN30" i="2"/>
  <c r="AN29" i="2"/>
  <c r="AN28" i="2"/>
  <c r="AN27" i="2"/>
  <c r="AN26" i="2"/>
  <c r="AN25" i="2"/>
  <c r="AN23" i="2"/>
  <c r="AN21" i="2"/>
  <c r="AN20" i="2"/>
  <c r="AN19" i="2"/>
  <c r="AN18" i="2"/>
  <c r="AN17" i="2"/>
  <c r="AN14" i="2"/>
  <c r="AN13" i="2"/>
  <c r="AN12" i="2"/>
  <c r="AN11" i="2"/>
  <c r="AN10" i="2"/>
  <c r="AN9" i="2"/>
  <c r="AN8" i="2"/>
  <c r="AK92" i="2"/>
  <c r="AQ92" i="2" s="1"/>
  <c r="AT92" i="2" s="1"/>
  <c r="AK91" i="2"/>
  <c r="AQ91" i="2" s="1"/>
  <c r="AT91" i="2" s="1"/>
  <c r="AK90" i="2"/>
  <c r="AQ90" i="2" s="1"/>
  <c r="AT90" i="2" s="1"/>
  <c r="AK89" i="2"/>
  <c r="AQ89" i="2" s="1"/>
  <c r="AT89" i="2" s="1"/>
  <c r="AK88" i="2"/>
  <c r="AQ88" i="2" s="1"/>
  <c r="AT88" i="2" s="1"/>
  <c r="AK87" i="2"/>
  <c r="AQ87" i="2" s="1"/>
  <c r="AT87" i="2" s="1"/>
  <c r="AK86" i="2"/>
  <c r="AQ86" i="2" s="1"/>
  <c r="AT86" i="2" s="1"/>
  <c r="AK85" i="2"/>
  <c r="AQ85" i="2" s="1"/>
  <c r="AT85" i="2" s="1"/>
  <c r="AK84" i="2"/>
  <c r="AK83" i="2"/>
  <c r="AK82" i="2"/>
  <c r="AK81" i="2"/>
  <c r="AK80" i="2"/>
  <c r="AK79" i="2"/>
  <c r="AK76" i="2"/>
  <c r="AK75" i="2"/>
  <c r="AK74" i="2"/>
  <c r="AK73" i="2"/>
  <c r="AK72" i="2"/>
  <c r="AK71" i="2"/>
  <c r="AK70" i="2"/>
  <c r="AK69" i="2"/>
  <c r="AK67" i="2"/>
  <c r="AK66" i="2"/>
  <c r="AK65" i="2"/>
  <c r="AK64" i="2"/>
  <c r="AK63" i="2"/>
  <c r="AK61" i="2"/>
  <c r="AK60" i="2"/>
  <c r="AK58" i="2"/>
  <c r="AK57" i="2"/>
  <c r="AK56" i="2"/>
  <c r="AK54" i="2"/>
  <c r="AK52" i="2"/>
  <c r="AK51" i="2"/>
  <c r="AK50" i="2"/>
  <c r="AK49" i="2"/>
  <c r="AK48" i="2"/>
  <c r="AK47" i="2"/>
  <c r="AK46" i="2"/>
  <c r="AK45" i="2"/>
  <c r="AK42" i="2"/>
  <c r="AK41" i="2"/>
  <c r="AK40" i="2"/>
  <c r="AK39" i="2"/>
  <c r="AK38" i="2"/>
  <c r="AK37" i="2"/>
  <c r="AK36" i="2"/>
  <c r="AK35" i="2"/>
  <c r="AK30" i="2"/>
  <c r="AK29" i="2"/>
  <c r="AK28" i="2"/>
  <c r="AK27" i="2"/>
  <c r="AK26" i="2"/>
  <c r="AK25" i="2"/>
  <c r="AK23" i="2"/>
  <c r="AK21" i="2"/>
  <c r="AK20" i="2"/>
  <c r="AK19" i="2"/>
  <c r="AK18" i="2"/>
  <c r="AK17" i="2"/>
  <c r="AK14" i="2"/>
  <c r="AK13" i="2"/>
  <c r="AK12" i="2"/>
  <c r="AK11" i="2"/>
  <c r="AK10" i="2"/>
  <c r="AK9" i="2"/>
  <c r="AK8" i="2"/>
  <c r="AL93" i="2"/>
  <c r="AM93" i="2"/>
  <c r="AL95" i="2"/>
  <c r="AM95" i="2"/>
  <c r="Y87" i="6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8" i="1"/>
  <c r="AM157" i="1"/>
  <c r="AM156" i="1"/>
  <c r="AM155" i="1"/>
  <c r="AM154" i="1"/>
  <c r="AM153" i="1"/>
  <c r="AM152" i="1"/>
  <c r="AM151" i="1"/>
  <c r="AM149" i="1"/>
  <c r="AM148" i="1"/>
  <c r="AM147" i="1"/>
  <c r="AM146" i="1"/>
  <c r="AM145" i="1"/>
  <c r="AM143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8" i="1"/>
  <c r="AM97" i="1"/>
  <c r="AM96" i="1"/>
  <c r="AM95" i="1"/>
  <c r="AM94" i="1"/>
  <c r="AM93" i="1"/>
  <c r="AM92" i="1"/>
  <c r="AM91" i="1"/>
  <c r="AM89" i="1"/>
  <c r="AM88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0" i="1"/>
  <c r="AM39" i="1"/>
  <c r="AM38" i="1"/>
  <c r="AM37" i="1"/>
  <c r="AM36" i="1"/>
  <c r="AM35" i="1"/>
  <c r="AM34" i="1"/>
  <c r="AM33" i="1"/>
  <c r="AM32" i="1"/>
  <c r="AM31" i="1"/>
  <c r="AM30" i="1"/>
  <c r="AM28" i="1"/>
  <c r="AM27" i="1"/>
  <c r="AM26" i="1"/>
  <c r="AM25" i="1"/>
  <c r="AM24" i="1"/>
  <c r="AM23" i="1"/>
  <c r="AM22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8" i="1"/>
  <c r="AJ157" i="1"/>
  <c r="AJ156" i="1"/>
  <c r="AJ155" i="1"/>
  <c r="AJ154" i="1"/>
  <c r="AJ153" i="1"/>
  <c r="AJ152" i="1"/>
  <c r="AJ151" i="1"/>
  <c r="AJ149" i="1"/>
  <c r="AJ148" i="1"/>
  <c r="AJ147" i="1"/>
  <c r="AJ146" i="1"/>
  <c r="AJ145" i="1"/>
  <c r="AJ143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8" i="1"/>
  <c r="AJ97" i="1"/>
  <c r="AJ96" i="1"/>
  <c r="AJ95" i="1"/>
  <c r="AJ94" i="1"/>
  <c r="AJ93" i="1"/>
  <c r="AJ92" i="1"/>
  <c r="AJ91" i="1"/>
  <c r="AJ89" i="1"/>
  <c r="AJ88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0" i="1"/>
  <c r="AJ39" i="1"/>
  <c r="AJ38" i="1"/>
  <c r="AJ37" i="1"/>
  <c r="AJ36" i="1"/>
  <c r="AJ35" i="1"/>
  <c r="AJ34" i="1"/>
  <c r="AJ33" i="1"/>
  <c r="AJ32" i="1"/>
  <c r="AJ31" i="1"/>
  <c r="AJ30" i="1"/>
  <c r="AJ28" i="1"/>
  <c r="AJ27" i="1"/>
  <c r="AJ26" i="1"/>
  <c r="AJ25" i="1"/>
  <c r="AJ24" i="1"/>
  <c r="AJ23" i="1"/>
  <c r="AJ22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B171" i="9" l="1"/>
  <c r="AM98" i="2"/>
  <c r="AN99" i="3"/>
  <c r="AK99" i="3"/>
  <c r="AL98" i="2"/>
  <c r="AL96" i="2"/>
  <c r="AL97" i="2" s="1"/>
  <c r="AM96" i="2"/>
  <c r="AM97" i="2" s="1"/>
  <c r="AC171" i="9" l="1"/>
  <c r="AN87" i="6"/>
  <c r="AQ87" i="6" s="1"/>
  <c r="BB132" i="7"/>
  <c r="BA132" i="7"/>
  <c r="AZ132" i="7"/>
  <c r="AY132" i="7"/>
  <c r="AX132" i="7"/>
  <c r="AW132" i="7"/>
  <c r="AV132" i="7"/>
  <c r="AU132" i="7"/>
  <c r="AD171" i="9" l="1"/>
  <c r="AM129" i="7"/>
  <c r="AJ129" i="7"/>
  <c r="AM128" i="7"/>
  <c r="AJ128" i="7"/>
  <c r="AM127" i="7"/>
  <c r="AJ127" i="7"/>
  <c r="AM126" i="7"/>
  <c r="AJ126" i="7"/>
  <c r="AM125" i="7"/>
  <c r="AJ125" i="7"/>
  <c r="AM124" i="7"/>
  <c r="AJ124" i="7"/>
  <c r="AM123" i="7"/>
  <c r="AJ123" i="7"/>
  <c r="AM122" i="7"/>
  <c r="AJ122" i="7"/>
  <c r="AM121" i="7"/>
  <c r="AJ121" i="7"/>
  <c r="AM120" i="7"/>
  <c r="AJ120" i="7"/>
  <c r="AM119" i="7"/>
  <c r="AJ119" i="7"/>
  <c r="AM118" i="7"/>
  <c r="AJ118" i="7"/>
  <c r="AM117" i="7"/>
  <c r="AJ117" i="7"/>
  <c r="AM116" i="7"/>
  <c r="AJ116" i="7"/>
  <c r="AM115" i="7"/>
  <c r="AJ115" i="7"/>
  <c r="AM114" i="7"/>
  <c r="AJ114" i="7"/>
  <c r="AM113" i="7"/>
  <c r="AJ113" i="7"/>
  <c r="AM112" i="7"/>
  <c r="AJ112" i="7"/>
  <c r="AM111" i="7"/>
  <c r="AJ111" i="7"/>
  <c r="AM110" i="7"/>
  <c r="AJ110" i="7"/>
  <c r="AM109" i="7"/>
  <c r="AJ109" i="7"/>
  <c r="AM108" i="7"/>
  <c r="AJ108" i="7"/>
  <c r="AM107" i="7"/>
  <c r="AJ107" i="7"/>
  <c r="AM106" i="7"/>
  <c r="AJ106" i="7"/>
  <c r="AM105" i="7"/>
  <c r="AJ105" i="7"/>
  <c r="AM104" i="7"/>
  <c r="AJ104" i="7"/>
  <c r="AM103" i="7"/>
  <c r="AJ103" i="7"/>
  <c r="AM102" i="7"/>
  <c r="AJ102" i="7"/>
  <c r="AM101" i="7"/>
  <c r="AJ101" i="7"/>
  <c r="AM100" i="7"/>
  <c r="AJ100" i="7"/>
  <c r="AM99" i="7"/>
  <c r="AJ99" i="7"/>
  <c r="AM98" i="7"/>
  <c r="AJ98" i="7"/>
  <c r="AM97" i="7"/>
  <c r="AJ97" i="7"/>
  <c r="AM96" i="7"/>
  <c r="AJ96" i="7"/>
  <c r="AM95" i="7"/>
  <c r="AJ95" i="7"/>
  <c r="AM94" i="7"/>
  <c r="AJ94" i="7"/>
  <c r="AM93" i="7"/>
  <c r="AJ93" i="7"/>
  <c r="AM92" i="7"/>
  <c r="AJ92" i="7"/>
  <c r="AM91" i="7"/>
  <c r="AJ91" i="7"/>
  <c r="AM90" i="7"/>
  <c r="AJ90" i="7"/>
  <c r="AM89" i="7"/>
  <c r="AJ89" i="7"/>
  <c r="AM88" i="7"/>
  <c r="AJ88" i="7"/>
  <c r="AM87" i="7"/>
  <c r="AJ87" i="7"/>
  <c r="AM86" i="7"/>
  <c r="AJ86" i="7"/>
  <c r="AM85" i="7"/>
  <c r="AJ85" i="7"/>
  <c r="AM84" i="7"/>
  <c r="AJ84" i="7"/>
  <c r="AM83" i="7"/>
  <c r="AJ83" i="7"/>
  <c r="AM82" i="7"/>
  <c r="AJ82" i="7"/>
  <c r="AM81" i="7"/>
  <c r="AJ81" i="7"/>
  <c r="AM80" i="7"/>
  <c r="AJ80" i="7"/>
  <c r="AM79" i="7"/>
  <c r="AJ79" i="7"/>
  <c r="AM78" i="7"/>
  <c r="AJ78" i="7"/>
  <c r="AM77" i="7"/>
  <c r="AJ77" i="7"/>
  <c r="AM76" i="7"/>
  <c r="AJ76" i="7"/>
  <c r="AM75" i="7"/>
  <c r="AJ75" i="7"/>
  <c r="AM74" i="7"/>
  <c r="AJ74" i="7"/>
  <c r="AM73" i="7"/>
  <c r="AJ73" i="7"/>
  <c r="AM72" i="7"/>
  <c r="AJ72" i="7"/>
  <c r="AM71" i="7"/>
  <c r="AJ71" i="7"/>
  <c r="AM70" i="7"/>
  <c r="AJ70" i="7"/>
  <c r="AM69" i="7"/>
  <c r="AJ69" i="7"/>
  <c r="AM68" i="7"/>
  <c r="AJ68" i="7"/>
  <c r="AM67" i="7"/>
  <c r="AJ67" i="7"/>
  <c r="AM66" i="7"/>
  <c r="AJ66" i="7"/>
  <c r="AM65" i="7"/>
  <c r="AJ65" i="7"/>
  <c r="AM64" i="7"/>
  <c r="AJ64" i="7"/>
  <c r="AM63" i="7"/>
  <c r="AJ63" i="7"/>
  <c r="AM62" i="7"/>
  <c r="AJ62" i="7"/>
  <c r="AM61" i="7"/>
  <c r="AJ61" i="7"/>
  <c r="AM60" i="7"/>
  <c r="AJ60" i="7"/>
  <c r="AM59" i="7"/>
  <c r="AJ59" i="7"/>
  <c r="AM58" i="7"/>
  <c r="AJ58" i="7"/>
  <c r="AM57" i="7"/>
  <c r="AJ57" i="7"/>
  <c r="AM56" i="7"/>
  <c r="AJ56" i="7"/>
  <c r="AM55" i="7"/>
  <c r="AJ55" i="7"/>
  <c r="AM54" i="7"/>
  <c r="AJ54" i="7"/>
  <c r="AM53" i="7"/>
  <c r="AJ53" i="7"/>
  <c r="AM52" i="7"/>
  <c r="AJ52" i="7"/>
  <c r="AM51" i="7"/>
  <c r="AJ51" i="7"/>
  <c r="AM50" i="7"/>
  <c r="AJ50" i="7"/>
  <c r="AM49" i="7"/>
  <c r="AJ49" i="7"/>
  <c r="AM48" i="7"/>
  <c r="AJ48" i="7"/>
  <c r="AM47" i="7"/>
  <c r="AJ47" i="7"/>
  <c r="AM46" i="7"/>
  <c r="AJ46" i="7"/>
  <c r="AM45" i="7"/>
  <c r="AJ45" i="7"/>
  <c r="AM44" i="7"/>
  <c r="AJ44" i="7"/>
  <c r="AM43" i="7"/>
  <c r="AJ43" i="7"/>
  <c r="AM42" i="7"/>
  <c r="AJ42" i="7"/>
  <c r="AM41" i="7"/>
  <c r="AJ41" i="7"/>
  <c r="AM40" i="7"/>
  <c r="AJ40" i="7"/>
  <c r="AM39" i="7"/>
  <c r="AJ39" i="7"/>
  <c r="AM38" i="7"/>
  <c r="AJ38" i="7"/>
  <c r="AM37" i="7"/>
  <c r="AJ37" i="7"/>
  <c r="AM36" i="7"/>
  <c r="AJ36" i="7"/>
  <c r="AM35" i="7"/>
  <c r="AJ35" i="7"/>
  <c r="AM34" i="7"/>
  <c r="AJ34" i="7"/>
  <c r="AM33" i="7"/>
  <c r="AJ33" i="7"/>
  <c r="AM32" i="7"/>
  <c r="AJ32" i="7"/>
  <c r="AM31" i="7"/>
  <c r="AJ31" i="7"/>
  <c r="AM30" i="7"/>
  <c r="AJ30" i="7"/>
  <c r="AM29" i="7"/>
  <c r="AJ29" i="7"/>
  <c r="AM28" i="7"/>
  <c r="AJ28" i="7"/>
  <c r="AM27" i="7"/>
  <c r="AJ27" i="7"/>
  <c r="AM26" i="7"/>
  <c r="AJ26" i="7"/>
  <c r="AM25" i="7"/>
  <c r="AJ25" i="7"/>
  <c r="AM24" i="7"/>
  <c r="AJ24" i="7"/>
  <c r="AM23" i="7"/>
  <c r="AJ23" i="7"/>
  <c r="AM22" i="7"/>
  <c r="AJ22" i="7"/>
  <c r="AM21" i="7"/>
  <c r="AJ21" i="7"/>
  <c r="AM20" i="7"/>
  <c r="AJ20" i="7"/>
  <c r="AM19" i="7"/>
  <c r="AJ19" i="7"/>
  <c r="AM18" i="7"/>
  <c r="AJ18" i="7"/>
  <c r="AM17" i="7"/>
  <c r="AJ17" i="7"/>
  <c r="AM16" i="7"/>
  <c r="AJ16" i="7"/>
  <c r="AM15" i="7"/>
  <c r="AJ15" i="7"/>
  <c r="AM14" i="7"/>
  <c r="AJ14" i="7"/>
  <c r="AM13" i="7"/>
  <c r="AJ13" i="7"/>
  <c r="AM12" i="7"/>
  <c r="AJ12" i="7"/>
  <c r="AM11" i="7"/>
  <c r="AJ11" i="7"/>
  <c r="AM10" i="7"/>
  <c r="AJ10" i="7"/>
  <c r="AM9" i="7"/>
  <c r="AJ9" i="7"/>
  <c r="AM92" i="6"/>
  <c r="AM91" i="6"/>
  <c r="AM90" i="6"/>
  <c r="AM89" i="6"/>
  <c r="AM88" i="6"/>
  <c r="AM87" i="6"/>
  <c r="AM86" i="6"/>
  <c r="AM85" i="6"/>
  <c r="AM84" i="6"/>
  <c r="AM83" i="6"/>
  <c r="AM82" i="6"/>
  <c r="AM81" i="6"/>
  <c r="AM80" i="6"/>
  <c r="AM79" i="6"/>
  <c r="AM78" i="6"/>
  <c r="AM77" i="6"/>
  <c r="AM76" i="6"/>
  <c r="AM75" i="6"/>
  <c r="AM74" i="6"/>
  <c r="AM73" i="6"/>
  <c r="AM72" i="6"/>
  <c r="AM71" i="6"/>
  <c r="AM70" i="6"/>
  <c r="AM69" i="6"/>
  <c r="AM68" i="6"/>
  <c r="AM67" i="6"/>
  <c r="AM66" i="6"/>
  <c r="AM65" i="6"/>
  <c r="AM64" i="6"/>
  <c r="AM63" i="6"/>
  <c r="AM62" i="6"/>
  <c r="AM61" i="6"/>
  <c r="AM60" i="6"/>
  <c r="AM59" i="6"/>
  <c r="AM58" i="6"/>
  <c r="AM57" i="6"/>
  <c r="AM56" i="6"/>
  <c r="AM55" i="6"/>
  <c r="AM54" i="6"/>
  <c r="AM53" i="6"/>
  <c r="AM52" i="6"/>
  <c r="AM51" i="6"/>
  <c r="AM50" i="6"/>
  <c r="AM49" i="6"/>
  <c r="AM48" i="6"/>
  <c r="AM47" i="6"/>
  <c r="AM46" i="6"/>
  <c r="AM45" i="6"/>
  <c r="AM44" i="6"/>
  <c r="AM43" i="6"/>
  <c r="AM42" i="6"/>
  <c r="AM41" i="6"/>
  <c r="AM40" i="6"/>
  <c r="AM39" i="6"/>
  <c r="AM38" i="6"/>
  <c r="AM37" i="6"/>
  <c r="AM36" i="6"/>
  <c r="AM35" i="6"/>
  <c r="AM34" i="6"/>
  <c r="AM33" i="6"/>
  <c r="AM32" i="6"/>
  <c r="AM31" i="6"/>
  <c r="AM30" i="6"/>
  <c r="AM29" i="6"/>
  <c r="AM28" i="6"/>
  <c r="AM27" i="6"/>
  <c r="AM26" i="6"/>
  <c r="AM25" i="6"/>
  <c r="AM24" i="6"/>
  <c r="AM23" i="6"/>
  <c r="AM22" i="6"/>
  <c r="AM21" i="6"/>
  <c r="AM20" i="6"/>
  <c r="AM19" i="6"/>
  <c r="AM18" i="6"/>
  <c r="AM17" i="6"/>
  <c r="AM16" i="6"/>
  <c r="AM15" i="6"/>
  <c r="AM14" i="6"/>
  <c r="AM13" i="6"/>
  <c r="AM12" i="6"/>
  <c r="AM11" i="6"/>
  <c r="AM10" i="6"/>
  <c r="AM9" i="6"/>
  <c r="AM8" i="6"/>
  <c r="AJ92" i="6"/>
  <c r="AJ91" i="6"/>
  <c r="AJ90" i="6"/>
  <c r="AJ89" i="6"/>
  <c r="AJ88" i="6"/>
  <c r="AJ87" i="6"/>
  <c r="AJ86" i="6"/>
  <c r="AJ85" i="6"/>
  <c r="AJ84" i="6"/>
  <c r="AJ83" i="6"/>
  <c r="AJ82" i="6"/>
  <c r="AJ81" i="6"/>
  <c r="AJ80" i="6"/>
  <c r="AJ79" i="6"/>
  <c r="AJ78" i="6"/>
  <c r="AJ77" i="6"/>
  <c r="AJ76" i="6"/>
  <c r="AJ75" i="6"/>
  <c r="AJ74" i="6"/>
  <c r="AJ73" i="6"/>
  <c r="AJ72" i="6"/>
  <c r="AJ71" i="6"/>
  <c r="AJ70" i="6"/>
  <c r="AJ69" i="6"/>
  <c r="AJ68" i="6"/>
  <c r="AJ67" i="6"/>
  <c r="AJ66" i="6"/>
  <c r="AJ65" i="6"/>
  <c r="AJ64" i="6"/>
  <c r="AJ63" i="6"/>
  <c r="AJ62" i="6"/>
  <c r="AJ61" i="6"/>
  <c r="AJ60" i="6"/>
  <c r="AJ59" i="6"/>
  <c r="AJ58" i="6"/>
  <c r="AJ57" i="6"/>
  <c r="AJ56" i="6"/>
  <c r="AJ55" i="6"/>
  <c r="AJ54" i="6"/>
  <c r="AJ53" i="6"/>
  <c r="AJ52" i="6"/>
  <c r="AJ51" i="6"/>
  <c r="AJ50" i="6"/>
  <c r="AJ49" i="6"/>
  <c r="AJ48" i="6"/>
  <c r="AJ47" i="6"/>
  <c r="AJ46" i="6"/>
  <c r="AJ45" i="6"/>
  <c r="AJ44" i="6"/>
  <c r="AJ43" i="6"/>
  <c r="AJ42" i="6"/>
  <c r="AJ41" i="6"/>
  <c r="AJ40" i="6"/>
  <c r="AJ39" i="6"/>
  <c r="AJ38" i="6"/>
  <c r="AJ37" i="6"/>
  <c r="AJ36" i="6"/>
  <c r="AJ35" i="6"/>
  <c r="AJ34" i="6"/>
  <c r="AJ33" i="6"/>
  <c r="AJ32" i="6"/>
  <c r="AJ31" i="6"/>
  <c r="AJ30" i="6"/>
  <c r="AJ29" i="6"/>
  <c r="AJ28" i="6"/>
  <c r="AJ27" i="6"/>
  <c r="AJ26" i="6"/>
  <c r="AJ25" i="6"/>
  <c r="AJ24" i="6"/>
  <c r="AJ23" i="6"/>
  <c r="AJ22" i="6"/>
  <c r="AJ21" i="6"/>
  <c r="AJ20" i="6"/>
  <c r="AJ19" i="6"/>
  <c r="AJ18" i="6"/>
  <c r="AJ17" i="6"/>
  <c r="AJ16" i="6"/>
  <c r="AJ15" i="6"/>
  <c r="AJ14" i="6"/>
  <c r="AJ13" i="6"/>
  <c r="AJ12" i="6"/>
  <c r="AJ11" i="6"/>
  <c r="AJ10" i="6"/>
  <c r="AJ9" i="6"/>
  <c r="AJ8" i="6"/>
  <c r="AE171" i="9" l="1"/>
  <c r="BZ102" i="20"/>
  <c r="BY102" i="20"/>
  <c r="BW102" i="20"/>
  <c r="BV102" i="20"/>
  <c r="BT102" i="20"/>
  <c r="BQ102" i="20"/>
  <c r="BP102" i="20"/>
  <c r="BS102" i="20"/>
  <c r="BB114" i="21"/>
  <c r="BA114" i="21"/>
  <c r="BE114" i="21"/>
  <c r="BD114" i="21"/>
  <c r="BH114" i="21"/>
  <c r="BG114" i="21"/>
  <c r="BK114" i="21"/>
  <c r="BJ114" i="21"/>
  <c r="BN114" i="21"/>
  <c r="BM114" i="21"/>
  <c r="BQ114" i="21"/>
  <c r="BP114" i="21"/>
  <c r="BZ114" i="21"/>
  <c r="BY114" i="21"/>
  <c r="BW114" i="21"/>
  <c r="BV114" i="21"/>
  <c r="BT114" i="21"/>
  <c r="BS114" i="21"/>
  <c r="AF171" i="9" l="1"/>
  <c r="CC102" i="20"/>
  <c r="CF102" i="20" s="1"/>
  <c r="CB102" i="20"/>
  <c r="CE102" i="20" s="1"/>
  <c r="CC99" i="20"/>
  <c r="CF99" i="20" s="1"/>
  <c r="CB99" i="20"/>
  <c r="CE99" i="20" s="1"/>
  <c r="CC98" i="20"/>
  <c r="CF98" i="20" s="1"/>
  <c r="CB98" i="20"/>
  <c r="CE98" i="20" s="1"/>
  <c r="CC97" i="20"/>
  <c r="CF97" i="20" s="1"/>
  <c r="CB97" i="20"/>
  <c r="CE97" i="20" s="1"/>
  <c r="CC96" i="20"/>
  <c r="CF96" i="20" s="1"/>
  <c r="CB96" i="20"/>
  <c r="CE96" i="20" s="1"/>
  <c r="CC95" i="20"/>
  <c r="CF95" i="20" s="1"/>
  <c r="CB95" i="20"/>
  <c r="CE95" i="20" s="1"/>
  <c r="CC94" i="20"/>
  <c r="CF94" i="20" s="1"/>
  <c r="CB94" i="20"/>
  <c r="CE94" i="20" s="1"/>
  <c r="CC93" i="20"/>
  <c r="CF93" i="20" s="1"/>
  <c r="CB93" i="20"/>
  <c r="CE93" i="20" s="1"/>
  <c r="CC92" i="20"/>
  <c r="CF92" i="20" s="1"/>
  <c r="CB92" i="20"/>
  <c r="CE92" i="20" s="1"/>
  <c r="CC91" i="20"/>
  <c r="CF91" i="20" s="1"/>
  <c r="CB91" i="20"/>
  <c r="CE91" i="20" s="1"/>
  <c r="CC90" i="20"/>
  <c r="CF90" i="20" s="1"/>
  <c r="CB90" i="20"/>
  <c r="CE90" i="20" s="1"/>
  <c r="CC89" i="20"/>
  <c r="CF89" i="20" s="1"/>
  <c r="CB89" i="20"/>
  <c r="CE89" i="20" s="1"/>
  <c r="CC88" i="20"/>
  <c r="CF88" i="20" s="1"/>
  <c r="CB88" i="20"/>
  <c r="CE88" i="20" s="1"/>
  <c r="CC87" i="20"/>
  <c r="CF87" i="20" s="1"/>
  <c r="CB87" i="20"/>
  <c r="CE87" i="20" s="1"/>
  <c r="CC86" i="20"/>
  <c r="CF86" i="20" s="1"/>
  <c r="CB86" i="20"/>
  <c r="CE86" i="20" s="1"/>
  <c r="CC85" i="20"/>
  <c r="CF85" i="20" s="1"/>
  <c r="CB85" i="20"/>
  <c r="CE85" i="20" s="1"/>
  <c r="CC84" i="20"/>
  <c r="CF84" i="20" s="1"/>
  <c r="CB84" i="20"/>
  <c r="CE84" i="20" s="1"/>
  <c r="CC83" i="20"/>
  <c r="CF83" i="20" s="1"/>
  <c r="CB83" i="20"/>
  <c r="CE83" i="20" s="1"/>
  <c r="CC82" i="20"/>
  <c r="CF82" i="20" s="1"/>
  <c r="CB82" i="20"/>
  <c r="CE82" i="20" s="1"/>
  <c r="CC81" i="20"/>
  <c r="CF81" i="20" s="1"/>
  <c r="CB81" i="20"/>
  <c r="CE81" i="20" s="1"/>
  <c r="CC80" i="20"/>
  <c r="CF80" i="20" s="1"/>
  <c r="CB80" i="20"/>
  <c r="CE80" i="20" s="1"/>
  <c r="CC79" i="20"/>
  <c r="CF79" i="20" s="1"/>
  <c r="CB79" i="20"/>
  <c r="CE79" i="20" s="1"/>
  <c r="CC78" i="20"/>
  <c r="CF78" i="20" s="1"/>
  <c r="CB78" i="20"/>
  <c r="CE78" i="20" s="1"/>
  <c r="CC77" i="20"/>
  <c r="CF77" i="20" s="1"/>
  <c r="CB77" i="20"/>
  <c r="CE77" i="20" s="1"/>
  <c r="CC76" i="20"/>
  <c r="CF76" i="20" s="1"/>
  <c r="CB76" i="20"/>
  <c r="CE76" i="20" s="1"/>
  <c r="CC75" i="20"/>
  <c r="CF75" i="20" s="1"/>
  <c r="CB75" i="20"/>
  <c r="CE75" i="20" s="1"/>
  <c r="CC74" i="20"/>
  <c r="CF74" i="20" s="1"/>
  <c r="CB74" i="20"/>
  <c r="CE74" i="20" s="1"/>
  <c r="CC73" i="20"/>
  <c r="CF73" i="20" s="1"/>
  <c r="CB73" i="20"/>
  <c r="CE73" i="20" s="1"/>
  <c r="CC72" i="20"/>
  <c r="CF72" i="20" s="1"/>
  <c r="CB72" i="20"/>
  <c r="CE72" i="20" s="1"/>
  <c r="CC71" i="20"/>
  <c r="CF71" i="20" s="1"/>
  <c r="CB71" i="20"/>
  <c r="CE71" i="20" s="1"/>
  <c r="CC70" i="20"/>
  <c r="CF70" i="20" s="1"/>
  <c r="CB70" i="20"/>
  <c r="CE70" i="20" s="1"/>
  <c r="CC69" i="20"/>
  <c r="CF69" i="20" s="1"/>
  <c r="CB69" i="20"/>
  <c r="CE69" i="20" s="1"/>
  <c r="CC68" i="20"/>
  <c r="CF68" i="20" s="1"/>
  <c r="CB68" i="20"/>
  <c r="CE68" i="20" s="1"/>
  <c r="CC67" i="20"/>
  <c r="CF67" i="20" s="1"/>
  <c r="CB67" i="20"/>
  <c r="CE67" i="20" s="1"/>
  <c r="CC66" i="20"/>
  <c r="CF66" i="20" s="1"/>
  <c r="CB66" i="20"/>
  <c r="CE66" i="20" s="1"/>
  <c r="CC65" i="20"/>
  <c r="CF65" i="20" s="1"/>
  <c r="CB65" i="20"/>
  <c r="CE65" i="20" s="1"/>
  <c r="CC64" i="20"/>
  <c r="CF64" i="20" s="1"/>
  <c r="CB64" i="20"/>
  <c r="CE64" i="20" s="1"/>
  <c r="CC63" i="20"/>
  <c r="CF63" i="20" s="1"/>
  <c r="CB63" i="20"/>
  <c r="CE63" i="20" s="1"/>
  <c r="CC62" i="20"/>
  <c r="CF62" i="20" s="1"/>
  <c r="CB62" i="20"/>
  <c r="CE62" i="20" s="1"/>
  <c r="CC61" i="20"/>
  <c r="CF61" i="20" s="1"/>
  <c r="CB61" i="20"/>
  <c r="CE61" i="20" s="1"/>
  <c r="CC60" i="20"/>
  <c r="CF60" i="20" s="1"/>
  <c r="CB60" i="20"/>
  <c r="CE60" i="20" s="1"/>
  <c r="CC59" i="20"/>
  <c r="CF59" i="20" s="1"/>
  <c r="CB59" i="20"/>
  <c r="CE59" i="20" s="1"/>
  <c r="CC58" i="20"/>
  <c r="CF58" i="20" s="1"/>
  <c r="CB58" i="20"/>
  <c r="CE58" i="20" s="1"/>
  <c r="CC57" i="20"/>
  <c r="CF57" i="20" s="1"/>
  <c r="CB57" i="20"/>
  <c r="CE57" i="20" s="1"/>
  <c r="CC56" i="20"/>
  <c r="CF56" i="20" s="1"/>
  <c r="CB56" i="20"/>
  <c r="CE56" i="20" s="1"/>
  <c r="CC55" i="20"/>
  <c r="CF55" i="20" s="1"/>
  <c r="CB55" i="20"/>
  <c r="CE55" i="20" s="1"/>
  <c r="CC54" i="20"/>
  <c r="CF54" i="20" s="1"/>
  <c r="CB54" i="20"/>
  <c r="CE54" i="20" s="1"/>
  <c r="CC53" i="20"/>
  <c r="CF53" i="20" s="1"/>
  <c r="CB53" i="20"/>
  <c r="CE53" i="20" s="1"/>
  <c r="CC52" i="20"/>
  <c r="CF52" i="20" s="1"/>
  <c r="CB52" i="20"/>
  <c r="CE52" i="20" s="1"/>
  <c r="CC51" i="20"/>
  <c r="CF51" i="20" s="1"/>
  <c r="CB51" i="20"/>
  <c r="CE51" i="20" s="1"/>
  <c r="CC50" i="20"/>
  <c r="CF50" i="20" s="1"/>
  <c r="CB50" i="20"/>
  <c r="CE50" i="20" s="1"/>
  <c r="CC49" i="20"/>
  <c r="CF49" i="20" s="1"/>
  <c r="CB49" i="20"/>
  <c r="CE49" i="20" s="1"/>
  <c r="CC48" i="20"/>
  <c r="CF48" i="20" s="1"/>
  <c r="CB48" i="20"/>
  <c r="CE48" i="20" s="1"/>
  <c r="CC47" i="20"/>
  <c r="CF47" i="20" s="1"/>
  <c r="CB47" i="20"/>
  <c r="CE47" i="20" s="1"/>
  <c r="CC46" i="20"/>
  <c r="CF46" i="20" s="1"/>
  <c r="CB46" i="20"/>
  <c r="CE46" i="20" s="1"/>
  <c r="CC45" i="20"/>
  <c r="CF45" i="20" s="1"/>
  <c r="CB45" i="20"/>
  <c r="CE45" i="20" s="1"/>
  <c r="CC44" i="20"/>
  <c r="CF44" i="20" s="1"/>
  <c r="CB44" i="20"/>
  <c r="CE44" i="20" s="1"/>
  <c r="CC43" i="20"/>
  <c r="CF43" i="20" s="1"/>
  <c r="CB43" i="20"/>
  <c r="CE43" i="20" s="1"/>
  <c r="CC42" i="20"/>
  <c r="CF42" i="20" s="1"/>
  <c r="CB42" i="20"/>
  <c r="CE42" i="20" s="1"/>
  <c r="CC41" i="20"/>
  <c r="CF41" i="20" s="1"/>
  <c r="CB41" i="20"/>
  <c r="CE41" i="20" s="1"/>
  <c r="CC40" i="20"/>
  <c r="CF40" i="20" s="1"/>
  <c r="CB40" i="20"/>
  <c r="CE40" i="20" s="1"/>
  <c r="CC39" i="20"/>
  <c r="CF39" i="20" s="1"/>
  <c r="CB39" i="20"/>
  <c r="CE39" i="20" s="1"/>
  <c r="CC38" i="20"/>
  <c r="CF38" i="20" s="1"/>
  <c r="CB38" i="20"/>
  <c r="CE38" i="20" s="1"/>
  <c r="CC37" i="20"/>
  <c r="CF37" i="20" s="1"/>
  <c r="CB37" i="20"/>
  <c r="CE37" i="20" s="1"/>
  <c r="CC36" i="20"/>
  <c r="CF36" i="20" s="1"/>
  <c r="CB36" i="20"/>
  <c r="CE36" i="20" s="1"/>
  <c r="CC35" i="20"/>
  <c r="CF35" i="20" s="1"/>
  <c r="CB35" i="20"/>
  <c r="CE35" i="20" s="1"/>
  <c r="CC34" i="20"/>
  <c r="CF34" i="20" s="1"/>
  <c r="CB34" i="20"/>
  <c r="CE34" i="20" s="1"/>
  <c r="CC33" i="20"/>
  <c r="CF33" i="20" s="1"/>
  <c r="CB33" i="20"/>
  <c r="CE33" i="20" s="1"/>
  <c r="CC32" i="20"/>
  <c r="CF32" i="20" s="1"/>
  <c r="CB32" i="20"/>
  <c r="CE32" i="20" s="1"/>
  <c r="CC31" i="20"/>
  <c r="CF31" i="20" s="1"/>
  <c r="CB31" i="20"/>
  <c r="CE31" i="20" s="1"/>
  <c r="CC30" i="20"/>
  <c r="CF30" i="20" s="1"/>
  <c r="CB30" i="20"/>
  <c r="CE30" i="20" s="1"/>
  <c r="CC29" i="20"/>
  <c r="CF29" i="20" s="1"/>
  <c r="CB29" i="20"/>
  <c r="CE29" i="20" s="1"/>
  <c r="CC28" i="20"/>
  <c r="CF28" i="20" s="1"/>
  <c r="CB28" i="20"/>
  <c r="CE28" i="20" s="1"/>
  <c r="CC27" i="20"/>
  <c r="CF27" i="20" s="1"/>
  <c r="CB27" i="20"/>
  <c r="CE27" i="20" s="1"/>
  <c r="CC26" i="20"/>
  <c r="CF26" i="20" s="1"/>
  <c r="CB26" i="20"/>
  <c r="CE26" i="20" s="1"/>
  <c r="CC25" i="20"/>
  <c r="CF25" i="20" s="1"/>
  <c r="CB25" i="20"/>
  <c r="CE25" i="20" s="1"/>
  <c r="CC24" i="20"/>
  <c r="CF24" i="20" s="1"/>
  <c r="CB24" i="20"/>
  <c r="CE24" i="20" s="1"/>
  <c r="CC23" i="20"/>
  <c r="CF23" i="20" s="1"/>
  <c r="CB23" i="20"/>
  <c r="CE23" i="20" s="1"/>
  <c r="CC22" i="20"/>
  <c r="CF22" i="20" s="1"/>
  <c r="CB22" i="20"/>
  <c r="CE22" i="20" s="1"/>
  <c r="CC21" i="20"/>
  <c r="CF21" i="20" s="1"/>
  <c r="CB21" i="20"/>
  <c r="CE21" i="20" s="1"/>
  <c r="CC20" i="20"/>
  <c r="CF20" i="20" s="1"/>
  <c r="CB20" i="20"/>
  <c r="CE20" i="20" s="1"/>
  <c r="CC19" i="20"/>
  <c r="CF19" i="20" s="1"/>
  <c r="CB19" i="20"/>
  <c r="CE19" i="20" s="1"/>
  <c r="CC18" i="20"/>
  <c r="CF18" i="20" s="1"/>
  <c r="CB18" i="20"/>
  <c r="CE18" i="20" s="1"/>
  <c r="CC17" i="20"/>
  <c r="CF17" i="20" s="1"/>
  <c r="CB17" i="20"/>
  <c r="CE17" i="20" s="1"/>
  <c r="CC16" i="20"/>
  <c r="CF16" i="20" s="1"/>
  <c r="CB16" i="20"/>
  <c r="CE16" i="20" s="1"/>
  <c r="CC15" i="20"/>
  <c r="CF15" i="20" s="1"/>
  <c r="CB15" i="20"/>
  <c r="CE15" i="20" s="1"/>
  <c r="CC14" i="20"/>
  <c r="CF14" i="20" s="1"/>
  <c r="CB14" i="20"/>
  <c r="CE14" i="20" s="1"/>
  <c r="CC13" i="20"/>
  <c r="CF13" i="20" s="1"/>
  <c r="CB13" i="20"/>
  <c r="CE13" i="20" s="1"/>
  <c r="CC12" i="20"/>
  <c r="CF12" i="20" s="1"/>
  <c r="CB12" i="20"/>
  <c r="CE12" i="20" s="1"/>
  <c r="CC11" i="20"/>
  <c r="CF11" i="20" s="1"/>
  <c r="CB11" i="20"/>
  <c r="CE11" i="20" s="1"/>
  <c r="CC10" i="20"/>
  <c r="CF10" i="20" s="1"/>
  <c r="CB10" i="20"/>
  <c r="CE10" i="20" s="1"/>
  <c r="CC9" i="20"/>
  <c r="CF9" i="20" s="1"/>
  <c r="CB9" i="20"/>
  <c r="CE9" i="20" s="1"/>
  <c r="CC8" i="20"/>
  <c r="CB8" i="20"/>
  <c r="BY103" i="20"/>
  <c r="BY104" i="20" s="1"/>
  <c r="CA102" i="20"/>
  <c r="BW103" i="20"/>
  <c r="BW104" i="20" s="1"/>
  <c r="BX102" i="20"/>
  <c r="BU102" i="20"/>
  <c r="BZ100" i="20"/>
  <c r="BZ103" i="20" s="1"/>
  <c r="BZ104" i="20" s="1"/>
  <c r="BY100" i="20"/>
  <c r="BY105" i="20" s="1"/>
  <c r="CA99" i="20"/>
  <c r="CA98" i="20"/>
  <c r="CA97" i="20"/>
  <c r="CA96" i="20"/>
  <c r="CA95" i="20"/>
  <c r="CA94" i="20"/>
  <c r="CA93" i="20"/>
  <c r="CA92" i="20"/>
  <c r="CA91" i="20"/>
  <c r="CA90" i="20"/>
  <c r="CA89" i="20"/>
  <c r="CA88" i="20"/>
  <c r="CA87" i="20"/>
  <c r="CA86" i="20"/>
  <c r="CA85" i="20"/>
  <c r="CA84" i="20"/>
  <c r="CA83" i="20"/>
  <c r="CA82" i="20"/>
  <c r="CA81" i="20"/>
  <c r="CA80" i="20"/>
  <c r="CA79" i="20"/>
  <c r="CA78" i="20"/>
  <c r="CA77" i="20"/>
  <c r="CA76" i="20"/>
  <c r="CA75" i="20"/>
  <c r="CA74" i="20"/>
  <c r="CA73" i="20"/>
  <c r="CA72" i="20"/>
  <c r="CA71" i="20"/>
  <c r="CA70" i="20"/>
  <c r="CA69" i="20"/>
  <c r="CA68" i="20"/>
  <c r="CA67" i="20"/>
  <c r="CA66" i="20"/>
  <c r="CA65" i="20"/>
  <c r="CA64" i="20"/>
  <c r="CA63" i="20"/>
  <c r="CA62" i="20"/>
  <c r="CA61" i="20"/>
  <c r="CA60" i="20"/>
  <c r="CA59" i="20"/>
  <c r="CA58" i="20"/>
  <c r="CA57" i="20"/>
  <c r="CA56" i="20"/>
  <c r="CA55" i="20"/>
  <c r="CA54" i="20"/>
  <c r="CA53" i="20"/>
  <c r="CA52" i="20"/>
  <c r="CA51" i="20"/>
  <c r="CA50" i="20"/>
  <c r="CA49" i="20"/>
  <c r="CA48" i="20"/>
  <c r="CA47" i="20"/>
  <c r="CA46" i="20"/>
  <c r="CA45" i="20"/>
  <c r="CA44" i="20"/>
  <c r="CA43" i="20"/>
  <c r="CA42" i="20"/>
  <c r="CA41" i="20"/>
  <c r="CA40" i="20"/>
  <c r="CA39" i="20"/>
  <c r="CA38" i="20"/>
  <c r="CA37" i="20"/>
  <c r="CA36" i="20"/>
  <c r="CA35" i="20"/>
  <c r="CA34" i="20"/>
  <c r="CA33" i="20"/>
  <c r="CA32" i="20"/>
  <c r="CA31" i="20"/>
  <c r="CA30" i="20"/>
  <c r="CA29" i="20"/>
  <c r="CA28" i="20"/>
  <c r="CA27" i="20"/>
  <c r="CA26" i="20"/>
  <c r="CA25" i="20"/>
  <c r="CA24" i="20"/>
  <c r="CA23" i="20"/>
  <c r="CA22" i="20"/>
  <c r="CA21" i="20"/>
  <c r="CA20" i="20"/>
  <c r="CA19" i="20"/>
  <c r="CA18" i="20"/>
  <c r="CA17" i="20"/>
  <c r="CA16" i="20"/>
  <c r="CA15" i="20"/>
  <c r="CA14" i="20"/>
  <c r="CA13" i="20"/>
  <c r="CA12" i="20"/>
  <c r="CA11" i="20"/>
  <c r="CA10" i="20"/>
  <c r="CA9" i="20"/>
  <c r="CA8" i="20"/>
  <c r="BW100" i="20"/>
  <c r="BW105" i="20" s="1"/>
  <c r="BV100" i="20"/>
  <c r="BV105" i="20" s="1"/>
  <c r="BX99" i="20"/>
  <c r="BX98" i="20"/>
  <c r="BX97" i="20"/>
  <c r="BX96" i="20"/>
  <c r="BX95" i="20"/>
  <c r="BX94" i="20"/>
  <c r="BX93" i="20"/>
  <c r="BX92" i="20"/>
  <c r="BX91" i="20"/>
  <c r="BX90" i="20"/>
  <c r="BX89" i="20"/>
  <c r="BX88" i="20"/>
  <c r="BX87" i="20"/>
  <c r="BX86" i="20"/>
  <c r="BX85" i="20"/>
  <c r="BX84" i="20"/>
  <c r="BX83" i="20"/>
  <c r="BX82" i="20"/>
  <c r="BX81" i="20"/>
  <c r="BX80" i="20"/>
  <c r="BX79" i="20"/>
  <c r="BX78" i="20"/>
  <c r="BX77" i="20"/>
  <c r="BX76" i="20"/>
  <c r="BX75" i="20"/>
  <c r="BX74" i="20"/>
  <c r="BX73" i="20"/>
  <c r="BX72" i="20"/>
  <c r="BX71" i="20"/>
  <c r="BX70" i="20"/>
  <c r="BX69" i="20"/>
  <c r="BX68" i="20"/>
  <c r="BX67" i="20"/>
  <c r="BX66" i="20"/>
  <c r="BX65" i="20"/>
  <c r="BX64" i="20"/>
  <c r="BX63" i="20"/>
  <c r="BX62" i="20"/>
  <c r="BX61" i="20"/>
  <c r="BX60" i="20"/>
  <c r="BX59" i="20"/>
  <c r="BX58" i="20"/>
  <c r="BX57" i="20"/>
  <c r="BX56" i="20"/>
  <c r="BX55" i="20"/>
  <c r="BX54" i="20"/>
  <c r="BX53" i="20"/>
  <c r="BX52" i="20"/>
  <c r="BX51" i="20"/>
  <c r="BX50" i="20"/>
  <c r="BX49" i="20"/>
  <c r="BX48" i="20"/>
  <c r="BX47" i="20"/>
  <c r="BX46" i="20"/>
  <c r="BX45" i="20"/>
  <c r="BX44" i="20"/>
  <c r="BX43" i="20"/>
  <c r="BX42" i="20"/>
  <c r="BX41" i="20"/>
  <c r="BX40" i="20"/>
  <c r="BX39" i="20"/>
  <c r="BX38" i="20"/>
  <c r="BX37" i="20"/>
  <c r="BX36" i="20"/>
  <c r="BX35" i="20"/>
  <c r="BX34" i="20"/>
  <c r="BX33" i="20"/>
  <c r="BX32" i="20"/>
  <c r="BX31" i="20"/>
  <c r="BX30" i="20"/>
  <c r="BX29" i="20"/>
  <c r="BX28" i="20"/>
  <c r="BX27" i="20"/>
  <c r="BX26" i="20"/>
  <c r="BX25" i="20"/>
  <c r="BX24" i="20"/>
  <c r="BX23" i="20"/>
  <c r="BX22" i="20"/>
  <c r="BX21" i="20"/>
  <c r="BX20" i="20"/>
  <c r="BX19" i="20"/>
  <c r="BX18" i="20"/>
  <c r="BX17" i="20"/>
  <c r="BX16" i="20"/>
  <c r="BX15" i="20"/>
  <c r="BX14" i="20"/>
  <c r="BX13" i="20"/>
  <c r="BX12" i="20"/>
  <c r="BX11" i="20"/>
  <c r="BX10" i="20"/>
  <c r="BX9" i="20"/>
  <c r="BX8" i="20"/>
  <c r="BU9" i="20"/>
  <c r="BU21" i="20"/>
  <c r="BU20" i="20"/>
  <c r="BU24" i="20"/>
  <c r="BU25" i="20"/>
  <c r="BU26" i="20"/>
  <c r="BU27" i="20"/>
  <c r="BU28" i="20"/>
  <c r="BU30" i="20"/>
  <c r="BU33" i="20"/>
  <c r="BU32" i="20"/>
  <c r="BU36" i="20"/>
  <c r="BU35" i="20"/>
  <c r="BU72" i="20"/>
  <c r="BU71" i="20"/>
  <c r="BU90" i="20"/>
  <c r="BU91" i="20"/>
  <c r="BU92" i="20"/>
  <c r="BT100" i="20"/>
  <c r="BT103" i="20" s="1"/>
  <c r="BS100" i="20"/>
  <c r="BS103" i="20" s="1"/>
  <c r="BU99" i="20"/>
  <c r="BU98" i="20"/>
  <c r="BU97" i="20"/>
  <c r="BU96" i="20"/>
  <c r="BU95" i="20"/>
  <c r="BU94" i="20"/>
  <c r="BU93" i="20"/>
  <c r="BU89" i="20"/>
  <c r="BU88" i="20"/>
  <c r="BU87" i="20"/>
  <c r="BU86" i="20"/>
  <c r="BU85" i="20"/>
  <c r="BU84" i="20"/>
  <c r="BU83" i="20"/>
  <c r="BU82" i="20"/>
  <c r="BU81" i="20"/>
  <c r="BU80" i="20"/>
  <c r="BU79" i="20"/>
  <c r="BU78" i="20"/>
  <c r="BU77" i="20"/>
  <c r="BU76" i="20"/>
  <c r="BU75" i="20"/>
  <c r="BU74" i="20"/>
  <c r="BU73" i="20"/>
  <c r="BU70" i="20"/>
  <c r="BU69" i="20"/>
  <c r="BU68" i="20"/>
  <c r="BU67" i="20"/>
  <c r="BU66" i="20"/>
  <c r="BU65" i="20"/>
  <c r="BU64" i="20"/>
  <c r="BU63" i="20"/>
  <c r="BU62" i="20"/>
  <c r="BU61" i="20"/>
  <c r="BU60" i="20"/>
  <c r="BU59" i="20"/>
  <c r="BU58" i="20"/>
  <c r="BU57" i="20"/>
  <c r="BU56" i="20"/>
  <c r="BU55" i="20"/>
  <c r="BU54" i="20"/>
  <c r="BU53" i="20"/>
  <c r="BU52" i="20"/>
  <c r="BU51" i="20"/>
  <c r="BU50" i="20"/>
  <c r="BU49" i="20"/>
  <c r="BU48" i="20"/>
  <c r="BU47" i="20"/>
  <c r="BU46" i="20"/>
  <c r="BU45" i="20"/>
  <c r="BU44" i="20"/>
  <c r="BU43" i="20"/>
  <c r="BU42" i="20"/>
  <c r="BU41" i="20"/>
  <c r="BU40" i="20"/>
  <c r="BU39" i="20"/>
  <c r="BU38" i="20"/>
  <c r="BU37" i="20"/>
  <c r="BU34" i="20"/>
  <c r="BU31" i="20"/>
  <c r="BU29" i="20"/>
  <c r="BU23" i="20"/>
  <c r="BU22" i="20"/>
  <c r="BU19" i="20"/>
  <c r="BU18" i="20"/>
  <c r="BU17" i="20"/>
  <c r="BU16" i="20"/>
  <c r="BU15" i="20"/>
  <c r="BU14" i="20"/>
  <c r="BU13" i="20"/>
  <c r="BU12" i="20"/>
  <c r="BU11" i="20"/>
  <c r="BU10" i="20"/>
  <c r="BU8" i="20"/>
  <c r="BZ115" i="21"/>
  <c r="BZ116" i="21" s="1"/>
  <c r="CA114" i="21"/>
  <c r="BW117" i="21"/>
  <c r="BV117" i="21"/>
  <c r="BX114" i="21"/>
  <c r="BU114" i="21"/>
  <c r="BZ112" i="21"/>
  <c r="BZ117" i="21" s="1"/>
  <c r="BY112" i="21"/>
  <c r="BY117" i="21" s="1"/>
  <c r="CA111" i="21"/>
  <c r="CA110" i="21"/>
  <c r="CA109" i="21"/>
  <c r="CA108" i="21"/>
  <c r="CA107" i="21"/>
  <c r="CA106" i="21"/>
  <c r="CA105" i="21"/>
  <c r="CA104" i="21"/>
  <c r="CA103" i="21"/>
  <c r="CA102" i="21"/>
  <c r="CA101" i="21"/>
  <c r="CA100" i="21"/>
  <c r="CA99" i="21"/>
  <c r="CA98" i="21"/>
  <c r="CA97" i="21"/>
  <c r="CA96" i="21"/>
  <c r="CA95" i="21"/>
  <c r="CA94" i="21"/>
  <c r="CA93" i="21"/>
  <c r="CA92" i="21"/>
  <c r="CA91" i="21"/>
  <c r="CA90" i="21"/>
  <c r="CA89" i="21"/>
  <c r="CA88" i="21"/>
  <c r="CA87" i="21"/>
  <c r="CA86" i="21"/>
  <c r="CA85" i="21"/>
  <c r="CA84" i="21"/>
  <c r="CA83" i="21"/>
  <c r="CA82" i="21"/>
  <c r="CA81" i="21"/>
  <c r="CA80" i="21"/>
  <c r="CA79" i="21"/>
  <c r="CA78" i="21"/>
  <c r="CA77" i="21"/>
  <c r="CA76" i="21"/>
  <c r="CA75" i="21"/>
  <c r="CA74" i="21"/>
  <c r="CA73" i="21"/>
  <c r="CA72" i="21"/>
  <c r="CA71" i="21"/>
  <c r="CA70" i="21"/>
  <c r="CA69" i="21"/>
  <c r="CA68" i="21"/>
  <c r="CA67" i="21"/>
  <c r="CA66" i="21"/>
  <c r="CA65" i="21"/>
  <c r="CA64" i="21"/>
  <c r="CA63" i="21"/>
  <c r="CA62" i="21"/>
  <c r="CA61" i="21"/>
  <c r="CA60" i="21"/>
  <c r="CA59" i="21"/>
  <c r="CA58" i="21"/>
  <c r="CA57" i="21"/>
  <c r="CA56" i="21"/>
  <c r="CA55" i="21"/>
  <c r="CA54" i="21"/>
  <c r="CA53" i="21"/>
  <c r="CA52" i="21"/>
  <c r="CA51" i="21"/>
  <c r="CA50" i="21"/>
  <c r="CA49" i="21"/>
  <c r="CA48" i="21"/>
  <c r="CA47" i="21"/>
  <c r="CA46" i="21"/>
  <c r="CA45" i="21"/>
  <c r="CA44" i="21"/>
  <c r="CA43" i="21"/>
  <c r="CA42" i="21"/>
  <c r="CA41" i="21"/>
  <c r="CA40" i="21"/>
  <c r="CA39" i="21"/>
  <c r="CA38" i="21"/>
  <c r="CA37" i="21"/>
  <c r="CA36" i="21"/>
  <c r="CA35" i="21"/>
  <c r="CA34" i="21"/>
  <c r="CA33" i="21"/>
  <c r="CA32" i="21"/>
  <c r="CA31" i="21"/>
  <c r="CA30" i="21"/>
  <c r="CA29" i="21"/>
  <c r="CA28" i="21"/>
  <c r="CA27" i="21"/>
  <c r="CA26" i="21"/>
  <c r="CA25" i="21"/>
  <c r="CA24" i="21"/>
  <c r="CA23" i="21"/>
  <c r="CA22" i="21"/>
  <c r="CA21" i="21"/>
  <c r="CA20" i="21"/>
  <c r="CA19" i="21"/>
  <c r="CA18" i="21"/>
  <c r="CA17" i="21"/>
  <c r="CA16" i="21"/>
  <c r="CA15" i="21"/>
  <c r="CA14" i="21"/>
  <c r="CA13" i="21"/>
  <c r="CA12" i="21"/>
  <c r="CA11" i="21"/>
  <c r="CA10" i="21"/>
  <c r="CA9" i="21"/>
  <c r="CA8" i="21"/>
  <c r="CA112" i="21" s="1"/>
  <c r="BW112" i="21"/>
  <c r="BW115" i="21" s="1"/>
  <c r="BW116" i="21" s="1"/>
  <c r="BV112" i="21"/>
  <c r="BV115" i="21" s="1"/>
  <c r="BX111" i="21"/>
  <c r="BX110" i="21"/>
  <c r="BX109" i="21"/>
  <c r="BX108" i="21"/>
  <c r="BX107" i="21"/>
  <c r="BX106" i="21"/>
  <c r="BX105" i="21"/>
  <c r="BX104" i="21"/>
  <c r="BX103" i="21"/>
  <c r="BX102" i="21"/>
  <c r="BX101" i="21"/>
  <c r="BX100" i="21"/>
  <c r="BX99" i="21"/>
  <c r="BX98" i="21"/>
  <c r="BX97" i="21"/>
  <c r="BX96" i="21"/>
  <c r="BX95" i="21"/>
  <c r="BX94" i="21"/>
  <c r="BX93" i="21"/>
  <c r="BX92" i="21"/>
  <c r="BX91" i="21"/>
  <c r="BX90" i="21"/>
  <c r="BX89" i="21"/>
  <c r="BX88" i="21"/>
  <c r="BX87" i="21"/>
  <c r="BX86" i="21"/>
  <c r="BX85" i="21"/>
  <c r="BX84" i="21"/>
  <c r="BX83" i="21"/>
  <c r="BX82" i="21"/>
  <c r="BX81" i="21"/>
  <c r="BX80" i="21"/>
  <c r="BX79" i="21"/>
  <c r="BX78" i="21"/>
  <c r="BX77" i="21"/>
  <c r="BX76" i="21"/>
  <c r="BX75" i="21"/>
  <c r="BX74" i="21"/>
  <c r="BX73" i="21"/>
  <c r="BX72" i="21"/>
  <c r="BX71" i="21"/>
  <c r="BX70" i="21"/>
  <c r="BX69" i="21"/>
  <c r="BX68" i="21"/>
  <c r="BX67" i="21"/>
  <c r="BX66" i="21"/>
  <c r="BX65" i="21"/>
  <c r="BX64" i="21"/>
  <c r="BX63" i="21"/>
  <c r="BX62" i="21"/>
  <c r="BX61" i="21"/>
  <c r="BX60" i="21"/>
  <c r="BX59" i="21"/>
  <c r="BX58" i="21"/>
  <c r="BX57" i="21"/>
  <c r="BX56" i="21"/>
  <c r="BX55" i="21"/>
  <c r="BX54" i="21"/>
  <c r="BX53" i="21"/>
  <c r="BX52" i="21"/>
  <c r="BX51" i="21"/>
  <c r="BX50" i="21"/>
  <c r="BX49" i="21"/>
  <c r="BX48" i="21"/>
  <c r="BX47" i="21"/>
  <c r="BX46" i="21"/>
  <c r="BX45" i="21"/>
  <c r="BX44" i="21"/>
  <c r="BX43" i="21"/>
  <c r="BX42" i="21"/>
  <c r="BX41" i="21"/>
  <c r="BX40" i="21"/>
  <c r="BX39" i="21"/>
  <c r="BX38" i="21"/>
  <c r="BX37" i="21"/>
  <c r="BX36" i="21"/>
  <c r="BX35" i="21"/>
  <c r="BX34" i="21"/>
  <c r="BX33" i="21"/>
  <c r="BX32" i="21"/>
  <c r="BX31" i="21"/>
  <c r="BX30" i="21"/>
  <c r="BX29" i="21"/>
  <c r="BX28" i="21"/>
  <c r="BX27" i="21"/>
  <c r="BX26" i="21"/>
  <c r="BX25" i="21"/>
  <c r="BX24" i="21"/>
  <c r="BX23" i="21"/>
  <c r="BX22" i="21"/>
  <c r="BX21" i="21"/>
  <c r="BX20" i="21"/>
  <c r="BX19" i="21"/>
  <c r="BX18" i="21"/>
  <c r="BX17" i="21"/>
  <c r="BX16" i="21"/>
  <c r="BX15" i="21"/>
  <c r="BX14" i="21"/>
  <c r="BX13" i="21"/>
  <c r="BX12" i="21"/>
  <c r="BX11" i="21"/>
  <c r="BX10" i="21"/>
  <c r="BX9" i="21"/>
  <c r="BX8" i="21"/>
  <c r="BU14" i="21"/>
  <c r="BU28" i="21"/>
  <c r="BU37" i="21"/>
  <c r="BU38" i="21"/>
  <c r="BU39" i="21"/>
  <c r="BU40" i="21"/>
  <c r="BU42" i="21"/>
  <c r="BU48" i="21"/>
  <c r="BU50" i="21"/>
  <c r="BU51" i="21"/>
  <c r="BU52" i="21"/>
  <c r="BU53" i="21"/>
  <c r="BU54" i="21"/>
  <c r="BU55" i="21"/>
  <c r="BU59" i="21"/>
  <c r="BU63" i="21"/>
  <c r="BU64" i="21"/>
  <c r="BU65" i="21"/>
  <c r="BU69" i="21"/>
  <c r="BU70" i="21"/>
  <c r="BU73" i="21"/>
  <c r="BU76" i="21"/>
  <c r="BU80" i="21"/>
  <c r="BU94" i="21"/>
  <c r="BT112" i="21"/>
  <c r="BT115" i="21" s="1"/>
  <c r="BT116" i="21" s="1"/>
  <c r="BS112" i="21"/>
  <c r="BS117" i="21" s="1"/>
  <c r="BU111" i="21"/>
  <c r="BU110" i="21"/>
  <c r="BU109" i="21"/>
  <c r="BU108" i="21"/>
  <c r="BU107" i="21"/>
  <c r="BU106" i="21"/>
  <c r="BU105" i="21"/>
  <c r="BU104" i="21"/>
  <c r="BU103" i="21"/>
  <c r="BU102" i="21"/>
  <c r="BU101" i="21"/>
  <c r="BU100" i="21"/>
  <c r="BU99" i="21"/>
  <c r="BU98" i="21"/>
  <c r="BU97" i="21"/>
  <c r="BU96" i="21"/>
  <c r="BU95" i="21"/>
  <c r="BU93" i="21"/>
  <c r="BU92" i="21"/>
  <c r="BU91" i="21"/>
  <c r="BU90" i="21"/>
  <c r="BU89" i="21"/>
  <c r="BU88" i="21"/>
  <c r="BU87" i="21"/>
  <c r="BU86" i="21"/>
  <c r="BU85" i="21"/>
  <c r="BU84" i="21"/>
  <c r="BU83" i="21"/>
  <c r="BU82" i="21"/>
  <c r="BU81" i="21"/>
  <c r="BU79" i="21"/>
  <c r="BU78" i="21"/>
  <c r="BU77" i="21"/>
  <c r="BU75" i="21"/>
  <c r="BU74" i="21"/>
  <c r="BU72" i="21"/>
  <c r="BU71" i="21"/>
  <c r="BU68" i="21"/>
  <c r="BU67" i="21"/>
  <c r="BU66" i="21"/>
  <c r="BU62" i="21"/>
  <c r="BU61" i="21"/>
  <c r="BU60" i="21"/>
  <c r="BU58" i="21"/>
  <c r="BU57" i="21"/>
  <c r="BU56" i="21"/>
  <c r="BU49" i="21"/>
  <c r="BU47" i="21"/>
  <c r="BU46" i="21"/>
  <c r="BU45" i="21"/>
  <c r="BU44" i="21"/>
  <c r="BU43" i="21"/>
  <c r="BU41" i="21"/>
  <c r="BU36" i="21"/>
  <c r="BU35" i="21"/>
  <c r="BU34" i="21"/>
  <c r="BU33" i="21"/>
  <c r="BU32" i="21"/>
  <c r="BU31" i="21"/>
  <c r="BU30" i="21"/>
  <c r="BU29" i="21"/>
  <c r="BU27" i="21"/>
  <c r="BU26" i="21"/>
  <c r="BU25" i="21"/>
  <c r="BU24" i="21"/>
  <c r="BU23" i="21"/>
  <c r="BU22" i="21"/>
  <c r="BU21" i="21"/>
  <c r="BU20" i="21"/>
  <c r="BU19" i="21"/>
  <c r="BU18" i="21"/>
  <c r="BU17" i="21"/>
  <c r="BU16" i="21"/>
  <c r="BU15" i="21"/>
  <c r="BU13" i="21"/>
  <c r="BU12" i="21"/>
  <c r="BU11" i="21"/>
  <c r="BU10" i="21"/>
  <c r="BU9" i="21"/>
  <c r="BU8" i="21"/>
  <c r="CC114" i="21"/>
  <c r="CF114" i="21" s="1"/>
  <c r="CB114" i="21"/>
  <c r="CE114" i="21" s="1"/>
  <c r="CC111" i="21"/>
  <c r="CF111" i="21" s="1"/>
  <c r="CB111" i="21"/>
  <c r="CE111" i="21" s="1"/>
  <c r="CC110" i="21"/>
  <c r="CF110" i="21" s="1"/>
  <c r="CB110" i="21"/>
  <c r="CE110" i="21" s="1"/>
  <c r="CC109" i="21"/>
  <c r="CF109" i="21" s="1"/>
  <c r="CB109" i="21"/>
  <c r="CE109" i="21" s="1"/>
  <c r="CC108" i="21"/>
  <c r="CF108" i="21" s="1"/>
  <c r="CB108" i="21"/>
  <c r="CE108" i="21" s="1"/>
  <c r="CC107" i="21"/>
  <c r="CF107" i="21" s="1"/>
  <c r="CB107" i="21"/>
  <c r="CE107" i="21" s="1"/>
  <c r="CC106" i="21"/>
  <c r="CF106" i="21" s="1"/>
  <c r="CB106" i="21"/>
  <c r="CE106" i="21" s="1"/>
  <c r="CC105" i="21"/>
  <c r="CF105" i="21" s="1"/>
  <c r="CB105" i="21"/>
  <c r="CE105" i="21" s="1"/>
  <c r="CC104" i="21"/>
  <c r="CF104" i="21" s="1"/>
  <c r="CB104" i="21"/>
  <c r="CE104" i="21" s="1"/>
  <c r="CC103" i="21"/>
  <c r="CF103" i="21" s="1"/>
  <c r="CB103" i="21"/>
  <c r="CE103" i="21" s="1"/>
  <c r="CC102" i="21"/>
  <c r="CF102" i="21" s="1"/>
  <c r="CB102" i="21"/>
  <c r="CE102" i="21" s="1"/>
  <c r="CC101" i="21"/>
  <c r="CF101" i="21" s="1"/>
  <c r="CB101" i="21"/>
  <c r="CE101" i="21" s="1"/>
  <c r="CC100" i="21"/>
  <c r="CF100" i="21" s="1"/>
  <c r="CB100" i="21"/>
  <c r="CE100" i="21" s="1"/>
  <c r="CC99" i="21"/>
  <c r="CF99" i="21" s="1"/>
  <c r="CB99" i="21"/>
  <c r="CE99" i="21" s="1"/>
  <c r="CC98" i="21"/>
  <c r="CF98" i="21" s="1"/>
  <c r="CB98" i="21"/>
  <c r="CE98" i="21" s="1"/>
  <c r="CC97" i="21"/>
  <c r="CF97" i="21" s="1"/>
  <c r="CB97" i="21"/>
  <c r="CE97" i="21" s="1"/>
  <c r="CC96" i="21"/>
  <c r="CF96" i="21" s="1"/>
  <c r="CB96" i="21"/>
  <c r="CE96" i="21" s="1"/>
  <c r="CC95" i="21"/>
  <c r="CF95" i="21" s="1"/>
  <c r="CB95" i="21"/>
  <c r="CE95" i="21" s="1"/>
  <c r="CC94" i="21"/>
  <c r="CF94" i="21" s="1"/>
  <c r="CB94" i="21"/>
  <c r="CE94" i="21" s="1"/>
  <c r="CC93" i="21"/>
  <c r="CF93" i="21" s="1"/>
  <c r="CB93" i="21"/>
  <c r="CE93" i="21" s="1"/>
  <c r="CC92" i="21"/>
  <c r="CF92" i="21" s="1"/>
  <c r="CB92" i="21"/>
  <c r="CE92" i="21" s="1"/>
  <c r="CC91" i="21"/>
  <c r="CF91" i="21" s="1"/>
  <c r="CB91" i="21"/>
  <c r="CE91" i="21" s="1"/>
  <c r="CC90" i="21"/>
  <c r="CF90" i="21" s="1"/>
  <c r="CB90" i="21"/>
  <c r="CE90" i="21" s="1"/>
  <c r="CC89" i="21"/>
  <c r="CF89" i="21" s="1"/>
  <c r="CB89" i="21"/>
  <c r="CE89" i="21" s="1"/>
  <c r="CC88" i="21"/>
  <c r="CF88" i="21" s="1"/>
  <c r="CB88" i="21"/>
  <c r="CE88" i="21" s="1"/>
  <c r="CC87" i="21"/>
  <c r="CF87" i="21" s="1"/>
  <c r="CB87" i="21"/>
  <c r="CE87" i="21" s="1"/>
  <c r="CC86" i="21"/>
  <c r="CF86" i="21" s="1"/>
  <c r="CB86" i="21"/>
  <c r="CE86" i="21" s="1"/>
  <c r="CC85" i="21"/>
  <c r="CF85" i="21" s="1"/>
  <c r="CB85" i="21"/>
  <c r="CE85" i="21" s="1"/>
  <c r="CC84" i="21"/>
  <c r="CF84" i="21" s="1"/>
  <c r="CB84" i="21"/>
  <c r="CE84" i="21" s="1"/>
  <c r="CC83" i="21"/>
  <c r="CF83" i="21" s="1"/>
  <c r="CB83" i="21"/>
  <c r="CE83" i="21" s="1"/>
  <c r="CC82" i="21"/>
  <c r="CF82" i="21" s="1"/>
  <c r="CB82" i="21"/>
  <c r="CE82" i="21" s="1"/>
  <c r="CC81" i="21"/>
  <c r="CF81" i="21" s="1"/>
  <c r="CB81" i="21"/>
  <c r="CE81" i="21" s="1"/>
  <c r="CC80" i="21"/>
  <c r="CF80" i="21" s="1"/>
  <c r="CB80" i="21"/>
  <c r="CE80" i="21" s="1"/>
  <c r="CC79" i="21"/>
  <c r="CF79" i="21" s="1"/>
  <c r="CB79" i="21"/>
  <c r="CE79" i="21" s="1"/>
  <c r="CC78" i="21"/>
  <c r="CF78" i="21" s="1"/>
  <c r="CB78" i="21"/>
  <c r="CE78" i="21" s="1"/>
  <c r="CC77" i="21"/>
  <c r="CF77" i="21" s="1"/>
  <c r="CB77" i="21"/>
  <c r="CE77" i="21" s="1"/>
  <c r="CC76" i="21"/>
  <c r="CF76" i="21" s="1"/>
  <c r="CB76" i="21"/>
  <c r="CE76" i="21" s="1"/>
  <c r="CC75" i="21"/>
  <c r="CF75" i="21" s="1"/>
  <c r="CB75" i="21"/>
  <c r="CE75" i="21" s="1"/>
  <c r="CC74" i="21"/>
  <c r="CF74" i="21" s="1"/>
  <c r="CB74" i="21"/>
  <c r="CE74" i="21" s="1"/>
  <c r="CC73" i="21"/>
  <c r="CF73" i="21" s="1"/>
  <c r="CB73" i="21"/>
  <c r="CE73" i="21" s="1"/>
  <c r="CC72" i="21"/>
  <c r="CF72" i="21" s="1"/>
  <c r="CB72" i="21"/>
  <c r="CE72" i="21" s="1"/>
  <c r="CC71" i="21"/>
  <c r="CF71" i="21" s="1"/>
  <c r="CB71" i="21"/>
  <c r="CE71" i="21" s="1"/>
  <c r="CC70" i="21"/>
  <c r="CF70" i="21" s="1"/>
  <c r="CB70" i="21"/>
  <c r="CE70" i="21" s="1"/>
  <c r="CC69" i="21"/>
  <c r="CF69" i="21" s="1"/>
  <c r="CB69" i="21"/>
  <c r="CE69" i="21" s="1"/>
  <c r="CC68" i="21"/>
  <c r="CF68" i="21" s="1"/>
  <c r="CB68" i="21"/>
  <c r="CE68" i="21" s="1"/>
  <c r="CC67" i="21"/>
  <c r="CF67" i="21" s="1"/>
  <c r="CB67" i="21"/>
  <c r="CE67" i="21" s="1"/>
  <c r="CC66" i="21"/>
  <c r="CF66" i="21" s="1"/>
  <c r="CB66" i="21"/>
  <c r="CE66" i="21" s="1"/>
  <c r="CC65" i="21"/>
  <c r="CF65" i="21" s="1"/>
  <c r="CB65" i="21"/>
  <c r="CE65" i="21" s="1"/>
  <c r="CC64" i="21"/>
  <c r="CF64" i="21" s="1"/>
  <c r="CB64" i="21"/>
  <c r="CE64" i="21" s="1"/>
  <c r="CC63" i="21"/>
  <c r="CF63" i="21" s="1"/>
  <c r="CB63" i="21"/>
  <c r="CE63" i="21" s="1"/>
  <c r="CC62" i="21"/>
  <c r="CF62" i="21" s="1"/>
  <c r="CB62" i="21"/>
  <c r="CE62" i="21" s="1"/>
  <c r="CC61" i="21"/>
  <c r="CF61" i="21" s="1"/>
  <c r="CB61" i="21"/>
  <c r="CE61" i="21" s="1"/>
  <c r="CC60" i="21"/>
  <c r="CF60" i="21" s="1"/>
  <c r="CB60" i="21"/>
  <c r="CE60" i="21" s="1"/>
  <c r="CC59" i="21"/>
  <c r="CF59" i="21" s="1"/>
  <c r="CB59" i="21"/>
  <c r="CE59" i="21" s="1"/>
  <c r="CC58" i="21"/>
  <c r="CF58" i="21" s="1"/>
  <c r="CB58" i="21"/>
  <c r="CE58" i="21" s="1"/>
  <c r="CC57" i="21"/>
  <c r="CF57" i="21" s="1"/>
  <c r="CB57" i="21"/>
  <c r="CE57" i="21" s="1"/>
  <c r="CC56" i="21"/>
  <c r="CF56" i="21" s="1"/>
  <c r="CB56" i="21"/>
  <c r="CE56" i="21" s="1"/>
  <c r="CC55" i="21"/>
  <c r="CF55" i="21" s="1"/>
  <c r="CB55" i="21"/>
  <c r="CE55" i="21" s="1"/>
  <c r="CC54" i="21"/>
  <c r="CF54" i="21" s="1"/>
  <c r="CB54" i="21"/>
  <c r="CE54" i="21" s="1"/>
  <c r="CC53" i="21"/>
  <c r="CF53" i="21" s="1"/>
  <c r="CB53" i="21"/>
  <c r="CE53" i="21" s="1"/>
  <c r="CC52" i="21"/>
  <c r="CF52" i="21" s="1"/>
  <c r="CB52" i="21"/>
  <c r="CE52" i="21" s="1"/>
  <c r="CC51" i="21"/>
  <c r="CF51" i="21" s="1"/>
  <c r="CB51" i="21"/>
  <c r="CE51" i="21" s="1"/>
  <c r="CC50" i="21"/>
  <c r="CF50" i="21" s="1"/>
  <c r="CB50" i="21"/>
  <c r="CE50" i="21" s="1"/>
  <c r="CC49" i="21"/>
  <c r="CF49" i="21" s="1"/>
  <c r="CB49" i="21"/>
  <c r="CE49" i="21" s="1"/>
  <c r="CC48" i="21"/>
  <c r="CF48" i="21" s="1"/>
  <c r="CB48" i="21"/>
  <c r="CE48" i="21" s="1"/>
  <c r="CC47" i="21"/>
  <c r="CF47" i="21" s="1"/>
  <c r="CB47" i="21"/>
  <c r="CE47" i="21" s="1"/>
  <c r="CC46" i="21"/>
  <c r="CF46" i="21" s="1"/>
  <c r="CB46" i="21"/>
  <c r="CE46" i="21" s="1"/>
  <c r="CC45" i="21"/>
  <c r="CF45" i="21" s="1"/>
  <c r="CB45" i="21"/>
  <c r="CE45" i="21" s="1"/>
  <c r="CC44" i="21"/>
  <c r="CF44" i="21" s="1"/>
  <c r="CB44" i="21"/>
  <c r="CE44" i="21" s="1"/>
  <c r="CC43" i="21"/>
  <c r="CF43" i="21" s="1"/>
  <c r="CB43" i="21"/>
  <c r="CE43" i="21" s="1"/>
  <c r="CC42" i="21"/>
  <c r="CF42" i="21" s="1"/>
  <c r="CB42" i="21"/>
  <c r="CE42" i="21" s="1"/>
  <c r="CC41" i="21"/>
  <c r="CF41" i="21" s="1"/>
  <c r="CB41" i="21"/>
  <c r="CE41" i="21" s="1"/>
  <c r="CC40" i="21"/>
  <c r="CF40" i="21" s="1"/>
  <c r="CB40" i="21"/>
  <c r="CE40" i="21" s="1"/>
  <c r="CC39" i="21"/>
  <c r="CF39" i="21" s="1"/>
  <c r="CB39" i="21"/>
  <c r="CE39" i="21" s="1"/>
  <c r="CC38" i="21"/>
  <c r="CF38" i="21" s="1"/>
  <c r="CB38" i="21"/>
  <c r="CE38" i="21" s="1"/>
  <c r="CC37" i="21"/>
  <c r="CF37" i="21" s="1"/>
  <c r="CB37" i="21"/>
  <c r="CE37" i="21" s="1"/>
  <c r="CC36" i="21"/>
  <c r="CF36" i="21" s="1"/>
  <c r="CB36" i="21"/>
  <c r="CE36" i="21" s="1"/>
  <c r="CC35" i="21"/>
  <c r="CF35" i="21" s="1"/>
  <c r="CB35" i="21"/>
  <c r="CE35" i="21" s="1"/>
  <c r="CC34" i="21"/>
  <c r="CF34" i="21" s="1"/>
  <c r="CB34" i="21"/>
  <c r="CE34" i="21" s="1"/>
  <c r="CC33" i="21"/>
  <c r="CF33" i="21" s="1"/>
  <c r="CB33" i="21"/>
  <c r="CE33" i="21" s="1"/>
  <c r="CC32" i="21"/>
  <c r="CF32" i="21" s="1"/>
  <c r="CB32" i="21"/>
  <c r="CE32" i="21" s="1"/>
  <c r="CC31" i="21"/>
  <c r="CF31" i="21" s="1"/>
  <c r="CB31" i="21"/>
  <c r="CE31" i="21" s="1"/>
  <c r="CC30" i="21"/>
  <c r="CF30" i="21" s="1"/>
  <c r="CB30" i="21"/>
  <c r="CE30" i="21" s="1"/>
  <c r="CC29" i="21"/>
  <c r="CF29" i="21" s="1"/>
  <c r="CB29" i="21"/>
  <c r="CE29" i="21" s="1"/>
  <c r="CC28" i="21"/>
  <c r="CF28" i="21" s="1"/>
  <c r="CB28" i="21"/>
  <c r="CE28" i="21" s="1"/>
  <c r="CC27" i="21"/>
  <c r="CF27" i="21" s="1"/>
  <c r="CB27" i="21"/>
  <c r="CE27" i="21" s="1"/>
  <c r="CC26" i="21"/>
  <c r="CF26" i="21" s="1"/>
  <c r="CB26" i="21"/>
  <c r="CE26" i="21" s="1"/>
  <c r="CC25" i="21"/>
  <c r="CF25" i="21" s="1"/>
  <c r="CB25" i="21"/>
  <c r="CE25" i="21" s="1"/>
  <c r="CC24" i="21"/>
  <c r="CF24" i="21" s="1"/>
  <c r="CB24" i="21"/>
  <c r="CE24" i="21" s="1"/>
  <c r="CC23" i="21"/>
  <c r="CF23" i="21" s="1"/>
  <c r="CB23" i="21"/>
  <c r="CE23" i="21" s="1"/>
  <c r="CC22" i="21"/>
  <c r="CF22" i="21" s="1"/>
  <c r="CB22" i="21"/>
  <c r="CE22" i="21" s="1"/>
  <c r="CC21" i="21"/>
  <c r="CF21" i="21" s="1"/>
  <c r="CB21" i="21"/>
  <c r="CE21" i="21" s="1"/>
  <c r="CC20" i="21"/>
  <c r="CF20" i="21" s="1"/>
  <c r="CB20" i="21"/>
  <c r="CE20" i="21" s="1"/>
  <c r="CC19" i="21"/>
  <c r="CF19" i="21" s="1"/>
  <c r="CB19" i="21"/>
  <c r="CE19" i="21" s="1"/>
  <c r="CC18" i="21"/>
  <c r="CF18" i="21" s="1"/>
  <c r="CB18" i="21"/>
  <c r="CE18" i="21" s="1"/>
  <c r="CC17" i="21"/>
  <c r="CF17" i="21" s="1"/>
  <c r="CB17" i="21"/>
  <c r="CE17" i="21" s="1"/>
  <c r="CC16" i="21"/>
  <c r="CF16" i="21" s="1"/>
  <c r="CB16" i="21"/>
  <c r="CE16" i="21" s="1"/>
  <c r="CC15" i="21"/>
  <c r="CF15" i="21" s="1"/>
  <c r="CB15" i="21"/>
  <c r="CE15" i="21" s="1"/>
  <c r="CC14" i="21"/>
  <c r="CF14" i="21" s="1"/>
  <c r="CB14" i="21"/>
  <c r="CE14" i="21" s="1"/>
  <c r="CC13" i="21"/>
  <c r="CF13" i="21" s="1"/>
  <c r="CB13" i="21"/>
  <c r="CE13" i="21" s="1"/>
  <c r="CC12" i="21"/>
  <c r="CF12" i="21" s="1"/>
  <c r="CB12" i="21"/>
  <c r="CE12" i="21" s="1"/>
  <c r="CC11" i="21"/>
  <c r="CF11" i="21" s="1"/>
  <c r="CB11" i="21"/>
  <c r="CE11" i="21" s="1"/>
  <c r="CC10" i="21"/>
  <c r="CF10" i="21" s="1"/>
  <c r="CB10" i="21"/>
  <c r="CE10" i="21" s="1"/>
  <c r="CC9" i="21"/>
  <c r="CF9" i="21" s="1"/>
  <c r="CB9" i="21"/>
  <c r="CE9" i="21" s="1"/>
  <c r="CC8" i="21"/>
  <c r="CF8" i="21" s="1"/>
  <c r="CB8" i="21"/>
  <c r="CE8" i="21" s="1"/>
  <c r="BH132" i="7"/>
  <c r="BG132" i="7"/>
  <c r="BF132" i="7"/>
  <c r="BF137" i="7" s="1"/>
  <c r="BE132" i="7"/>
  <c r="BD132" i="7"/>
  <c r="BC132" i="7"/>
  <c r="AT132" i="7"/>
  <c r="AT137" i="7" s="1"/>
  <c r="AM132" i="7"/>
  <c r="AL132" i="7"/>
  <c r="AK132" i="7"/>
  <c r="AK137" i="7" s="1"/>
  <c r="AJ132" i="7"/>
  <c r="AI132" i="7"/>
  <c r="AI137" i="7" s="1"/>
  <c r="AH132" i="7"/>
  <c r="AH137" i="7" s="1"/>
  <c r="AF132" i="7"/>
  <c r="AE132" i="7"/>
  <c r="AE137" i="7" s="1"/>
  <c r="AG129" i="7"/>
  <c r="AG128" i="7"/>
  <c r="AG127" i="7"/>
  <c r="AG126" i="7"/>
  <c r="AG125" i="7"/>
  <c r="AG124" i="7"/>
  <c r="AG123" i="7"/>
  <c r="AG122" i="7"/>
  <c r="AG121" i="7"/>
  <c r="AG120" i="7"/>
  <c r="AG119" i="7"/>
  <c r="AG118" i="7"/>
  <c r="AG117" i="7"/>
  <c r="AG116" i="7"/>
  <c r="AG115" i="7"/>
  <c r="AG114" i="7"/>
  <c r="AG113" i="7"/>
  <c r="AG112" i="7"/>
  <c r="AG111" i="7"/>
  <c r="AG110" i="7"/>
  <c r="AG109" i="7"/>
  <c r="AG108" i="7"/>
  <c r="AG107" i="7"/>
  <c r="AG106" i="7"/>
  <c r="AG105" i="7"/>
  <c r="AG104" i="7"/>
  <c r="AG103" i="7"/>
  <c r="AG102" i="7"/>
  <c r="AG101" i="7"/>
  <c r="AG100" i="7"/>
  <c r="AG99" i="7"/>
  <c r="AG98" i="7"/>
  <c r="AG97" i="7"/>
  <c r="AG96" i="7"/>
  <c r="AG95" i="7"/>
  <c r="AG94" i="7"/>
  <c r="AG93" i="7"/>
  <c r="AG92" i="7"/>
  <c r="AG91" i="7"/>
  <c r="AG90" i="7"/>
  <c r="AG89" i="7"/>
  <c r="AG88" i="7"/>
  <c r="AG87" i="7"/>
  <c r="AG86" i="7"/>
  <c r="AG85" i="7"/>
  <c r="AG84" i="7"/>
  <c r="AG83" i="7"/>
  <c r="AG82" i="7"/>
  <c r="AG81" i="7"/>
  <c r="AG80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62" i="7"/>
  <c r="AG61" i="7"/>
  <c r="AG60" i="7"/>
  <c r="AG59" i="7"/>
  <c r="AG58" i="7"/>
  <c r="AG57" i="7"/>
  <c r="AG56" i="7"/>
  <c r="AG55" i="7"/>
  <c r="AG54" i="7"/>
  <c r="AG53" i="7"/>
  <c r="AG52" i="7"/>
  <c r="AG51" i="7"/>
  <c r="AG50" i="7"/>
  <c r="AG49" i="7"/>
  <c r="AG48" i="7"/>
  <c r="AG47" i="7"/>
  <c r="AG46" i="7"/>
  <c r="AG45" i="7"/>
  <c r="AG44" i="7"/>
  <c r="AG43" i="7"/>
  <c r="AG42" i="7"/>
  <c r="AG41" i="7"/>
  <c r="AG40" i="7"/>
  <c r="AG39" i="7"/>
  <c r="AG38" i="7"/>
  <c r="AG37" i="7"/>
  <c r="AG36" i="7"/>
  <c r="AG35" i="7"/>
  <c r="AG34" i="7"/>
  <c r="AG33" i="7"/>
  <c r="AG32" i="7"/>
  <c r="AG31" i="7"/>
  <c r="AG30" i="7"/>
  <c r="AG29" i="7"/>
  <c r="AG28" i="7"/>
  <c r="AG27" i="7"/>
  <c r="AG26" i="7"/>
  <c r="AG25" i="7"/>
  <c r="AG24" i="7"/>
  <c r="AG23" i="7"/>
  <c r="AG22" i="7"/>
  <c r="AG21" i="7"/>
  <c r="AG20" i="7"/>
  <c r="AG19" i="7"/>
  <c r="AG18" i="7"/>
  <c r="AG17" i="7"/>
  <c r="AG16" i="7"/>
  <c r="AG15" i="7"/>
  <c r="AG14" i="7"/>
  <c r="AG13" i="7"/>
  <c r="AG12" i="7"/>
  <c r="AG11" i="7"/>
  <c r="AG10" i="7"/>
  <c r="AG9" i="7"/>
  <c r="AG132" i="7" s="1"/>
  <c r="BG137" i="7"/>
  <c r="BD137" i="7"/>
  <c r="BC137" i="7"/>
  <c r="AU137" i="7"/>
  <c r="AL137" i="7"/>
  <c r="AF137" i="7"/>
  <c r="BG135" i="7"/>
  <c r="BG136" i="7" s="1"/>
  <c r="BF135" i="7"/>
  <c r="BF136" i="7" s="1"/>
  <c r="BD135" i="7"/>
  <c r="BD136" i="7" s="1"/>
  <c r="BC135" i="7"/>
  <c r="BC136" i="7" s="1"/>
  <c r="AU135" i="7"/>
  <c r="AU136" i="7" s="1"/>
  <c r="AT135" i="7"/>
  <c r="AT136" i="7" s="1"/>
  <c r="AL135" i="7"/>
  <c r="AL136" i="7" s="1"/>
  <c r="AH135" i="7"/>
  <c r="AH136" i="7" s="1"/>
  <c r="AF135" i="7"/>
  <c r="AF136" i="7" s="1"/>
  <c r="BH134" i="7"/>
  <c r="BH137" i="7" s="1"/>
  <c r="BE134" i="7"/>
  <c r="BE137" i="7" s="1"/>
  <c r="BB134" i="7"/>
  <c r="BB137" i="7" s="1"/>
  <c r="AS134" i="7"/>
  <c r="AP134" i="7"/>
  <c r="AM134" i="7"/>
  <c r="AM137" i="7" s="1"/>
  <c r="AJ134" i="7"/>
  <c r="AG134" i="7"/>
  <c r="BF99" i="6"/>
  <c r="BD99" i="6"/>
  <c r="AF99" i="6"/>
  <c r="BF97" i="6"/>
  <c r="BF98" i="6" s="1"/>
  <c r="BD97" i="6"/>
  <c r="BD98" i="6" s="1"/>
  <c r="BH96" i="6"/>
  <c r="BE96" i="6"/>
  <c r="BE99" i="6" s="1"/>
  <c r="BB96" i="6"/>
  <c r="AS96" i="6"/>
  <c r="AP96" i="6"/>
  <c r="AM96" i="6"/>
  <c r="AJ96" i="6"/>
  <c r="AG96" i="6"/>
  <c r="BH94" i="6"/>
  <c r="BG94" i="6"/>
  <c r="BG99" i="6" s="1"/>
  <c r="BF94" i="6"/>
  <c r="BE94" i="6"/>
  <c r="BD94" i="6"/>
  <c r="BC94" i="6"/>
  <c r="BC99" i="6" s="1"/>
  <c r="BB94" i="6"/>
  <c r="AU94" i="6"/>
  <c r="AU99" i="6" s="1"/>
  <c r="AT94" i="6"/>
  <c r="AT99" i="6" s="1"/>
  <c r="AM94" i="6"/>
  <c r="AL94" i="6"/>
  <c r="AL99" i="6" s="1"/>
  <c r="AK94" i="6"/>
  <c r="AK99" i="6" s="1"/>
  <c r="AJ94" i="6"/>
  <c r="AI94" i="6"/>
  <c r="AI99" i="6" s="1"/>
  <c r="AH94" i="6"/>
  <c r="AH97" i="6" s="1"/>
  <c r="AH98" i="6" s="1"/>
  <c r="AF94" i="6"/>
  <c r="AF97" i="6" s="1"/>
  <c r="AF98" i="6" s="1"/>
  <c r="AE94" i="6"/>
  <c r="AE99" i="6" s="1"/>
  <c r="AG92" i="6"/>
  <c r="AG91" i="6"/>
  <c r="AG90" i="6"/>
  <c r="AG89" i="6"/>
  <c r="AG88" i="6"/>
  <c r="AG87" i="6"/>
  <c r="AG86" i="6"/>
  <c r="AG85" i="6"/>
  <c r="AG84" i="6"/>
  <c r="AG83" i="6"/>
  <c r="AG82" i="6"/>
  <c r="AG81" i="6"/>
  <c r="AG80" i="6"/>
  <c r="AG79" i="6"/>
  <c r="AG78" i="6"/>
  <c r="AG77" i="6"/>
  <c r="AG76" i="6"/>
  <c r="AG75" i="6"/>
  <c r="AG74" i="6"/>
  <c r="AG73" i="6"/>
  <c r="AG72" i="6"/>
  <c r="AG71" i="6"/>
  <c r="AG70" i="6"/>
  <c r="AG69" i="6"/>
  <c r="AG68" i="6"/>
  <c r="AG67" i="6"/>
  <c r="AG66" i="6"/>
  <c r="AG65" i="6"/>
  <c r="AG64" i="6"/>
  <c r="AG63" i="6"/>
  <c r="AG62" i="6"/>
  <c r="AG61" i="6"/>
  <c r="AG60" i="6"/>
  <c r="AG59" i="6"/>
  <c r="AG58" i="6"/>
  <c r="AG57" i="6"/>
  <c r="AG56" i="6"/>
  <c r="AG55" i="6"/>
  <c r="AG54" i="6"/>
  <c r="AG53" i="6"/>
  <c r="AG52" i="6"/>
  <c r="AG51" i="6"/>
  <c r="AG50" i="6"/>
  <c r="AG49" i="6"/>
  <c r="AG48" i="6"/>
  <c r="AG47" i="6"/>
  <c r="AG46" i="6"/>
  <c r="AG45" i="6"/>
  <c r="AG44" i="6"/>
  <c r="AG43" i="6"/>
  <c r="AG42" i="6"/>
  <c r="AG41" i="6"/>
  <c r="AG40" i="6"/>
  <c r="AG39" i="6"/>
  <c r="AG38" i="6"/>
  <c r="AG37" i="6"/>
  <c r="AG36" i="6"/>
  <c r="AG35" i="6"/>
  <c r="AG34" i="6"/>
  <c r="AG33" i="6"/>
  <c r="AG32" i="6"/>
  <c r="AG31" i="6"/>
  <c r="AG30" i="6"/>
  <c r="AG29" i="6"/>
  <c r="AG28" i="6"/>
  <c r="AG27" i="6"/>
  <c r="AG26" i="6"/>
  <c r="AG25" i="6"/>
  <c r="AG24" i="6"/>
  <c r="AG23" i="6"/>
  <c r="AG22" i="6"/>
  <c r="AG21" i="6"/>
  <c r="AG20" i="6"/>
  <c r="AG19" i="6"/>
  <c r="AG18" i="6"/>
  <c r="AG17" i="6"/>
  <c r="AG16" i="6"/>
  <c r="AG15" i="6"/>
  <c r="AG14" i="6"/>
  <c r="AG13" i="6"/>
  <c r="AG12" i="6"/>
  <c r="AG11" i="6"/>
  <c r="AG94" i="6" s="1"/>
  <c r="AG10" i="6"/>
  <c r="AG9" i="6"/>
  <c r="AG8" i="6"/>
  <c r="AG171" i="9" l="1"/>
  <c r="AK97" i="6"/>
  <c r="AK98" i="6" s="1"/>
  <c r="BH99" i="6"/>
  <c r="AG99" i="6"/>
  <c r="AE97" i="6"/>
  <c r="AE98" i="6" s="1"/>
  <c r="AU97" i="6"/>
  <c r="AU98" i="6" s="1"/>
  <c r="BG97" i="6"/>
  <c r="BG98" i="6" s="1"/>
  <c r="BX112" i="21"/>
  <c r="CA115" i="21"/>
  <c r="CA116" i="21" s="1"/>
  <c r="AT97" i="6"/>
  <c r="AT98" i="6" s="1"/>
  <c r="BB99" i="6"/>
  <c r="BC97" i="6"/>
  <c r="BC98" i="6" s="1"/>
  <c r="BY115" i="21"/>
  <c r="BY116" i="21" s="1"/>
  <c r="CA100" i="20"/>
  <c r="CA103" i="20" s="1"/>
  <c r="CA104" i="20" s="1"/>
  <c r="BV103" i="20"/>
  <c r="BV104" i="20" s="1"/>
  <c r="BZ105" i="20"/>
  <c r="BX115" i="21"/>
  <c r="BX116" i="21" s="1"/>
  <c r="BX100" i="20"/>
  <c r="BX103" i="20" s="1"/>
  <c r="BX104" i="20" s="1"/>
  <c r="AJ137" i="7"/>
  <c r="AM99" i="6"/>
  <c r="AJ99" i="6"/>
  <c r="AH99" i="6"/>
  <c r="AI97" i="6"/>
  <c r="AI98" i="6" s="1"/>
  <c r="AL97" i="6"/>
  <c r="AL98" i="6" s="1"/>
  <c r="BT104" i="20"/>
  <c r="BS104" i="20"/>
  <c r="BT105" i="20"/>
  <c r="BS105" i="20"/>
  <c r="BS115" i="21"/>
  <c r="BS116" i="21" s="1"/>
  <c r="BT117" i="21"/>
  <c r="CA105" i="20"/>
  <c r="BX105" i="20"/>
  <c r="BU100" i="20"/>
  <c r="BU105" i="20" s="1"/>
  <c r="BX117" i="21"/>
  <c r="CA117" i="21"/>
  <c r="BV116" i="21"/>
  <c r="BU112" i="21"/>
  <c r="BU117" i="21" s="1"/>
  <c r="AI135" i="7"/>
  <c r="AI136" i="7" s="1"/>
  <c r="AG137" i="7"/>
  <c r="AE135" i="7"/>
  <c r="AE136" i="7" s="1"/>
  <c r="AK135" i="7"/>
  <c r="AK136" i="7" s="1"/>
  <c r="AG135" i="7"/>
  <c r="AG136" i="7" s="1"/>
  <c r="AM135" i="7"/>
  <c r="AM136" i="7" s="1"/>
  <c r="BE135" i="7"/>
  <c r="BE136" i="7" s="1"/>
  <c r="BH135" i="7"/>
  <c r="BH136" i="7" s="1"/>
  <c r="AJ135" i="7"/>
  <c r="AJ136" i="7" s="1"/>
  <c r="BB135" i="7"/>
  <c r="BB136" i="7" s="1"/>
  <c r="AM97" i="6"/>
  <c r="AM98" i="6" s="1"/>
  <c r="BE97" i="6"/>
  <c r="BE98" i="6" s="1"/>
  <c r="BH97" i="6"/>
  <c r="BH98" i="6" s="1"/>
  <c r="AG97" i="6"/>
  <c r="AG98" i="6" s="1"/>
  <c r="AJ97" i="6"/>
  <c r="AJ98" i="6" s="1"/>
  <c r="BB97" i="6"/>
  <c r="BB98" i="6" s="1"/>
  <c r="AH171" i="9" l="1"/>
  <c r="BU103" i="20"/>
  <c r="BU115" i="21"/>
  <c r="AG183" i="8"/>
  <c r="AI171" i="9" l="1"/>
  <c r="BU104" i="20"/>
  <c r="BU116" i="21"/>
  <c r="AG65" i="8"/>
  <c r="AG98" i="8"/>
  <c r="AG97" i="8"/>
  <c r="AG118" i="8"/>
  <c r="AG117" i="8"/>
  <c r="AG116" i="8"/>
  <c r="AG115" i="8"/>
  <c r="AG114" i="8"/>
  <c r="AG113" i="8"/>
  <c r="AG112" i="8"/>
  <c r="AG173" i="8"/>
  <c r="AG172" i="8"/>
  <c r="AG171" i="8"/>
  <c r="AG170" i="8"/>
  <c r="AG169" i="8"/>
  <c r="AG168" i="8"/>
  <c r="AG167" i="8"/>
  <c r="AG166" i="8"/>
  <c r="AG165" i="8"/>
  <c r="AG164" i="8"/>
  <c r="AG163" i="8"/>
  <c r="AG162" i="8"/>
  <c r="AG161" i="8"/>
  <c r="AG160" i="8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G146" i="8"/>
  <c r="AG145" i="8"/>
  <c r="AG144" i="8"/>
  <c r="AG143" i="8"/>
  <c r="AG142" i="8"/>
  <c r="AG141" i="8"/>
  <c r="AG140" i="8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G126" i="8"/>
  <c r="AG125" i="8"/>
  <c r="AG124" i="8"/>
  <c r="AG123" i="8"/>
  <c r="AG122" i="8"/>
  <c r="AG121" i="8"/>
  <c r="AG120" i="8"/>
  <c r="AG119" i="8"/>
  <c r="AG111" i="8"/>
  <c r="AG110" i="8"/>
  <c r="AG109" i="8"/>
  <c r="AG108" i="8"/>
  <c r="AG107" i="8"/>
  <c r="AG106" i="8"/>
  <c r="AG105" i="8"/>
  <c r="AG104" i="8"/>
  <c r="AG103" i="8"/>
  <c r="AG102" i="8"/>
  <c r="AG101" i="8"/>
  <c r="AG100" i="8"/>
  <c r="AG99" i="8"/>
  <c r="AG96" i="8"/>
  <c r="AG95" i="8"/>
  <c r="AG94" i="8"/>
  <c r="AG93" i="8"/>
  <c r="AG92" i="8"/>
  <c r="AG91" i="8"/>
  <c r="AG90" i="8"/>
  <c r="AG89" i="8"/>
  <c r="AG88" i="8"/>
  <c r="AG87" i="8"/>
  <c r="AG86" i="8"/>
  <c r="AG85" i="8"/>
  <c r="AG84" i="8"/>
  <c r="AG83" i="8"/>
  <c r="AG82" i="8"/>
  <c r="AG81" i="8"/>
  <c r="AG80" i="8"/>
  <c r="AG79" i="8"/>
  <c r="AG78" i="8"/>
  <c r="AG77" i="8"/>
  <c r="AG76" i="8"/>
  <c r="AG75" i="8"/>
  <c r="AG74" i="8"/>
  <c r="AG73" i="8"/>
  <c r="AG72" i="8"/>
  <c r="AG71" i="8"/>
  <c r="AG70" i="8"/>
  <c r="AG69" i="8"/>
  <c r="AG64" i="8"/>
  <c r="AG63" i="8"/>
  <c r="AG62" i="8"/>
  <c r="AG61" i="8"/>
  <c r="AG60" i="8"/>
  <c r="AG59" i="8"/>
  <c r="AG58" i="8"/>
  <c r="AG57" i="8"/>
  <c r="AG56" i="8"/>
  <c r="AG55" i="8"/>
  <c r="AG54" i="8"/>
  <c r="AG53" i="8"/>
  <c r="AG52" i="8"/>
  <c r="AG51" i="8"/>
  <c r="AG50" i="8"/>
  <c r="AG49" i="8"/>
  <c r="AG48" i="8"/>
  <c r="AG47" i="8"/>
  <c r="AG46" i="8"/>
  <c r="AG45" i="8"/>
  <c r="AG44" i="8"/>
  <c r="AG43" i="8"/>
  <c r="AG42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G26" i="8"/>
  <c r="AG25" i="8"/>
  <c r="AG24" i="8"/>
  <c r="AG23" i="8"/>
  <c r="AG22" i="8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68" i="8"/>
  <c r="AG66" i="8"/>
  <c r="AG67" i="8"/>
  <c r="AJ171" i="9" l="1"/>
  <c r="BB176" i="8"/>
  <c r="AY176" i="8"/>
  <c r="AV176" i="8"/>
  <c r="AS176" i="8"/>
  <c r="AP176" i="8"/>
  <c r="AM176" i="8"/>
  <c r="AJ176" i="8"/>
  <c r="AG176" i="8"/>
  <c r="BB174" i="8"/>
  <c r="BA174" i="8"/>
  <c r="BA179" i="8" s="1"/>
  <c r="AZ174" i="8"/>
  <c r="AZ179" i="8" s="1"/>
  <c r="AY174" i="8"/>
  <c r="AX174" i="8"/>
  <c r="AX179" i="8" s="1"/>
  <c r="AW174" i="8"/>
  <c r="AW177" i="8" s="1"/>
  <c r="AW178" i="8" s="1"/>
  <c r="AV174" i="8"/>
  <c r="AU174" i="8"/>
  <c r="AU177" i="8" s="1"/>
  <c r="AU178" i="8" s="1"/>
  <c r="AT174" i="8"/>
  <c r="AT177" i="8" s="1"/>
  <c r="AT178" i="8" s="1"/>
  <c r="AS174" i="8"/>
  <c r="AR174" i="8"/>
  <c r="AR179" i="8" s="1"/>
  <c r="AQ174" i="8"/>
  <c r="AQ179" i="8" s="1"/>
  <c r="AP174" i="8"/>
  <c r="AO174" i="8"/>
  <c r="AO179" i="8" s="1"/>
  <c r="AN174" i="8"/>
  <c r="AN177" i="8" s="1"/>
  <c r="AN178" i="8" s="1"/>
  <c r="AM174" i="8"/>
  <c r="AL174" i="8"/>
  <c r="AL177" i="8" s="1"/>
  <c r="AL178" i="8" s="1"/>
  <c r="AK174" i="8"/>
  <c r="AK177" i="8" s="1"/>
  <c r="AK178" i="8" s="1"/>
  <c r="AJ174" i="8"/>
  <c r="AI174" i="8"/>
  <c r="AI177" i="8" s="1"/>
  <c r="AI178" i="8" s="1"/>
  <c r="AH174" i="8"/>
  <c r="AH179" i="8" s="1"/>
  <c r="AG174" i="8"/>
  <c r="AF174" i="8"/>
  <c r="AF177" i="8" s="1"/>
  <c r="AF178" i="8" s="1"/>
  <c r="AE174" i="8"/>
  <c r="AE179" i="8" s="1"/>
  <c r="BH101" i="3"/>
  <c r="BH104" i="3" s="1"/>
  <c r="BG101" i="3"/>
  <c r="BE101" i="3"/>
  <c r="BD101" i="3"/>
  <c r="BD104" i="3" s="1"/>
  <c r="AV101" i="3"/>
  <c r="AV102" i="3" s="1"/>
  <c r="AV103" i="3" s="1"/>
  <c r="AU101" i="3"/>
  <c r="AM101" i="3"/>
  <c r="AM104" i="3" s="1"/>
  <c r="AL101" i="3"/>
  <c r="AL104" i="3" s="1"/>
  <c r="AJ101" i="3"/>
  <c r="AJ102" i="3" s="1"/>
  <c r="AJ103" i="3" s="1"/>
  <c r="AI101" i="3"/>
  <c r="AI102" i="3" s="1"/>
  <c r="AI103" i="3" s="1"/>
  <c r="X101" i="3"/>
  <c r="W101" i="3"/>
  <c r="U101" i="3"/>
  <c r="T101" i="3"/>
  <c r="R101" i="3"/>
  <c r="Q101" i="3"/>
  <c r="O101" i="3"/>
  <c r="N101" i="3"/>
  <c r="L101" i="3"/>
  <c r="K101" i="3"/>
  <c r="I101" i="3"/>
  <c r="H101" i="3"/>
  <c r="AG101" i="3"/>
  <c r="AF101" i="3"/>
  <c r="BH102" i="3"/>
  <c r="BH103" i="3" s="1"/>
  <c r="BG102" i="3"/>
  <c r="BG103" i="3" s="1"/>
  <c r="BE104" i="3"/>
  <c r="BE102" i="3"/>
  <c r="BE103" i="3" s="1"/>
  <c r="AM102" i="3"/>
  <c r="AM103" i="3" s="1"/>
  <c r="AI104" i="3"/>
  <c r="AF70" i="2"/>
  <c r="BI93" i="2"/>
  <c r="BH93" i="2"/>
  <c r="BG93" i="2"/>
  <c r="BF93" i="2"/>
  <c r="BE93" i="2"/>
  <c r="BD93" i="2"/>
  <c r="BC93" i="2"/>
  <c r="AV93" i="2"/>
  <c r="AU93" i="2"/>
  <c r="AN93" i="2"/>
  <c r="AK93" i="2"/>
  <c r="AJ93" i="2"/>
  <c r="AI93" i="2"/>
  <c r="BH95" i="2"/>
  <c r="BG95" i="2"/>
  <c r="BE95" i="2"/>
  <c r="BD95" i="2"/>
  <c r="BD96" i="2" s="1"/>
  <c r="BD97" i="2" s="1"/>
  <c r="AV95" i="2"/>
  <c r="AU95" i="2"/>
  <c r="AJ95" i="2"/>
  <c r="AI95" i="2"/>
  <c r="W95" i="2"/>
  <c r="V95" i="2"/>
  <c r="S95" i="2"/>
  <c r="Q95" i="2"/>
  <c r="P95" i="2"/>
  <c r="N95" i="2"/>
  <c r="M95" i="2"/>
  <c r="K95" i="2"/>
  <c r="J95" i="2"/>
  <c r="H95" i="2"/>
  <c r="G95" i="2"/>
  <c r="AG95" i="2"/>
  <c r="AF95" i="2"/>
  <c r="BG98" i="2"/>
  <c r="AN95" i="2"/>
  <c r="AU175" i="1"/>
  <c r="AT175" i="1"/>
  <c r="AL175" i="1"/>
  <c r="AK175" i="1"/>
  <c r="AI175" i="1"/>
  <c r="AH175" i="1"/>
  <c r="AE156" i="1"/>
  <c r="BG177" i="1"/>
  <c r="BG178" i="1" s="1"/>
  <c r="BG179" i="1" s="1"/>
  <c r="BF177" i="1"/>
  <c r="BF178" i="1" s="1"/>
  <c r="BD177" i="1"/>
  <c r="BD178" i="1" s="1"/>
  <c r="BD179" i="1" s="1"/>
  <c r="BC177" i="1"/>
  <c r="BC178" i="1" s="1"/>
  <c r="AU177" i="1"/>
  <c r="AT177" i="1"/>
  <c r="AT178" i="1" s="1"/>
  <c r="AL177" i="1"/>
  <c r="AK177" i="1"/>
  <c r="AI177" i="1"/>
  <c r="AH177" i="1"/>
  <c r="AJ177" i="1" s="1"/>
  <c r="V177" i="1"/>
  <c r="U177" i="1"/>
  <c r="S177" i="1"/>
  <c r="R177" i="1"/>
  <c r="P177" i="1"/>
  <c r="O177" i="1"/>
  <c r="M177" i="1"/>
  <c r="L177" i="1"/>
  <c r="J177" i="1"/>
  <c r="I177" i="1"/>
  <c r="G177" i="1"/>
  <c r="F177" i="1"/>
  <c r="AF177" i="1"/>
  <c r="AE177" i="1"/>
  <c r="BG180" i="1"/>
  <c r="BF180" i="1"/>
  <c r="BD180" i="1"/>
  <c r="BC180" i="1"/>
  <c r="AK171" i="9" l="1"/>
  <c r="AL171" i="9" s="1"/>
  <c r="AM171" i="9" s="1"/>
  <c r="AJ177" i="8"/>
  <c r="AJ178" i="8" s="1"/>
  <c r="AI179" i="8"/>
  <c r="AK179" i="8"/>
  <c r="AO177" i="8"/>
  <c r="AO178" i="8" s="1"/>
  <c r="AQ177" i="8"/>
  <c r="AQ178" i="8" s="1"/>
  <c r="AV177" i="8"/>
  <c r="AV178" i="8" s="1"/>
  <c r="AT179" i="8"/>
  <c r="AX177" i="8"/>
  <c r="AX178" i="8" s="1"/>
  <c r="AZ177" i="8"/>
  <c r="AZ178" i="8" s="1"/>
  <c r="AH177" i="8"/>
  <c r="AH178" i="8" s="1"/>
  <c r="AM177" i="8"/>
  <c r="AM178" i="8" s="1"/>
  <c r="AL179" i="8"/>
  <c r="AN179" i="8"/>
  <c r="AR177" i="8"/>
  <c r="AR178" i="8" s="1"/>
  <c r="AU179" i="8"/>
  <c r="AW179" i="8"/>
  <c r="BA177" i="8"/>
  <c r="BA178" i="8" s="1"/>
  <c r="AP177" i="8"/>
  <c r="AP178" i="8" s="1"/>
  <c r="AY177" i="8"/>
  <c r="AY178" i="8" s="1"/>
  <c r="AS177" i="8"/>
  <c r="AS178" i="8" s="1"/>
  <c r="BB177" i="8"/>
  <c r="BB178" i="8" s="1"/>
  <c r="BF101" i="3"/>
  <c r="BF102" i="3" s="1"/>
  <c r="BF103" i="3" s="1"/>
  <c r="AV104" i="3"/>
  <c r="BC101" i="3"/>
  <c r="BC102" i="3" s="1"/>
  <c r="BC103" i="3" s="1"/>
  <c r="BI101" i="3"/>
  <c r="BI102" i="3" s="1"/>
  <c r="BI103" i="3" s="1"/>
  <c r="AK101" i="3"/>
  <c r="AK102" i="3" s="1"/>
  <c r="AK103" i="3" s="1"/>
  <c r="AU104" i="3"/>
  <c r="AJ96" i="2"/>
  <c r="AJ97" i="2" s="1"/>
  <c r="BI95" i="2"/>
  <c r="BI96" i="2" s="1"/>
  <c r="BI97" i="2" s="1"/>
  <c r="BF95" i="2"/>
  <c r="BF98" i="2" s="1"/>
  <c r="AU96" i="2"/>
  <c r="AU97" i="2" s="1"/>
  <c r="BD98" i="2"/>
  <c r="BC95" i="2"/>
  <c r="BC96" i="2" s="1"/>
  <c r="BC97" i="2" s="1"/>
  <c r="BG96" i="2"/>
  <c r="BG97" i="2" s="1"/>
  <c r="BE177" i="1"/>
  <c r="BE180" i="1" s="1"/>
  <c r="AI180" i="1"/>
  <c r="AU180" i="1"/>
  <c r="BB177" i="1"/>
  <c r="BH177" i="1"/>
  <c r="BH180" i="1" s="1"/>
  <c r="AJ175" i="1"/>
  <c r="AJ180" i="1" s="1"/>
  <c r="AT180" i="1"/>
  <c r="AN101" i="3"/>
  <c r="AN102" i="3" s="1"/>
  <c r="AN103" i="3" s="1"/>
  <c r="AJ104" i="3"/>
  <c r="AM175" i="1"/>
  <c r="BE98" i="2"/>
  <c r="BF96" i="2"/>
  <c r="BF97" i="2" s="1"/>
  <c r="BH98" i="2"/>
  <c r="AV98" i="2"/>
  <c r="AV96" i="2"/>
  <c r="AV97" i="2" s="1"/>
  <c r="AK95" i="2"/>
  <c r="AK96" i="2" s="1"/>
  <c r="AK97" i="2" s="1"/>
  <c r="AN96" i="2"/>
  <c r="AN97" i="2" s="1"/>
  <c r="AI98" i="2"/>
  <c r="AL180" i="1"/>
  <c r="AK178" i="1"/>
  <c r="AK179" i="1" s="1"/>
  <c r="AK180" i="1"/>
  <c r="AM177" i="1"/>
  <c r="AM180" i="1" s="1"/>
  <c r="AE177" i="8"/>
  <c r="AE178" i="8" s="1"/>
  <c r="AG177" i="8"/>
  <c r="AG178" i="8" s="1"/>
  <c r="AF179" i="8"/>
  <c r="BB179" i="8"/>
  <c r="AY179" i="8"/>
  <c r="AV179" i="8"/>
  <c r="AS179" i="8"/>
  <c r="AP179" i="8"/>
  <c r="AM179" i="8"/>
  <c r="AJ179" i="8"/>
  <c r="AG179" i="8"/>
  <c r="BG104" i="3"/>
  <c r="BD102" i="3"/>
  <c r="BD103" i="3" s="1"/>
  <c r="AU102" i="3"/>
  <c r="AU103" i="3" s="1"/>
  <c r="AL102" i="3"/>
  <c r="AL103" i="3" s="1"/>
  <c r="AH101" i="3"/>
  <c r="BI104" i="3"/>
  <c r="BF104" i="3"/>
  <c r="BC104" i="3"/>
  <c r="BH96" i="2"/>
  <c r="BH97" i="2" s="1"/>
  <c r="BE96" i="2"/>
  <c r="BE97" i="2" s="1"/>
  <c r="AJ98" i="2"/>
  <c r="AU98" i="2"/>
  <c r="AI96" i="2"/>
  <c r="AI97" i="2" s="1"/>
  <c r="AH95" i="2"/>
  <c r="AN98" i="2"/>
  <c r="BB175" i="1"/>
  <c r="BB180" i="1" s="1"/>
  <c r="AU178" i="1"/>
  <c r="AU179" i="1" s="1"/>
  <c r="AL178" i="1"/>
  <c r="AL179" i="1" s="1"/>
  <c r="AH180" i="1"/>
  <c r="AI178" i="1"/>
  <c r="AI179" i="1" s="1"/>
  <c r="AH178" i="1"/>
  <c r="AH179" i="1" s="1"/>
  <c r="BH178" i="1"/>
  <c r="BH179" i="1" s="1"/>
  <c r="BF179" i="1"/>
  <c r="BE178" i="1"/>
  <c r="BE179" i="1" s="1"/>
  <c r="BC179" i="1"/>
  <c r="AT179" i="1"/>
  <c r="AG177" i="1"/>
  <c r="AK104" i="3" l="1"/>
  <c r="AK98" i="2"/>
  <c r="BI98" i="2"/>
  <c r="BC98" i="2"/>
  <c r="AN104" i="3"/>
  <c r="AM178" i="1"/>
  <c r="AM179" i="1" s="1"/>
  <c r="BB178" i="1"/>
  <c r="BB179" i="1" s="1"/>
  <c r="AJ178" i="1"/>
  <c r="AJ179" i="1" s="1"/>
  <c r="BI120" i="4" l="1"/>
  <c r="BH120" i="4"/>
  <c r="BG120" i="4"/>
  <c r="BF120" i="4"/>
  <c r="BE120" i="4"/>
  <c r="BD120" i="4"/>
  <c r="BC120" i="4"/>
  <c r="AV120" i="4"/>
  <c r="AU120" i="4"/>
  <c r="AM120" i="4"/>
  <c r="AL120" i="4"/>
  <c r="AJ120" i="4"/>
  <c r="AI120" i="4"/>
  <c r="AK120" i="4" s="1"/>
  <c r="W120" i="4"/>
  <c r="V120" i="4"/>
  <c r="T120" i="4"/>
  <c r="S120" i="4"/>
  <c r="Q120" i="4"/>
  <c r="P120" i="4"/>
  <c r="M120" i="4"/>
  <c r="J120" i="4"/>
  <c r="H120" i="4"/>
  <c r="G120" i="4"/>
  <c r="AG120" i="4"/>
  <c r="AF120" i="4"/>
  <c r="BH118" i="4"/>
  <c r="BG118" i="4"/>
  <c r="BE118" i="4"/>
  <c r="BD118" i="4"/>
  <c r="BF118" i="4" s="1"/>
  <c r="AV118" i="4"/>
  <c r="AV121" i="4" s="1"/>
  <c r="AV122" i="4" s="1"/>
  <c r="AU118" i="4"/>
  <c r="AM118" i="4"/>
  <c r="AM123" i="4" s="1"/>
  <c r="AL118" i="4"/>
  <c r="AL123" i="4" s="1"/>
  <c r="AJ118" i="4"/>
  <c r="AJ121" i="4" s="1"/>
  <c r="AJ122" i="4" s="1"/>
  <c r="AI118" i="4"/>
  <c r="AG118" i="4"/>
  <c r="AF118" i="4"/>
  <c r="AH117" i="4"/>
  <c r="AH116" i="4"/>
  <c r="AH115" i="4"/>
  <c r="AH114" i="4"/>
  <c r="AH113" i="4"/>
  <c r="AH112" i="4"/>
  <c r="AH111" i="4"/>
  <c r="AH110" i="4"/>
  <c r="AH109" i="4"/>
  <c r="AH108" i="4"/>
  <c r="AH107" i="4"/>
  <c r="AH106" i="4"/>
  <c r="AH105" i="4"/>
  <c r="AH104" i="4"/>
  <c r="AH103" i="4"/>
  <c r="AH102" i="4"/>
  <c r="AH101" i="4"/>
  <c r="AH100" i="4"/>
  <c r="AH99" i="4"/>
  <c r="AH98" i="4"/>
  <c r="AH97" i="4"/>
  <c r="AH96" i="4"/>
  <c r="AH95" i="4"/>
  <c r="AH94" i="4"/>
  <c r="AH93" i="4"/>
  <c r="AH92" i="4"/>
  <c r="AH91" i="4"/>
  <c r="AH90" i="4"/>
  <c r="AH89" i="4"/>
  <c r="AH88" i="4"/>
  <c r="AH87" i="4"/>
  <c r="AH86" i="4"/>
  <c r="AH85" i="4"/>
  <c r="AH84" i="4"/>
  <c r="AH83" i="4"/>
  <c r="AH82" i="4"/>
  <c r="AH81" i="4"/>
  <c r="AH80" i="4"/>
  <c r="AH79" i="4"/>
  <c r="AH78" i="4"/>
  <c r="AH77" i="4"/>
  <c r="AH76" i="4"/>
  <c r="AH75" i="4"/>
  <c r="AH74" i="4"/>
  <c r="AH73" i="4"/>
  <c r="AH72" i="4"/>
  <c r="AH71" i="4"/>
  <c r="AH70" i="4"/>
  <c r="AH69" i="4"/>
  <c r="AH68" i="4"/>
  <c r="AH67" i="4"/>
  <c r="AH66" i="4"/>
  <c r="AH65" i="4"/>
  <c r="AH64" i="4"/>
  <c r="AH63" i="4"/>
  <c r="AH62" i="4"/>
  <c r="AH61" i="4"/>
  <c r="AH60" i="4"/>
  <c r="AH59" i="4"/>
  <c r="AH58" i="4"/>
  <c r="AH57" i="4"/>
  <c r="AH56" i="4"/>
  <c r="AH55" i="4"/>
  <c r="AH54" i="4"/>
  <c r="AH53" i="4"/>
  <c r="AH52" i="4"/>
  <c r="AH51" i="4"/>
  <c r="AH50" i="4"/>
  <c r="AH49" i="4"/>
  <c r="AH48" i="4"/>
  <c r="AH47" i="4"/>
  <c r="AH46" i="4"/>
  <c r="AH45" i="4"/>
  <c r="AH44" i="4"/>
  <c r="AH43" i="4"/>
  <c r="AH42" i="4"/>
  <c r="AH41" i="4"/>
  <c r="AH40" i="4"/>
  <c r="AH39" i="4"/>
  <c r="AH38" i="4"/>
  <c r="AH37" i="4"/>
  <c r="AH36" i="4"/>
  <c r="AH35" i="4"/>
  <c r="AH34" i="4"/>
  <c r="AH33" i="4"/>
  <c r="AH32" i="4"/>
  <c r="AH31" i="4"/>
  <c r="AH30" i="4"/>
  <c r="AH29" i="4"/>
  <c r="AH28" i="4"/>
  <c r="AH27" i="4"/>
  <c r="AH26" i="4"/>
  <c r="AH25" i="4"/>
  <c r="AH24" i="4"/>
  <c r="AH23" i="4"/>
  <c r="AH22" i="4"/>
  <c r="AH21" i="4"/>
  <c r="AH20" i="4"/>
  <c r="AH19" i="4"/>
  <c r="AH18" i="4"/>
  <c r="AH17" i="4"/>
  <c r="AH16" i="4"/>
  <c r="AH15" i="4"/>
  <c r="AH14" i="4"/>
  <c r="AH13" i="4"/>
  <c r="AH12" i="4"/>
  <c r="AH11" i="4"/>
  <c r="AH10" i="4"/>
  <c r="AH9" i="4"/>
  <c r="AH8" i="4"/>
  <c r="AG99" i="3"/>
  <c r="AF99" i="3"/>
  <c r="AH98" i="3"/>
  <c r="AH97" i="3"/>
  <c r="AH96" i="3"/>
  <c r="AH95" i="3"/>
  <c r="AH94" i="3"/>
  <c r="AH93" i="3"/>
  <c r="AH92" i="3"/>
  <c r="AH91" i="3"/>
  <c r="AH90" i="3"/>
  <c r="AH89" i="3"/>
  <c r="AH88" i="3"/>
  <c r="AH87" i="3"/>
  <c r="AH86" i="3"/>
  <c r="AH85" i="3"/>
  <c r="AH84" i="3"/>
  <c r="AH83" i="3"/>
  <c r="AH82" i="3"/>
  <c r="AH81" i="3"/>
  <c r="AH80" i="3"/>
  <c r="AH79" i="3"/>
  <c r="AH78" i="3"/>
  <c r="AH77" i="3"/>
  <c r="AH76" i="3"/>
  <c r="AH75" i="3"/>
  <c r="AH74" i="3"/>
  <c r="AH73" i="3"/>
  <c r="AH72" i="3"/>
  <c r="AH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F93" i="2"/>
  <c r="AG93" i="2"/>
  <c r="AH84" i="2"/>
  <c r="AH83" i="2"/>
  <c r="AH82" i="2"/>
  <c r="AH81" i="2"/>
  <c r="AH80" i="2"/>
  <c r="AH79" i="2"/>
  <c r="AH78" i="2"/>
  <c r="AH77" i="2"/>
  <c r="AH76" i="2"/>
  <c r="AH75" i="2"/>
  <c r="AH74" i="2"/>
  <c r="AH73" i="2"/>
  <c r="AH72" i="2"/>
  <c r="AH71" i="2"/>
  <c r="AH70" i="2"/>
  <c r="AH69" i="2"/>
  <c r="AH68" i="2"/>
  <c r="AH67" i="2"/>
  <c r="AH66" i="2"/>
  <c r="AH65" i="2"/>
  <c r="AH64" i="2"/>
  <c r="AH63" i="2"/>
  <c r="AH62" i="2"/>
  <c r="AH61" i="2"/>
  <c r="AH60" i="2"/>
  <c r="AH59" i="2"/>
  <c r="AH58" i="2"/>
  <c r="AH57" i="2"/>
  <c r="AH56" i="2"/>
  <c r="AH55" i="2"/>
  <c r="AH54" i="2"/>
  <c r="AH53" i="2"/>
  <c r="AH52" i="2"/>
  <c r="AH51" i="2"/>
  <c r="AH50" i="2"/>
  <c r="AH49" i="2"/>
  <c r="AH48" i="2"/>
  <c r="AH47" i="2"/>
  <c r="AH46" i="2"/>
  <c r="AH45" i="2"/>
  <c r="AH44" i="2"/>
  <c r="AH43" i="2"/>
  <c r="AH42" i="2"/>
  <c r="AH41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F175" i="1"/>
  <c r="AE175" i="1"/>
  <c r="AG151" i="1"/>
  <c r="AG127" i="1"/>
  <c r="AG126" i="1"/>
  <c r="AG94" i="1"/>
  <c r="AG93" i="1"/>
  <c r="AG92" i="1"/>
  <c r="AG46" i="1"/>
  <c r="AG45" i="1"/>
  <c r="BE123" i="4" l="1"/>
  <c r="AU123" i="4"/>
  <c r="BH121" i="4"/>
  <c r="BH122" i="4" s="1"/>
  <c r="AK118" i="4"/>
  <c r="BC118" i="4"/>
  <c r="BI118" i="4"/>
  <c r="BI121" i="4" s="1"/>
  <c r="BI122" i="4" s="1"/>
  <c r="BG123" i="4"/>
  <c r="BG121" i="4"/>
  <c r="BG122" i="4" s="1"/>
  <c r="AJ123" i="4"/>
  <c r="AV123" i="4"/>
  <c r="AM121" i="4"/>
  <c r="AM122" i="4" s="1"/>
  <c r="AL121" i="4"/>
  <c r="AL122" i="4" s="1"/>
  <c r="AN118" i="4"/>
  <c r="AN120" i="4"/>
  <c r="AN121" i="4" s="1"/>
  <c r="AN122" i="4" s="1"/>
  <c r="AI123" i="4"/>
  <c r="AK121" i="4"/>
  <c r="AK122" i="4" s="1"/>
  <c r="AF102" i="3"/>
  <c r="AF103" i="3" s="1"/>
  <c r="AF104" i="3"/>
  <c r="AG104" i="3"/>
  <c r="AG102" i="3"/>
  <c r="AG103" i="3" s="1"/>
  <c r="AH99" i="3"/>
  <c r="AH93" i="2"/>
  <c r="AF96" i="2"/>
  <c r="AF97" i="2" s="1"/>
  <c r="AF98" i="2"/>
  <c r="AG96" i="2"/>
  <c r="AG97" i="2" s="1"/>
  <c r="AG98" i="2"/>
  <c r="AE180" i="1"/>
  <c r="AE178" i="1"/>
  <c r="AE179" i="1" s="1"/>
  <c r="AF178" i="1"/>
  <c r="AF180" i="1"/>
  <c r="AG175" i="1"/>
  <c r="AH118" i="4"/>
  <c r="AF121" i="4"/>
  <c r="AF122" i="4" s="1"/>
  <c r="AF123" i="4"/>
  <c r="AH120" i="4"/>
  <c r="BH123" i="4"/>
  <c r="BE121" i="4"/>
  <c r="BE122" i="4" s="1"/>
  <c r="BF121" i="4"/>
  <c r="BF122" i="4" s="1"/>
  <c r="BD123" i="4"/>
  <c r="BD121" i="4"/>
  <c r="BD122" i="4" s="1"/>
  <c r="AU121" i="4"/>
  <c r="AU122" i="4" s="1"/>
  <c r="BC121" i="4"/>
  <c r="BC122" i="4" s="1"/>
  <c r="AI121" i="4"/>
  <c r="AI122" i="4" s="1"/>
  <c r="AG121" i="4"/>
  <c r="AG122" i="4" s="1"/>
  <c r="AG123" i="4"/>
  <c r="AK123" i="4"/>
  <c r="BC123" i="4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8" i="1"/>
  <c r="AG157" i="1"/>
  <c r="AG156" i="1"/>
  <c r="AG155" i="1"/>
  <c r="AG154" i="1"/>
  <c r="AG153" i="1"/>
  <c r="AG152" i="1"/>
  <c r="AG149" i="1"/>
  <c r="AG148" i="1"/>
  <c r="AG147" i="1"/>
  <c r="AG146" i="1"/>
  <c r="AG145" i="1"/>
  <c r="AG143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8" i="1"/>
  <c r="AG97" i="1"/>
  <c r="AG96" i="1"/>
  <c r="AG95" i="1"/>
  <c r="AG91" i="1"/>
  <c r="AG89" i="1"/>
  <c r="AG88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4" i="1"/>
  <c r="AG43" i="1"/>
  <c r="AG42" i="1"/>
  <c r="AG40" i="1"/>
  <c r="AG39" i="1"/>
  <c r="AG38" i="1"/>
  <c r="AG37" i="1"/>
  <c r="AG36" i="1"/>
  <c r="AG35" i="1"/>
  <c r="AG34" i="1"/>
  <c r="AG33" i="1"/>
  <c r="AG32" i="1"/>
  <c r="AG31" i="1"/>
  <c r="AG30" i="1"/>
  <c r="AG28" i="1"/>
  <c r="AG27" i="1"/>
  <c r="AG26" i="1"/>
  <c r="AG25" i="1"/>
  <c r="AG24" i="1"/>
  <c r="AG23" i="1"/>
  <c r="AG22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BR114" i="21"/>
  <c r="BO114" i="21"/>
  <c r="BL114" i="21"/>
  <c r="BI114" i="21"/>
  <c r="BF114" i="21"/>
  <c r="BC114" i="21"/>
  <c r="BR8" i="21"/>
  <c r="BR9" i="21"/>
  <c r="BR10" i="21"/>
  <c r="BR11" i="21"/>
  <c r="BR12" i="21"/>
  <c r="BR13" i="21"/>
  <c r="BR14" i="21"/>
  <c r="BR15" i="21"/>
  <c r="BR16" i="21"/>
  <c r="BR17" i="21"/>
  <c r="BR18" i="21"/>
  <c r="BR19" i="21"/>
  <c r="BR20" i="21"/>
  <c r="BR21" i="21"/>
  <c r="BR22" i="21"/>
  <c r="BR23" i="21"/>
  <c r="BR24" i="21"/>
  <c r="BR25" i="21"/>
  <c r="BR26" i="21"/>
  <c r="BR27" i="21"/>
  <c r="BR28" i="21"/>
  <c r="BR29" i="21"/>
  <c r="BR30" i="21"/>
  <c r="BR31" i="21"/>
  <c r="BR32" i="21"/>
  <c r="BR33" i="21"/>
  <c r="BR34" i="21"/>
  <c r="BR35" i="21"/>
  <c r="BR36" i="21"/>
  <c r="BR37" i="21"/>
  <c r="BR38" i="21"/>
  <c r="BR39" i="21"/>
  <c r="BR40" i="21"/>
  <c r="BR41" i="21"/>
  <c r="BR42" i="21"/>
  <c r="BR43" i="21"/>
  <c r="BR44" i="21"/>
  <c r="BR45" i="21"/>
  <c r="BR46" i="21"/>
  <c r="BR47" i="21"/>
  <c r="BR48" i="21"/>
  <c r="BR49" i="21"/>
  <c r="BR50" i="21"/>
  <c r="BR51" i="21"/>
  <c r="BR52" i="21"/>
  <c r="BR53" i="21"/>
  <c r="BR54" i="21"/>
  <c r="BR55" i="21"/>
  <c r="BR56" i="21"/>
  <c r="BR57" i="21"/>
  <c r="BR58" i="21"/>
  <c r="BR59" i="21"/>
  <c r="BR60" i="21"/>
  <c r="BR61" i="21"/>
  <c r="BR62" i="21"/>
  <c r="BR63" i="21"/>
  <c r="BR64" i="21"/>
  <c r="BR65" i="21"/>
  <c r="BR66" i="21"/>
  <c r="BR67" i="21"/>
  <c r="BR68" i="21"/>
  <c r="BR69" i="21"/>
  <c r="BR70" i="21"/>
  <c r="BR71" i="21"/>
  <c r="BR72" i="21"/>
  <c r="BR73" i="21"/>
  <c r="BR74" i="21"/>
  <c r="BR75" i="21"/>
  <c r="BR76" i="21"/>
  <c r="BR77" i="21"/>
  <c r="BR78" i="21"/>
  <c r="BR79" i="21"/>
  <c r="BR80" i="21"/>
  <c r="BR81" i="21"/>
  <c r="BR82" i="21"/>
  <c r="BR83" i="21"/>
  <c r="BR84" i="21"/>
  <c r="BR85" i="21"/>
  <c r="BR86" i="21"/>
  <c r="BR87" i="21"/>
  <c r="BR88" i="21"/>
  <c r="BR89" i="21"/>
  <c r="BR90" i="21"/>
  <c r="BR91" i="21"/>
  <c r="BR92" i="21"/>
  <c r="BR93" i="21"/>
  <c r="BR94" i="21"/>
  <c r="BR95" i="21"/>
  <c r="BR96" i="21"/>
  <c r="BR97" i="21"/>
  <c r="BR98" i="21"/>
  <c r="BR99" i="21"/>
  <c r="BR100" i="21"/>
  <c r="BR101" i="21"/>
  <c r="BR102" i="21"/>
  <c r="BR103" i="21"/>
  <c r="BR104" i="21"/>
  <c r="BR105" i="21"/>
  <c r="BR106" i="21"/>
  <c r="BR107" i="21"/>
  <c r="BR108" i="21"/>
  <c r="BR109" i="21"/>
  <c r="BR110" i="21"/>
  <c r="BR111" i="21"/>
  <c r="BP112" i="21"/>
  <c r="BQ112" i="21"/>
  <c r="BN112" i="21"/>
  <c r="BN117" i="21" s="1"/>
  <c r="BM112" i="21"/>
  <c r="BM117" i="21" s="1"/>
  <c r="BK112" i="21"/>
  <c r="BK117" i="21" s="1"/>
  <c r="BJ112" i="21"/>
  <c r="BJ117" i="21" s="1"/>
  <c r="BH112" i="21"/>
  <c r="BH117" i="21" s="1"/>
  <c r="BG112" i="21"/>
  <c r="BG117" i="21" s="1"/>
  <c r="BE112" i="21"/>
  <c r="BE117" i="21" s="1"/>
  <c r="BD112" i="21"/>
  <c r="BD117" i="21" s="1"/>
  <c r="BB112" i="21"/>
  <c r="BB117" i="21" s="1"/>
  <c r="BA112" i="21"/>
  <c r="BA117" i="21" s="1"/>
  <c r="AP112" i="21"/>
  <c r="AO112" i="21"/>
  <c r="AM112" i="21"/>
  <c r="AL112" i="21"/>
  <c r="AJ112" i="21"/>
  <c r="AI112" i="21"/>
  <c r="AG112" i="21"/>
  <c r="AF112" i="21"/>
  <c r="AD112" i="21"/>
  <c r="AC112" i="21"/>
  <c r="AA112" i="21"/>
  <c r="Z112" i="21"/>
  <c r="X112" i="21"/>
  <c r="W112" i="21"/>
  <c r="U112" i="21"/>
  <c r="T112" i="21"/>
  <c r="R112" i="21"/>
  <c r="Q112" i="21"/>
  <c r="O112" i="21"/>
  <c r="N112" i="21"/>
  <c r="L112" i="21"/>
  <c r="K112" i="21"/>
  <c r="I112" i="21"/>
  <c r="H112" i="21"/>
  <c r="F112" i="21"/>
  <c r="BO111" i="21"/>
  <c r="BL111" i="21"/>
  <c r="BI111" i="21"/>
  <c r="BF111" i="21"/>
  <c r="BC111" i="21"/>
  <c r="AS111" i="21"/>
  <c r="AV111" i="21" s="1"/>
  <c r="AR111" i="21"/>
  <c r="AU111" i="21" s="1"/>
  <c r="AQ111" i="21"/>
  <c r="AN111" i="21"/>
  <c r="AK111" i="21"/>
  <c r="AH111" i="21"/>
  <c r="AE111" i="21"/>
  <c r="BO110" i="21"/>
  <c r="BL110" i="21"/>
  <c r="BI110" i="21"/>
  <c r="CD110" i="21" s="1"/>
  <c r="CG110" i="21" s="1"/>
  <c r="BO109" i="21"/>
  <c r="BL109" i="21"/>
  <c r="BI109" i="21"/>
  <c r="BO108" i="21"/>
  <c r="BL108" i="21"/>
  <c r="BI108" i="21"/>
  <c r="BO107" i="21"/>
  <c r="BL107" i="21"/>
  <c r="BI107" i="21"/>
  <c r="BF107" i="21"/>
  <c r="BO106" i="21"/>
  <c r="BL106" i="21"/>
  <c r="BI106" i="21"/>
  <c r="BF106" i="21"/>
  <c r="BO105" i="21"/>
  <c r="BL105" i="21"/>
  <c r="BI105" i="21"/>
  <c r="BF105" i="21"/>
  <c r="BO104" i="21"/>
  <c r="BL104" i="21"/>
  <c r="BI104" i="21"/>
  <c r="BF104" i="21"/>
  <c r="BC104" i="21"/>
  <c r="AV104" i="21"/>
  <c r="AU104" i="21"/>
  <c r="AT104" i="21"/>
  <c r="AQ104" i="21"/>
  <c r="BO103" i="21"/>
  <c r="BL103" i="21"/>
  <c r="BI103" i="21"/>
  <c r="BF103" i="21"/>
  <c r="BC103" i="21"/>
  <c r="CD103" i="21" s="1"/>
  <c r="CG103" i="21" s="1"/>
  <c r="AV103" i="21"/>
  <c r="AU103" i="21"/>
  <c r="AT103" i="21"/>
  <c r="AQ103" i="21"/>
  <c r="BO102" i="21"/>
  <c r="BL102" i="21"/>
  <c r="BI102" i="21"/>
  <c r="BF102" i="21"/>
  <c r="BC102" i="21"/>
  <c r="AV102" i="21"/>
  <c r="AU102" i="21"/>
  <c r="AW102" i="21" s="1"/>
  <c r="AT102" i="21"/>
  <c r="AQ102" i="21"/>
  <c r="BO101" i="21"/>
  <c r="BL101" i="21"/>
  <c r="BI101" i="21"/>
  <c r="BF101" i="21"/>
  <c r="BC101" i="21"/>
  <c r="AV101" i="21"/>
  <c r="AU101" i="21"/>
  <c r="AT101" i="21"/>
  <c r="AQ101" i="21"/>
  <c r="BO100" i="21"/>
  <c r="BL100" i="21"/>
  <c r="BI100" i="21"/>
  <c r="BF100" i="21"/>
  <c r="BC100" i="21"/>
  <c r="AV100" i="21"/>
  <c r="AU100" i="21"/>
  <c r="AT100" i="21"/>
  <c r="AQ100" i="21"/>
  <c r="BO99" i="21"/>
  <c r="BL99" i="21"/>
  <c r="BI99" i="21"/>
  <c r="BF99" i="21"/>
  <c r="BC99" i="21"/>
  <c r="CD99" i="21" s="1"/>
  <c r="CG99" i="21" s="1"/>
  <c r="AV99" i="21"/>
  <c r="AU99" i="21"/>
  <c r="AT99" i="21"/>
  <c r="AQ99" i="21"/>
  <c r="BO98" i="21"/>
  <c r="BL98" i="21"/>
  <c r="BI98" i="21"/>
  <c r="BF98" i="21"/>
  <c r="BC98" i="21"/>
  <c r="AS98" i="21"/>
  <c r="AV98" i="21" s="1"/>
  <c r="AR98" i="21"/>
  <c r="AQ98" i="21"/>
  <c r="AN98" i="21"/>
  <c r="BO97" i="21"/>
  <c r="BL97" i="21"/>
  <c r="BI97" i="21"/>
  <c r="BF97" i="21"/>
  <c r="BC97" i="21"/>
  <c r="AS97" i="21"/>
  <c r="AR97" i="21"/>
  <c r="AU97" i="21" s="1"/>
  <c r="AQ97" i="21"/>
  <c r="AN97" i="21"/>
  <c r="BO96" i="21"/>
  <c r="BL96" i="21"/>
  <c r="BI96" i="21"/>
  <c r="BF96" i="21"/>
  <c r="BC96" i="21"/>
  <c r="AS96" i="21"/>
  <c r="AV96" i="21" s="1"/>
  <c r="AR96" i="21"/>
  <c r="AU96" i="21" s="1"/>
  <c r="AQ96" i="21"/>
  <c r="AN96" i="21"/>
  <c r="AK96" i="21"/>
  <c r="AH96" i="21"/>
  <c r="AE96" i="21"/>
  <c r="BO95" i="21"/>
  <c r="BL95" i="21"/>
  <c r="BI95" i="21"/>
  <c r="BF95" i="21"/>
  <c r="BC95" i="21"/>
  <c r="AS95" i="21"/>
  <c r="AV95" i="21" s="1"/>
  <c r="AR95" i="21"/>
  <c r="AQ95" i="21"/>
  <c r="AN95" i="21"/>
  <c r="AK95" i="21"/>
  <c r="AH95" i="21"/>
  <c r="AE95" i="21"/>
  <c r="BO94" i="21"/>
  <c r="BL94" i="21"/>
  <c r="BI94" i="21"/>
  <c r="BF94" i="21"/>
  <c r="BC94" i="21"/>
  <c r="AS94" i="21"/>
  <c r="AR94" i="21"/>
  <c r="AU94" i="21" s="1"/>
  <c r="AQ94" i="21"/>
  <c r="AN94" i="21"/>
  <c r="AK94" i="21"/>
  <c r="AH94" i="21"/>
  <c r="AE94" i="21"/>
  <c r="BO93" i="21"/>
  <c r="BL93" i="21"/>
  <c r="BI93" i="21"/>
  <c r="BF93" i="21"/>
  <c r="BC93" i="21"/>
  <c r="AS93" i="21"/>
  <c r="AV93" i="21" s="1"/>
  <c r="AR93" i="21"/>
  <c r="AQ93" i="21"/>
  <c r="AN93" i="21"/>
  <c r="AK93" i="21"/>
  <c r="AH93" i="21"/>
  <c r="AE93" i="21"/>
  <c r="BO92" i="21"/>
  <c r="BL92" i="21"/>
  <c r="BI92" i="21"/>
  <c r="BF92" i="21"/>
  <c r="BC92" i="21"/>
  <c r="AS92" i="21"/>
  <c r="AV92" i="21" s="1"/>
  <c r="AR92" i="21"/>
  <c r="AU92" i="21" s="1"/>
  <c r="AQ92" i="21"/>
  <c r="AN92" i="21"/>
  <c r="AK92" i="21"/>
  <c r="AH92" i="21"/>
  <c r="AE92" i="21"/>
  <c r="BO91" i="21"/>
  <c r="BL91" i="21"/>
  <c r="BI91" i="21"/>
  <c r="BF91" i="21"/>
  <c r="BC91" i="21"/>
  <c r="AS91" i="21"/>
  <c r="AV91" i="21" s="1"/>
  <c r="AR91" i="21"/>
  <c r="AQ91" i="21"/>
  <c r="AN91" i="21"/>
  <c r="AK91" i="21"/>
  <c r="AH91" i="21"/>
  <c r="AE91" i="21"/>
  <c r="BO90" i="21"/>
  <c r="BL90" i="21"/>
  <c r="BI90" i="21"/>
  <c r="BF90" i="21"/>
  <c r="BC90" i="21"/>
  <c r="AS90" i="21"/>
  <c r="AV90" i="21" s="1"/>
  <c r="AR90" i="21"/>
  <c r="AU90" i="21" s="1"/>
  <c r="AQ90" i="21"/>
  <c r="AN90" i="21"/>
  <c r="AK90" i="21"/>
  <c r="AH90" i="21"/>
  <c r="AE90" i="21"/>
  <c r="BO89" i="21"/>
  <c r="BL89" i="21"/>
  <c r="BI89" i="21"/>
  <c r="BF89" i="21"/>
  <c r="BC89" i="21"/>
  <c r="AS89" i="21"/>
  <c r="AV89" i="21" s="1"/>
  <c r="AR89" i="21"/>
  <c r="AQ89" i="21"/>
  <c r="AN89" i="21"/>
  <c r="AK89" i="21"/>
  <c r="AH89" i="21"/>
  <c r="AE89" i="21"/>
  <c r="BO88" i="21"/>
  <c r="BL88" i="21"/>
  <c r="BI88" i="21"/>
  <c r="BF88" i="21"/>
  <c r="BC88" i="21"/>
  <c r="AS88" i="21"/>
  <c r="AT88" i="21" s="1"/>
  <c r="AR88" i="21"/>
  <c r="AU88" i="21" s="1"/>
  <c r="AQ88" i="21"/>
  <c r="AN88" i="21"/>
  <c r="AK88" i="21"/>
  <c r="AH88" i="21"/>
  <c r="AE88" i="21"/>
  <c r="BO87" i="21"/>
  <c r="BL87" i="21"/>
  <c r="BI87" i="21"/>
  <c r="BF87" i="21"/>
  <c r="BC87" i="21"/>
  <c r="AS87" i="21"/>
  <c r="AV87" i="21" s="1"/>
  <c r="AR87" i="21"/>
  <c r="AQ87" i="21"/>
  <c r="AN87" i="21"/>
  <c r="AK87" i="21"/>
  <c r="AH87" i="21"/>
  <c r="AE87" i="21"/>
  <c r="BO86" i="21"/>
  <c r="BL86" i="21"/>
  <c r="BI86" i="21"/>
  <c r="BF86" i="21"/>
  <c r="BC86" i="21"/>
  <c r="AS86" i="21"/>
  <c r="AT86" i="21" s="1"/>
  <c r="AR86" i="21"/>
  <c r="AU86" i="21" s="1"/>
  <c r="AQ86" i="21"/>
  <c r="AN86" i="21"/>
  <c r="AK86" i="21"/>
  <c r="AH86" i="21"/>
  <c r="AE86" i="21"/>
  <c r="BO85" i="21"/>
  <c r="BL85" i="21"/>
  <c r="BI85" i="21"/>
  <c r="BF85" i="21"/>
  <c r="BC85" i="21"/>
  <c r="AU85" i="21"/>
  <c r="AS85" i="21"/>
  <c r="AR85" i="21"/>
  <c r="AQ85" i="21"/>
  <c r="AN85" i="21"/>
  <c r="AK85" i="21"/>
  <c r="AH85" i="21"/>
  <c r="AE85" i="21"/>
  <c r="AB85" i="21"/>
  <c r="M85" i="21"/>
  <c r="J85" i="21"/>
  <c r="BO84" i="21"/>
  <c r="BL84" i="21"/>
  <c r="BI84" i="21"/>
  <c r="BF84" i="21"/>
  <c r="BC84" i="21"/>
  <c r="AS84" i="21"/>
  <c r="AV84" i="21" s="1"/>
  <c r="AR84" i="21"/>
  <c r="AQ84" i="21"/>
  <c r="AN84" i="21"/>
  <c r="AK84" i="21"/>
  <c r="AH84" i="21"/>
  <c r="AE84" i="21"/>
  <c r="BO83" i="21"/>
  <c r="BL83" i="21"/>
  <c r="BI83" i="21"/>
  <c r="BF83" i="21"/>
  <c r="BC83" i="21"/>
  <c r="AS83" i="21"/>
  <c r="AV83" i="21" s="1"/>
  <c r="AR83" i="21"/>
  <c r="AU83" i="21" s="1"/>
  <c r="AQ83" i="21"/>
  <c r="AN83" i="21"/>
  <c r="AK83" i="21"/>
  <c r="AH83" i="21"/>
  <c r="AE83" i="21"/>
  <c r="BO82" i="21"/>
  <c r="BL82" i="21"/>
  <c r="BI82" i="21"/>
  <c r="BF82" i="21"/>
  <c r="BC82" i="21"/>
  <c r="AS82" i="21"/>
  <c r="AV82" i="21" s="1"/>
  <c r="AR82" i="21"/>
  <c r="AQ82" i="21"/>
  <c r="AN82" i="21"/>
  <c r="AK82" i="21"/>
  <c r="AH82" i="21"/>
  <c r="AE82" i="21"/>
  <c r="BO81" i="21"/>
  <c r="BL81" i="21"/>
  <c r="BI81" i="21"/>
  <c r="BF81" i="21"/>
  <c r="BC81" i="21"/>
  <c r="AV81" i="21"/>
  <c r="AS81" i="21"/>
  <c r="AR81" i="21"/>
  <c r="AU81" i="21" s="1"/>
  <c r="AQ81" i="21"/>
  <c r="AN81" i="21"/>
  <c r="AK81" i="21"/>
  <c r="AH81" i="21"/>
  <c r="AE81" i="21"/>
  <c r="BO80" i="21"/>
  <c r="BL80" i="21"/>
  <c r="BI80" i="21"/>
  <c r="BF80" i="21"/>
  <c r="BC80" i="21"/>
  <c r="CD80" i="21" s="1"/>
  <c r="CG80" i="21" s="1"/>
  <c r="AS80" i="21"/>
  <c r="AV80" i="21" s="1"/>
  <c r="AR80" i="21"/>
  <c r="AQ80" i="21"/>
  <c r="AN80" i="21"/>
  <c r="AK80" i="21"/>
  <c r="AH80" i="21"/>
  <c r="AE80" i="21"/>
  <c r="BO79" i="21"/>
  <c r="BL79" i="21"/>
  <c r="BI79" i="21"/>
  <c r="BF79" i="21"/>
  <c r="BC79" i="21"/>
  <c r="CD79" i="21" s="1"/>
  <c r="CG79" i="21" s="1"/>
  <c r="AS79" i="21"/>
  <c r="AV79" i="21" s="1"/>
  <c r="AR79" i="21"/>
  <c r="AU79" i="21" s="1"/>
  <c r="AX79" i="21" s="1"/>
  <c r="AQ79" i="21"/>
  <c r="AN79" i="21"/>
  <c r="AK79" i="21"/>
  <c r="AH79" i="21"/>
  <c r="AE79" i="21"/>
  <c r="AB79" i="21"/>
  <c r="BO78" i="21"/>
  <c r="BL78" i="21"/>
  <c r="BI78" i="21"/>
  <c r="BF78" i="21"/>
  <c r="BC78" i="21"/>
  <c r="AS78" i="21"/>
  <c r="AR78" i="21"/>
  <c r="AU78" i="21" s="1"/>
  <c r="AQ78" i="21"/>
  <c r="AN78" i="21"/>
  <c r="AK78" i="21"/>
  <c r="AH78" i="21"/>
  <c r="AE78" i="21"/>
  <c r="AB78" i="21"/>
  <c r="Y78" i="21"/>
  <c r="V78" i="21"/>
  <c r="S78" i="21"/>
  <c r="P78" i="21"/>
  <c r="M78" i="21"/>
  <c r="J78" i="21"/>
  <c r="BO77" i="21"/>
  <c r="BL77" i="21"/>
  <c r="BI77" i="21"/>
  <c r="BF77" i="21"/>
  <c r="BC77" i="21"/>
  <c r="CD77" i="21" s="1"/>
  <c r="CG77" i="21" s="1"/>
  <c r="AS77" i="21"/>
  <c r="AR77" i="21"/>
  <c r="AU77" i="21" s="1"/>
  <c r="AQ77" i="21"/>
  <c r="AN77" i="21"/>
  <c r="AK77" i="21"/>
  <c r="AH77" i="21"/>
  <c r="AE77" i="21"/>
  <c r="AB77" i="21"/>
  <c r="BO76" i="21"/>
  <c r="BL76" i="21"/>
  <c r="BI76" i="21"/>
  <c r="BF76" i="21"/>
  <c r="BC76" i="21"/>
  <c r="AS76" i="21"/>
  <c r="AV76" i="21" s="1"/>
  <c r="AY76" i="21" s="1"/>
  <c r="AR76" i="21"/>
  <c r="AU76" i="21" s="1"/>
  <c r="AQ76" i="21"/>
  <c r="AN76" i="21"/>
  <c r="AK76" i="21"/>
  <c r="AH76" i="21"/>
  <c r="AE76" i="21"/>
  <c r="AB76" i="21"/>
  <c r="Y76" i="21"/>
  <c r="V76" i="21"/>
  <c r="S76" i="21"/>
  <c r="P76" i="21"/>
  <c r="M76" i="21"/>
  <c r="J76" i="21"/>
  <c r="BO75" i="21"/>
  <c r="BL75" i="21"/>
  <c r="BI75" i="21"/>
  <c r="BF75" i="21"/>
  <c r="BC75" i="21"/>
  <c r="CD75" i="21" s="1"/>
  <c r="CG75" i="21" s="1"/>
  <c r="AS75" i="21"/>
  <c r="AV75" i="21" s="1"/>
  <c r="AR75" i="21"/>
  <c r="AU75" i="21" s="1"/>
  <c r="AX75" i="21" s="1"/>
  <c r="AQ75" i="21"/>
  <c r="AN75" i="21"/>
  <c r="AK75" i="21"/>
  <c r="AH75" i="21"/>
  <c r="AE75" i="21"/>
  <c r="AB75" i="21"/>
  <c r="Y75" i="21"/>
  <c r="V75" i="21"/>
  <c r="S75" i="21"/>
  <c r="P75" i="21"/>
  <c r="M75" i="21"/>
  <c r="J75" i="21"/>
  <c r="BO74" i="21"/>
  <c r="BL74" i="21"/>
  <c r="BI74" i="21"/>
  <c r="BF74" i="21"/>
  <c r="BC74" i="21"/>
  <c r="AS74" i="21"/>
  <c r="AV74" i="21" s="1"/>
  <c r="AR74" i="21"/>
  <c r="AU74" i="21" s="1"/>
  <c r="AX74" i="21" s="1"/>
  <c r="AQ74" i="21"/>
  <c r="AN74" i="21"/>
  <c r="AK74" i="21"/>
  <c r="AH74" i="21"/>
  <c r="AE74" i="21"/>
  <c r="AB74" i="21"/>
  <c r="Y74" i="21"/>
  <c r="V74" i="21"/>
  <c r="S74" i="21"/>
  <c r="P74" i="21"/>
  <c r="M74" i="21"/>
  <c r="J74" i="21"/>
  <c r="BO73" i="21"/>
  <c r="BL73" i="21"/>
  <c r="BI73" i="21"/>
  <c r="BF73" i="21"/>
  <c r="BC73" i="21"/>
  <c r="AS73" i="21"/>
  <c r="AV73" i="21" s="1"/>
  <c r="AR73" i="21"/>
  <c r="AU73" i="21" s="1"/>
  <c r="AX73" i="21" s="1"/>
  <c r="AQ73" i="21"/>
  <c r="AN73" i="21"/>
  <c r="AK73" i="21"/>
  <c r="AH73" i="21"/>
  <c r="AE73" i="21"/>
  <c r="AB73" i="21"/>
  <c r="Y73" i="21"/>
  <c r="V73" i="21"/>
  <c r="S73" i="21"/>
  <c r="P73" i="21"/>
  <c r="M73" i="21"/>
  <c r="J73" i="21"/>
  <c r="BO72" i="21"/>
  <c r="BL72" i="21"/>
  <c r="BI72" i="21"/>
  <c r="BF72" i="21"/>
  <c r="BC72" i="21"/>
  <c r="AS72" i="21"/>
  <c r="AV72" i="21" s="1"/>
  <c r="AR72" i="21"/>
  <c r="AU72" i="21" s="1"/>
  <c r="AX72" i="21" s="1"/>
  <c r="AQ72" i="21"/>
  <c r="AN72" i="21"/>
  <c r="AK72" i="21"/>
  <c r="AH72" i="21"/>
  <c r="AE72" i="21"/>
  <c r="AB72" i="21"/>
  <c r="Y72" i="21"/>
  <c r="V72" i="21"/>
  <c r="S72" i="21"/>
  <c r="P72" i="21"/>
  <c r="M72" i="21"/>
  <c r="J72" i="21"/>
  <c r="BO71" i="21"/>
  <c r="BL71" i="21"/>
  <c r="BI71" i="21"/>
  <c r="BF71" i="21"/>
  <c r="BC71" i="21"/>
  <c r="CD71" i="21" s="1"/>
  <c r="CG71" i="21" s="1"/>
  <c r="AS71" i="21"/>
  <c r="AV71" i="21" s="1"/>
  <c r="AR71" i="21"/>
  <c r="AU71" i="21" s="1"/>
  <c r="AX71" i="21" s="1"/>
  <c r="AQ71" i="21"/>
  <c r="AN71" i="21"/>
  <c r="AK71" i="21"/>
  <c r="AH71" i="21"/>
  <c r="AE71" i="21"/>
  <c r="AB71" i="21"/>
  <c r="Y71" i="21"/>
  <c r="V71" i="21"/>
  <c r="S71" i="21"/>
  <c r="P71" i="21"/>
  <c r="M71" i="21"/>
  <c r="J71" i="21"/>
  <c r="BO70" i="21"/>
  <c r="BL70" i="21"/>
  <c r="BI70" i="21"/>
  <c r="BF70" i="21"/>
  <c r="BC70" i="21"/>
  <c r="AS70" i="21"/>
  <c r="AV70" i="21" s="1"/>
  <c r="AR70" i="21"/>
  <c r="AU70" i="21" s="1"/>
  <c r="AX70" i="21" s="1"/>
  <c r="AQ70" i="21"/>
  <c r="AN70" i="21"/>
  <c r="AK70" i="21"/>
  <c r="AH70" i="21"/>
  <c r="AE70" i="21"/>
  <c r="AB70" i="21"/>
  <c r="Y70" i="21"/>
  <c r="V70" i="21"/>
  <c r="S70" i="21"/>
  <c r="P70" i="21"/>
  <c r="M70" i="21"/>
  <c r="J70" i="21"/>
  <c r="BO69" i="21"/>
  <c r="BL69" i="21"/>
  <c r="BI69" i="21"/>
  <c r="BF69" i="21"/>
  <c r="BC69" i="21"/>
  <c r="AS69" i="21"/>
  <c r="AV69" i="21" s="1"/>
  <c r="AR69" i="21"/>
  <c r="AU69" i="21" s="1"/>
  <c r="AX69" i="21" s="1"/>
  <c r="AQ69" i="21"/>
  <c r="AN69" i="21"/>
  <c r="AK69" i="21"/>
  <c r="AH69" i="21"/>
  <c r="AE69" i="21"/>
  <c r="AB69" i="21"/>
  <c r="Y69" i="21"/>
  <c r="V69" i="21"/>
  <c r="S69" i="21"/>
  <c r="P69" i="21"/>
  <c r="M69" i="21"/>
  <c r="J69" i="21"/>
  <c r="BO68" i="21"/>
  <c r="BL68" i="21"/>
  <c r="BI68" i="21"/>
  <c r="BF68" i="21"/>
  <c r="BC68" i="21"/>
  <c r="AS68" i="21"/>
  <c r="AV68" i="21" s="1"/>
  <c r="AR68" i="21"/>
  <c r="AU68" i="21" s="1"/>
  <c r="AX68" i="21" s="1"/>
  <c r="AQ68" i="21"/>
  <c r="AN68" i="21"/>
  <c r="AK68" i="21"/>
  <c r="AH68" i="21"/>
  <c r="AE68" i="21"/>
  <c r="AB68" i="21"/>
  <c r="Y68" i="21"/>
  <c r="V68" i="21"/>
  <c r="S68" i="21"/>
  <c r="P68" i="21"/>
  <c r="M68" i="21"/>
  <c r="J68" i="21"/>
  <c r="BO67" i="21"/>
  <c r="BL67" i="21"/>
  <c r="BI67" i="21"/>
  <c r="BF67" i="21"/>
  <c r="BC67" i="21"/>
  <c r="CD67" i="21" s="1"/>
  <c r="CG67" i="21" s="1"/>
  <c r="AS67" i="21"/>
  <c r="AV67" i="21" s="1"/>
  <c r="AR67" i="21"/>
  <c r="AU67" i="21" s="1"/>
  <c r="AX67" i="21" s="1"/>
  <c r="AQ67" i="21"/>
  <c r="AN67" i="21"/>
  <c r="AK67" i="21"/>
  <c r="AH67" i="21"/>
  <c r="AE67" i="21"/>
  <c r="AB67" i="21"/>
  <c r="Y67" i="21"/>
  <c r="V67" i="21"/>
  <c r="S67" i="21"/>
  <c r="P67" i="21"/>
  <c r="M67" i="21"/>
  <c r="J67" i="21"/>
  <c r="BO66" i="21"/>
  <c r="BL66" i="21"/>
  <c r="BI66" i="21"/>
  <c r="BF66" i="21"/>
  <c r="BC66" i="21"/>
  <c r="AS66" i="21"/>
  <c r="AV66" i="21" s="1"/>
  <c r="AR66" i="21"/>
  <c r="AU66" i="21" s="1"/>
  <c r="AX66" i="21" s="1"/>
  <c r="AQ66" i="21"/>
  <c r="AN66" i="21"/>
  <c r="AK66" i="21"/>
  <c r="AH66" i="21"/>
  <c r="AE66" i="21"/>
  <c r="AB66" i="21"/>
  <c r="Y66" i="21"/>
  <c r="V66" i="21"/>
  <c r="S66" i="21"/>
  <c r="P66" i="21"/>
  <c r="M66" i="21"/>
  <c r="J66" i="21"/>
  <c r="BO65" i="21"/>
  <c r="BL65" i="21"/>
  <c r="BI65" i="21"/>
  <c r="BF65" i="21"/>
  <c r="BC65" i="21"/>
  <c r="AS65" i="21"/>
  <c r="AV65" i="21" s="1"/>
  <c r="AR65" i="21"/>
  <c r="AU65" i="21" s="1"/>
  <c r="AX65" i="21" s="1"/>
  <c r="AQ65" i="21"/>
  <c r="AN65" i="21"/>
  <c r="AK65" i="21"/>
  <c r="AH65" i="21"/>
  <c r="AE65" i="21"/>
  <c r="AB65" i="21"/>
  <c r="Y65" i="21"/>
  <c r="V65" i="21"/>
  <c r="S65" i="21"/>
  <c r="P65" i="21"/>
  <c r="M65" i="21"/>
  <c r="J65" i="21"/>
  <c r="BO64" i="21"/>
  <c r="BL64" i="21"/>
  <c r="BI64" i="21"/>
  <c r="BF64" i="21"/>
  <c r="BC64" i="21"/>
  <c r="AS64" i="21"/>
  <c r="AV64" i="21" s="1"/>
  <c r="AR64" i="21"/>
  <c r="AU64" i="21" s="1"/>
  <c r="AX64" i="21" s="1"/>
  <c r="AQ64" i="21"/>
  <c r="AN64" i="21"/>
  <c r="AK64" i="21"/>
  <c r="AH64" i="21"/>
  <c r="AE64" i="21"/>
  <c r="AB64" i="21"/>
  <c r="Y64" i="21"/>
  <c r="V64" i="21"/>
  <c r="S64" i="21"/>
  <c r="P64" i="21"/>
  <c r="M64" i="21"/>
  <c r="J64" i="21"/>
  <c r="BO63" i="21"/>
  <c r="BL63" i="21"/>
  <c r="BI63" i="21"/>
  <c r="BF63" i="21"/>
  <c r="BC63" i="21"/>
  <c r="CD63" i="21" s="1"/>
  <c r="CG63" i="21" s="1"/>
  <c r="AS63" i="21"/>
  <c r="AV63" i="21" s="1"/>
  <c r="AR63" i="21"/>
  <c r="AU63" i="21" s="1"/>
  <c r="AX63" i="21" s="1"/>
  <c r="AQ63" i="21"/>
  <c r="AN63" i="21"/>
  <c r="AK63" i="21"/>
  <c r="AH63" i="21"/>
  <c r="AE63" i="21"/>
  <c r="AB63" i="21"/>
  <c r="Y63" i="21"/>
  <c r="V63" i="21"/>
  <c r="S63" i="21"/>
  <c r="P63" i="21"/>
  <c r="M63" i="21"/>
  <c r="J63" i="21"/>
  <c r="BO62" i="21"/>
  <c r="BL62" i="21"/>
  <c r="BI62" i="21"/>
  <c r="BF62" i="21"/>
  <c r="BC62" i="21"/>
  <c r="AS62" i="21"/>
  <c r="AV62" i="21" s="1"/>
  <c r="AR62" i="21"/>
  <c r="AU62" i="21" s="1"/>
  <c r="AX62" i="21" s="1"/>
  <c r="AQ62" i="21"/>
  <c r="AN62" i="21"/>
  <c r="AK62" i="21"/>
  <c r="AH62" i="21"/>
  <c r="AE62" i="21"/>
  <c r="AB62" i="21"/>
  <c r="Y62" i="21"/>
  <c r="V62" i="21"/>
  <c r="S62" i="21"/>
  <c r="P62" i="21"/>
  <c r="M62" i="21"/>
  <c r="J62" i="21"/>
  <c r="BO61" i="21"/>
  <c r="BL61" i="21"/>
  <c r="BI61" i="21"/>
  <c r="BF61" i="21"/>
  <c r="BC61" i="21"/>
  <c r="AS61" i="21"/>
  <c r="AV61" i="21" s="1"/>
  <c r="AR61" i="21"/>
  <c r="AU61" i="21" s="1"/>
  <c r="AX61" i="21" s="1"/>
  <c r="AQ61" i="21"/>
  <c r="AN61" i="21"/>
  <c r="AK61" i="21"/>
  <c r="AH61" i="21"/>
  <c r="AE61" i="21"/>
  <c r="AB61" i="21"/>
  <c r="Y61" i="21"/>
  <c r="V61" i="21"/>
  <c r="S61" i="21"/>
  <c r="P61" i="21"/>
  <c r="M61" i="21"/>
  <c r="J61" i="21"/>
  <c r="BO60" i="21"/>
  <c r="BL60" i="21"/>
  <c r="BI60" i="21"/>
  <c r="BF60" i="21"/>
  <c r="BC60" i="21"/>
  <c r="AS60" i="21"/>
  <c r="AV60" i="21" s="1"/>
  <c r="AR60" i="21"/>
  <c r="AU60" i="21" s="1"/>
  <c r="AX60" i="21" s="1"/>
  <c r="AQ60" i="21"/>
  <c r="AN60" i="21"/>
  <c r="AK60" i="21"/>
  <c r="AH60" i="21"/>
  <c r="AE60" i="21"/>
  <c r="AB60" i="21"/>
  <c r="Y60" i="21"/>
  <c r="V60" i="21"/>
  <c r="S60" i="21"/>
  <c r="P60" i="21"/>
  <c r="M60" i="21"/>
  <c r="J60" i="21"/>
  <c r="BO59" i="21"/>
  <c r="BL59" i="21"/>
  <c r="BI59" i="21"/>
  <c r="BF59" i="21"/>
  <c r="BC59" i="21"/>
  <c r="CD59" i="21" s="1"/>
  <c r="CG59" i="21" s="1"/>
  <c r="AS59" i="21"/>
  <c r="AV59" i="21" s="1"/>
  <c r="AY59" i="21" s="1"/>
  <c r="AR59" i="21"/>
  <c r="AU59" i="21" s="1"/>
  <c r="AQ59" i="21"/>
  <c r="AN59" i="21"/>
  <c r="AK59" i="21"/>
  <c r="AH59" i="21"/>
  <c r="AE59" i="21"/>
  <c r="AB59" i="21"/>
  <c r="Y59" i="21"/>
  <c r="V59" i="21"/>
  <c r="S59" i="21"/>
  <c r="P59" i="21"/>
  <c r="M59" i="21"/>
  <c r="J59" i="21"/>
  <c r="BO58" i="21"/>
  <c r="BL58" i="21"/>
  <c r="BI58" i="21"/>
  <c r="BF58" i="21"/>
  <c r="BC58" i="21"/>
  <c r="AS58" i="21"/>
  <c r="AV58" i="21" s="1"/>
  <c r="AY58" i="21" s="1"/>
  <c r="AR58" i="21"/>
  <c r="AU58" i="21" s="1"/>
  <c r="AQ58" i="21"/>
  <c r="AN58" i="21"/>
  <c r="AK58" i="21"/>
  <c r="AH58" i="21"/>
  <c r="AE58" i="21"/>
  <c r="AB58" i="21"/>
  <c r="Y58" i="21"/>
  <c r="V58" i="21"/>
  <c r="S58" i="21"/>
  <c r="P58" i="21"/>
  <c r="M58" i="21"/>
  <c r="J58" i="21"/>
  <c r="BO57" i="21"/>
  <c r="BL57" i="21"/>
  <c r="BI57" i="21"/>
  <c r="BF57" i="21"/>
  <c r="BC57" i="21"/>
  <c r="AS57" i="21"/>
  <c r="AV57" i="21" s="1"/>
  <c r="AY57" i="21" s="1"/>
  <c r="AR57" i="21"/>
  <c r="AU57" i="21" s="1"/>
  <c r="AQ57" i="21"/>
  <c r="AN57" i="21"/>
  <c r="AK57" i="21"/>
  <c r="AH57" i="21"/>
  <c r="AE57" i="21"/>
  <c r="AB57" i="21"/>
  <c r="Y57" i="21"/>
  <c r="V57" i="21"/>
  <c r="S57" i="21"/>
  <c r="P57" i="21"/>
  <c r="M57" i="21"/>
  <c r="J57" i="21"/>
  <c r="BO56" i="21"/>
  <c r="BL56" i="21"/>
  <c r="BI56" i="21"/>
  <c r="BF56" i="21"/>
  <c r="BC56" i="21"/>
  <c r="AS56" i="21"/>
  <c r="AV56" i="21" s="1"/>
  <c r="AY56" i="21" s="1"/>
  <c r="AR56" i="21"/>
  <c r="AU56" i="21" s="1"/>
  <c r="AQ56" i="21"/>
  <c r="AN56" i="21"/>
  <c r="AK56" i="21"/>
  <c r="AH56" i="21"/>
  <c r="AE56" i="21"/>
  <c r="AB56" i="21"/>
  <c r="Y56" i="21"/>
  <c r="V56" i="21"/>
  <c r="S56" i="21"/>
  <c r="P56" i="21"/>
  <c r="M56" i="21"/>
  <c r="J56" i="21"/>
  <c r="BO55" i="21"/>
  <c r="BL55" i="21"/>
  <c r="BI55" i="21"/>
  <c r="BF55" i="21"/>
  <c r="BC55" i="21"/>
  <c r="CD55" i="21" s="1"/>
  <c r="CG55" i="21" s="1"/>
  <c r="AS55" i="21"/>
  <c r="AV55" i="21" s="1"/>
  <c r="AY55" i="21" s="1"/>
  <c r="AR55" i="21"/>
  <c r="AU55" i="21" s="1"/>
  <c r="AQ55" i="21"/>
  <c r="AN55" i="21"/>
  <c r="AK55" i="21"/>
  <c r="AH55" i="21"/>
  <c r="AE55" i="21"/>
  <c r="AB55" i="21"/>
  <c r="Y55" i="21"/>
  <c r="V55" i="21"/>
  <c r="S55" i="21"/>
  <c r="P55" i="21"/>
  <c r="M55" i="21"/>
  <c r="J55" i="21"/>
  <c r="BO54" i="21"/>
  <c r="BL54" i="21"/>
  <c r="BI54" i="21"/>
  <c r="BF54" i="21"/>
  <c r="BC54" i="21"/>
  <c r="AS54" i="21"/>
  <c r="AV54" i="21" s="1"/>
  <c r="AY54" i="21" s="1"/>
  <c r="AR54" i="21"/>
  <c r="AU54" i="21" s="1"/>
  <c r="AQ54" i="21"/>
  <c r="AN54" i="21"/>
  <c r="AK54" i="21"/>
  <c r="AH54" i="21"/>
  <c r="AE54" i="21"/>
  <c r="AB54" i="21"/>
  <c r="Y54" i="21"/>
  <c r="V54" i="21"/>
  <c r="S54" i="21"/>
  <c r="P54" i="21"/>
  <c r="M54" i="21"/>
  <c r="J54" i="21"/>
  <c r="BO53" i="21"/>
  <c r="BL53" i="21"/>
  <c r="BI53" i="21"/>
  <c r="BF53" i="21"/>
  <c r="BC53" i="21"/>
  <c r="AS53" i="21"/>
  <c r="AV53" i="21" s="1"/>
  <c r="AY53" i="21" s="1"/>
  <c r="AR53" i="21"/>
  <c r="AU53" i="21" s="1"/>
  <c r="AQ53" i="21"/>
  <c r="AN53" i="21"/>
  <c r="AK53" i="21"/>
  <c r="AH53" i="21"/>
  <c r="AE53" i="21"/>
  <c r="AB53" i="21"/>
  <c r="Y53" i="21"/>
  <c r="V53" i="21"/>
  <c r="S53" i="21"/>
  <c r="P53" i="21"/>
  <c r="M53" i="21"/>
  <c r="J53" i="21"/>
  <c r="BO52" i="21"/>
  <c r="BL52" i="21"/>
  <c r="BI52" i="21"/>
  <c r="BF52" i="21"/>
  <c r="BC52" i="21"/>
  <c r="AS52" i="21"/>
  <c r="AV52" i="21" s="1"/>
  <c r="AY52" i="21" s="1"/>
  <c r="AR52" i="21"/>
  <c r="AU52" i="21" s="1"/>
  <c r="AQ52" i="21"/>
  <c r="AN52" i="21"/>
  <c r="AK52" i="21"/>
  <c r="AH52" i="21"/>
  <c r="AE52" i="21"/>
  <c r="AB52" i="21"/>
  <c r="Y52" i="21"/>
  <c r="V52" i="21"/>
  <c r="S52" i="21"/>
  <c r="P52" i="21"/>
  <c r="M52" i="21"/>
  <c r="J52" i="21"/>
  <c r="BO51" i="21"/>
  <c r="BL51" i="21"/>
  <c r="BI51" i="21"/>
  <c r="BF51" i="21"/>
  <c r="BC51" i="21"/>
  <c r="CD51" i="21" s="1"/>
  <c r="CG51" i="21" s="1"/>
  <c r="AS51" i="21"/>
  <c r="AV51" i="21" s="1"/>
  <c r="AY51" i="21" s="1"/>
  <c r="AR51" i="21"/>
  <c r="AU51" i="21" s="1"/>
  <c r="AQ51" i="21"/>
  <c r="AN51" i="21"/>
  <c r="AK51" i="21"/>
  <c r="AH51" i="21"/>
  <c r="AE51" i="21"/>
  <c r="AB51" i="21"/>
  <c r="Y51" i="21"/>
  <c r="V51" i="21"/>
  <c r="S51" i="21"/>
  <c r="P51" i="21"/>
  <c r="M51" i="21"/>
  <c r="J51" i="21"/>
  <c r="BO50" i="21"/>
  <c r="BL50" i="21"/>
  <c r="BI50" i="21"/>
  <c r="BF50" i="21"/>
  <c r="BC50" i="21"/>
  <c r="AS50" i="21"/>
  <c r="AV50" i="21" s="1"/>
  <c r="AY50" i="21" s="1"/>
  <c r="AR50" i="21"/>
  <c r="AU50" i="21" s="1"/>
  <c r="AQ50" i="21"/>
  <c r="AN50" i="21"/>
  <c r="AK50" i="21"/>
  <c r="AH50" i="21"/>
  <c r="AE50" i="21"/>
  <c r="AB50" i="21"/>
  <c r="Y50" i="21"/>
  <c r="V50" i="21"/>
  <c r="S50" i="21"/>
  <c r="P50" i="21"/>
  <c r="M50" i="21"/>
  <c r="J50" i="21"/>
  <c r="BO49" i="21"/>
  <c r="BL49" i="21"/>
  <c r="BI49" i="21"/>
  <c r="BF49" i="21"/>
  <c r="BC49" i="21"/>
  <c r="AS49" i="21"/>
  <c r="AV49" i="21" s="1"/>
  <c r="AY49" i="21" s="1"/>
  <c r="AR49" i="21"/>
  <c r="AU49" i="21" s="1"/>
  <c r="AQ49" i="21"/>
  <c r="AN49" i="21"/>
  <c r="AK49" i="21"/>
  <c r="AH49" i="21"/>
  <c r="AE49" i="21"/>
  <c r="AB49" i="21"/>
  <c r="Y49" i="21"/>
  <c r="V49" i="21"/>
  <c r="S49" i="21"/>
  <c r="P49" i="21"/>
  <c r="M49" i="21"/>
  <c r="J49" i="21"/>
  <c r="BO48" i="21"/>
  <c r="BL48" i="21"/>
  <c r="BI48" i="21"/>
  <c r="BF48" i="21"/>
  <c r="BC48" i="21"/>
  <c r="AS48" i="21"/>
  <c r="AV48" i="21" s="1"/>
  <c r="AY48" i="21" s="1"/>
  <c r="AR48" i="21"/>
  <c r="AU48" i="21" s="1"/>
  <c r="AQ48" i="21"/>
  <c r="AN48" i="21"/>
  <c r="AK48" i="21"/>
  <c r="AH48" i="21"/>
  <c r="AE48" i="21"/>
  <c r="AB48" i="21"/>
  <c r="Y48" i="21"/>
  <c r="V48" i="21"/>
  <c r="S48" i="21"/>
  <c r="P48" i="21"/>
  <c r="M48" i="21"/>
  <c r="J48" i="21"/>
  <c r="BO47" i="21"/>
  <c r="BL47" i="21"/>
  <c r="BI47" i="21"/>
  <c r="BF47" i="21"/>
  <c r="BC47" i="21"/>
  <c r="CD47" i="21" s="1"/>
  <c r="CG47" i="21" s="1"/>
  <c r="AS47" i="21"/>
  <c r="AV47" i="21" s="1"/>
  <c r="AY47" i="21" s="1"/>
  <c r="AR47" i="21"/>
  <c r="AU47" i="21" s="1"/>
  <c r="AQ47" i="21"/>
  <c r="AN47" i="21"/>
  <c r="AK47" i="21"/>
  <c r="AH47" i="21"/>
  <c r="AE47" i="21"/>
  <c r="AB47" i="21"/>
  <c r="Y47" i="21"/>
  <c r="V47" i="21"/>
  <c r="S47" i="21"/>
  <c r="P47" i="21"/>
  <c r="M47" i="21"/>
  <c r="J47" i="21"/>
  <c r="BO46" i="21"/>
  <c r="BL46" i="21"/>
  <c r="BI46" i="21"/>
  <c r="BF46" i="21"/>
  <c r="BC46" i="21"/>
  <c r="AS46" i="21"/>
  <c r="AV46" i="21" s="1"/>
  <c r="AY46" i="21" s="1"/>
  <c r="AR46" i="21"/>
  <c r="AU46" i="21" s="1"/>
  <c r="AQ46" i="21"/>
  <c r="AN46" i="21"/>
  <c r="AK46" i="21"/>
  <c r="AH46" i="21"/>
  <c r="AE46" i="21"/>
  <c r="AB46" i="21"/>
  <c r="Y46" i="21"/>
  <c r="V46" i="21"/>
  <c r="S46" i="21"/>
  <c r="P46" i="21"/>
  <c r="M46" i="21"/>
  <c r="J46" i="21"/>
  <c r="BO45" i="21"/>
  <c r="BL45" i="21"/>
  <c r="BI45" i="21"/>
  <c r="BF45" i="21"/>
  <c r="BC45" i="21"/>
  <c r="AS45" i="21"/>
  <c r="AV45" i="21" s="1"/>
  <c r="AY45" i="21" s="1"/>
  <c r="AR45" i="21"/>
  <c r="AU45" i="21" s="1"/>
  <c r="AQ45" i="21"/>
  <c r="AN45" i="21"/>
  <c r="AK45" i="21"/>
  <c r="AH45" i="21"/>
  <c r="AE45" i="21"/>
  <c r="AB45" i="21"/>
  <c r="Y45" i="21"/>
  <c r="V45" i="21"/>
  <c r="S45" i="21"/>
  <c r="P45" i="21"/>
  <c r="M45" i="21"/>
  <c r="J45" i="21"/>
  <c r="BO44" i="21"/>
  <c r="BL44" i="21"/>
  <c r="BI44" i="21"/>
  <c r="BF44" i="21"/>
  <c r="BC44" i="21"/>
  <c r="AS44" i="21"/>
  <c r="AV44" i="21" s="1"/>
  <c r="AY44" i="21" s="1"/>
  <c r="AR44" i="21"/>
  <c r="AU44" i="21" s="1"/>
  <c r="AQ44" i="21"/>
  <c r="AN44" i="21"/>
  <c r="AK44" i="21"/>
  <c r="AH44" i="21"/>
  <c r="AE44" i="21"/>
  <c r="AB44" i="21"/>
  <c r="Y44" i="21"/>
  <c r="V44" i="21"/>
  <c r="S44" i="21"/>
  <c r="P44" i="21"/>
  <c r="M44" i="21"/>
  <c r="J44" i="21"/>
  <c r="BO43" i="21"/>
  <c r="BL43" i="21"/>
  <c r="BI43" i="21"/>
  <c r="BF43" i="21"/>
  <c r="BC43" i="21"/>
  <c r="CD43" i="21" s="1"/>
  <c r="CG43" i="21" s="1"/>
  <c r="AS43" i="21"/>
  <c r="AV43" i="21" s="1"/>
  <c r="AY43" i="21" s="1"/>
  <c r="AR43" i="21"/>
  <c r="AU43" i="21" s="1"/>
  <c r="AQ43" i="21"/>
  <c r="AN43" i="21"/>
  <c r="AK43" i="21"/>
  <c r="AH43" i="21"/>
  <c r="AE43" i="21"/>
  <c r="AB43" i="21"/>
  <c r="Y43" i="21"/>
  <c r="V43" i="21"/>
  <c r="S43" i="21"/>
  <c r="P43" i="21"/>
  <c r="M43" i="21"/>
  <c r="J43" i="21"/>
  <c r="BO42" i="21"/>
  <c r="BL42" i="21"/>
  <c r="BI42" i="21"/>
  <c r="BF42" i="21"/>
  <c r="BC42" i="21"/>
  <c r="AS42" i="21"/>
  <c r="AV42" i="21" s="1"/>
  <c r="AY42" i="21" s="1"/>
  <c r="AR42" i="21"/>
  <c r="AU42" i="21" s="1"/>
  <c r="AQ42" i="21"/>
  <c r="AN42" i="21"/>
  <c r="AK42" i="21"/>
  <c r="AH42" i="21"/>
  <c r="AE42" i="21"/>
  <c r="AB42" i="21"/>
  <c r="Y42" i="21"/>
  <c r="V42" i="21"/>
  <c r="S42" i="21"/>
  <c r="P42" i="21"/>
  <c r="M42" i="21"/>
  <c r="J42" i="21"/>
  <c r="BO41" i="21"/>
  <c r="BL41" i="21"/>
  <c r="BI41" i="21"/>
  <c r="BF41" i="21"/>
  <c r="BC41" i="21"/>
  <c r="AS41" i="21"/>
  <c r="AV41" i="21" s="1"/>
  <c r="AY41" i="21" s="1"/>
  <c r="AR41" i="21"/>
  <c r="AU41" i="21" s="1"/>
  <c r="AQ41" i="21"/>
  <c r="AN41" i="21"/>
  <c r="AK41" i="21"/>
  <c r="AH41" i="21"/>
  <c r="AE41" i="21"/>
  <c r="AB41" i="21"/>
  <c r="Y41" i="21"/>
  <c r="V41" i="21"/>
  <c r="S41" i="21"/>
  <c r="P41" i="21"/>
  <c r="M41" i="21"/>
  <c r="J41" i="21"/>
  <c r="BO40" i="21"/>
  <c r="BL40" i="21"/>
  <c r="BI40" i="21"/>
  <c r="BF40" i="21"/>
  <c r="BC40" i="21"/>
  <c r="AS40" i="21"/>
  <c r="AV40" i="21" s="1"/>
  <c r="AY40" i="21" s="1"/>
  <c r="AR40" i="21"/>
  <c r="AU40" i="21" s="1"/>
  <c r="AQ40" i="21"/>
  <c r="AN40" i="21"/>
  <c r="AK40" i="21"/>
  <c r="AH40" i="21"/>
  <c r="AE40" i="21"/>
  <c r="AB40" i="21"/>
  <c r="Y40" i="21"/>
  <c r="V40" i="21"/>
  <c r="S40" i="21"/>
  <c r="P40" i="21"/>
  <c r="M40" i="21"/>
  <c r="J40" i="21"/>
  <c r="BO39" i="21"/>
  <c r="BL39" i="21"/>
  <c r="BI39" i="21"/>
  <c r="BF39" i="21"/>
  <c r="BC39" i="21"/>
  <c r="CD39" i="21" s="1"/>
  <c r="CG39" i="21" s="1"/>
  <c r="AS39" i="21"/>
  <c r="AV39" i="21" s="1"/>
  <c r="AY39" i="21" s="1"/>
  <c r="AR39" i="21"/>
  <c r="AU39" i="21" s="1"/>
  <c r="AQ39" i="21"/>
  <c r="AN39" i="21"/>
  <c r="AK39" i="21"/>
  <c r="AH39" i="21"/>
  <c r="AE39" i="21"/>
  <c r="AB39" i="21"/>
  <c r="Y39" i="21"/>
  <c r="V39" i="21"/>
  <c r="S39" i="21"/>
  <c r="P39" i="21"/>
  <c r="M39" i="21"/>
  <c r="J39" i="21"/>
  <c r="BO38" i="21"/>
  <c r="BL38" i="21"/>
  <c r="BI38" i="21"/>
  <c r="BF38" i="21"/>
  <c r="BC38" i="21"/>
  <c r="AS38" i="21"/>
  <c r="AV38" i="21" s="1"/>
  <c r="AY38" i="21" s="1"/>
  <c r="AR38" i="21"/>
  <c r="AU38" i="21" s="1"/>
  <c r="AQ38" i="21"/>
  <c r="AN38" i="21"/>
  <c r="AK38" i="21"/>
  <c r="AH38" i="21"/>
  <c r="AE38" i="21"/>
  <c r="AB38" i="21"/>
  <c r="Y38" i="21"/>
  <c r="V38" i="21"/>
  <c r="S38" i="21"/>
  <c r="P38" i="21"/>
  <c r="M38" i="21"/>
  <c r="J38" i="21"/>
  <c r="BO37" i="21"/>
  <c r="BL37" i="21"/>
  <c r="BI37" i="21"/>
  <c r="BF37" i="21"/>
  <c r="BC37" i="21"/>
  <c r="AS37" i="21"/>
  <c r="AV37" i="21" s="1"/>
  <c r="AY37" i="21" s="1"/>
  <c r="AR37" i="21"/>
  <c r="AU37" i="21" s="1"/>
  <c r="AQ37" i="21"/>
  <c r="AN37" i="21"/>
  <c r="AK37" i="21"/>
  <c r="AH37" i="21"/>
  <c r="AE37" i="21"/>
  <c r="AB37" i="21"/>
  <c r="Y37" i="21"/>
  <c r="V37" i="21"/>
  <c r="S37" i="21"/>
  <c r="P37" i="21"/>
  <c r="M37" i="21"/>
  <c r="J37" i="21"/>
  <c r="BO36" i="21"/>
  <c r="BL36" i="21"/>
  <c r="BI36" i="21"/>
  <c r="BF36" i="21"/>
  <c r="BC36" i="21"/>
  <c r="AS36" i="21"/>
  <c r="AV36" i="21" s="1"/>
  <c r="AY36" i="21" s="1"/>
  <c r="AR36" i="21"/>
  <c r="AU36" i="21" s="1"/>
  <c r="AQ36" i="21"/>
  <c r="AN36" i="21"/>
  <c r="AK36" i="21"/>
  <c r="AH36" i="21"/>
  <c r="AE36" i="21"/>
  <c r="AB36" i="21"/>
  <c r="Y36" i="21"/>
  <c r="V36" i="21"/>
  <c r="S36" i="21"/>
  <c r="P36" i="21"/>
  <c r="M36" i="21"/>
  <c r="J36" i="21"/>
  <c r="BO35" i="21"/>
  <c r="BL35" i="21"/>
  <c r="BI35" i="21"/>
  <c r="BF35" i="21"/>
  <c r="BC35" i="21"/>
  <c r="CD35" i="21" s="1"/>
  <c r="CG35" i="21" s="1"/>
  <c r="AS35" i="21"/>
  <c r="AV35" i="21" s="1"/>
  <c r="AY35" i="21" s="1"/>
  <c r="AR35" i="21"/>
  <c r="AU35" i="21" s="1"/>
  <c r="AQ35" i="21"/>
  <c r="AN35" i="21"/>
  <c r="AK35" i="21"/>
  <c r="AH35" i="21"/>
  <c r="AE35" i="21"/>
  <c r="AB35" i="21"/>
  <c r="Y35" i="21"/>
  <c r="V35" i="21"/>
  <c r="S35" i="21"/>
  <c r="P35" i="21"/>
  <c r="M35" i="21"/>
  <c r="J35" i="21"/>
  <c r="BO34" i="21"/>
  <c r="BL34" i="21"/>
  <c r="BI34" i="21"/>
  <c r="BF34" i="21"/>
  <c r="BC34" i="21"/>
  <c r="AS34" i="21"/>
  <c r="AV34" i="21" s="1"/>
  <c r="AY34" i="21" s="1"/>
  <c r="AR34" i="21"/>
  <c r="AU34" i="21" s="1"/>
  <c r="AQ34" i="21"/>
  <c r="AN34" i="21"/>
  <c r="AK34" i="21"/>
  <c r="AH34" i="21"/>
  <c r="AE34" i="21"/>
  <c r="AB34" i="21"/>
  <c r="Y34" i="21"/>
  <c r="V34" i="21"/>
  <c r="S34" i="21"/>
  <c r="P34" i="21"/>
  <c r="M34" i="21"/>
  <c r="J34" i="21"/>
  <c r="BO33" i="21"/>
  <c r="BL33" i="21"/>
  <c r="BI33" i="21"/>
  <c r="BF33" i="21"/>
  <c r="BC33" i="21"/>
  <c r="AS33" i="21"/>
  <c r="AV33" i="21" s="1"/>
  <c r="AY33" i="21" s="1"/>
  <c r="AR33" i="21"/>
  <c r="AU33" i="21" s="1"/>
  <c r="AQ33" i="21"/>
  <c r="AN33" i="21"/>
  <c r="AK33" i="21"/>
  <c r="AH33" i="21"/>
  <c r="AE33" i="21"/>
  <c r="AB33" i="21"/>
  <c r="Y33" i="21"/>
  <c r="V33" i="21"/>
  <c r="S33" i="21"/>
  <c r="P33" i="21"/>
  <c r="M33" i="21"/>
  <c r="J33" i="21"/>
  <c r="BO32" i="21"/>
  <c r="BL32" i="21"/>
  <c r="BI32" i="21"/>
  <c r="BF32" i="21"/>
  <c r="BC32" i="21"/>
  <c r="AS32" i="21"/>
  <c r="AV32" i="21" s="1"/>
  <c r="AY32" i="21" s="1"/>
  <c r="AR32" i="21"/>
  <c r="AU32" i="21" s="1"/>
  <c r="AQ32" i="21"/>
  <c r="AN32" i="21"/>
  <c r="AK32" i="21"/>
  <c r="AH32" i="21"/>
  <c r="AE32" i="21"/>
  <c r="AB32" i="21"/>
  <c r="Y32" i="21"/>
  <c r="V32" i="21"/>
  <c r="S32" i="21"/>
  <c r="P32" i="21"/>
  <c r="M32" i="21"/>
  <c r="J32" i="21"/>
  <c r="BO31" i="21"/>
  <c r="BL31" i="21"/>
  <c r="BI31" i="21"/>
  <c r="BF31" i="21"/>
  <c r="BC31" i="21"/>
  <c r="CD31" i="21" s="1"/>
  <c r="CG31" i="21" s="1"/>
  <c r="AS31" i="21"/>
  <c r="AV31" i="21" s="1"/>
  <c r="AY31" i="21" s="1"/>
  <c r="AR31" i="21"/>
  <c r="AU31" i="21" s="1"/>
  <c r="AQ31" i="21"/>
  <c r="AN31" i="21"/>
  <c r="AK31" i="21"/>
  <c r="AH31" i="21"/>
  <c r="AE31" i="21"/>
  <c r="AB31" i="21"/>
  <c r="Y31" i="21"/>
  <c r="V31" i="21"/>
  <c r="S31" i="21"/>
  <c r="P31" i="21"/>
  <c r="M31" i="21"/>
  <c r="J31" i="21"/>
  <c r="BO30" i="21"/>
  <c r="BL30" i="21"/>
  <c r="BI30" i="21"/>
  <c r="BF30" i="21"/>
  <c r="BC30" i="21"/>
  <c r="AS30" i="21"/>
  <c r="AV30" i="21" s="1"/>
  <c r="AY30" i="21" s="1"/>
  <c r="AR30" i="21"/>
  <c r="AU30" i="21" s="1"/>
  <c r="AQ30" i="21"/>
  <c r="AN30" i="21"/>
  <c r="AK30" i="21"/>
  <c r="AH30" i="21"/>
  <c r="AE30" i="21"/>
  <c r="AB30" i="21"/>
  <c r="Y30" i="21"/>
  <c r="V30" i="21"/>
  <c r="S30" i="21"/>
  <c r="P30" i="21"/>
  <c r="M30" i="21"/>
  <c r="J30" i="21"/>
  <c r="BO29" i="21"/>
  <c r="BL29" i="21"/>
  <c r="BI29" i="21"/>
  <c r="BF29" i="21"/>
  <c r="BC29" i="21"/>
  <c r="AS29" i="21"/>
  <c r="AV29" i="21" s="1"/>
  <c r="AY29" i="21" s="1"/>
  <c r="AR29" i="21"/>
  <c r="AU29" i="21" s="1"/>
  <c r="AQ29" i="21"/>
  <c r="AN29" i="21"/>
  <c r="AK29" i="21"/>
  <c r="AH29" i="21"/>
  <c r="AE29" i="21"/>
  <c r="AB29" i="21"/>
  <c r="Y29" i="21"/>
  <c r="V29" i="21"/>
  <c r="S29" i="21"/>
  <c r="P29" i="21"/>
  <c r="M29" i="21"/>
  <c r="J29" i="21"/>
  <c r="BO28" i="21"/>
  <c r="BL28" i="21"/>
  <c r="BI28" i="21"/>
  <c r="BF28" i="21"/>
  <c r="BC28" i="21"/>
  <c r="CD28" i="21" s="1"/>
  <c r="CG28" i="21" s="1"/>
  <c r="AS28" i="21"/>
  <c r="AV28" i="21" s="1"/>
  <c r="AY28" i="21" s="1"/>
  <c r="AR28" i="21"/>
  <c r="AU28" i="21" s="1"/>
  <c r="AQ28" i="21"/>
  <c r="AN28" i="21"/>
  <c r="AK28" i="21"/>
  <c r="AH28" i="21"/>
  <c r="AE28" i="21"/>
  <c r="AB28" i="21"/>
  <c r="Y28" i="21"/>
  <c r="V28" i="21"/>
  <c r="S28" i="21"/>
  <c r="P28" i="21"/>
  <c r="M28" i="21"/>
  <c r="J28" i="21"/>
  <c r="BO27" i="21"/>
  <c r="BL27" i="21"/>
  <c r="BI27" i="21"/>
  <c r="BF27" i="21"/>
  <c r="BC27" i="21"/>
  <c r="AS27" i="21"/>
  <c r="AV27" i="21" s="1"/>
  <c r="AY27" i="21" s="1"/>
  <c r="AR27" i="21"/>
  <c r="AU27" i="21" s="1"/>
  <c r="AQ27" i="21"/>
  <c r="AN27" i="21"/>
  <c r="AK27" i="21"/>
  <c r="AH27" i="21"/>
  <c r="AE27" i="21"/>
  <c r="AB27" i="21"/>
  <c r="Y27" i="21"/>
  <c r="V27" i="21"/>
  <c r="S27" i="21"/>
  <c r="P27" i="21"/>
  <c r="M27" i="21"/>
  <c r="J27" i="21"/>
  <c r="BO26" i="21"/>
  <c r="BL26" i="21"/>
  <c r="BI26" i="21"/>
  <c r="BF26" i="21"/>
  <c r="BC26" i="21"/>
  <c r="AS26" i="21"/>
  <c r="AV26" i="21" s="1"/>
  <c r="AY26" i="21" s="1"/>
  <c r="AR26" i="21"/>
  <c r="AU26" i="21" s="1"/>
  <c r="AQ26" i="21"/>
  <c r="AN26" i="21"/>
  <c r="AK26" i="21"/>
  <c r="AH26" i="21"/>
  <c r="AE26" i="21"/>
  <c r="AB26" i="21"/>
  <c r="Y26" i="21"/>
  <c r="V26" i="21"/>
  <c r="S26" i="21"/>
  <c r="P26" i="21"/>
  <c r="M26" i="21"/>
  <c r="J26" i="21"/>
  <c r="BO25" i="21"/>
  <c r="BL25" i="21"/>
  <c r="BI25" i="21"/>
  <c r="BF25" i="21"/>
  <c r="BC25" i="21"/>
  <c r="AS25" i="21"/>
  <c r="AV25" i="21" s="1"/>
  <c r="AY25" i="21" s="1"/>
  <c r="AR25" i="21"/>
  <c r="AU25" i="21" s="1"/>
  <c r="AQ25" i="21"/>
  <c r="AN25" i="21"/>
  <c r="AK25" i="21"/>
  <c r="AH25" i="21"/>
  <c r="AE25" i="21"/>
  <c r="AB25" i="21"/>
  <c r="Y25" i="21"/>
  <c r="V25" i="21"/>
  <c r="S25" i="21"/>
  <c r="P25" i="21"/>
  <c r="M25" i="21"/>
  <c r="J25" i="21"/>
  <c r="BO24" i="21"/>
  <c r="BL24" i="21"/>
  <c r="BI24" i="21"/>
  <c r="BF24" i="21"/>
  <c r="BC24" i="21"/>
  <c r="CD24" i="21" s="1"/>
  <c r="CG24" i="21" s="1"/>
  <c r="AS24" i="21"/>
  <c r="AV24" i="21" s="1"/>
  <c r="AY24" i="21" s="1"/>
  <c r="AR24" i="21"/>
  <c r="AU24" i="21" s="1"/>
  <c r="AQ24" i="21"/>
  <c r="AN24" i="21"/>
  <c r="AK24" i="21"/>
  <c r="AH24" i="21"/>
  <c r="AE24" i="21"/>
  <c r="AB24" i="21"/>
  <c r="Y24" i="21"/>
  <c r="V24" i="21"/>
  <c r="S24" i="21"/>
  <c r="P24" i="21"/>
  <c r="M24" i="21"/>
  <c r="J24" i="21"/>
  <c r="BO23" i="21"/>
  <c r="BL23" i="21"/>
  <c r="BI23" i="21"/>
  <c r="BF23" i="21"/>
  <c r="BC23" i="21"/>
  <c r="AS23" i="21"/>
  <c r="AV23" i="21" s="1"/>
  <c r="AY23" i="21" s="1"/>
  <c r="AR23" i="21"/>
  <c r="AU23" i="21" s="1"/>
  <c r="AQ23" i="21"/>
  <c r="AN23" i="21"/>
  <c r="AK23" i="21"/>
  <c r="AH23" i="21"/>
  <c r="AE23" i="21"/>
  <c r="AB23" i="21"/>
  <c r="Y23" i="21"/>
  <c r="V23" i="21"/>
  <c r="S23" i="21"/>
  <c r="P23" i="21"/>
  <c r="M23" i="21"/>
  <c r="J23" i="21"/>
  <c r="BO22" i="21"/>
  <c r="BL22" i="21"/>
  <c r="BI22" i="21"/>
  <c r="BF22" i="21"/>
  <c r="BC22" i="21"/>
  <c r="AS22" i="21"/>
  <c r="AV22" i="21" s="1"/>
  <c r="AY22" i="21" s="1"/>
  <c r="AR22" i="21"/>
  <c r="AU22" i="21" s="1"/>
  <c r="AQ22" i="21"/>
  <c r="AN22" i="21"/>
  <c r="AK22" i="21"/>
  <c r="AH22" i="21"/>
  <c r="AE22" i="21"/>
  <c r="AB22" i="21"/>
  <c r="Y22" i="21"/>
  <c r="V22" i="21"/>
  <c r="S22" i="21"/>
  <c r="P22" i="21"/>
  <c r="M22" i="21"/>
  <c r="J22" i="21"/>
  <c r="BO21" i="21"/>
  <c r="BL21" i="21"/>
  <c r="BI21" i="21"/>
  <c r="BF21" i="21"/>
  <c r="BC21" i="21"/>
  <c r="AS21" i="21"/>
  <c r="AV21" i="21" s="1"/>
  <c r="AY21" i="21" s="1"/>
  <c r="AR21" i="21"/>
  <c r="AU21" i="21" s="1"/>
  <c r="AQ21" i="21"/>
  <c r="AN21" i="21"/>
  <c r="AK21" i="21"/>
  <c r="AH21" i="21"/>
  <c r="AE21" i="21"/>
  <c r="AB21" i="21"/>
  <c r="Y21" i="21"/>
  <c r="V21" i="21"/>
  <c r="S21" i="21"/>
  <c r="P21" i="21"/>
  <c r="M21" i="21"/>
  <c r="J21" i="21"/>
  <c r="BO20" i="21"/>
  <c r="BL20" i="21"/>
  <c r="BI20" i="21"/>
  <c r="BF20" i="21"/>
  <c r="BC20" i="21"/>
  <c r="CD20" i="21" s="1"/>
  <c r="CG20" i="21" s="1"/>
  <c r="AS20" i="21"/>
  <c r="AV20" i="21" s="1"/>
  <c r="AY20" i="21" s="1"/>
  <c r="AR20" i="21"/>
  <c r="AU20" i="21" s="1"/>
  <c r="AQ20" i="21"/>
  <c r="AN20" i="21"/>
  <c r="AK20" i="21"/>
  <c r="AH20" i="21"/>
  <c r="AE20" i="21"/>
  <c r="AB20" i="21"/>
  <c r="Y20" i="21"/>
  <c r="V20" i="21"/>
  <c r="S20" i="21"/>
  <c r="P20" i="21"/>
  <c r="M20" i="21"/>
  <c r="J20" i="21"/>
  <c r="BO19" i="21"/>
  <c r="BL19" i="21"/>
  <c r="BI19" i="21"/>
  <c r="BF19" i="21"/>
  <c r="BC19" i="21"/>
  <c r="AS19" i="21"/>
  <c r="AV19" i="21" s="1"/>
  <c r="AY19" i="21" s="1"/>
  <c r="AR19" i="21"/>
  <c r="AU19" i="21" s="1"/>
  <c r="AQ19" i="21"/>
  <c r="AN19" i="21"/>
  <c r="AK19" i="21"/>
  <c r="AH19" i="21"/>
  <c r="AE19" i="21"/>
  <c r="AB19" i="21"/>
  <c r="Y19" i="21"/>
  <c r="V19" i="21"/>
  <c r="S19" i="21"/>
  <c r="P19" i="21"/>
  <c r="M19" i="21"/>
  <c r="J19" i="21"/>
  <c r="BO18" i="21"/>
  <c r="BL18" i="21"/>
  <c r="BI18" i="21"/>
  <c r="BF18" i="21"/>
  <c r="BC18" i="21"/>
  <c r="AS18" i="21"/>
  <c r="AV18" i="21" s="1"/>
  <c r="AY18" i="21" s="1"/>
  <c r="AR18" i="21"/>
  <c r="AU18" i="21" s="1"/>
  <c r="AQ18" i="21"/>
  <c r="AN18" i="21"/>
  <c r="AK18" i="21"/>
  <c r="AH18" i="21"/>
  <c r="AE18" i="21"/>
  <c r="AB18" i="21"/>
  <c r="Y18" i="21"/>
  <c r="V18" i="21"/>
  <c r="S18" i="21"/>
  <c r="P18" i="21"/>
  <c r="M18" i="21"/>
  <c r="J18" i="21"/>
  <c r="BO17" i="21"/>
  <c r="BL17" i="21"/>
  <c r="BI17" i="21"/>
  <c r="BF17" i="21"/>
  <c r="BC17" i="21"/>
  <c r="AS17" i="21"/>
  <c r="AV17" i="21" s="1"/>
  <c r="AY17" i="21" s="1"/>
  <c r="AR17" i="21"/>
  <c r="AU17" i="21" s="1"/>
  <c r="AQ17" i="21"/>
  <c r="AN17" i="21"/>
  <c r="AK17" i="21"/>
  <c r="AH17" i="21"/>
  <c r="AE17" i="21"/>
  <c r="AB17" i="21"/>
  <c r="Y17" i="21"/>
  <c r="V17" i="21"/>
  <c r="S17" i="21"/>
  <c r="P17" i="21"/>
  <c r="M17" i="21"/>
  <c r="J17" i="21"/>
  <c r="BO16" i="21"/>
  <c r="BL16" i="21"/>
  <c r="BI16" i="21"/>
  <c r="BF16" i="21"/>
  <c r="BC16" i="21"/>
  <c r="CD16" i="21" s="1"/>
  <c r="CG16" i="21" s="1"/>
  <c r="AS16" i="21"/>
  <c r="AV16" i="21" s="1"/>
  <c r="AY16" i="21" s="1"/>
  <c r="AR16" i="21"/>
  <c r="AU16" i="21" s="1"/>
  <c r="AQ16" i="21"/>
  <c r="AN16" i="21"/>
  <c r="AK16" i="21"/>
  <c r="AH16" i="21"/>
  <c r="AE16" i="21"/>
  <c r="AB16" i="21"/>
  <c r="Y16" i="21"/>
  <c r="V16" i="21"/>
  <c r="S16" i="21"/>
  <c r="P16" i="21"/>
  <c r="M16" i="21"/>
  <c r="J16" i="21"/>
  <c r="BO15" i="21"/>
  <c r="BL15" i="21"/>
  <c r="BI15" i="21"/>
  <c r="BF15" i="21"/>
  <c r="BC15" i="21"/>
  <c r="AS15" i="21"/>
  <c r="AV15" i="21" s="1"/>
  <c r="AY15" i="21" s="1"/>
  <c r="AR15" i="21"/>
  <c r="AU15" i="21" s="1"/>
  <c r="AQ15" i="21"/>
  <c r="AN15" i="21"/>
  <c r="AK15" i="21"/>
  <c r="AH15" i="21"/>
  <c r="AE15" i="21"/>
  <c r="AB15" i="21"/>
  <c r="Y15" i="21"/>
  <c r="V15" i="21"/>
  <c r="S15" i="21"/>
  <c r="P15" i="21"/>
  <c r="M15" i="21"/>
  <c r="J15" i="21"/>
  <c r="BO14" i="21"/>
  <c r="BL14" i="21"/>
  <c r="BI14" i="21"/>
  <c r="BF14" i="21"/>
  <c r="BC14" i="21"/>
  <c r="AS14" i="21"/>
  <c r="AV14" i="21" s="1"/>
  <c r="AY14" i="21" s="1"/>
  <c r="AR14" i="21"/>
  <c r="AU14" i="21" s="1"/>
  <c r="AQ14" i="21"/>
  <c r="AN14" i="21"/>
  <c r="AK14" i="21"/>
  <c r="AH14" i="21"/>
  <c r="AE14" i="21"/>
  <c r="AB14" i="21"/>
  <c r="Y14" i="21"/>
  <c r="V14" i="21"/>
  <c r="S14" i="21"/>
  <c r="P14" i="21"/>
  <c r="M14" i="21"/>
  <c r="J14" i="21"/>
  <c r="BO13" i="21"/>
  <c r="BL13" i="21"/>
  <c r="BI13" i="21"/>
  <c r="BF13" i="21"/>
  <c r="BC13" i="21"/>
  <c r="AS13" i="21"/>
  <c r="AV13" i="21" s="1"/>
  <c r="AY13" i="21" s="1"/>
  <c r="AR13" i="21"/>
  <c r="AU13" i="21" s="1"/>
  <c r="AQ13" i="21"/>
  <c r="AN13" i="21"/>
  <c r="AK13" i="21"/>
  <c r="AH13" i="21"/>
  <c r="AE13" i="21"/>
  <c r="AB13" i="21"/>
  <c r="Y13" i="21"/>
  <c r="V13" i="21"/>
  <c r="S13" i="21"/>
  <c r="P13" i="21"/>
  <c r="M13" i="21"/>
  <c r="J13" i="21"/>
  <c r="BO12" i="21"/>
  <c r="BL12" i="21"/>
  <c r="BI12" i="21"/>
  <c r="BF12" i="21"/>
  <c r="BC12" i="21"/>
  <c r="CD12" i="21" s="1"/>
  <c r="CG12" i="21" s="1"/>
  <c r="AS12" i="21"/>
  <c r="AV12" i="21" s="1"/>
  <c r="AY12" i="21" s="1"/>
  <c r="AR12" i="21"/>
  <c r="AU12" i="21" s="1"/>
  <c r="AQ12" i="21"/>
  <c r="AN12" i="21"/>
  <c r="AK12" i="21"/>
  <c r="AH12" i="21"/>
  <c r="AE12" i="21"/>
  <c r="AB12" i="21"/>
  <c r="Y12" i="21"/>
  <c r="V12" i="21"/>
  <c r="S12" i="21"/>
  <c r="P12" i="21"/>
  <c r="M12" i="21"/>
  <c r="J12" i="21"/>
  <c r="BO11" i="21"/>
  <c r="BL11" i="21"/>
  <c r="BI11" i="21"/>
  <c r="BF11" i="21"/>
  <c r="BC11" i="21"/>
  <c r="AS11" i="21"/>
  <c r="AV11" i="21" s="1"/>
  <c r="AY11" i="21" s="1"/>
  <c r="AR11" i="21"/>
  <c r="AU11" i="21" s="1"/>
  <c r="AQ11" i="21"/>
  <c r="AN11" i="21"/>
  <c r="AK11" i="21"/>
  <c r="AH11" i="21"/>
  <c r="AE11" i="21"/>
  <c r="AB11" i="21"/>
  <c r="Y11" i="21"/>
  <c r="V11" i="21"/>
  <c r="S11" i="21"/>
  <c r="P11" i="21"/>
  <c r="M11" i="21"/>
  <c r="J11" i="21"/>
  <c r="BO10" i="21"/>
  <c r="BL10" i="21"/>
  <c r="BI10" i="21"/>
  <c r="BF10" i="21"/>
  <c r="BC10" i="21"/>
  <c r="AS10" i="21"/>
  <c r="AV10" i="21" s="1"/>
  <c r="AY10" i="21" s="1"/>
  <c r="AR10" i="21"/>
  <c r="AU10" i="21" s="1"/>
  <c r="AQ10" i="21"/>
  <c r="AN10" i="21"/>
  <c r="AK10" i="21"/>
  <c r="AH10" i="21"/>
  <c r="AE10" i="21"/>
  <c r="AB10" i="21"/>
  <c r="Y10" i="21"/>
  <c r="V10" i="21"/>
  <c r="S10" i="21"/>
  <c r="M10" i="21"/>
  <c r="J10" i="21"/>
  <c r="BO9" i="21"/>
  <c r="BL9" i="21"/>
  <c r="BI9" i="21"/>
  <c r="BF9" i="21"/>
  <c r="BC9" i="21"/>
  <c r="CD9" i="21" s="1"/>
  <c r="CG9" i="21" s="1"/>
  <c r="AS9" i="21"/>
  <c r="AV9" i="21" s="1"/>
  <c r="AY9" i="21" s="1"/>
  <c r="AR9" i="21"/>
  <c r="AQ9" i="21"/>
  <c r="AN9" i="21"/>
  <c r="AK9" i="21"/>
  <c r="AH9" i="21"/>
  <c r="AE9" i="21"/>
  <c r="AB9" i="21"/>
  <c r="Y9" i="21"/>
  <c r="V9" i="21"/>
  <c r="S9" i="21"/>
  <c r="M9" i="21"/>
  <c r="J9" i="21"/>
  <c r="BO8" i="21"/>
  <c r="BL8" i="21"/>
  <c r="BI8" i="21"/>
  <c r="BI112" i="21" s="1"/>
  <c r="BF8" i="21"/>
  <c r="BC8" i="21"/>
  <c r="AS8" i="21"/>
  <c r="AV8" i="21" s="1"/>
  <c r="AY8" i="21" s="1"/>
  <c r="AR8" i="21"/>
  <c r="AU8" i="21" s="1"/>
  <c r="AQ8" i="21"/>
  <c r="AN8" i="21"/>
  <c r="AK8" i="21"/>
  <c r="AK112" i="21" s="1"/>
  <c r="AH8" i="21"/>
  <c r="AE8" i="21"/>
  <c r="AB8" i="21"/>
  <c r="Y8" i="21"/>
  <c r="Y112" i="21" s="1"/>
  <c r="V8" i="21"/>
  <c r="S8" i="21"/>
  <c r="M8" i="21"/>
  <c r="J8" i="21"/>
  <c r="J112" i="21" s="1"/>
  <c r="BO102" i="20"/>
  <c r="BL102" i="20"/>
  <c r="BI102" i="20"/>
  <c r="BF102" i="20"/>
  <c r="BC102" i="20"/>
  <c r="AZ102" i="20"/>
  <c r="CF8" i="20"/>
  <c r="CE8" i="20"/>
  <c r="AR9" i="20"/>
  <c r="AU9" i="20" s="1"/>
  <c r="AX9" i="20" s="1"/>
  <c r="BQ100" i="20"/>
  <c r="BQ103" i="20" s="1"/>
  <c r="BP100" i="20"/>
  <c r="BP105" i="20" s="1"/>
  <c r="BN100" i="20"/>
  <c r="BN103" i="20" s="1"/>
  <c r="BN104" i="20" s="1"/>
  <c r="BM100" i="20"/>
  <c r="BM103" i="20" s="1"/>
  <c r="BM104" i="20" s="1"/>
  <c r="BK100" i="20"/>
  <c r="BK105" i="20" s="1"/>
  <c r="BJ100" i="20"/>
  <c r="BJ105" i="20" s="1"/>
  <c r="BH100" i="20"/>
  <c r="BH103" i="20" s="1"/>
  <c r="BH104" i="20" s="1"/>
  <c r="BG100" i="20"/>
  <c r="BG105" i="20" s="1"/>
  <c r="BE100" i="20"/>
  <c r="BE105" i="20" s="1"/>
  <c r="BD100" i="20"/>
  <c r="BD103" i="20" s="1"/>
  <c r="BD104" i="20" s="1"/>
  <c r="BB100" i="20"/>
  <c r="BB105" i="20" s="1"/>
  <c r="BA100" i="20"/>
  <c r="BA105" i="20" s="1"/>
  <c r="AP100" i="20"/>
  <c r="AO100" i="20"/>
  <c r="AM100" i="20"/>
  <c r="AL100" i="20"/>
  <c r="AJ100" i="20"/>
  <c r="AI100" i="20"/>
  <c r="AG100" i="20"/>
  <c r="AF100" i="20"/>
  <c r="AD100" i="20"/>
  <c r="AC100" i="20"/>
  <c r="AA100" i="20"/>
  <c r="Z100" i="20"/>
  <c r="X100" i="20"/>
  <c r="W100" i="20"/>
  <c r="U100" i="20"/>
  <c r="T100" i="20"/>
  <c r="R100" i="20"/>
  <c r="Q100" i="20"/>
  <c r="O100" i="20"/>
  <c r="N100" i="20"/>
  <c r="L100" i="20"/>
  <c r="K100" i="20"/>
  <c r="I100" i="20"/>
  <c r="H100" i="20"/>
  <c r="F100" i="20"/>
  <c r="BR99" i="20"/>
  <c r="BO99" i="20"/>
  <c r="BL99" i="20"/>
  <c r="BI99" i="20"/>
  <c r="BF99" i="20"/>
  <c r="BC99" i="20"/>
  <c r="AS99" i="20"/>
  <c r="AV99" i="20" s="1"/>
  <c r="AR99" i="20"/>
  <c r="AU99" i="20" s="1"/>
  <c r="AQ99" i="20"/>
  <c r="AN99" i="20"/>
  <c r="BR98" i="20"/>
  <c r="BO98" i="20"/>
  <c r="BL98" i="20"/>
  <c r="BI98" i="20"/>
  <c r="BF98" i="20"/>
  <c r="BR97" i="20"/>
  <c r="BO97" i="20"/>
  <c r="BL97" i="20"/>
  <c r="BI97" i="20"/>
  <c r="BF97" i="20"/>
  <c r="CD97" i="20" s="1"/>
  <c r="CG97" i="20" s="1"/>
  <c r="BR96" i="20"/>
  <c r="BO96" i="20"/>
  <c r="BL96" i="20"/>
  <c r="BI96" i="20"/>
  <c r="BF96" i="20"/>
  <c r="BR95" i="20"/>
  <c r="BO95" i="20"/>
  <c r="BL95" i="20"/>
  <c r="BI95" i="20"/>
  <c r="BF95" i="20"/>
  <c r="BR94" i="20"/>
  <c r="BO94" i="20"/>
  <c r="BL94" i="20"/>
  <c r="BI94" i="20"/>
  <c r="BF94" i="20"/>
  <c r="BC94" i="20"/>
  <c r="CD94" i="20" s="1"/>
  <c r="CG94" i="20" s="1"/>
  <c r="AV94" i="20"/>
  <c r="AR94" i="20"/>
  <c r="AU94" i="20" s="1"/>
  <c r="AQ94" i="20"/>
  <c r="BR93" i="20"/>
  <c r="BO93" i="20"/>
  <c r="BL93" i="20"/>
  <c r="BI93" i="20"/>
  <c r="BF93" i="20"/>
  <c r="BC93" i="20"/>
  <c r="AV93" i="20"/>
  <c r="AR93" i="20"/>
  <c r="AU93" i="20" s="1"/>
  <c r="AQ93" i="20"/>
  <c r="BR92" i="20"/>
  <c r="BO92" i="20"/>
  <c r="BL92" i="20"/>
  <c r="BI92" i="20"/>
  <c r="BF92" i="20"/>
  <c r="BC92" i="20"/>
  <c r="AV92" i="20"/>
  <c r="AR92" i="20"/>
  <c r="AU92" i="20" s="1"/>
  <c r="AQ92" i="20"/>
  <c r="BR91" i="20"/>
  <c r="BO91" i="20"/>
  <c r="BL91" i="20"/>
  <c r="BI91" i="20"/>
  <c r="BF91" i="20"/>
  <c r="BC91" i="20"/>
  <c r="AV91" i="20"/>
  <c r="AR91" i="20"/>
  <c r="AU91" i="20" s="1"/>
  <c r="AQ91" i="20"/>
  <c r="BR90" i="20"/>
  <c r="BO90" i="20"/>
  <c r="BL90" i="20"/>
  <c r="BI90" i="20"/>
  <c r="BF90" i="20"/>
  <c r="BC90" i="20"/>
  <c r="CD90" i="20" s="1"/>
  <c r="CG90" i="20" s="1"/>
  <c r="AV90" i="20"/>
  <c r="AR90" i="20"/>
  <c r="AU90" i="20" s="1"/>
  <c r="AQ90" i="20"/>
  <c r="BR89" i="20"/>
  <c r="BO89" i="20"/>
  <c r="BL89" i="20"/>
  <c r="BI89" i="20"/>
  <c r="BF89" i="20"/>
  <c r="BC89" i="20"/>
  <c r="AV89" i="20"/>
  <c r="AR89" i="20"/>
  <c r="AU89" i="20" s="1"/>
  <c r="AQ89" i="20"/>
  <c r="BR88" i="20"/>
  <c r="BO88" i="20"/>
  <c r="BL88" i="20"/>
  <c r="BI88" i="20"/>
  <c r="BF88" i="20"/>
  <c r="BC88" i="20"/>
  <c r="AS88" i="20"/>
  <c r="AR88" i="20"/>
  <c r="AU88" i="20" s="1"/>
  <c r="AQ88" i="20"/>
  <c r="AN88" i="20"/>
  <c r="BR87" i="20"/>
  <c r="BO87" i="20"/>
  <c r="BL87" i="20"/>
  <c r="BI87" i="20"/>
  <c r="BF87" i="20"/>
  <c r="BC87" i="20"/>
  <c r="CD87" i="20" s="1"/>
  <c r="CG87" i="20" s="1"/>
  <c r="AS87" i="20"/>
  <c r="AR87" i="20"/>
  <c r="AU87" i="20" s="1"/>
  <c r="AQ87" i="20"/>
  <c r="AN87" i="20"/>
  <c r="BR86" i="20"/>
  <c r="BO86" i="20"/>
  <c r="BL86" i="20"/>
  <c r="BI86" i="20"/>
  <c r="BF86" i="20"/>
  <c r="BC86" i="20"/>
  <c r="AS86" i="20"/>
  <c r="AV86" i="20" s="1"/>
  <c r="AR86" i="20"/>
  <c r="AQ86" i="20"/>
  <c r="AN86" i="20"/>
  <c r="BR85" i="20"/>
  <c r="BO85" i="20"/>
  <c r="BL85" i="20"/>
  <c r="BI85" i="20"/>
  <c r="BF85" i="20"/>
  <c r="BC85" i="20"/>
  <c r="CD85" i="20" s="1"/>
  <c r="CG85" i="20" s="1"/>
  <c r="AS85" i="20"/>
  <c r="AV85" i="20" s="1"/>
  <c r="AY85" i="20" s="1"/>
  <c r="AR85" i="20"/>
  <c r="AU85" i="20" s="1"/>
  <c r="AQ85" i="20"/>
  <c r="AN85" i="20"/>
  <c r="AK85" i="20"/>
  <c r="AH85" i="20"/>
  <c r="AE85" i="20"/>
  <c r="AB85" i="20"/>
  <c r="Y85" i="20"/>
  <c r="V85" i="20"/>
  <c r="S85" i="20"/>
  <c r="M85" i="20"/>
  <c r="J85" i="20"/>
  <c r="BR84" i="20"/>
  <c r="BO84" i="20"/>
  <c r="BL84" i="20"/>
  <c r="BI84" i="20"/>
  <c r="BF84" i="20"/>
  <c r="BC84" i="20"/>
  <c r="AS84" i="20"/>
  <c r="AV84" i="20" s="1"/>
  <c r="AR84" i="20"/>
  <c r="AU84" i="20" s="1"/>
  <c r="AQ84" i="20"/>
  <c r="AN84" i="20"/>
  <c r="BR83" i="20"/>
  <c r="BO83" i="20"/>
  <c r="BL83" i="20"/>
  <c r="BI83" i="20"/>
  <c r="BF83" i="20"/>
  <c r="BC83" i="20"/>
  <c r="AS83" i="20"/>
  <c r="AR83" i="20"/>
  <c r="AU83" i="20" s="1"/>
  <c r="AQ83" i="20"/>
  <c r="AN83" i="20"/>
  <c r="BR82" i="20"/>
  <c r="BO82" i="20"/>
  <c r="BL82" i="20"/>
  <c r="BI82" i="20"/>
  <c r="BF82" i="20"/>
  <c r="BC82" i="20"/>
  <c r="AS82" i="20"/>
  <c r="AV82" i="20" s="1"/>
  <c r="AR82" i="20"/>
  <c r="AQ82" i="20"/>
  <c r="AN82" i="20"/>
  <c r="AK82" i="20"/>
  <c r="BR81" i="20"/>
  <c r="BO81" i="20"/>
  <c r="BL81" i="20"/>
  <c r="BI81" i="20"/>
  <c r="BF81" i="20"/>
  <c r="BC81" i="20"/>
  <c r="AS81" i="20"/>
  <c r="AV81" i="20" s="1"/>
  <c r="AR81" i="20"/>
  <c r="AQ81" i="20"/>
  <c r="AN81" i="20"/>
  <c r="AK81" i="20"/>
  <c r="BR80" i="20"/>
  <c r="BO80" i="20"/>
  <c r="BL80" i="20"/>
  <c r="BI80" i="20"/>
  <c r="BF80" i="20"/>
  <c r="BC80" i="20"/>
  <c r="AS80" i="20"/>
  <c r="AV80" i="20" s="1"/>
  <c r="AR80" i="20"/>
  <c r="AQ80" i="20"/>
  <c r="AN80" i="20"/>
  <c r="AK80" i="20"/>
  <c r="BR79" i="20"/>
  <c r="BO79" i="20"/>
  <c r="BL79" i="20"/>
  <c r="BI79" i="20"/>
  <c r="BF79" i="20"/>
  <c r="BC79" i="20"/>
  <c r="CD79" i="20" s="1"/>
  <c r="CG79" i="20" s="1"/>
  <c r="AS79" i="20"/>
  <c r="AR79" i="20"/>
  <c r="AU79" i="20" s="1"/>
  <c r="AQ79" i="20"/>
  <c r="AN79" i="20"/>
  <c r="AK79" i="20"/>
  <c r="BR78" i="20"/>
  <c r="BO78" i="20"/>
  <c r="BL78" i="20"/>
  <c r="BI78" i="20"/>
  <c r="BF78" i="20"/>
  <c r="BC78" i="20"/>
  <c r="AS78" i="20"/>
  <c r="AT78" i="20" s="1"/>
  <c r="AR78" i="20"/>
  <c r="AU78" i="20" s="1"/>
  <c r="AQ78" i="20"/>
  <c r="AN78" i="20"/>
  <c r="AK78" i="20"/>
  <c r="BR77" i="20"/>
  <c r="BO77" i="20"/>
  <c r="BL77" i="20"/>
  <c r="BI77" i="20"/>
  <c r="BF77" i="20"/>
  <c r="BC77" i="20"/>
  <c r="AS77" i="20"/>
  <c r="AR77" i="20"/>
  <c r="AU77" i="20" s="1"/>
  <c r="AQ77" i="20"/>
  <c r="AN77" i="20"/>
  <c r="AK77" i="20"/>
  <c r="BR76" i="20"/>
  <c r="BO76" i="20"/>
  <c r="BL76" i="20"/>
  <c r="BI76" i="20"/>
  <c r="BF76" i="20"/>
  <c r="BC76" i="20"/>
  <c r="AS76" i="20"/>
  <c r="AR76" i="20"/>
  <c r="AU76" i="20" s="1"/>
  <c r="AQ76" i="20"/>
  <c r="AN76" i="20"/>
  <c r="AK76" i="20"/>
  <c r="BR75" i="20"/>
  <c r="BO75" i="20"/>
  <c r="BL75" i="20"/>
  <c r="BI75" i="20"/>
  <c r="BF75" i="20"/>
  <c r="BC75" i="20"/>
  <c r="CD75" i="20" s="1"/>
  <c r="CG75" i="20" s="1"/>
  <c r="AS75" i="20"/>
  <c r="AR75" i="20"/>
  <c r="AU75" i="20" s="1"/>
  <c r="AQ75" i="20"/>
  <c r="AN75" i="20"/>
  <c r="AK75" i="20"/>
  <c r="BR74" i="20"/>
  <c r="BO74" i="20"/>
  <c r="BL74" i="20"/>
  <c r="BI74" i="20"/>
  <c r="BF74" i="20"/>
  <c r="BC74" i="20"/>
  <c r="AS74" i="20"/>
  <c r="AT74" i="20" s="1"/>
  <c r="AR74" i="20"/>
  <c r="AU74" i="20" s="1"/>
  <c r="AQ74" i="20"/>
  <c r="AN74" i="20"/>
  <c r="AK74" i="20"/>
  <c r="BR73" i="20"/>
  <c r="BO73" i="20"/>
  <c r="BL73" i="20"/>
  <c r="BI73" i="20"/>
  <c r="BF73" i="20"/>
  <c r="BC73" i="20"/>
  <c r="AS73" i="20"/>
  <c r="AR73" i="20"/>
  <c r="AU73" i="20" s="1"/>
  <c r="AQ73" i="20"/>
  <c r="AN73" i="20"/>
  <c r="AK73" i="20"/>
  <c r="BR72" i="20"/>
  <c r="BO72" i="20"/>
  <c r="BL72" i="20"/>
  <c r="BI72" i="20"/>
  <c r="BF72" i="20"/>
  <c r="BC72" i="20"/>
  <c r="AS72" i="20"/>
  <c r="AR72" i="20"/>
  <c r="AU72" i="20" s="1"/>
  <c r="AQ72" i="20"/>
  <c r="AN72" i="20"/>
  <c r="AK72" i="20"/>
  <c r="BR71" i="20"/>
  <c r="BO71" i="20"/>
  <c r="BL71" i="20"/>
  <c r="BI71" i="20"/>
  <c r="BF71" i="20"/>
  <c r="BC71" i="20"/>
  <c r="CD71" i="20" s="1"/>
  <c r="CG71" i="20" s="1"/>
  <c r="AS71" i="20"/>
  <c r="AR71" i="20"/>
  <c r="AU71" i="20" s="1"/>
  <c r="AQ71" i="20"/>
  <c r="AN71" i="20"/>
  <c r="AK71" i="20"/>
  <c r="BR70" i="20"/>
  <c r="BO70" i="20"/>
  <c r="BL70" i="20"/>
  <c r="BI70" i="20"/>
  <c r="BF70" i="20"/>
  <c r="BC70" i="20"/>
  <c r="AS70" i="20"/>
  <c r="AT70" i="20" s="1"/>
  <c r="AR70" i="20"/>
  <c r="AU70" i="20" s="1"/>
  <c r="AQ70" i="20"/>
  <c r="AN70" i="20"/>
  <c r="AK70" i="20"/>
  <c r="BR69" i="20"/>
  <c r="BO69" i="20"/>
  <c r="BL69" i="20"/>
  <c r="BI69" i="20"/>
  <c r="BF69" i="20"/>
  <c r="BC69" i="20"/>
  <c r="AS69" i="20"/>
  <c r="AR69" i="20"/>
  <c r="AU69" i="20" s="1"/>
  <c r="AQ69" i="20"/>
  <c r="AN69" i="20"/>
  <c r="AK69" i="20"/>
  <c r="BR68" i="20"/>
  <c r="BO68" i="20"/>
  <c r="BL68" i="20"/>
  <c r="BI68" i="20"/>
  <c r="BF68" i="20"/>
  <c r="BC68" i="20"/>
  <c r="AS68" i="20"/>
  <c r="AR68" i="20"/>
  <c r="AU68" i="20" s="1"/>
  <c r="AQ68" i="20"/>
  <c r="AN68" i="20"/>
  <c r="AK68" i="20"/>
  <c r="BR67" i="20"/>
  <c r="BO67" i="20"/>
  <c r="BL67" i="20"/>
  <c r="BI67" i="20"/>
  <c r="BF67" i="20"/>
  <c r="BC67" i="20"/>
  <c r="CD67" i="20" s="1"/>
  <c r="CG67" i="20" s="1"/>
  <c r="AS67" i="20"/>
  <c r="AR67" i="20"/>
  <c r="AU67" i="20" s="1"/>
  <c r="AQ67" i="20"/>
  <c r="AN67" i="20"/>
  <c r="AK67" i="20"/>
  <c r="BR66" i="20"/>
  <c r="BO66" i="20"/>
  <c r="BL66" i="20"/>
  <c r="BI66" i="20"/>
  <c r="BF66" i="20"/>
  <c r="BC66" i="20"/>
  <c r="AS66" i="20"/>
  <c r="AT66" i="20" s="1"/>
  <c r="AR66" i="20"/>
  <c r="AU66" i="20" s="1"/>
  <c r="AQ66" i="20"/>
  <c r="AN66" i="20"/>
  <c r="AK66" i="20"/>
  <c r="BR65" i="20"/>
  <c r="BO65" i="20"/>
  <c r="BL65" i="20"/>
  <c r="BI65" i="20"/>
  <c r="BF65" i="20"/>
  <c r="BC65" i="20"/>
  <c r="AS65" i="20"/>
  <c r="AR65" i="20"/>
  <c r="AU65" i="20" s="1"/>
  <c r="AQ65" i="20"/>
  <c r="AN65" i="20"/>
  <c r="AK65" i="20"/>
  <c r="BR64" i="20"/>
  <c r="BO64" i="20"/>
  <c r="BL64" i="20"/>
  <c r="BI64" i="20"/>
  <c r="BF64" i="20"/>
  <c r="BC64" i="20"/>
  <c r="AS64" i="20"/>
  <c r="AT64" i="20" s="1"/>
  <c r="AR64" i="20"/>
  <c r="AU64" i="20" s="1"/>
  <c r="AQ64" i="20"/>
  <c r="AN64" i="20"/>
  <c r="AK64" i="20"/>
  <c r="BR63" i="20"/>
  <c r="BO63" i="20"/>
  <c r="BL63" i="20"/>
  <c r="BI63" i="20"/>
  <c r="BF63" i="20"/>
  <c r="BC63" i="20"/>
  <c r="CD63" i="20" s="1"/>
  <c r="CG63" i="20" s="1"/>
  <c r="AS63" i="20"/>
  <c r="AR63" i="20"/>
  <c r="AU63" i="20" s="1"/>
  <c r="AQ63" i="20"/>
  <c r="AN63" i="20"/>
  <c r="AK63" i="20"/>
  <c r="BR62" i="20"/>
  <c r="BO62" i="20"/>
  <c r="BL62" i="20"/>
  <c r="BI62" i="20"/>
  <c r="BF62" i="20"/>
  <c r="BC62" i="20"/>
  <c r="AS62" i="20"/>
  <c r="AT62" i="20" s="1"/>
  <c r="AR62" i="20"/>
  <c r="AU62" i="20" s="1"/>
  <c r="AQ62" i="20"/>
  <c r="AN62" i="20"/>
  <c r="AK62" i="20"/>
  <c r="BR61" i="20"/>
  <c r="BO61" i="20"/>
  <c r="BL61" i="20"/>
  <c r="BI61" i="20"/>
  <c r="BF61" i="20"/>
  <c r="BC61" i="20"/>
  <c r="AS61" i="20"/>
  <c r="AR61" i="20"/>
  <c r="AU61" i="20" s="1"/>
  <c r="AQ61" i="20"/>
  <c r="AN61" i="20"/>
  <c r="AK61" i="20"/>
  <c r="BR60" i="20"/>
  <c r="BO60" i="20"/>
  <c r="BL60" i="20"/>
  <c r="BI60" i="20"/>
  <c r="BF60" i="20"/>
  <c r="BC60" i="20"/>
  <c r="AS60" i="20"/>
  <c r="AT60" i="20" s="1"/>
  <c r="AR60" i="20"/>
  <c r="AU60" i="20" s="1"/>
  <c r="AQ60" i="20"/>
  <c r="AN60" i="20"/>
  <c r="AK60" i="20"/>
  <c r="BR59" i="20"/>
  <c r="BO59" i="20"/>
  <c r="BL59" i="20"/>
  <c r="BI59" i="20"/>
  <c r="BF59" i="20"/>
  <c r="BC59" i="20"/>
  <c r="CD59" i="20" s="1"/>
  <c r="CG59" i="20" s="1"/>
  <c r="AS59" i="20"/>
  <c r="AR59" i="20"/>
  <c r="AU59" i="20" s="1"/>
  <c r="AQ59" i="20"/>
  <c r="AN59" i="20"/>
  <c r="AK59" i="20"/>
  <c r="BR58" i="20"/>
  <c r="BO58" i="20"/>
  <c r="BL58" i="20"/>
  <c r="BI58" i="20"/>
  <c r="BF58" i="20"/>
  <c r="BC58" i="20"/>
  <c r="AS58" i="20"/>
  <c r="AT58" i="20" s="1"/>
  <c r="AR58" i="20"/>
  <c r="AU58" i="20" s="1"/>
  <c r="AQ58" i="20"/>
  <c r="AN58" i="20"/>
  <c r="AK58" i="20"/>
  <c r="BR57" i="20"/>
  <c r="BO57" i="20"/>
  <c r="BL57" i="20"/>
  <c r="BI57" i="20"/>
  <c r="BF57" i="20"/>
  <c r="BC57" i="20"/>
  <c r="AS57" i="20"/>
  <c r="AR57" i="20"/>
  <c r="AU57" i="20" s="1"/>
  <c r="AQ57" i="20"/>
  <c r="AN57" i="20"/>
  <c r="AK57" i="20"/>
  <c r="BR56" i="20"/>
  <c r="BO56" i="20"/>
  <c r="BL56" i="20"/>
  <c r="BI56" i="20"/>
  <c r="BF56" i="20"/>
  <c r="BC56" i="20"/>
  <c r="AS56" i="20"/>
  <c r="AT56" i="20" s="1"/>
  <c r="AR56" i="20"/>
  <c r="AU56" i="20" s="1"/>
  <c r="AQ56" i="20"/>
  <c r="AN56" i="20"/>
  <c r="AK56" i="20"/>
  <c r="BR55" i="20"/>
  <c r="BO55" i="20"/>
  <c r="BL55" i="20"/>
  <c r="BI55" i="20"/>
  <c r="BF55" i="20"/>
  <c r="BC55" i="20"/>
  <c r="CD55" i="20" s="1"/>
  <c r="CG55" i="20" s="1"/>
  <c r="AS55" i="20"/>
  <c r="AR55" i="20"/>
  <c r="AU55" i="20" s="1"/>
  <c r="AQ55" i="20"/>
  <c r="AN55" i="20"/>
  <c r="AK55" i="20"/>
  <c r="BR54" i="20"/>
  <c r="BO54" i="20"/>
  <c r="BL54" i="20"/>
  <c r="BI54" i="20"/>
  <c r="BF54" i="20"/>
  <c r="BC54" i="20"/>
  <c r="AS54" i="20"/>
  <c r="AT54" i="20" s="1"/>
  <c r="AR54" i="20"/>
  <c r="AU54" i="20" s="1"/>
  <c r="AQ54" i="20"/>
  <c r="AN54" i="20"/>
  <c r="AK54" i="20"/>
  <c r="BR53" i="20"/>
  <c r="BO53" i="20"/>
  <c r="BL53" i="20"/>
  <c r="BI53" i="20"/>
  <c r="BF53" i="20"/>
  <c r="BC53" i="20"/>
  <c r="AS53" i="20"/>
  <c r="AR53" i="20"/>
  <c r="AU53" i="20" s="1"/>
  <c r="AQ53" i="20"/>
  <c r="AN53" i="20"/>
  <c r="AK53" i="20"/>
  <c r="BR52" i="20"/>
  <c r="BO52" i="20"/>
  <c r="BL52" i="20"/>
  <c r="BI52" i="20"/>
  <c r="BF52" i="20"/>
  <c r="BC52" i="20"/>
  <c r="AS52" i="20"/>
  <c r="AT52" i="20" s="1"/>
  <c r="AR52" i="20"/>
  <c r="AU52" i="20" s="1"/>
  <c r="AQ52" i="20"/>
  <c r="AN52" i="20"/>
  <c r="AK52" i="20"/>
  <c r="BR51" i="20"/>
  <c r="BO51" i="20"/>
  <c r="BL51" i="20"/>
  <c r="BI51" i="20"/>
  <c r="BF51" i="20"/>
  <c r="BC51" i="20"/>
  <c r="CD51" i="20" s="1"/>
  <c r="CG51" i="20" s="1"/>
  <c r="AS51" i="20"/>
  <c r="AR51" i="20"/>
  <c r="AU51" i="20" s="1"/>
  <c r="AQ51" i="20"/>
  <c r="AN51" i="20"/>
  <c r="AK51" i="20"/>
  <c r="BR50" i="20"/>
  <c r="BO50" i="20"/>
  <c r="BL50" i="20"/>
  <c r="BI50" i="20"/>
  <c r="BF50" i="20"/>
  <c r="BC50" i="20"/>
  <c r="AS50" i="20"/>
  <c r="AT50" i="20" s="1"/>
  <c r="AR50" i="20"/>
  <c r="AU50" i="20" s="1"/>
  <c r="AQ50" i="20"/>
  <c r="AN50" i="20"/>
  <c r="AK50" i="20"/>
  <c r="BR49" i="20"/>
  <c r="BO49" i="20"/>
  <c r="BL49" i="20"/>
  <c r="BI49" i="20"/>
  <c r="BF49" i="20"/>
  <c r="BC49" i="20"/>
  <c r="AS49" i="20"/>
  <c r="AR49" i="20"/>
  <c r="AU49" i="20" s="1"/>
  <c r="AQ49" i="20"/>
  <c r="AN49" i="20"/>
  <c r="AK49" i="20"/>
  <c r="BR48" i="20"/>
  <c r="BO48" i="20"/>
  <c r="BL48" i="20"/>
  <c r="BI48" i="20"/>
  <c r="BF48" i="20"/>
  <c r="BC48" i="20"/>
  <c r="AS48" i="20"/>
  <c r="AT48" i="20" s="1"/>
  <c r="AR48" i="20"/>
  <c r="AU48" i="20" s="1"/>
  <c r="AQ48" i="20"/>
  <c r="AN48" i="20"/>
  <c r="AK48" i="20"/>
  <c r="BR47" i="20"/>
  <c r="BO47" i="20"/>
  <c r="BL47" i="20"/>
  <c r="BI47" i="20"/>
  <c r="BF47" i="20"/>
  <c r="BC47" i="20"/>
  <c r="CD47" i="20" s="1"/>
  <c r="CG47" i="20" s="1"/>
  <c r="AS47" i="20"/>
  <c r="AR47" i="20"/>
  <c r="AU47" i="20" s="1"/>
  <c r="AQ47" i="20"/>
  <c r="AN47" i="20"/>
  <c r="AK47" i="20"/>
  <c r="BR46" i="20"/>
  <c r="BO46" i="20"/>
  <c r="BL46" i="20"/>
  <c r="BI46" i="20"/>
  <c r="BF46" i="20"/>
  <c r="BC46" i="20"/>
  <c r="AS46" i="20"/>
  <c r="AT46" i="20" s="1"/>
  <c r="AR46" i="20"/>
  <c r="AU46" i="20" s="1"/>
  <c r="AQ46" i="20"/>
  <c r="AN46" i="20"/>
  <c r="AK46" i="20"/>
  <c r="BR45" i="20"/>
  <c r="BO45" i="20"/>
  <c r="BL45" i="20"/>
  <c r="BI45" i="20"/>
  <c r="BF45" i="20"/>
  <c r="BC45" i="20"/>
  <c r="AS45" i="20"/>
  <c r="AR45" i="20"/>
  <c r="AU45" i="20" s="1"/>
  <c r="AQ45" i="20"/>
  <c r="AN45" i="20"/>
  <c r="AK45" i="20"/>
  <c r="BR44" i="20"/>
  <c r="BO44" i="20"/>
  <c r="BL44" i="20"/>
  <c r="BI44" i="20"/>
  <c r="BF44" i="20"/>
  <c r="BC44" i="20"/>
  <c r="AS44" i="20"/>
  <c r="AT44" i="20" s="1"/>
  <c r="AR44" i="20"/>
  <c r="AU44" i="20" s="1"/>
  <c r="AQ44" i="20"/>
  <c r="AN44" i="20"/>
  <c r="AK44" i="20"/>
  <c r="BR43" i="20"/>
  <c r="BO43" i="20"/>
  <c r="BL43" i="20"/>
  <c r="BI43" i="20"/>
  <c r="BF43" i="20"/>
  <c r="BC43" i="20"/>
  <c r="CD43" i="20" s="1"/>
  <c r="CG43" i="20" s="1"/>
  <c r="AU43" i="20"/>
  <c r="AS43" i="20"/>
  <c r="AV43" i="20" s="1"/>
  <c r="AY43" i="20" s="1"/>
  <c r="AR43" i="20"/>
  <c r="AQ43" i="20"/>
  <c r="AN43" i="20"/>
  <c r="AK43" i="20"/>
  <c r="AH43" i="20"/>
  <c r="AE43" i="20"/>
  <c r="AB43" i="20"/>
  <c r="Y43" i="20"/>
  <c r="V43" i="20"/>
  <c r="S43" i="20"/>
  <c r="M43" i="20"/>
  <c r="J43" i="20"/>
  <c r="BR42" i="20"/>
  <c r="BO42" i="20"/>
  <c r="BL42" i="20"/>
  <c r="BI42" i="20"/>
  <c r="BF42" i="20"/>
  <c r="BC42" i="20"/>
  <c r="CD42" i="20" s="1"/>
  <c r="CG42" i="20" s="1"/>
  <c r="AU42" i="20"/>
  <c r="AS42" i="20"/>
  <c r="AV42" i="20" s="1"/>
  <c r="AY42" i="20" s="1"/>
  <c r="AR42" i="20"/>
  <c r="AQ42" i="20"/>
  <c r="AN42" i="20"/>
  <c r="AK42" i="20"/>
  <c r="AH42" i="20"/>
  <c r="AE42" i="20"/>
  <c r="AB42" i="20"/>
  <c r="Y42" i="20"/>
  <c r="V42" i="20"/>
  <c r="S42" i="20"/>
  <c r="M42" i="20"/>
  <c r="J42" i="20"/>
  <c r="BR41" i="20"/>
  <c r="BO41" i="20"/>
  <c r="BL41" i="20"/>
  <c r="BI41" i="20"/>
  <c r="BF41" i="20"/>
  <c r="BC41" i="20"/>
  <c r="CD41" i="20" s="1"/>
  <c r="CG41" i="20" s="1"/>
  <c r="AS41" i="20"/>
  <c r="AR41" i="20"/>
  <c r="AU41" i="20" s="1"/>
  <c r="AQ41" i="20"/>
  <c r="AN41" i="20"/>
  <c r="AK41" i="20"/>
  <c r="AH41" i="20"/>
  <c r="AE41" i="20"/>
  <c r="AB41" i="20"/>
  <c r="Y41" i="20"/>
  <c r="V41" i="20"/>
  <c r="S41" i="20"/>
  <c r="M41" i="20"/>
  <c r="J41" i="20"/>
  <c r="BR40" i="20"/>
  <c r="BO40" i="20"/>
  <c r="BL40" i="20"/>
  <c r="BI40" i="20"/>
  <c r="BF40" i="20"/>
  <c r="BC40" i="20"/>
  <c r="AV40" i="20"/>
  <c r="AY40" i="20" s="1"/>
  <c r="AS40" i="20"/>
  <c r="AR40" i="20"/>
  <c r="AU40" i="20" s="1"/>
  <c r="AQ40" i="20"/>
  <c r="AN40" i="20"/>
  <c r="AK40" i="20"/>
  <c r="AH40" i="20"/>
  <c r="AE40" i="20"/>
  <c r="AB40" i="20"/>
  <c r="Y40" i="20"/>
  <c r="V40" i="20"/>
  <c r="S40" i="20"/>
  <c r="M40" i="20"/>
  <c r="J40" i="20"/>
  <c r="BR39" i="20"/>
  <c r="BO39" i="20"/>
  <c r="BL39" i="20"/>
  <c r="BI39" i="20"/>
  <c r="BF39" i="20"/>
  <c r="BC39" i="20"/>
  <c r="AS39" i="20"/>
  <c r="AV39" i="20" s="1"/>
  <c r="AY39" i="20" s="1"/>
  <c r="AR39" i="20"/>
  <c r="AU39" i="20" s="1"/>
  <c r="AQ39" i="20"/>
  <c r="AN39" i="20"/>
  <c r="AK39" i="20"/>
  <c r="AH39" i="20"/>
  <c r="AE39" i="20"/>
  <c r="AB39" i="20"/>
  <c r="Y39" i="20"/>
  <c r="V39" i="20"/>
  <c r="S39" i="20"/>
  <c r="P39" i="20"/>
  <c r="M39" i="20"/>
  <c r="J39" i="20"/>
  <c r="BR38" i="20"/>
  <c r="BO38" i="20"/>
  <c r="BL38" i="20"/>
  <c r="BI38" i="20"/>
  <c r="BF38" i="20"/>
  <c r="BC38" i="20"/>
  <c r="AS38" i="20"/>
  <c r="AT38" i="20" s="1"/>
  <c r="AR38" i="20"/>
  <c r="AU38" i="20" s="1"/>
  <c r="AQ38" i="20"/>
  <c r="AN38" i="20"/>
  <c r="AK38" i="20"/>
  <c r="AH38" i="20"/>
  <c r="AE38" i="20"/>
  <c r="AB38" i="20"/>
  <c r="Y38" i="20"/>
  <c r="V38" i="20"/>
  <c r="S38" i="20"/>
  <c r="P38" i="20"/>
  <c r="M38" i="20"/>
  <c r="J38" i="20"/>
  <c r="BR37" i="20"/>
  <c r="BO37" i="20"/>
  <c r="BL37" i="20"/>
  <c r="BI37" i="20"/>
  <c r="BF37" i="20"/>
  <c r="BC37" i="20"/>
  <c r="AU37" i="20"/>
  <c r="AS37" i="20"/>
  <c r="AR37" i="20"/>
  <c r="AQ37" i="20"/>
  <c r="AN37" i="20"/>
  <c r="AK37" i="20"/>
  <c r="AH37" i="20"/>
  <c r="AE37" i="20"/>
  <c r="AB37" i="20"/>
  <c r="Y37" i="20"/>
  <c r="V37" i="20"/>
  <c r="S37" i="20"/>
  <c r="P37" i="20"/>
  <c r="M37" i="20"/>
  <c r="J37" i="20"/>
  <c r="BR36" i="20"/>
  <c r="BO36" i="20"/>
  <c r="BL36" i="20"/>
  <c r="BI36" i="20"/>
  <c r="BF36" i="20"/>
  <c r="BC36" i="20"/>
  <c r="CD36" i="20" s="1"/>
  <c r="CG36" i="20" s="1"/>
  <c r="AS36" i="20"/>
  <c r="AR36" i="20"/>
  <c r="AU36" i="20" s="1"/>
  <c r="AQ36" i="20"/>
  <c r="AN36" i="20"/>
  <c r="AK36" i="20"/>
  <c r="AH36" i="20"/>
  <c r="AE36" i="20"/>
  <c r="AB36" i="20"/>
  <c r="Y36" i="20"/>
  <c r="V36" i="20"/>
  <c r="S36" i="20"/>
  <c r="P36" i="20"/>
  <c r="M36" i="20"/>
  <c r="J36" i="20"/>
  <c r="BR35" i="20"/>
  <c r="BO35" i="20"/>
  <c r="BL35" i="20"/>
  <c r="BI35" i="20"/>
  <c r="BF35" i="20"/>
  <c r="BC35" i="20"/>
  <c r="CD35" i="20" s="1"/>
  <c r="CG35" i="20" s="1"/>
  <c r="AV35" i="20"/>
  <c r="AY35" i="20" s="1"/>
  <c r="AS35" i="20"/>
  <c r="AR35" i="20"/>
  <c r="AU35" i="20" s="1"/>
  <c r="AQ35" i="20"/>
  <c r="AN35" i="20"/>
  <c r="AK35" i="20"/>
  <c r="AH35" i="20"/>
  <c r="AE35" i="20"/>
  <c r="AB35" i="20"/>
  <c r="Y35" i="20"/>
  <c r="V35" i="20"/>
  <c r="S35" i="20"/>
  <c r="P35" i="20"/>
  <c r="M35" i="20"/>
  <c r="J35" i="20"/>
  <c r="BR34" i="20"/>
  <c r="BO34" i="20"/>
  <c r="BL34" i="20"/>
  <c r="BI34" i="20"/>
  <c r="BF34" i="20"/>
  <c r="BC34" i="20"/>
  <c r="AS34" i="20"/>
  <c r="AT34" i="20" s="1"/>
  <c r="AR34" i="20"/>
  <c r="AU34" i="20" s="1"/>
  <c r="AQ34" i="20"/>
  <c r="AN34" i="20"/>
  <c r="AK34" i="20"/>
  <c r="AH34" i="20"/>
  <c r="AE34" i="20"/>
  <c r="AB34" i="20"/>
  <c r="Y34" i="20"/>
  <c r="V34" i="20"/>
  <c r="S34" i="20"/>
  <c r="P34" i="20"/>
  <c r="M34" i="20"/>
  <c r="J34" i="20"/>
  <c r="BR33" i="20"/>
  <c r="BO33" i="20"/>
  <c r="BL33" i="20"/>
  <c r="BI33" i="20"/>
  <c r="BF33" i="20"/>
  <c r="BC33" i="20"/>
  <c r="AV33" i="20"/>
  <c r="AY33" i="20" s="1"/>
  <c r="AS33" i="20"/>
  <c r="AR33" i="20"/>
  <c r="AU33" i="20" s="1"/>
  <c r="AQ33" i="20"/>
  <c r="AN33" i="20"/>
  <c r="AK33" i="20"/>
  <c r="AH33" i="20"/>
  <c r="AE33" i="20"/>
  <c r="AB33" i="20"/>
  <c r="Y33" i="20"/>
  <c r="V33" i="20"/>
  <c r="S33" i="20"/>
  <c r="P33" i="20"/>
  <c r="M33" i="20"/>
  <c r="J33" i="20"/>
  <c r="BR32" i="20"/>
  <c r="BO32" i="20"/>
  <c r="BL32" i="20"/>
  <c r="BI32" i="20"/>
  <c r="BF32" i="20"/>
  <c r="BC32" i="20"/>
  <c r="AS32" i="20"/>
  <c r="AV32" i="20" s="1"/>
  <c r="AY32" i="20" s="1"/>
  <c r="AR32" i="20"/>
  <c r="AU32" i="20" s="1"/>
  <c r="AQ32" i="20"/>
  <c r="AN32" i="20"/>
  <c r="AK32" i="20"/>
  <c r="AH32" i="20"/>
  <c r="AE32" i="20"/>
  <c r="AB32" i="20"/>
  <c r="Y32" i="20"/>
  <c r="V32" i="20"/>
  <c r="S32" i="20"/>
  <c r="P32" i="20"/>
  <c r="M32" i="20"/>
  <c r="J32" i="20"/>
  <c r="BR31" i="20"/>
  <c r="BO31" i="20"/>
  <c r="BL31" i="20"/>
  <c r="BI31" i="20"/>
  <c r="BF31" i="20"/>
  <c r="BC31" i="20"/>
  <c r="AS31" i="20"/>
  <c r="AR31" i="20"/>
  <c r="AU31" i="20" s="1"/>
  <c r="AQ31" i="20"/>
  <c r="AN31" i="20"/>
  <c r="AK31" i="20"/>
  <c r="AH31" i="20"/>
  <c r="AE31" i="20"/>
  <c r="AB31" i="20"/>
  <c r="Y31" i="20"/>
  <c r="V31" i="20"/>
  <c r="S31" i="20"/>
  <c r="P31" i="20"/>
  <c r="M31" i="20"/>
  <c r="J31" i="20"/>
  <c r="BR30" i="20"/>
  <c r="BO30" i="20"/>
  <c r="BL30" i="20"/>
  <c r="BI30" i="20"/>
  <c r="BF30" i="20"/>
  <c r="BC30" i="20"/>
  <c r="AS30" i="20"/>
  <c r="AV30" i="20" s="1"/>
  <c r="AY30" i="20" s="1"/>
  <c r="AR30" i="20"/>
  <c r="AU30" i="20" s="1"/>
  <c r="AQ30" i="20"/>
  <c r="AN30" i="20"/>
  <c r="AK30" i="20"/>
  <c r="AH30" i="20"/>
  <c r="AE30" i="20"/>
  <c r="AB30" i="20"/>
  <c r="Y30" i="20"/>
  <c r="V30" i="20"/>
  <c r="S30" i="20"/>
  <c r="P30" i="20"/>
  <c r="M30" i="20"/>
  <c r="J30" i="20"/>
  <c r="BR29" i="20"/>
  <c r="BO29" i="20"/>
  <c r="BL29" i="20"/>
  <c r="BI29" i="20"/>
  <c r="BF29" i="20"/>
  <c r="BC29" i="20"/>
  <c r="AS29" i="20"/>
  <c r="AT29" i="20" s="1"/>
  <c r="AR29" i="20"/>
  <c r="AU29" i="20" s="1"/>
  <c r="AQ29" i="20"/>
  <c r="AN29" i="20"/>
  <c r="AK29" i="20"/>
  <c r="AH29" i="20"/>
  <c r="AE29" i="20"/>
  <c r="AB29" i="20"/>
  <c r="Y29" i="20"/>
  <c r="V29" i="20"/>
  <c r="S29" i="20"/>
  <c r="P29" i="20"/>
  <c r="M29" i="20"/>
  <c r="J29" i="20"/>
  <c r="BR28" i="20"/>
  <c r="BO28" i="20"/>
  <c r="BL28" i="20"/>
  <c r="BI28" i="20"/>
  <c r="BF28" i="20"/>
  <c r="BC28" i="20"/>
  <c r="AV28" i="20"/>
  <c r="AY28" i="20" s="1"/>
  <c r="AS28" i="20"/>
  <c r="AR28" i="20"/>
  <c r="AU28" i="20" s="1"/>
  <c r="AQ28" i="20"/>
  <c r="AN28" i="20"/>
  <c r="AK28" i="20"/>
  <c r="AH28" i="20"/>
  <c r="AE28" i="20"/>
  <c r="AB28" i="20"/>
  <c r="Y28" i="20"/>
  <c r="V28" i="20"/>
  <c r="S28" i="20"/>
  <c r="P28" i="20"/>
  <c r="M28" i="20"/>
  <c r="J28" i="20"/>
  <c r="BR27" i="20"/>
  <c r="BO27" i="20"/>
  <c r="BL27" i="20"/>
  <c r="BI27" i="20"/>
  <c r="BF27" i="20"/>
  <c r="BC27" i="20"/>
  <c r="CD27" i="20" s="1"/>
  <c r="CG27" i="20" s="1"/>
  <c r="AS27" i="20"/>
  <c r="AR27" i="20"/>
  <c r="AU27" i="20" s="1"/>
  <c r="AQ27" i="20"/>
  <c r="AN27" i="20"/>
  <c r="AK27" i="20"/>
  <c r="AH27" i="20"/>
  <c r="AE27" i="20"/>
  <c r="AB27" i="20"/>
  <c r="Y27" i="20"/>
  <c r="V27" i="20"/>
  <c r="S27" i="20"/>
  <c r="P27" i="20"/>
  <c r="M27" i="20"/>
  <c r="J27" i="20"/>
  <c r="BR26" i="20"/>
  <c r="BO26" i="20"/>
  <c r="BL26" i="20"/>
  <c r="BI26" i="20"/>
  <c r="BF26" i="20"/>
  <c r="BC26" i="20"/>
  <c r="CD26" i="20" s="1"/>
  <c r="CG26" i="20" s="1"/>
  <c r="AS26" i="20"/>
  <c r="AT26" i="20" s="1"/>
  <c r="AR26" i="20"/>
  <c r="AU26" i="20" s="1"/>
  <c r="AQ26" i="20"/>
  <c r="AN26" i="20"/>
  <c r="AK26" i="20"/>
  <c r="AH26" i="20"/>
  <c r="AE26" i="20"/>
  <c r="AB26" i="20"/>
  <c r="Y26" i="20"/>
  <c r="V26" i="20"/>
  <c r="S26" i="20"/>
  <c r="P26" i="20"/>
  <c r="M26" i="20"/>
  <c r="J26" i="20"/>
  <c r="BR25" i="20"/>
  <c r="BO25" i="20"/>
  <c r="BL25" i="20"/>
  <c r="BI25" i="20"/>
  <c r="BF25" i="20"/>
  <c r="BC25" i="20"/>
  <c r="CD25" i="20" s="1"/>
  <c r="CG25" i="20" s="1"/>
  <c r="AV25" i="20"/>
  <c r="AY25" i="20" s="1"/>
  <c r="AS25" i="20"/>
  <c r="AR25" i="20"/>
  <c r="AU25" i="20" s="1"/>
  <c r="AQ25" i="20"/>
  <c r="AN25" i="20"/>
  <c r="AK25" i="20"/>
  <c r="AH25" i="20"/>
  <c r="AE25" i="20"/>
  <c r="AB25" i="20"/>
  <c r="Y25" i="20"/>
  <c r="V25" i="20"/>
  <c r="S25" i="20"/>
  <c r="P25" i="20"/>
  <c r="M25" i="20"/>
  <c r="J25" i="20"/>
  <c r="BR24" i="20"/>
  <c r="BO24" i="20"/>
  <c r="BL24" i="20"/>
  <c r="BI24" i="20"/>
  <c r="BF24" i="20"/>
  <c r="BC24" i="20"/>
  <c r="AS24" i="20"/>
  <c r="AV24" i="20" s="1"/>
  <c r="AY24" i="20" s="1"/>
  <c r="AR24" i="20"/>
  <c r="AU24" i="20" s="1"/>
  <c r="AQ24" i="20"/>
  <c r="AN24" i="20"/>
  <c r="AK24" i="20"/>
  <c r="AH24" i="20"/>
  <c r="AE24" i="20"/>
  <c r="AB24" i="20"/>
  <c r="Y24" i="20"/>
  <c r="V24" i="20"/>
  <c r="S24" i="20"/>
  <c r="P24" i="20"/>
  <c r="M24" i="20"/>
  <c r="J24" i="20"/>
  <c r="BR23" i="20"/>
  <c r="BO23" i="20"/>
  <c r="BL23" i="20"/>
  <c r="BI23" i="20"/>
  <c r="BF23" i="20"/>
  <c r="BC23" i="20"/>
  <c r="AS23" i="20"/>
  <c r="AT23" i="20" s="1"/>
  <c r="AR23" i="20"/>
  <c r="AU23" i="20" s="1"/>
  <c r="AQ23" i="20"/>
  <c r="AN23" i="20"/>
  <c r="AK23" i="20"/>
  <c r="AH23" i="20"/>
  <c r="AE23" i="20"/>
  <c r="AB23" i="20"/>
  <c r="Y23" i="20"/>
  <c r="V23" i="20"/>
  <c r="S23" i="20"/>
  <c r="P23" i="20"/>
  <c r="M23" i="20"/>
  <c r="J23" i="20"/>
  <c r="BR22" i="20"/>
  <c r="BO22" i="20"/>
  <c r="BL22" i="20"/>
  <c r="BI22" i="20"/>
  <c r="BF22" i="20"/>
  <c r="BC22" i="20"/>
  <c r="AV22" i="20"/>
  <c r="AY22" i="20" s="1"/>
  <c r="AS22" i="20"/>
  <c r="AR22" i="20"/>
  <c r="AU22" i="20" s="1"/>
  <c r="AQ22" i="20"/>
  <c r="AN22" i="20"/>
  <c r="AK22" i="20"/>
  <c r="AH22" i="20"/>
  <c r="AE22" i="20"/>
  <c r="AB22" i="20"/>
  <c r="Y22" i="20"/>
  <c r="V22" i="20"/>
  <c r="S22" i="20"/>
  <c r="P22" i="20"/>
  <c r="M22" i="20"/>
  <c r="J22" i="20"/>
  <c r="BR21" i="20"/>
  <c r="BO21" i="20"/>
  <c r="BL21" i="20"/>
  <c r="BI21" i="20"/>
  <c r="BF21" i="20"/>
  <c r="BC21" i="20"/>
  <c r="AS21" i="20"/>
  <c r="AR21" i="20"/>
  <c r="AU21" i="20" s="1"/>
  <c r="AQ21" i="20"/>
  <c r="AN21" i="20"/>
  <c r="AK21" i="20"/>
  <c r="AH21" i="20"/>
  <c r="AE21" i="20"/>
  <c r="AB21" i="20"/>
  <c r="Y21" i="20"/>
  <c r="V21" i="20"/>
  <c r="S21" i="20"/>
  <c r="P21" i="20"/>
  <c r="M21" i="20"/>
  <c r="J21" i="20"/>
  <c r="BR20" i="20"/>
  <c r="BO20" i="20"/>
  <c r="BL20" i="20"/>
  <c r="BI20" i="20"/>
  <c r="BF20" i="20"/>
  <c r="BC20" i="20"/>
  <c r="AS20" i="20"/>
  <c r="AV20" i="20" s="1"/>
  <c r="AY20" i="20" s="1"/>
  <c r="AR20" i="20"/>
  <c r="AU20" i="20" s="1"/>
  <c r="AQ20" i="20"/>
  <c r="AN20" i="20"/>
  <c r="AK20" i="20"/>
  <c r="AH20" i="20"/>
  <c r="AE20" i="20"/>
  <c r="AB20" i="20"/>
  <c r="Y20" i="20"/>
  <c r="V20" i="20"/>
  <c r="S20" i="20"/>
  <c r="P20" i="20"/>
  <c r="M20" i="20"/>
  <c r="J20" i="20"/>
  <c r="BR19" i="20"/>
  <c r="BO19" i="20"/>
  <c r="BL19" i="20"/>
  <c r="BI19" i="20"/>
  <c r="BF19" i="20"/>
  <c r="BC19" i="20"/>
  <c r="AS19" i="20"/>
  <c r="AR19" i="20"/>
  <c r="AU19" i="20" s="1"/>
  <c r="AQ19" i="20"/>
  <c r="AN19" i="20"/>
  <c r="AK19" i="20"/>
  <c r="AH19" i="20"/>
  <c r="AE19" i="20"/>
  <c r="AB19" i="20"/>
  <c r="Y19" i="20"/>
  <c r="V19" i="20"/>
  <c r="S19" i="20"/>
  <c r="P19" i="20"/>
  <c r="M19" i="20"/>
  <c r="J19" i="20"/>
  <c r="BR18" i="20"/>
  <c r="BO18" i="20"/>
  <c r="BL18" i="20"/>
  <c r="BI18" i="20"/>
  <c r="BF18" i="20"/>
  <c r="BC18" i="20"/>
  <c r="AS18" i="20"/>
  <c r="AT18" i="20" s="1"/>
  <c r="AR18" i="20"/>
  <c r="AU18" i="20" s="1"/>
  <c r="AQ18" i="20"/>
  <c r="AN18" i="20"/>
  <c r="AK18" i="20"/>
  <c r="AH18" i="20"/>
  <c r="AE18" i="20"/>
  <c r="AB18" i="20"/>
  <c r="Y18" i="20"/>
  <c r="V18" i="20"/>
  <c r="S18" i="20"/>
  <c r="P18" i="20"/>
  <c r="M18" i="20"/>
  <c r="J18" i="20"/>
  <c r="BR17" i="20"/>
  <c r="BO17" i="20"/>
  <c r="BL17" i="20"/>
  <c r="BI17" i="20"/>
  <c r="BF17" i="20"/>
  <c r="BC17" i="20"/>
  <c r="AV17" i="20"/>
  <c r="AY17" i="20" s="1"/>
  <c r="AS17" i="20"/>
  <c r="AR17" i="20"/>
  <c r="AU17" i="20" s="1"/>
  <c r="AQ17" i="20"/>
  <c r="AN17" i="20"/>
  <c r="AK17" i="20"/>
  <c r="AH17" i="20"/>
  <c r="AE17" i="20"/>
  <c r="AB17" i="20"/>
  <c r="Y17" i="20"/>
  <c r="V17" i="20"/>
  <c r="S17" i="20"/>
  <c r="P17" i="20"/>
  <c r="M17" i="20"/>
  <c r="J17" i="20"/>
  <c r="BR16" i="20"/>
  <c r="BO16" i="20"/>
  <c r="BL16" i="20"/>
  <c r="BI16" i="20"/>
  <c r="BF16" i="20"/>
  <c r="BC16" i="20"/>
  <c r="CD16" i="20" s="1"/>
  <c r="CG16" i="20" s="1"/>
  <c r="AS16" i="20"/>
  <c r="AV16" i="20" s="1"/>
  <c r="AY16" i="20" s="1"/>
  <c r="AR16" i="20"/>
  <c r="AU16" i="20" s="1"/>
  <c r="AQ16" i="20"/>
  <c r="AN16" i="20"/>
  <c r="AK16" i="20"/>
  <c r="AH16" i="20"/>
  <c r="AE16" i="20"/>
  <c r="AB16" i="20"/>
  <c r="Y16" i="20"/>
  <c r="V16" i="20"/>
  <c r="S16" i="20"/>
  <c r="P16" i="20"/>
  <c r="M16" i="20"/>
  <c r="J16" i="20"/>
  <c r="BR15" i="20"/>
  <c r="BO15" i="20"/>
  <c r="BL15" i="20"/>
  <c r="BI15" i="20"/>
  <c r="BF15" i="20"/>
  <c r="BC15" i="20"/>
  <c r="CD15" i="20" s="1"/>
  <c r="CG15" i="20" s="1"/>
  <c r="AS15" i="20"/>
  <c r="AT15" i="20" s="1"/>
  <c r="AR15" i="20"/>
  <c r="AU15" i="20" s="1"/>
  <c r="AQ15" i="20"/>
  <c r="AN15" i="20"/>
  <c r="AK15" i="20"/>
  <c r="AH15" i="20"/>
  <c r="AE15" i="20"/>
  <c r="AB15" i="20"/>
  <c r="Y15" i="20"/>
  <c r="V15" i="20"/>
  <c r="S15" i="20"/>
  <c r="P15" i="20"/>
  <c r="M15" i="20"/>
  <c r="J15" i="20"/>
  <c r="BR14" i="20"/>
  <c r="BO14" i="20"/>
  <c r="BL14" i="20"/>
  <c r="BI14" i="20"/>
  <c r="BF14" i="20"/>
  <c r="BC14" i="20"/>
  <c r="CD14" i="20" s="1"/>
  <c r="CG14" i="20" s="1"/>
  <c r="AV14" i="20"/>
  <c r="AY14" i="20" s="1"/>
  <c r="AS14" i="20"/>
  <c r="AR14" i="20"/>
  <c r="AU14" i="20" s="1"/>
  <c r="AQ14" i="20"/>
  <c r="AN14" i="20"/>
  <c r="AK14" i="20"/>
  <c r="AH14" i="20"/>
  <c r="AE14" i="20"/>
  <c r="AB14" i="20"/>
  <c r="Y14" i="20"/>
  <c r="V14" i="20"/>
  <c r="S14" i="20"/>
  <c r="P14" i="20"/>
  <c r="M14" i="20"/>
  <c r="J14" i="20"/>
  <c r="BR13" i="20"/>
  <c r="BO13" i="20"/>
  <c r="BL13" i="20"/>
  <c r="BI13" i="20"/>
  <c r="BF13" i="20"/>
  <c r="BC13" i="20"/>
  <c r="AS13" i="20"/>
  <c r="AT13" i="20" s="1"/>
  <c r="AR13" i="20"/>
  <c r="AU13" i="20" s="1"/>
  <c r="AQ13" i="20"/>
  <c r="AN13" i="20"/>
  <c r="AK13" i="20"/>
  <c r="AH13" i="20"/>
  <c r="AE13" i="20"/>
  <c r="AB13" i="20"/>
  <c r="Y13" i="20"/>
  <c r="V13" i="20"/>
  <c r="S13" i="20"/>
  <c r="P13" i="20"/>
  <c r="M13" i="20"/>
  <c r="J13" i="20"/>
  <c r="BR12" i="20"/>
  <c r="BO12" i="20"/>
  <c r="BL12" i="20"/>
  <c r="BI12" i="20"/>
  <c r="BF12" i="20"/>
  <c r="BC12" i="20"/>
  <c r="AV12" i="20"/>
  <c r="AY12" i="20" s="1"/>
  <c r="AS12" i="20"/>
  <c r="AR12" i="20"/>
  <c r="AU12" i="20" s="1"/>
  <c r="AQ12" i="20"/>
  <c r="AN12" i="20"/>
  <c r="AK12" i="20"/>
  <c r="AH12" i="20"/>
  <c r="AE12" i="20"/>
  <c r="AB12" i="20"/>
  <c r="Y12" i="20"/>
  <c r="V12" i="20"/>
  <c r="S12" i="20"/>
  <c r="P12" i="20"/>
  <c r="M12" i="20"/>
  <c r="J12" i="20"/>
  <c r="BR11" i="20"/>
  <c r="BO11" i="20"/>
  <c r="BL11" i="20"/>
  <c r="BI11" i="20"/>
  <c r="BF11" i="20"/>
  <c r="BC11" i="20"/>
  <c r="AS11" i="20"/>
  <c r="AR11" i="20"/>
  <c r="AU11" i="20" s="1"/>
  <c r="AQ11" i="20"/>
  <c r="AN11" i="20"/>
  <c r="AK11" i="20"/>
  <c r="AH11" i="20"/>
  <c r="AE11" i="20"/>
  <c r="AB11" i="20"/>
  <c r="Y11" i="20"/>
  <c r="V11" i="20"/>
  <c r="S11" i="20"/>
  <c r="P11" i="20"/>
  <c r="M11" i="20"/>
  <c r="J11" i="20"/>
  <c r="BR10" i="20"/>
  <c r="BO10" i="20"/>
  <c r="BL10" i="20"/>
  <c r="BI10" i="20"/>
  <c r="BF10" i="20"/>
  <c r="BC10" i="20"/>
  <c r="AS10" i="20"/>
  <c r="AR10" i="20"/>
  <c r="AU10" i="20" s="1"/>
  <c r="AQ10" i="20"/>
  <c r="AN10" i="20"/>
  <c r="AK10" i="20"/>
  <c r="AH10" i="20"/>
  <c r="AE10" i="20"/>
  <c r="AB10" i="20"/>
  <c r="Y10" i="20"/>
  <c r="V10" i="20"/>
  <c r="S10" i="20"/>
  <c r="P10" i="20"/>
  <c r="M10" i="20"/>
  <c r="J10" i="20"/>
  <c r="BR9" i="20"/>
  <c r="BO9" i="20"/>
  <c r="BL9" i="20"/>
  <c r="BI9" i="20"/>
  <c r="BF9" i="20"/>
  <c r="BC9" i="20"/>
  <c r="AS9" i="20"/>
  <c r="AT9" i="20" s="1"/>
  <c r="AQ9" i="20"/>
  <c r="AN9" i="20"/>
  <c r="AK9" i="20"/>
  <c r="AH9" i="20"/>
  <c r="AE9" i="20"/>
  <c r="AB9" i="20"/>
  <c r="Y9" i="20"/>
  <c r="V9" i="20"/>
  <c r="S9" i="20"/>
  <c r="P9" i="20"/>
  <c r="M9" i="20"/>
  <c r="J9" i="20"/>
  <c r="BR8" i="20"/>
  <c r="BO8" i="20"/>
  <c r="BL8" i="20"/>
  <c r="BI8" i="20"/>
  <c r="BF8" i="20"/>
  <c r="BC8" i="20"/>
  <c r="AS8" i="20"/>
  <c r="AV8" i="20" s="1"/>
  <c r="AY8" i="20" s="1"/>
  <c r="AR8" i="20"/>
  <c r="AU8" i="20" s="1"/>
  <c r="AQ8" i="20"/>
  <c r="AN8" i="20"/>
  <c r="AK8" i="20"/>
  <c r="AH8" i="20"/>
  <c r="AE8" i="20"/>
  <c r="AB8" i="20"/>
  <c r="Y8" i="20"/>
  <c r="V8" i="20"/>
  <c r="S8" i="20"/>
  <c r="P8" i="20"/>
  <c r="M8" i="20"/>
  <c r="J8" i="20"/>
  <c r="AC65" i="13"/>
  <c r="AD65" i="13"/>
  <c r="AE65" i="13"/>
  <c r="AC66" i="13"/>
  <c r="AD66" i="13"/>
  <c r="AE66" i="13"/>
  <c r="AC67" i="13"/>
  <c r="AD67" i="13"/>
  <c r="AE67" i="13"/>
  <c r="AC68" i="13"/>
  <c r="AD68" i="13"/>
  <c r="AE68" i="13"/>
  <c r="AC69" i="13"/>
  <c r="AD69" i="13"/>
  <c r="AE69" i="13"/>
  <c r="AC70" i="13"/>
  <c r="AD70" i="13"/>
  <c r="AE70" i="13"/>
  <c r="AC71" i="13"/>
  <c r="AD71" i="13"/>
  <c r="AE71" i="13"/>
  <c r="AC72" i="13"/>
  <c r="AD72" i="13"/>
  <c r="AE72" i="13"/>
  <c r="AC73" i="13"/>
  <c r="AD73" i="13"/>
  <c r="AE73" i="13"/>
  <c r="AC74" i="13"/>
  <c r="AD74" i="13"/>
  <c r="AE74" i="13"/>
  <c r="AC75" i="13"/>
  <c r="AD75" i="13"/>
  <c r="AE75" i="13"/>
  <c r="AC76" i="13"/>
  <c r="AD76" i="13"/>
  <c r="AE76" i="13"/>
  <c r="AC77" i="13"/>
  <c r="AD77" i="13"/>
  <c r="AE77" i="13"/>
  <c r="AC78" i="13"/>
  <c r="AD78" i="13"/>
  <c r="AE78" i="13"/>
  <c r="AC79" i="13"/>
  <c r="AD79" i="13"/>
  <c r="AE79" i="13"/>
  <c r="AC80" i="13"/>
  <c r="AD80" i="13"/>
  <c r="AE80" i="13"/>
  <c r="AC81" i="13"/>
  <c r="AD81" i="13"/>
  <c r="AE81" i="13"/>
  <c r="AC82" i="13"/>
  <c r="AD82" i="13"/>
  <c r="AE82" i="13"/>
  <c r="AC83" i="13"/>
  <c r="AD83" i="13"/>
  <c r="AE83" i="13"/>
  <c r="AC84" i="13"/>
  <c r="AD84" i="13"/>
  <c r="AE84" i="13"/>
  <c r="AC85" i="13"/>
  <c r="AD85" i="13"/>
  <c r="AE85" i="13"/>
  <c r="AC87" i="13"/>
  <c r="AD87" i="13"/>
  <c r="AE87" i="13"/>
  <c r="AC88" i="13"/>
  <c r="AD88" i="13"/>
  <c r="AE88" i="13"/>
  <c r="AC89" i="13"/>
  <c r="AD89" i="13"/>
  <c r="AE89" i="13"/>
  <c r="AC90" i="13"/>
  <c r="AD90" i="13"/>
  <c r="AE90" i="13"/>
  <c r="AC91" i="13"/>
  <c r="AD91" i="13"/>
  <c r="AE91" i="13"/>
  <c r="AC92" i="13"/>
  <c r="AD92" i="13"/>
  <c r="AE92" i="13"/>
  <c r="AC93" i="13"/>
  <c r="AD93" i="13"/>
  <c r="AE93" i="13"/>
  <c r="AC94" i="13"/>
  <c r="AD94" i="13"/>
  <c r="AE94" i="13"/>
  <c r="AC95" i="13"/>
  <c r="AD95" i="13"/>
  <c r="AE95" i="13"/>
  <c r="AC96" i="13"/>
  <c r="AD96" i="13"/>
  <c r="AE96" i="13"/>
  <c r="AC97" i="13"/>
  <c r="AD97" i="13"/>
  <c r="AE97" i="13"/>
  <c r="AC98" i="13"/>
  <c r="AD98" i="13"/>
  <c r="AE98" i="13"/>
  <c r="AC99" i="13"/>
  <c r="AD99" i="13"/>
  <c r="AE99" i="13"/>
  <c r="AC100" i="13"/>
  <c r="AD100" i="13"/>
  <c r="AE100" i="13"/>
  <c r="AC101" i="13"/>
  <c r="AD101" i="13"/>
  <c r="AE101" i="13"/>
  <c r="AC102" i="13"/>
  <c r="AD102" i="13"/>
  <c r="AE102" i="13"/>
  <c r="AC105" i="13"/>
  <c r="AD105" i="13"/>
  <c r="AE105" i="13"/>
  <c r="AC106" i="13"/>
  <c r="AD106" i="13"/>
  <c r="AE106" i="13"/>
  <c r="AC107" i="13"/>
  <c r="AD107" i="13"/>
  <c r="AE107" i="13"/>
  <c r="AC108" i="13"/>
  <c r="AD108" i="13"/>
  <c r="AE108" i="13"/>
  <c r="AC109" i="13"/>
  <c r="AD109" i="13"/>
  <c r="AE109" i="13"/>
  <c r="AC110" i="13"/>
  <c r="AD110" i="13"/>
  <c r="AE110" i="13"/>
  <c r="AC111" i="13"/>
  <c r="AD111" i="13"/>
  <c r="AE111" i="13"/>
  <c r="AC112" i="13"/>
  <c r="AD112" i="13"/>
  <c r="AE112" i="13"/>
  <c r="AC113" i="13"/>
  <c r="AD113" i="13"/>
  <c r="AE113" i="13"/>
  <c r="AC114" i="13"/>
  <c r="AD114" i="13"/>
  <c r="AE114" i="13"/>
  <c r="AC115" i="13"/>
  <c r="AD115" i="13"/>
  <c r="AE115" i="13"/>
  <c r="AC116" i="13"/>
  <c r="AD116" i="13"/>
  <c r="AE116" i="13"/>
  <c r="AC117" i="13"/>
  <c r="AD117" i="13"/>
  <c r="AE117" i="13"/>
  <c r="AC118" i="13"/>
  <c r="AD118" i="13"/>
  <c r="AE118" i="13"/>
  <c r="AC119" i="13"/>
  <c r="AD119" i="13"/>
  <c r="AE119" i="13"/>
  <c r="AE64" i="13"/>
  <c r="AD64" i="13"/>
  <c r="AC64" i="13"/>
  <c r="I30" i="19"/>
  <c r="I29" i="19"/>
  <c r="K29" i="19" s="1"/>
  <c r="I24" i="19"/>
  <c r="I23" i="19"/>
  <c r="I18" i="19"/>
  <c r="I17" i="19"/>
  <c r="K17" i="19" s="1"/>
  <c r="I12" i="19"/>
  <c r="I15" i="19" s="1"/>
  <c r="I11" i="19"/>
  <c r="I6" i="19"/>
  <c r="I5" i="19"/>
  <c r="K23" i="19"/>
  <c r="J38" i="19"/>
  <c r="J37" i="19"/>
  <c r="J36" i="19"/>
  <c r="J35" i="19"/>
  <c r="I38" i="19"/>
  <c r="K38" i="19" s="1"/>
  <c r="I37" i="19"/>
  <c r="K37" i="19" s="1"/>
  <c r="G38" i="19"/>
  <c r="G37" i="19"/>
  <c r="G36" i="19"/>
  <c r="G35" i="19"/>
  <c r="F38" i="19"/>
  <c r="F37" i="19"/>
  <c r="H37" i="19" s="1"/>
  <c r="F36" i="19"/>
  <c r="F35" i="19"/>
  <c r="H35" i="19" s="1"/>
  <c r="D38" i="19"/>
  <c r="D37" i="19"/>
  <c r="D36" i="19"/>
  <c r="D35" i="19"/>
  <c r="J33" i="19"/>
  <c r="G33" i="19"/>
  <c r="F33" i="19"/>
  <c r="D33" i="19"/>
  <c r="K32" i="19"/>
  <c r="H32" i="19"/>
  <c r="K31" i="19"/>
  <c r="H31" i="19"/>
  <c r="K30" i="19"/>
  <c r="H30" i="19"/>
  <c r="H29" i="19"/>
  <c r="J27" i="19"/>
  <c r="G27" i="19"/>
  <c r="F27" i="19"/>
  <c r="D27" i="19"/>
  <c r="K26" i="19"/>
  <c r="H26" i="19"/>
  <c r="K25" i="19"/>
  <c r="H25" i="19"/>
  <c r="K24" i="19"/>
  <c r="H24" i="19"/>
  <c r="H23" i="19"/>
  <c r="J21" i="19"/>
  <c r="G21" i="19"/>
  <c r="F21" i="19"/>
  <c r="D21" i="19"/>
  <c r="K20" i="19"/>
  <c r="H20" i="19"/>
  <c r="K19" i="19"/>
  <c r="H19" i="19"/>
  <c r="K18" i="19"/>
  <c r="H18" i="19"/>
  <c r="H17" i="19"/>
  <c r="D15" i="19"/>
  <c r="F15" i="19"/>
  <c r="G15" i="19"/>
  <c r="J15" i="19"/>
  <c r="K14" i="19"/>
  <c r="H14" i="19"/>
  <c r="K13" i="19"/>
  <c r="H13" i="19"/>
  <c r="H12" i="19"/>
  <c r="K11" i="19"/>
  <c r="H11" i="19"/>
  <c r="K8" i="19"/>
  <c r="K7" i="19"/>
  <c r="K6" i="19"/>
  <c r="H8" i="19"/>
  <c r="H7" i="19"/>
  <c r="H6" i="19"/>
  <c r="H5" i="19"/>
  <c r="J9" i="19"/>
  <c r="G9" i="19"/>
  <c r="F9" i="19"/>
  <c r="F39" i="19" s="1"/>
  <c r="D9" i="19"/>
  <c r="AE28" i="18"/>
  <c r="AD28" i="18"/>
  <c r="AC28" i="18"/>
  <c r="AE27" i="18"/>
  <c r="AD27" i="18"/>
  <c r="AC27" i="18"/>
  <c r="AE25" i="18"/>
  <c r="AD25" i="18"/>
  <c r="AC25" i="18"/>
  <c r="AE24" i="18"/>
  <c r="AD24" i="18"/>
  <c r="AC24" i="18"/>
  <c r="AE23" i="18"/>
  <c r="AD23" i="18"/>
  <c r="AC23" i="18"/>
  <c r="AE22" i="18"/>
  <c r="AD22" i="18"/>
  <c r="AC22" i="18"/>
  <c r="AE21" i="18"/>
  <c r="AD21" i="18"/>
  <c r="AC21" i="18"/>
  <c r="AE20" i="18"/>
  <c r="AD20" i="18"/>
  <c r="AC20" i="18"/>
  <c r="AE19" i="18"/>
  <c r="AD19" i="18"/>
  <c r="AC19" i="18"/>
  <c r="AE18" i="18"/>
  <c r="AD18" i="18"/>
  <c r="AC18" i="18"/>
  <c r="AE17" i="18"/>
  <c r="AD17" i="18"/>
  <c r="AC17" i="18"/>
  <c r="AE16" i="18"/>
  <c r="AD16" i="18"/>
  <c r="AC16" i="18"/>
  <c r="AE63" i="13"/>
  <c r="AB63" i="13"/>
  <c r="AE18" i="14"/>
  <c r="AB18" i="14"/>
  <c r="AE24" i="15"/>
  <c r="AE45" i="17"/>
  <c r="AB45" i="17"/>
  <c r="AE69" i="17"/>
  <c r="AD69" i="17"/>
  <c r="AC69" i="17"/>
  <c r="AE68" i="17"/>
  <c r="AD68" i="17"/>
  <c r="AC68" i="17"/>
  <c r="AE67" i="17"/>
  <c r="AD67" i="17"/>
  <c r="AC67" i="17"/>
  <c r="AE66" i="17"/>
  <c r="AD66" i="17"/>
  <c r="AC66" i="17"/>
  <c r="AE65" i="17"/>
  <c r="AD65" i="17"/>
  <c r="AC65" i="17"/>
  <c r="AE64" i="17"/>
  <c r="AD64" i="17"/>
  <c r="AC64" i="17"/>
  <c r="AE63" i="17"/>
  <c r="AD63" i="17"/>
  <c r="AC63" i="17"/>
  <c r="AE62" i="17"/>
  <c r="AD62" i="17"/>
  <c r="AC62" i="17"/>
  <c r="AE61" i="17"/>
  <c r="AD61" i="17"/>
  <c r="AC61" i="17"/>
  <c r="AE60" i="17"/>
  <c r="AD60" i="17"/>
  <c r="AC60" i="17"/>
  <c r="AE58" i="17"/>
  <c r="AD58" i="17"/>
  <c r="AC58" i="17"/>
  <c r="AE57" i="17"/>
  <c r="AD57" i="17"/>
  <c r="AC57" i="17"/>
  <c r="AE56" i="17"/>
  <c r="AD56" i="17"/>
  <c r="AC56" i="17"/>
  <c r="AE55" i="17"/>
  <c r="AD55" i="17"/>
  <c r="AC55" i="17"/>
  <c r="AE54" i="17"/>
  <c r="AD54" i="17"/>
  <c r="AC54" i="17"/>
  <c r="AE53" i="17"/>
  <c r="AD53" i="17"/>
  <c r="AC53" i="17"/>
  <c r="AE48" i="17"/>
  <c r="AD48" i="17"/>
  <c r="AC48" i="17"/>
  <c r="AE47" i="17"/>
  <c r="AD47" i="17"/>
  <c r="AC47" i="17"/>
  <c r="AE46" i="17"/>
  <c r="AD46" i="17"/>
  <c r="AC46" i="17"/>
  <c r="AE29" i="17"/>
  <c r="AD29" i="17"/>
  <c r="AC29" i="17"/>
  <c r="AE28" i="17"/>
  <c r="AD28" i="17"/>
  <c r="AC28" i="17"/>
  <c r="AE27" i="17"/>
  <c r="AD27" i="17"/>
  <c r="AC27" i="17"/>
  <c r="AE26" i="17"/>
  <c r="AD26" i="17"/>
  <c r="AC26" i="17"/>
  <c r="AE25" i="17"/>
  <c r="AD25" i="17"/>
  <c r="AC25" i="17"/>
  <c r="AE24" i="17"/>
  <c r="AD24" i="17"/>
  <c r="AC24" i="17"/>
  <c r="AE23" i="17"/>
  <c r="AD23" i="17"/>
  <c r="AC23" i="17"/>
  <c r="AE22" i="17"/>
  <c r="AD22" i="17"/>
  <c r="AC22" i="17"/>
  <c r="AE21" i="17"/>
  <c r="AD21" i="17"/>
  <c r="AC21" i="17"/>
  <c r="AE20" i="17"/>
  <c r="AD20" i="17"/>
  <c r="AC20" i="17"/>
  <c r="AE19" i="17"/>
  <c r="AD19" i="17"/>
  <c r="AC19" i="17"/>
  <c r="AE18" i="17"/>
  <c r="AD18" i="17"/>
  <c r="AC18" i="17"/>
  <c r="AE17" i="17"/>
  <c r="AD17" i="17"/>
  <c r="AC17" i="17"/>
  <c r="AE16" i="17"/>
  <c r="AD16" i="17"/>
  <c r="AC16" i="17"/>
  <c r="AE15" i="17"/>
  <c r="AD15" i="17"/>
  <c r="AC15" i="17"/>
  <c r="AE14" i="17"/>
  <c r="AD14" i="17"/>
  <c r="AC14" i="17"/>
  <c r="AE13" i="17"/>
  <c r="AD13" i="17"/>
  <c r="AC13" i="17"/>
  <c r="AE12" i="17"/>
  <c r="AD12" i="17"/>
  <c r="AC12" i="17"/>
  <c r="AE11" i="17"/>
  <c r="AD11" i="17"/>
  <c r="AC11" i="17"/>
  <c r="AE10" i="17"/>
  <c r="AD10" i="17"/>
  <c r="AC10" i="17"/>
  <c r="AE9" i="17"/>
  <c r="AD9" i="17"/>
  <c r="AC9" i="17"/>
  <c r="AE8" i="17"/>
  <c r="AD8" i="17"/>
  <c r="AC8" i="17"/>
  <c r="AE7" i="17"/>
  <c r="AD7" i="17"/>
  <c r="AC7" i="17"/>
  <c r="AE6" i="17"/>
  <c r="AD6" i="17"/>
  <c r="AC6" i="17"/>
  <c r="AE61" i="15"/>
  <c r="AD61" i="15"/>
  <c r="AC61" i="15"/>
  <c r="AE60" i="15"/>
  <c r="AD60" i="15"/>
  <c r="AC60" i="15"/>
  <c r="AE59" i="15"/>
  <c r="AD59" i="15"/>
  <c r="AC59" i="15"/>
  <c r="AE58" i="15"/>
  <c r="AD58" i="15"/>
  <c r="AC58" i="15"/>
  <c r="AE57" i="15"/>
  <c r="AD57" i="15"/>
  <c r="AC57" i="15"/>
  <c r="AE56" i="15"/>
  <c r="AD56" i="15"/>
  <c r="AC56" i="15"/>
  <c r="AE55" i="15"/>
  <c r="AD55" i="15"/>
  <c r="AC55" i="15"/>
  <c r="AE52" i="15"/>
  <c r="AD52" i="15"/>
  <c r="AC52" i="15"/>
  <c r="AE51" i="15"/>
  <c r="AD51" i="15"/>
  <c r="AC51" i="15"/>
  <c r="AE50" i="15"/>
  <c r="AD50" i="15"/>
  <c r="AC50" i="15"/>
  <c r="AE49" i="15"/>
  <c r="AD49" i="15"/>
  <c r="AC49" i="15"/>
  <c r="AE48" i="15"/>
  <c r="AD48" i="15"/>
  <c r="AC48" i="15"/>
  <c r="AE47" i="15"/>
  <c r="AD47" i="15"/>
  <c r="AC47" i="15"/>
  <c r="AE46" i="15"/>
  <c r="AD46" i="15"/>
  <c r="AC46" i="15"/>
  <c r="AE45" i="15"/>
  <c r="AD45" i="15"/>
  <c r="AC45" i="15"/>
  <c r="AE44" i="15"/>
  <c r="AD44" i="15"/>
  <c r="AC44" i="15"/>
  <c r="AE43" i="15"/>
  <c r="AD43" i="15"/>
  <c r="AC43" i="15"/>
  <c r="AE42" i="15"/>
  <c r="AD42" i="15"/>
  <c r="AC42" i="15"/>
  <c r="AE41" i="15"/>
  <c r="AD41" i="15"/>
  <c r="AC41" i="15"/>
  <c r="AE40" i="15"/>
  <c r="AD40" i="15"/>
  <c r="AC40" i="15"/>
  <c r="AE39" i="15"/>
  <c r="AD39" i="15"/>
  <c r="AC39" i="15"/>
  <c r="AE38" i="15"/>
  <c r="AD38" i="15"/>
  <c r="AC38" i="15"/>
  <c r="AE37" i="15"/>
  <c r="AD37" i="15"/>
  <c r="AC37" i="15"/>
  <c r="AE36" i="15"/>
  <c r="AD36" i="15"/>
  <c r="AC36" i="15"/>
  <c r="AE35" i="15"/>
  <c r="AD35" i="15"/>
  <c r="AC35" i="15"/>
  <c r="AE34" i="15"/>
  <c r="AD34" i="15"/>
  <c r="AC34" i="15"/>
  <c r="AE33" i="15"/>
  <c r="AD33" i="15"/>
  <c r="AC33" i="15"/>
  <c r="AE32" i="15"/>
  <c r="AD32" i="15"/>
  <c r="AC32" i="15"/>
  <c r="AE31" i="15"/>
  <c r="AD31" i="15"/>
  <c r="AC31" i="15"/>
  <c r="AE30" i="15"/>
  <c r="AD30" i="15"/>
  <c r="AC30" i="15"/>
  <c r="AE29" i="15"/>
  <c r="AD29" i="15"/>
  <c r="AC29" i="15"/>
  <c r="AE28" i="15"/>
  <c r="AD28" i="15"/>
  <c r="AC28" i="15"/>
  <c r="AE27" i="15"/>
  <c r="AD27" i="15"/>
  <c r="AC27" i="15"/>
  <c r="AE26" i="15"/>
  <c r="AD26" i="15"/>
  <c r="AC26" i="15"/>
  <c r="AE25" i="15"/>
  <c r="AD25" i="15"/>
  <c r="AC25" i="15"/>
  <c r="AE23" i="15"/>
  <c r="AD23" i="15"/>
  <c r="AC23" i="15"/>
  <c r="AE22" i="15"/>
  <c r="AD22" i="15"/>
  <c r="AC22" i="15"/>
  <c r="AE21" i="15"/>
  <c r="AD21" i="15"/>
  <c r="AC21" i="15"/>
  <c r="AE20" i="15"/>
  <c r="AD20" i="15"/>
  <c r="AC20" i="15"/>
  <c r="AE19" i="15"/>
  <c r="AD19" i="15"/>
  <c r="AC19" i="15"/>
  <c r="AE18" i="15"/>
  <c r="AD18" i="15"/>
  <c r="AC18" i="15"/>
  <c r="AE17" i="15"/>
  <c r="AD17" i="15"/>
  <c r="AC17" i="15"/>
  <c r="AE16" i="15"/>
  <c r="AD16" i="15"/>
  <c r="AC16" i="15"/>
  <c r="AE15" i="15"/>
  <c r="AD15" i="15"/>
  <c r="AC15" i="15"/>
  <c r="AE14" i="15"/>
  <c r="AD14" i="15"/>
  <c r="AC14" i="15"/>
  <c r="AE13" i="15"/>
  <c r="AD13" i="15"/>
  <c r="AC13" i="15"/>
  <c r="AE12" i="15"/>
  <c r="AD12" i="15"/>
  <c r="AC12" i="15"/>
  <c r="AE11" i="15"/>
  <c r="AD11" i="15"/>
  <c r="AC11" i="15"/>
  <c r="AE10" i="15"/>
  <c r="AD10" i="15"/>
  <c r="AC10" i="15"/>
  <c r="AE9" i="15"/>
  <c r="AD9" i="15"/>
  <c r="AC9" i="15"/>
  <c r="AE8" i="15"/>
  <c r="AD8" i="15"/>
  <c r="AC8" i="15"/>
  <c r="AE7" i="15"/>
  <c r="AD7" i="15"/>
  <c r="AC7" i="15"/>
  <c r="AE6" i="15"/>
  <c r="AD6" i="15"/>
  <c r="AC6" i="15"/>
  <c r="AE49" i="14"/>
  <c r="AD49" i="14"/>
  <c r="AC49" i="14"/>
  <c r="AE48" i="14"/>
  <c r="AD48" i="14"/>
  <c r="AC48" i="14"/>
  <c r="AE47" i="14"/>
  <c r="AD47" i="14"/>
  <c r="AC47" i="14"/>
  <c r="AE46" i="14"/>
  <c r="AD46" i="14"/>
  <c r="AC46" i="14"/>
  <c r="AE45" i="14"/>
  <c r="AD45" i="14"/>
  <c r="AC45" i="14"/>
  <c r="AE44" i="14"/>
  <c r="AD44" i="14"/>
  <c r="AC44" i="14"/>
  <c r="AE43" i="14"/>
  <c r="AD43" i="14"/>
  <c r="AC43" i="14"/>
  <c r="AE42" i="14"/>
  <c r="AD42" i="14"/>
  <c r="AC42" i="14"/>
  <c r="AE41" i="14"/>
  <c r="AD41" i="14"/>
  <c r="AC41" i="14"/>
  <c r="AE40" i="14"/>
  <c r="AD40" i="14"/>
  <c r="AC40" i="14"/>
  <c r="AE39" i="14"/>
  <c r="AD39" i="14"/>
  <c r="AC39" i="14"/>
  <c r="AE38" i="14"/>
  <c r="AD38" i="14"/>
  <c r="AC38" i="14"/>
  <c r="AE36" i="14"/>
  <c r="AD36" i="14"/>
  <c r="AC36" i="14"/>
  <c r="AE35" i="14"/>
  <c r="AD35" i="14"/>
  <c r="AC35" i="14"/>
  <c r="AE34" i="14"/>
  <c r="AD34" i="14"/>
  <c r="AC34" i="14"/>
  <c r="AE33" i="14"/>
  <c r="AD33" i="14"/>
  <c r="AC33" i="14"/>
  <c r="AE32" i="14"/>
  <c r="AD32" i="14"/>
  <c r="AC32" i="14"/>
  <c r="AE31" i="14"/>
  <c r="AD31" i="14"/>
  <c r="AC31" i="14"/>
  <c r="AE30" i="14"/>
  <c r="AD30" i="14"/>
  <c r="AC30" i="14"/>
  <c r="AE29" i="14"/>
  <c r="AD29" i="14"/>
  <c r="AC29" i="14"/>
  <c r="AE28" i="14"/>
  <c r="AD28" i="14"/>
  <c r="AC28" i="14"/>
  <c r="AE27" i="14"/>
  <c r="AD27" i="14"/>
  <c r="AC27" i="14"/>
  <c r="AE26" i="14"/>
  <c r="AD26" i="14"/>
  <c r="AC26" i="14"/>
  <c r="AE25" i="14"/>
  <c r="AD25" i="14"/>
  <c r="AC25" i="14"/>
  <c r="AE24" i="14"/>
  <c r="AD24" i="14"/>
  <c r="AC24" i="14"/>
  <c r="AE23" i="14"/>
  <c r="AD23" i="14"/>
  <c r="AC23" i="14"/>
  <c r="AE22" i="14"/>
  <c r="AD22" i="14"/>
  <c r="AC22" i="14"/>
  <c r="AE21" i="14"/>
  <c r="AD21" i="14"/>
  <c r="AC21" i="14"/>
  <c r="AE20" i="14"/>
  <c r="AD20" i="14"/>
  <c r="AC20" i="14"/>
  <c r="AE19" i="14"/>
  <c r="AD19" i="14"/>
  <c r="AC19" i="14"/>
  <c r="AK100" i="20" l="1"/>
  <c r="CD11" i="21"/>
  <c r="CG11" i="21" s="1"/>
  <c r="CD15" i="21"/>
  <c r="CG15" i="21" s="1"/>
  <c r="CD19" i="21"/>
  <c r="CG19" i="21" s="1"/>
  <c r="CD23" i="21"/>
  <c r="CG23" i="21" s="1"/>
  <c r="CD27" i="21"/>
  <c r="CG27" i="21" s="1"/>
  <c r="K12" i="19"/>
  <c r="AV9" i="20"/>
  <c r="AY9" i="20" s="1"/>
  <c r="AT10" i="20"/>
  <c r="CD17" i="20"/>
  <c r="CG17" i="20" s="1"/>
  <c r="CD18" i="20"/>
  <c r="CG18" i="20" s="1"/>
  <c r="CD19" i="20"/>
  <c r="CG19" i="20" s="1"/>
  <c r="AT21" i="20"/>
  <c r="CD28" i="20"/>
  <c r="CG28" i="20" s="1"/>
  <c r="CD29" i="20"/>
  <c r="CG29" i="20" s="1"/>
  <c r="AT31" i="20"/>
  <c r="AW35" i="20"/>
  <c r="CD37" i="20"/>
  <c r="CG37" i="20" s="1"/>
  <c r="CD38" i="20"/>
  <c r="CG38" i="20" s="1"/>
  <c r="CD39" i="20"/>
  <c r="CG39" i="20" s="1"/>
  <c r="CD40" i="20"/>
  <c r="CG40" i="20" s="1"/>
  <c r="CD46" i="20"/>
  <c r="CG46" i="20" s="1"/>
  <c r="CD50" i="20"/>
  <c r="CG50" i="20" s="1"/>
  <c r="CD54" i="20"/>
  <c r="CG54" i="20" s="1"/>
  <c r="CD58" i="20"/>
  <c r="CG58" i="20" s="1"/>
  <c r="CD62" i="20"/>
  <c r="CG62" i="20" s="1"/>
  <c r="CD66" i="20"/>
  <c r="CG66" i="20" s="1"/>
  <c r="CD70" i="20"/>
  <c r="CG70" i="20" s="1"/>
  <c r="CD74" i="20"/>
  <c r="CG74" i="20" s="1"/>
  <c r="CD78" i="20"/>
  <c r="CG78" i="20" s="1"/>
  <c r="CD82" i="20"/>
  <c r="CG82" i="20" s="1"/>
  <c r="CD84" i="20"/>
  <c r="CG84" i="20" s="1"/>
  <c r="AT88" i="20"/>
  <c r="CD91" i="20"/>
  <c r="CG91" i="20" s="1"/>
  <c r="CD98" i="20"/>
  <c r="CG98" i="20" s="1"/>
  <c r="CD10" i="21"/>
  <c r="CG10" i="21" s="1"/>
  <c r="CD14" i="21"/>
  <c r="CG14" i="21" s="1"/>
  <c r="CD18" i="21"/>
  <c r="CG18" i="21" s="1"/>
  <c r="CD22" i="21"/>
  <c r="CG22" i="21" s="1"/>
  <c r="CD26" i="21"/>
  <c r="CG26" i="21" s="1"/>
  <c r="CD30" i="21"/>
  <c r="CG30" i="21" s="1"/>
  <c r="CD34" i="21"/>
  <c r="CG34" i="21" s="1"/>
  <c r="CD38" i="21"/>
  <c r="CG38" i="21" s="1"/>
  <c r="CD42" i="21"/>
  <c r="CG42" i="21" s="1"/>
  <c r="CD46" i="21"/>
  <c r="CG46" i="21" s="1"/>
  <c r="CD50" i="21"/>
  <c r="CG50" i="21" s="1"/>
  <c r="CD54" i="21"/>
  <c r="CG54" i="21" s="1"/>
  <c r="CD58" i="21"/>
  <c r="CG58" i="21" s="1"/>
  <c r="CD62" i="21"/>
  <c r="CG62" i="21" s="1"/>
  <c r="CD66" i="21"/>
  <c r="CG66" i="21" s="1"/>
  <c r="CD70" i="21"/>
  <c r="CG70" i="21" s="1"/>
  <c r="CD74" i="21"/>
  <c r="CG74" i="21" s="1"/>
  <c r="CD81" i="21"/>
  <c r="CG81" i="21" s="1"/>
  <c r="CD82" i="21"/>
  <c r="CG82" i="21" s="1"/>
  <c r="CD83" i="21"/>
  <c r="CG83" i="21" s="1"/>
  <c r="CD84" i="21"/>
  <c r="CG84" i="21" s="1"/>
  <c r="CD85" i="21"/>
  <c r="CG85" i="21" s="1"/>
  <c r="CD86" i="21"/>
  <c r="CG86" i="21" s="1"/>
  <c r="CD87" i="21"/>
  <c r="CG87" i="21" s="1"/>
  <c r="CD88" i="21"/>
  <c r="CG88" i="21" s="1"/>
  <c r="CD89" i="21"/>
  <c r="CG89" i="21" s="1"/>
  <c r="CD90" i="21"/>
  <c r="CG90" i="21" s="1"/>
  <c r="CD91" i="21"/>
  <c r="CG91" i="21" s="1"/>
  <c r="CD92" i="21"/>
  <c r="CG92" i="21" s="1"/>
  <c r="CD93" i="21"/>
  <c r="CG93" i="21" s="1"/>
  <c r="CD94" i="21"/>
  <c r="CG94" i="21" s="1"/>
  <c r="CD95" i="21"/>
  <c r="CG95" i="21" s="1"/>
  <c r="CD96" i="21"/>
  <c r="CG96" i="21" s="1"/>
  <c r="AT97" i="21"/>
  <c r="CD100" i="21"/>
  <c r="CG100" i="21" s="1"/>
  <c r="CD104" i="21"/>
  <c r="CG104" i="21" s="1"/>
  <c r="CD109" i="21"/>
  <c r="CG109" i="21" s="1"/>
  <c r="H15" i="19"/>
  <c r="CD8" i="20"/>
  <c r="CD9" i="20"/>
  <c r="CG9" i="20" s="1"/>
  <c r="CD10" i="20"/>
  <c r="CG10" i="20" s="1"/>
  <c r="CD11" i="20"/>
  <c r="CG11" i="20" s="1"/>
  <c r="CD20" i="20"/>
  <c r="CG20" i="20" s="1"/>
  <c r="CD21" i="20"/>
  <c r="CG21" i="20" s="1"/>
  <c r="CD30" i="20"/>
  <c r="CG30" i="20" s="1"/>
  <c r="CD31" i="20"/>
  <c r="CG31" i="20" s="1"/>
  <c r="CD32" i="20"/>
  <c r="CG32" i="20" s="1"/>
  <c r="CD45" i="20"/>
  <c r="CG45" i="20" s="1"/>
  <c r="CD49" i="20"/>
  <c r="CG49" i="20" s="1"/>
  <c r="CD53" i="20"/>
  <c r="CG53" i="20" s="1"/>
  <c r="CD57" i="20"/>
  <c r="CG57" i="20" s="1"/>
  <c r="CD61" i="20"/>
  <c r="CG61" i="20" s="1"/>
  <c r="CD65" i="20"/>
  <c r="CG65" i="20" s="1"/>
  <c r="AT68" i="20"/>
  <c r="CD69" i="20"/>
  <c r="CG69" i="20" s="1"/>
  <c r="AT72" i="20"/>
  <c r="CD73" i="20"/>
  <c r="CG73" i="20" s="1"/>
  <c r="AT76" i="20"/>
  <c r="CD77" i="20"/>
  <c r="CG77" i="20" s="1"/>
  <c r="CD81" i="20"/>
  <c r="CG81" i="20" s="1"/>
  <c r="CD86" i="20"/>
  <c r="CG86" i="20" s="1"/>
  <c r="CD88" i="20"/>
  <c r="CG88" i="20" s="1"/>
  <c r="CD92" i="20"/>
  <c r="CG92" i="20" s="1"/>
  <c r="CD95" i="20"/>
  <c r="CG95" i="20" s="1"/>
  <c r="CD99" i="20"/>
  <c r="CG99" i="20" s="1"/>
  <c r="CD13" i="21"/>
  <c r="CG13" i="21" s="1"/>
  <c r="CD17" i="21"/>
  <c r="CG17" i="21" s="1"/>
  <c r="CD21" i="21"/>
  <c r="CG21" i="21" s="1"/>
  <c r="CD25" i="21"/>
  <c r="CG25" i="21" s="1"/>
  <c r="CD29" i="21"/>
  <c r="CG29" i="21" s="1"/>
  <c r="CD33" i="21"/>
  <c r="CG33" i="21" s="1"/>
  <c r="CD37" i="21"/>
  <c r="CG37" i="21" s="1"/>
  <c r="CD41" i="21"/>
  <c r="CG41" i="21" s="1"/>
  <c r="CD45" i="21"/>
  <c r="CG45" i="21" s="1"/>
  <c r="CD49" i="21"/>
  <c r="CG49" i="21" s="1"/>
  <c r="CD53" i="21"/>
  <c r="CG53" i="21" s="1"/>
  <c r="CD57" i="21"/>
  <c r="CG57" i="21" s="1"/>
  <c r="CD61" i="21"/>
  <c r="CG61" i="21" s="1"/>
  <c r="CD65" i="21"/>
  <c r="CG65" i="21" s="1"/>
  <c r="CD69" i="21"/>
  <c r="CG69" i="21" s="1"/>
  <c r="CD73" i="21"/>
  <c r="CG73" i="21" s="1"/>
  <c r="CD97" i="21"/>
  <c r="CG97" i="21" s="1"/>
  <c r="CD101" i="21"/>
  <c r="CG101" i="21" s="1"/>
  <c r="CD105" i="21"/>
  <c r="CG105" i="21" s="1"/>
  <c r="CD106" i="21"/>
  <c r="CG106" i="21" s="1"/>
  <c r="CD107" i="21"/>
  <c r="CG107" i="21" s="1"/>
  <c r="CD108" i="21"/>
  <c r="CG108" i="21" s="1"/>
  <c r="CD111" i="21"/>
  <c r="CG111" i="21" s="1"/>
  <c r="BQ117" i="21"/>
  <c r="BQ115" i="21"/>
  <c r="CD12" i="20"/>
  <c r="CG12" i="20" s="1"/>
  <c r="CD13" i="20"/>
  <c r="CG13" i="20" s="1"/>
  <c r="CD22" i="20"/>
  <c r="CG22" i="20" s="1"/>
  <c r="CD23" i="20"/>
  <c r="CG23" i="20" s="1"/>
  <c r="CD24" i="20"/>
  <c r="CG24" i="20" s="1"/>
  <c r="CD33" i="20"/>
  <c r="CG33" i="20" s="1"/>
  <c r="CD34" i="20"/>
  <c r="CG34" i="20" s="1"/>
  <c r="CD44" i="20"/>
  <c r="CG44" i="20" s="1"/>
  <c r="CD48" i="20"/>
  <c r="CG48" i="20" s="1"/>
  <c r="CD52" i="20"/>
  <c r="CG52" i="20" s="1"/>
  <c r="CD56" i="20"/>
  <c r="CG56" i="20" s="1"/>
  <c r="CD60" i="20"/>
  <c r="CG60" i="20" s="1"/>
  <c r="CD64" i="20"/>
  <c r="CG64" i="20" s="1"/>
  <c r="CD68" i="20"/>
  <c r="CG68" i="20" s="1"/>
  <c r="CD72" i="20"/>
  <c r="CG72" i="20" s="1"/>
  <c r="CD76" i="20"/>
  <c r="CG76" i="20" s="1"/>
  <c r="CD80" i="20"/>
  <c r="CG80" i="20" s="1"/>
  <c r="CD83" i="20"/>
  <c r="CG83" i="20" s="1"/>
  <c r="CD89" i="20"/>
  <c r="CG89" i="20" s="1"/>
  <c r="CD93" i="20"/>
  <c r="CG93" i="20" s="1"/>
  <c r="CD96" i="20"/>
  <c r="CG96" i="20" s="1"/>
  <c r="CD32" i="21"/>
  <c r="CG32" i="21" s="1"/>
  <c r="CD36" i="21"/>
  <c r="CG36" i="21" s="1"/>
  <c r="CD40" i="21"/>
  <c r="CG40" i="21" s="1"/>
  <c r="CD44" i="21"/>
  <c r="CG44" i="21" s="1"/>
  <c r="CD48" i="21"/>
  <c r="CG48" i="21" s="1"/>
  <c r="CD52" i="21"/>
  <c r="CG52" i="21" s="1"/>
  <c r="CD56" i="21"/>
  <c r="CG56" i="21" s="1"/>
  <c r="CD60" i="21"/>
  <c r="CG60" i="21" s="1"/>
  <c r="CD64" i="21"/>
  <c r="CG64" i="21" s="1"/>
  <c r="CD68" i="21"/>
  <c r="CG68" i="21" s="1"/>
  <c r="CD72" i="21"/>
  <c r="CG72" i="21" s="1"/>
  <c r="CD76" i="21"/>
  <c r="CG76" i="21" s="1"/>
  <c r="CD78" i="21"/>
  <c r="CG78" i="21" s="1"/>
  <c r="CD98" i="21"/>
  <c r="CG98" i="21" s="1"/>
  <c r="AW100" i="21"/>
  <c r="CD102" i="21"/>
  <c r="CG102" i="21" s="1"/>
  <c r="AW104" i="21"/>
  <c r="BP117" i="21"/>
  <c r="BP115" i="21"/>
  <c r="AN123" i="4"/>
  <c r="AH123" i="4"/>
  <c r="AG180" i="1"/>
  <c r="AH98" i="2"/>
  <c r="CD114" i="21"/>
  <c r="CG114" i="21" s="1"/>
  <c r="AH104" i="3"/>
  <c r="AH102" i="3"/>
  <c r="AH103" i="3" s="1"/>
  <c r="AH96" i="2"/>
  <c r="AH97" i="2" s="1"/>
  <c r="AF179" i="1"/>
  <c r="AG178" i="1"/>
  <c r="AG179" i="1" s="1"/>
  <c r="AH121" i="4"/>
  <c r="AH122" i="4" s="1"/>
  <c r="BI123" i="4"/>
  <c r="BF123" i="4"/>
  <c r="AT78" i="21"/>
  <c r="AT80" i="21"/>
  <c r="AW96" i="21"/>
  <c r="BR112" i="21"/>
  <c r="BR115" i="21" s="1"/>
  <c r="BR116" i="21" s="1"/>
  <c r="AT81" i="21"/>
  <c r="AH112" i="21"/>
  <c r="AN112" i="21"/>
  <c r="AT77" i="21"/>
  <c r="AT90" i="21"/>
  <c r="AT93" i="21"/>
  <c r="AT84" i="21"/>
  <c r="AV88" i="21"/>
  <c r="AW88" i="21" s="1"/>
  <c r="AT96" i="21"/>
  <c r="AT9" i="21"/>
  <c r="AT89" i="21"/>
  <c r="AT94" i="21"/>
  <c r="AW111" i="21"/>
  <c r="BF112" i="21"/>
  <c r="BF117" i="21" s="1"/>
  <c r="AT82" i="21"/>
  <c r="AT85" i="21"/>
  <c r="AT91" i="21"/>
  <c r="AT98" i="21"/>
  <c r="AW101" i="21"/>
  <c r="AE112" i="21"/>
  <c r="AU9" i="21"/>
  <c r="BE115" i="21"/>
  <c r="BE116" i="21" s="1"/>
  <c r="BK115" i="21"/>
  <c r="BK116" i="21" s="1"/>
  <c r="BQ116" i="21"/>
  <c r="AW92" i="21"/>
  <c r="AR112" i="21"/>
  <c r="AU112" i="21" s="1"/>
  <c r="S112" i="21"/>
  <c r="AQ112" i="21"/>
  <c r="BC112" i="21"/>
  <c r="BC115" i="21" s="1"/>
  <c r="BO112" i="21"/>
  <c r="BO117" i="21" s="1"/>
  <c r="P112" i="21"/>
  <c r="AT83" i="21"/>
  <c r="AV86" i="21"/>
  <c r="AW86" i="21" s="1"/>
  <c r="AT92" i="21"/>
  <c r="AV94" i="21"/>
  <c r="AW94" i="21" s="1"/>
  <c r="CD8" i="21"/>
  <c r="CG8" i="21" s="1"/>
  <c r="BI117" i="21"/>
  <c r="BD115" i="21"/>
  <c r="BD116" i="21" s="1"/>
  <c r="BJ115" i="21"/>
  <c r="BJ116" i="21" s="1"/>
  <c r="BP116" i="21"/>
  <c r="AW83" i="21"/>
  <c r="M112" i="21"/>
  <c r="AB112" i="21"/>
  <c r="AT8" i="21"/>
  <c r="BL112" i="21"/>
  <c r="BL117" i="21" s="1"/>
  <c r="AW81" i="21"/>
  <c r="AT87" i="21"/>
  <c r="AW90" i="21"/>
  <c r="AT95" i="21"/>
  <c r="AW99" i="21"/>
  <c r="AW103" i="21"/>
  <c r="AS112" i="21"/>
  <c r="AV112" i="21" s="1"/>
  <c r="AY112" i="21" s="1"/>
  <c r="CC112" i="21"/>
  <c r="CF112" i="21" s="1"/>
  <c r="BR117" i="21"/>
  <c r="BB115" i="21"/>
  <c r="BB116" i="21" s="1"/>
  <c r="BH115" i="21"/>
  <c r="BH116" i="21" s="1"/>
  <c r="BN115" i="21"/>
  <c r="CB112" i="21"/>
  <c r="BA115" i="21"/>
  <c r="BG115" i="21"/>
  <c r="BG116" i="21" s="1"/>
  <c r="BM115" i="21"/>
  <c r="BO115" i="21"/>
  <c r="BO116" i="21" s="1"/>
  <c r="BF115" i="21"/>
  <c r="BF116" i="21" s="1"/>
  <c r="BI115" i="21"/>
  <c r="BI116" i="21" s="1"/>
  <c r="AW10" i="21"/>
  <c r="AX10" i="21"/>
  <c r="AZ10" i="21" s="1"/>
  <c r="AW14" i="21"/>
  <c r="AX14" i="21"/>
  <c r="AZ14" i="21" s="1"/>
  <c r="AW18" i="21"/>
  <c r="AX18" i="21"/>
  <c r="AZ18" i="21" s="1"/>
  <c r="AW22" i="21"/>
  <c r="AX22" i="21"/>
  <c r="AZ22" i="21" s="1"/>
  <c r="AW26" i="21"/>
  <c r="AX26" i="21"/>
  <c r="AZ26" i="21" s="1"/>
  <c r="AW30" i="21"/>
  <c r="AX30" i="21"/>
  <c r="AZ30" i="21" s="1"/>
  <c r="AW34" i="21"/>
  <c r="AX34" i="21"/>
  <c r="AZ34" i="21" s="1"/>
  <c r="AW38" i="21"/>
  <c r="AX38" i="21"/>
  <c r="AZ38" i="21" s="1"/>
  <c r="AW42" i="21"/>
  <c r="AX42" i="21"/>
  <c r="AZ42" i="21" s="1"/>
  <c r="AW46" i="21"/>
  <c r="AX46" i="21"/>
  <c r="AZ46" i="21" s="1"/>
  <c r="AW50" i="21"/>
  <c r="AX50" i="21"/>
  <c r="AZ50" i="21" s="1"/>
  <c r="AW54" i="21"/>
  <c r="AX54" i="21"/>
  <c r="AZ54" i="21" s="1"/>
  <c r="AW58" i="21"/>
  <c r="AX58" i="21"/>
  <c r="AZ58" i="21" s="1"/>
  <c r="AW8" i="21"/>
  <c r="AW76" i="21"/>
  <c r="AW13" i="21"/>
  <c r="AX13" i="21"/>
  <c r="AZ13" i="21" s="1"/>
  <c r="AW17" i="21"/>
  <c r="AX17" i="21"/>
  <c r="AZ17" i="21" s="1"/>
  <c r="AW21" i="21"/>
  <c r="AX21" i="21"/>
  <c r="AZ21" i="21" s="1"/>
  <c r="AW25" i="21"/>
  <c r="AX25" i="21"/>
  <c r="AZ25" i="21" s="1"/>
  <c r="AW29" i="21"/>
  <c r="AX29" i="21"/>
  <c r="AZ29" i="21" s="1"/>
  <c r="AW33" i="21"/>
  <c r="AX33" i="21"/>
  <c r="AZ33" i="21" s="1"/>
  <c r="AW37" i="21"/>
  <c r="AX37" i="21"/>
  <c r="AZ37" i="21" s="1"/>
  <c r="AW41" i="21"/>
  <c r="AX41" i="21"/>
  <c r="AZ41" i="21" s="1"/>
  <c r="AW45" i="21"/>
  <c r="AX45" i="21"/>
  <c r="AZ45" i="21" s="1"/>
  <c r="AW49" i="21"/>
  <c r="AX49" i="21"/>
  <c r="AZ49" i="21" s="1"/>
  <c r="AW53" i="21"/>
  <c r="AX53" i="21"/>
  <c r="AZ53" i="21" s="1"/>
  <c r="AW57" i="21"/>
  <c r="AX57" i="21"/>
  <c r="AZ57" i="21" s="1"/>
  <c r="AY60" i="21"/>
  <c r="AZ60" i="21" s="1"/>
  <c r="AW60" i="21"/>
  <c r="AY62" i="21"/>
  <c r="AZ62" i="21" s="1"/>
  <c r="AW62" i="21"/>
  <c r="AY64" i="21"/>
  <c r="AZ64" i="21" s="1"/>
  <c r="AW64" i="21"/>
  <c r="AY66" i="21"/>
  <c r="AZ66" i="21" s="1"/>
  <c r="AW66" i="21"/>
  <c r="AY68" i="21"/>
  <c r="AZ68" i="21" s="1"/>
  <c r="AW68" i="21"/>
  <c r="AY70" i="21"/>
  <c r="AZ70" i="21" s="1"/>
  <c r="AW70" i="21"/>
  <c r="AY72" i="21"/>
  <c r="AZ72" i="21" s="1"/>
  <c r="AW72" i="21"/>
  <c r="AY74" i="21"/>
  <c r="AZ74" i="21" s="1"/>
  <c r="AW74" i="21"/>
  <c r="AX112" i="21"/>
  <c r="AW12" i="21"/>
  <c r="AX12" i="21"/>
  <c r="AZ12" i="21" s="1"/>
  <c r="AW16" i="21"/>
  <c r="AX16" i="21"/>
  <c r="AZ16" i="21" s="1"/>
  <c r="AW20" i="21"/>
  <c r="AX20" i="21"/>
  <c r="AZ20" i="21" s="1"/>
  <c r="AW24" i="21"/>
  <c r="AX24" i="21"/>
  <c r="AZ24" i="21" s="1"/>
  <c r="AW28" i="21"/>
  <c r="AX28" i="21"/>
  <c r="AZ28" i="21" s="1"/>
  <c r="AW32" i="21"/>
  <c r="AX32" i="21"/>
  <c r="AZ32" i="21" s="1"/>
  <c r="AW36" i="21"/>
  <c r="AX36" i="21"/>
  <c r="AZ36" i="21" s="1"/>
  <c r="AW40" i="21"/>
  <c r="AX40" i="21"/>
  <c r="AZ40" i="21" s="1"/>
  <c r="AW44" i="21"/>
  <c r="AX44" i="21"/>
  <c r="AZ44" i="21" s="1"/>
  <c r="AW48" i="21"/>
  <c r="AX48" i="21"/>
  <c r="AZ48" i="21" s="1"/>
  <c r="AW52" i="21"/>
  <c r="AX52" i="21"/>
  <c r="AZ52" i="21" s="1"/>
  <c r="AW56" i="21"/>
  <c r="AX56" i="21"/>
  <c r="AZ56" i="21" s="1"/>
  <c r="AW11" i="21"/>
  <c r="AX11" i="21"/>
  <c r="AZ11" i="21" s="1"/>
  <c r="AW15" i="21"/>
  <c r="AX15" i="21"/>
  <c r="AZ15" i="21" s="1"/>
  <c r="AW19" i="21"/>
  <c r="AX19" i="21"/>
  <c r="AZ19" i="21" s="1"/>
  <c r="AW23" i="21"/>
  <c r="AX23" i="21"/>
  <c r="AZ23" i="21" s="1"/>
  <c r="AW27" i="21"/>
  <c r="AX27" i="21"/>
  <c r="AZ27" i="21" s="1"/>
  <c r="AW31" i="21"/>
  <c r="AX31" i="21"/>
  <c r="AZ31" i="21" s="1"/>
  <c r="AW35" i="21"/>
  <c r="AX35" i="21"/>
  <c r="AZ35" i="21" s="1"/>
  <c r="AW39" i="21"/>
  <c r="AX39" i="21"/>
  <c r="AZ39" i="21" s="1"/>
  <c r="AW43" i="21"/>
  <c r="AX43" i="21"/>
  <c r="AZ43" i="21" s="1"/>
  <c r="AW47" i="21"/>
  <c r="AX47" i="21"/>
  <c r="AZ47" i="21" s="1"/>
  <c r="AW51" i="21"/>
  <c r="AX51" i="21"/>
  <c r="AZ51" i="21" s="1"/>
  <c r="AW55" i="21"/>
  <c r="AX55" i="21"/>
  <c r="AZ55" i="21" s="1"/>
  <c r="AW59" i="21"/>
  <c r="AX59" i="21"/>
  <c r="AZ59" i="21" s="1"/>
  <c r="AY61" i="21"/>
  <c r="AZ61" i="21" s="1"/>
  <c r="AW61" i="21"/>
  <c r="AY63" i="21"/>
  <c r="AZ63" i="21" s="1"/>
  <c r="AW63" i="21"/>
  <c r="AY65" i="21"/>
  <c r="AZ65" i="21" s="1"/>
  <c r="AW65" i="21"/>
  <c r="AY67" i="21"/>
  <c r="AZ67" i="21" s="1"/>
  <c r="AW67" i="21"/>
  <c r="AY69" i="21"/>
  <c r="AZ69" i="21" s="1"/>
  <c r="AW69" i="21"/>
  <c r="AY71" i="21"/>
  <c r="AZ71" i="21" s="1"/>
  <c r="AW71" i="21"/>
  <c r="AY73" i="21"/>
  <c r="AZ73" i="21" s="1"/>
  <c r="AW73" i="21"/>
  <c r="AY75" i="21"/>
  <c r="AZ75" i="21" s="1"/>
  <c r="AW75" i="21"/>
  <c r="AY79" i="21"/>
  <c r="AZ79" i="21" s="1"/>
  <c r="AW79" i="21"/>
  <c r="AT10" i="21"/>
  <c r="AT11" i="21"/>
  <c r="AT12" i="21"/>
  <c r="AT13" i="21"/>
  <c r="AT14" i="21"/>
  <c r="AT15" i="21"/>
  <c r="AT16" i="21"/>
  <c r="AT17" i="21"/>
  <c r="AT18" i="21"/>
  <c r="AT19" i="21"/>
  <c r="AT20" i="21"/>
  <c r="AT21" i="21"/>
  <c r="AT22" i="21"/>
  <c r="AT23" i="21"/>
  <c r="AT24" i="21"/>
  <c r="AT25" i="21"/>
  <c r="AT26" i="21"/>
  <c r="AT27" i="21"/>
  <c r="AT28" i="21"/>
  <c r="AT29" i="21"/>
  <c r="AT30" i="21"/>
  <c r="AT31" i="21"/>
  <c r="AT32" i="21"/>
  <c r="AT33" i="21"/>
  <c r="AT34" i="21"/>
  <c r="AT35" i="21"/>
  <c r="AT36" i="21"/>
  <c r="AT37" i="21"/>
  <c r="AT38" i="21"/>
  <c r="AT39" i="21"/>
  <c r="AT40" i="21"/>
  <c r="AT41" i="21"/>
  <c r="AT42" i="21"/>
  <c r="AT43" i="21"/>
  <c r="AT44" i="21"/>
  <c r="AT45" i="21"/>
  <c r="AT46" i="21"/>
  <c r="AT47" i="21"/>
  <c r="AT48" i="21"/>
  <c r="AT49" i="21"/>
  <c r="AT50" i="21"/>
  <c r="AT51" i="21"/>
  <c r="AT52" i="21"/>
  <c r="AT53" i="21"/>
  <c r="AT54" i="21"/>
  <c r="AT55" i="21"/>
  <c r="AT56" i="21"/>
  <c r="AT57" i="21"/>
  <c r="AT58" i="21"/>
  <c r="AT59" i="21"/>
  <c r="AT60" i="21"/>
  <c r="AT61" i="21"/>
  <c r="AT62" i="21"/>
  <c r="AT63" i="21"/>
  <c r="AT64" i="21"/>
  <c r="AT65" i="21"/>
  <c r="AT66" i="21"/>
  <c r="AT67" i="21"/>
  <c r="AT68" i="21"/>
  <c r="AT69" i="21"/>
  <c r="AT70" i="21"/>
  <c r="AT71" i="21"/>
  <c r="AT72" i="21"/>
  <c r="AT73" i="21"/>
  <c r="AT74" i="21"/>
  <c r="AT75" i="21"/>
  <c r="AT76" i="21"/>
  <c r="AX76" i="21"/>
  <c r="AZ76" i="21" s="1"/>
  <c r="AV77" i="21"/>
  <c r="AY77" i="21" s="1"/>
  <c r="AV78" i="21"/>
  <c r="AY78" i="21" s="1"/>
  <c r="AT79" i="21"/>
  <c r="AV85" i="21"/>
  <c r="AY85" i="21" s="1"/>
  <c r="AV97" i="21"/>
  <c r="AW97" i="21" s="1"/>
  <c r="AT111" i="21"/>
  <c r="AX8" i="21"/>
  <c r="AZ8" i="21" s="1"/>
  <c r="AX77" i="21"/>
  <c r="AX78" i="21"/>
  <c r="AU80" i="21"/>
  <c r="AW80" i="21" s="1"/>
  <c r="AU82" i="21"/>
  <c r="AW82" i="21" s="1"/>
  <c r="AU84" i="21"/>
  <c r="AW84" i="21" s="1"/>
  <c r="AX85" i="21"/>
  <c r="AU87" i="21"/>
  <c r="AW87" i="21" s="1"/>
  <c r="AU89" i="21"/>
  <c r="AW89" i="21" s="1"/>
  <c r="AU91" i="21"/>
  <c r="AW91" i="21" s="1"/>
  <c r="AU93" i="21"/>
  <c r="AW93" i="21" s="1"/>
  <c r="AU95" i="21"/>
  <c r="AW95" i="21" s="1"/>
  <c r="AU98" i="21"/>
  <c r="AW98" i="21" s="1"/>
  <c r="AT8" i="20"/>
  <c r="AV13" i="20"/>
  <c r="AY13" i="20" s="1"/>
  <c r="AT14" i="20"/>
  <c r="AV18" i="20"/>
  <c r="AY18" i="20" s="1"/>
  <c r="AT19" i="20"/>
  <c r="AT25" i="20"/>
  <c r="AV29" i="20"/>
  <c r="AY29" i="20" s="1"/>
  <c r="AT30" i="20"/>
  <c r="AV34" i="20"/>
  <c r="AY34" i="20" s="1"/>
  <c r="AW39" i="20"/>
  <c r="AT47" i="20"/>
  <c r="AT51" i="20"/>
  <c r="AT55" i="20"/>
  <c r="AT59" i="20"/>
  <c r="AT63" i="20"/>
  <c r="AT67" i="20"/>
  <c r="AT71" i="20"/>
  <c r="AT75" i="20"/>
  <c r="AT79" i="20"/>
  <c r="AV88" i="20"/>
  <c r="AW89" i="20"/>
  <c r="AW93" i="20"/>
  <c r="V100" i="20"/>
  <c r="AQ100" i="20"/>
  <c r="BC100" i="20"/>
  <c r="BO100" i="20"/>
  <c r="BO105" i="20" s="1"/>
  <c r="AV10" i="20"/>
  <c r="AY10" i="20" s="1"/>
  <c r="AT11" i="20"/>
  <c r="AT17" i="20"/>
  <c r="AV21" i="20"/>
  <c r="AY21" i="20" s="1"/>
  <c r="AT22" i="20"/>
  <c r="AV26" i="20"/>
  <c r="AY26" i="20" s="1"/>
  <c r="AT27" i="20"/>
  <c r="AT33" i="20"/>
  <c r="AT36" i="20"/>
  <c r="AT37" i="20"/>
  <c r="AT40" i="20"/>
  <c r="AT41" i="20"/>
  <c r="AT42" i="20"/>
  <c r="AT43" i="20"/>
  <c r="AT45" i="20"/>
  <c r="AT49" i="20"/>
  <c r="AT53" i="20"/>
  <c r="AT57" i="20"/>
  <c r="AT61" i="20"/>
  <c r="AT65" i="20"/>
  <c r="AT69" i="20"/>
  <c r="AT73" i="20"/>
  <c r="AT77" i="20"/>
  <c r="AW91" i="20"/>
  <c r="S100" i="20"/>
  <c r="AE100" i="20"/>
  <c r="AV38" i="20"/>
  <c r="AY38" i="20" s="1"/>
  <c r="AB100" i="20"/>
  <c r="J100" i="20"/>
  <c r="AH100" i="20"/>
  <c r="BF100" i="20"/>
  <c r="BR100" i="20"/>
  <c r="AV11" i="20"/>
  <c r="AY11" i="20" s="1"/>
  <c r="AT12" i="20"/>
  <c r="AV15" i="20"/>
  <c r="AY15" i="20" s="1"/>
  <c r="AT16" i="20"/>
  <c r="AV19" i="20"/>
  <c r="AY19" i="20" s="1"/>
  <c r="AT20" i="20"/>
  <c r="AV23" i="20"/>
  <c r="AY23" i="20" s="1"/>
  <c r="AT24" i="20"/>
  <c r="AV27" i="20"/>
  <c r="AY27" i="20" s="1"/>
  <c r="AT28" i="20"/>
  <c r="AV31" i="20"/>
  <c r="AY31" i="20" s="1"/>
  <c r="AT32" i="20"/>
  <c r="AT35" i="20"/>
  <c r="AV37" i="20"/>
  <c r="AY37" i="20" s="1"/>
  <c r="AT39" i="20"/>
  <c r="AV44" i="20"/>
  <c r="AW44" i="20" s="1"/>
  <c r="AV45" i="20"/>
  <c r="AV46" i="20"/>
  <c r="AV47" i="20"/>
  <c r="AV48" i="20"/>
  <c r="AW48" i="20" s="1"/>
  <c r="AV49" i="20"/>
  <c r="AV50" i="20"/>
  <c r="AV51" i="20"/>
  <c r="AV52" i="20"/>
  <c r="AW52" i="20" s="1"/>
  <c r="AV53" i="20"/>
  <c r="AV54" i="20"/>
  <c r="AV55" i="20"/>
  <c r="AV56" i="20"/>
  <c r="AW56" i="20" s="1"/>
  <c r="AV57" i="20"/>
  <c r="AV58" i="20"/>
  <c r="AV59" i="20"/>
  <c r="AV60" i="20"/>
  <c r="AW60" i="20" s="1"/>
  <c r="AV61" i="20"/>
  <c r="AV62" i="20"/>
  <c r="AV63" i="20"/>
  <c r="AV64" i="20"/>
  <c r="AW64" i="20" s="1"/>
  <c r="AV65" i="20"/>
  <c r="AV66" i="20"/>
  <c r="AV67" i="20"/>
  <c r="AV68" i="20"/>
  <c r="AW68" i="20" s="1"/>
  <c r="AV69" i="20"/>
  <c r="AV70" i="20"/>
  <c r="AV71" i="20"/>
  <c r="AV72" i="20"/>
  <c r="AW72" i="20" s="1"/>
  <c r="AV73" i="20"/>
  <c r="AV74" i="20"/>
  <c r="AV75" i="20"/>
  <c r="AV76" i="20"/>
  <c r="AW76" i="20" s="1"/>
  <c r="AV77" i="20"/>
  <c r="AV78" i="20"/>
  <c r="AV79" i="20"/>
  <c r="AW88" i="20"/>
  <c r="AW90" i="20"/>
  <c r="AW94" i="20"/>
  <c r="AS100" i="20"/>
  <c r="CC100" i="20"/>
  <c r="CF100" i="20" s="1"/>
  <c r="CF105" i="20" s="1"/>
  <c r="BC105" i="20"/>
  <c r="BB103" i="20"/>
  <c r="BB104" i="20" s="1"/>
  <c r="BG103" i="20"/>
  <c r="BG104" i="20" s="1"/>
  <c r="BD105" i="20"/>
  <c r="BH105" i="20"/>
  <c r="BN105" i="20"/>
  <c r="AW42" i="20"/>
  <c r="AR100" i="20"/>
  <c r="AU100" i="20" s="1"/>
  <c r="CB100" i="20"/>
  <c r="CE100" i="20" s="1"/>
  <c r="CE105" i="20" s="1"/>
  <c r="BA103" i="20"/>
  <c r="BA104" i="20" s="1"/>
  <c r="BK103" i="20"/>
  <c r="BK104" i="20" s="1"/>
  <c r="BM105" i="20"/>
  <c r="P100" i="20"/>
  <c r="BL100" i="20"/>
  <c r="BL103" i="20" s="1"/>
  <c r="BL104" i="20" s="1"/>
  <c r="AW38" i="20"/>
  <c r="AW43" i="20"/>
  <c r="AW45" i="20"/>
  <c r="AW46" i="20"/>
  <c r="AW47" i="20"/>
  <c r="AW49" i="20"/>
  <c r="AW50" i="20"/>
  <c r="AW51" i="20"/>
  <c r="AW53" i="20"/>
  <c r="AW54" i="20"/>
  <c r="AW55" i="20"/>
  <c r="AW57" i="20"/>
  <c r="AW58" i="20"/>
  <c r="AW59" i="20"/>
  <c r="AW61" i="20"/>
  <c r="AW62" i="20"/>
  <c r="AW63" i="20"/>
  <c r="AW65" i="20"/>
  <c r="AW66" i="20"/>
  <c r="AW67" i="20"/>
  <c r="AW69" i="20"/>
  <c r="AW70" i="20"/>
  <c r="AW71" i="20"/>
  <c r="AW73" i="20"/>
  <c r="AW74" i="20"/>
  <c r="AW75" i="20"/>
  <c r="AW77" i="20"/>
  <c r="AW78" i="20"/>
  <c r="AW79" i="20"/>
  <c r="AT80" i="20"/>
  <c r="AT81" i="20"/>
  <c r="AT82" i="20"/>
  <c r="AT83" i="20"/>
  <c r="AT86" i="20"/>
  <c r="AT87" i="20"/>
  <c r="AW92" i="20"/>
  <c r="AW99" i="20"/>
  <c r="BE103" i="20"/>
  <c r="BE104" i="20" s="1"/>
  <c r="BJ103" i="20"/>
  <c r="BJ104" i="20" s="1"/>
  <c r="AN100" i="20"/>
  <c r="M100" i="20"/>
  <c r="Y100" i="20"/>
  <c r="BI100" i="20"/>
  <c r="BI105" i="20" s="1"/>
  <c r="AV36" i="20"/>
  <c r="AY36" i="20" s="1"/>
  <c r="AX42" i="20"/>
  <c r="AZ42" i="20" s="1"/>
  <c r="AT84" i="20"/>
  <c r="AT85" i="20"/>
  <c r="CG8" i="20"/>
  <c r="BP103" i="20"/>
  <c r="CB105" i="20"/>
  <c r="BR102" i="20"/>
  <c r="CD102" i="20" s="1"/>
  <c r="CG102" i="20" s="1"/>
  <c r="BQ104" i="20"/>
  <c r="BC103" i="20"/>
  <c r="BC104" i="20" s="1"/>
  <c r="BO103" i="20"/>
  <c r="BO104" i="20" s="1"/>
  <c r="BQ105" i="20"/>
  <c r="AW9" i="20"/>
  <c r="AZ9" i="20"/>
  <c r="AW11" i="20"/>
  <c r="AX11" i="20"/>
  <c r="AZ11" i="20" s="1"/>
  <c r="AW13" i="20"/>
  <c r="AX13" i="20"/>
  <c r="AZ13" i="20" s="1"/>
  <c r="AW15" i="20"/>
  <c r="AX15" i="20"/>
  <c r="AZ15" i="20" s="1"/>
  <c r="AW17" i="20"/>
  <c r="AX17" i="20"/>
  <c r="AZ17" i="20" s="1"/>
  <c r="AW19" i="20"/>
  <c r="AX19" i="20"/>
  <c r="AZ19" i="20" s="1"/>
  <c r="AX21" i="20"/>
  <c r="AZ21" i="20" s="1"/>
  <c r="AW23" i="20"/>
  <c r="AX23" i="20"/>
  <c r="AZ23" i="20" s="1"/>
  <c r="AW25" i="20"/>
  <c r="AX25" i="20"/>
  <c r="AZ25" i="20" s="1"/>
  <c r="AW27" i="20"/>
  <c r="AX27" i="20"/>
  <c r="AZ27" i="20" s="1"/>
  <c r="AW29" i="20"/>
  <c r="AX29" i="20"/>
  <c r="AZ29" i="20" s="1"/>
  <c r="AW31" i="20"/>
  <c r="AX31" i="20"/>
  <c r="AZ31" i="20" s="1"/>
  <c r="AW33" i="20"/>
  <c r="AX33" i="20"/>
  <c r="AZ33" i="20" s="1"/>
  <c r="AW40" i="20"/>
  <c r="AX40" i="20"/>
  <c r="AZ40" i="20" s="1"/>
  <c r="AW85" i="20"/>
  <c r="AX85" i="20"/>
  <c r="AZ85" i="20" s="1"/>
  <c r="AV100" i="20"/>
  <c r="AY100" i="20" s="1"/>
  <c r="AW8" i="20"/>
  <c r="AX8" i="20"/>
  <c r="AZ8" i="20" s="1"/>
  <c r="AW10" i="20"/>
  <c r="AX10" i="20"/>
  <c r="AZ10" i="20" s="1"/>
  <c r="AW12" i="20"/>
  <c r="AX12" i="20"/>
  <c r="AZ12" i="20" s="1"/>
  <c r="AW14" i="20"/>
  <c r="AX14" i="20"/>
  <c r="AZ14" i="20" s="1"/>
  <c r="AW16" i="20"/>
  <c r="AX16" i="20"/>
  <c r="AZ16" i="20" s="1"/>
  <c r="AW18" i="20"/>
  <c r="AX18" i="20"/>
  <c r="AZ18" i="20" s="1"/>
  <c r="AW20" i="20"/>
  <c r="AX20" i="20"/>
  <c r="AZ20" i="20" s="1"/>
  <c r="AW22" i="20"/>
  <c r="AX22" i="20"/>
  <c r="AZ22" i="20" s="1"/>
  <c r="AW24" i="20"/>
  <c r="AX24" i="20"/>
  <c r="AZ24" i="20" s="1"/>
  <c r="AW26" i="20"/>
  <c r="AX26" i="20"/>
  <c r="AZ26" i="20" s="1"/>
  <c r="AW28" i="20"/>
  <c r="AX28" i="20"/>
  <c r="AZ28" i="20" s="1"/>
  <c r="AW30" i="20"/>
  <c r="AX30" i="20"/>
  <c r="AZ30" i="20" s="1"/>
  <c r="AW32" i="20"/>
  <c r="AX32" i="20"/>
  <c r="AZ32" i="20" s="1"/>
  <c r="AW34" i="20"/>
  <c r="AX34" i="20"/>
  <c r="AZ34" i="20" s="1"/>
  <c r="AW84" i="20"/>
  <c r="AX41" i="20"/>
  <c r="AX35" i="20"/>
  <c r="AZ35" i="20" s="1"/>
  <c r="AX36" i="20"/>
  <c r="AX37" i="20"/>
  <c r="AZ37" i="20" s="1"/>
  <c r="AX38" i="20"/>
  <c r="AX39" i="20"/>
  <c r="AZ39" i="20" s="1"/>
  <c r="AV41" i="20"/>
  <c r="AY41" i="20" s="1"/>
  <c r="AX43" i="20"/>
  <c r="AZ43" i="20" s="1"/>
  <c r="AU80" i="20"/>
  <c r="AW80" i="20" s="1"/>
  <c r="AU81" i="20"/>
  <c r="AW81" i="20" s="1"/>
  <c r="AU82" i="20"/>
  <c r="AW82" i="20" s="1"/>
  <c r="AV83" i="20"/>
  <c r="AW83" i="20" s="1"/>
  <c r="AU86" i="20"/>
  <c r="AW86" i="20" s="1"/>
  <c r="AV87" i="20"/>
  <c r="AW87" i="20" s="1"/>
  <c r="AT99" i="20"/>
  <c r="I36" i="19"/>
  <c r="K15" i="19"/>
  <c r="I33" i="19"/>
  <c r="I27" i="19"/>
  <c r="I21" i="19"/>
  <c r="I35" i="19"/>
  <c r="K35" i="19" s="1"/>
  <c r="I9" i="19"/>
  <c r="K5" i="19"/>
  <c r="K9" i="19" s="1"/>
  <c r="H38" i="19"/>
  <c r="H36" i="19"/>
  <c r="J39" i="19"/>
  <c r="K36" i="19"/>
  <c r="G39" i="19"/>
  <c r="D39" i="19"/>
  <c r="H33" i="19"/>
  <c r="K33" i="19"/>
  <c r="H27" i="19"/>
  <c r="K27" i="19"/>
  <c r="H21" i="19"/>
  <c r="K21" i="19"/>
  <c r="H9" i="19"/>
  <c r="CC103" i="20" l="1"/>
  <c r="AZ41" i="20"/>
  <c r="BP104" i="20"/>
  <c r="CB103" i="20"/>
  <c r="BN116" i="21"/>
  <c r="CC115" i="21"/>
  <c r="CF115" i="21" s="1"/>
  <c r="CF116" i="21" s="1"/>
  <c r="BM116" i="21"/>
  <c r="CB115" i="21"/>
  <c r="CE115" i="21" s="1"/>
  <c r="BC117" i="21"/>
  <c r="CF117" i="21"/>
  <c r="AZ112" i="21"/>
  <c r="BA116" i="21"/>
  <c r="CE112" i="21"/>
  <c r="CE117" i="21" s="1"/>
  <c r="CB117" i="21"/>
  <c r="AZ77" i="21"/>
  <c r="AW112" i="21"/>
  <c r="AW117" i="21" s="1"/>
  <c r="BL115" i="21"/>
  <c r="BL116" i="21" s="1"/>
  <c r="AT112" i="21"/>
  <c r="AZ85" i="21"/>
  <c r="AZ78" i="21"/>
  <c r="CD112" i="21"/>
  <c r="CG112" i="21" s="1"/>
  <c r="CC117" i="21"/>
  <c r="BC116" i="21"/>
  <c r="AX9" i="21"/>
  <c r="AZ9" i="21" s="1"/>
  <c r="AW9" i="21"/>
  <c r="AW85" i="21"/>
  <c r="AW78" i="21"/>
  <c r="AW77" i="21"/>
  <c r="AZ36" i="20"/>
  <c r="AW100" i="20"/>
  <c r="AW103" i="20" s="1"/>
  <c r="AW104" i="20" s="1"/>
  <c r="CC105" i="20"/>
  <c r="AZ38" i="20"/>
  <c r="AW21" i="20"/>
  <c r="BR103" i="20"/>
  <c r="AY103" i="20"/>
  <c r="AY104" i="20" s="1"/>
  <c r="AY105" i="20"/>
  <c r="BF105" i="20"/>
  <c r="BF103" i="20"/>
  <c r="BF104" i="20" s="1"/>
  <c r="CD100" i="20"/>
  <c r="CG100" i="20" s="1"/>
  <c r="CG105" i="20" s="1"/>
  <c r="AW41" i="20"/>
  <c r="AX100" i="20"/>
  <c r="AW36" i="20"/>
  <c r="BI103" i="20"/>
  <c r="BI104" i="20" s="1"/>
  <c r="BL105" i="20"/>
  <c r="AW37" i="20"/>
  <c r="AT100" i="20"/>
  <c r="CD105" i="20"/>
  <c r="BR105" i="20"/>
  <c r="K39" i="19"/>
  <c r="I39" i="19"/>
  <c r="H39" i="19"/>
  <c r="CF103" i="20" l="1"/>
  <c r="CF104" i="20" s="1"/>
  <c r="CC104" i="20"/>
  <c r="CE103" i="20"/>
  <c r="CE104" i="20" s="1"/>
  <c r="CB104" i="20"/>
  <c r="BR104" i="20"/>
  <c r="CD103" i="20"/>
  <c r="CG103" i="20" s="1"/>
  <c r="CG104" i="20" s="1"/>
  <c r="CD115" i="21"/>
  <c r="CG115" i="21" s="1"/>
  <c r="CG116" i="21" s="1"/>
  <c r="CC116" i="21"/>
  <c r="AW115" i="21"/>
  <c r="AW116" i="21" s="1"/>
  <c r="CE116" i="21"/>
  <c r="CB116" i="21"/>
  <c r="CG117" i="21"/>
  <c r="CD117" i="21"/>
  <c r="AW105" i="20"/>
  <c r="AZ100" i="20"/>
  <c r="AX105" i="20"/>
  <c r="AX103" i="20"/>
  <c r="AX104" i="20" s="1"/>
  <c r="AC62" i="13"/>
  <c r="AC61" i="13"/>
  <c r="AC60" i="13"/>
  <c r="AC6" i="13"/>
  <c r="AE62" i="13"/>
  <c r="AD62" i="13"/>
  <c r="AE61" i="13"/>
  <c r="AD61" i="13"/>
  <c r="AE60" i="13"/>
  <c r="AD60" i="13"/>
  <c r="AE59" i="13"/>
  <c r="AD59" i="13"/>
  <c r="AC59" i="13"/>
  <c r="AE58" i="13"/>
  <c r="AD58" i="13"/>
  <c r="AC58" i="13"/>
  <c r="AE57" i="13"/>
  <c r="AD57" i="13"/>
  <c r="AC57" i="13"/>
  <c r="AE56" i="13"/>
  <c r="AD56" i="13"/>
  <c r="AC56" i="13"/>
  <c r="AE55" i="13"/>
  <c r="AD55" i="13"/>
  <c r="AC55" i="13"/>
  <c r="AE54" i="13"/>
  <c r="AD54" i="13"/>
  <c r="AC54" i="13"/>
  <c r="AE53" i="13"/>
  <c r="AD53" i="13"/>
  <c r="AC53" i="13"/>
  <c r="AE52" i="13"/>
  <c r="AD52" i="13"/>
  <c r="AC52" i="13"/>
  <c r="AE51" i="13"/>
  <c r="AD51" i="13"/>
  <c r="AC51" i="13"/>
  <c r="AE50" i="13"/>
  <c r="AD50" i="13"/>
  <c r="AC50" i="13"/>
  <c r="AE49" i="13"/>
  <c r="AD49" i="13"/>
  <c r="AC49" i="13"/>
  <c r="AE48" i="13"/>
  <c r="AD48" i="13"/>
  <c r="AC48" i="13"/>
  <c r="AE47" i="13"/>
  <c r="AD47" i="13"/>
  <c r="AC47" i="13"/>
  <c r="AE46" i="13"/>
  <c r="AD46" i="13"/>
  <c r="AC46" i="13"/>
  <c r="AE45" i="13"/>
  <c r="AD45" i="13"/>
  <c r="AC45" i="13"/>
  <c r="AE44" i="13"/>
  <c r="AD44" i="13"/>
  <c r="AC44" i="13"/>
  <c r="AE43" i="13"/>
  <c r="AD43" i="13"/>
  <c r="AC43" i="13"/>
  <c r="AE42" i="13"/>
  <c r="AD42" i="13"/>
  <c r="AC42" i="13"/>
  <c r="AE41" i="13"/>
  <c r="AD41" i="13"/>
  <c r="AC41" i="13"/>
  <c r="AE40" i="13"/>
  <c r="AD40" i="13"/>
  <c r="AC40" i="13"/>
  <c r="AE39" i="13"/>
  <c r="AD39" i="13"/>
  <c r="AC39" i="13"/>
  <c r="AE38" i="13"/>
  <c r="AD38" i="13"/>
  <c r="AC38" i="13"/>
  <c r="AE37" i="13"/>
  <c r="AD37" i="13"/>
  <c r="AC37" i="13"/>
  <c r="AE36" i="13"/>
  <c r="AD36" i="13"/>
  <c r="AC36" i="13"/>
  <c r="AE35" i="13"/>
  <c r="AD35" i="13"/>
  <c r="AC35" i="13"/>
  <c r="AE34" i="13"/>
  <c r="AD34" i="13"/>
  <c r="AC34" i="13"/>
  <c r="AE33" i="13"/>
  <c r="AD33" i="13"/>
  <c r="AC33" i="13"/>
  <c r="AE32" i="13"/>
  <c r="AD32" i="13"/>
  <c r="AC32" i="13"/>
  <c r="AE31" i="13"/>
  <c r="AD31" i="13"/>
  <c r="AC31" i="13"/>
  <c r="AE30" i="13"/>
  <c r="AD30" i="13"/>
  <c r="AC30" i="13"/>
  <c r="AE29" i="13"/>
  <c r="AD29" i="13"/>
  <c r="AC29" i="13"/>
  <c r="AE28" i="13"/>
  <c r="AD28" i="13"/>
  <c r="AC28" i="13"/>
  <c r="AE27" i="13"/>
  <c r="AD27" i="13"/>
  <c r="AC27" i="13"/>
  <c r="AE26" i="13"/>
  <c r="AD26" i="13"/>
  <c r="AC26" i="13"/>
  <c r="AE25" i="13"/>
  <c r="AD25" i="13"/>
  <c r="AC25" i="13"/>
  <c r="AE24" i="13"/>
  <c r="AD24" i="13"/>
  <c r="AC24" i="13"/>
  <c r="AE23" i="13"/>
  <c r="AD23" i="13"/>
  <c r="AC23" i="13"/>
  <c r="AE22" i="13"/>
  <c r="AD22" i="13"/>
  <c r="AC22" i="13"/>
  <c r="AE21" i="13"/>
  <c r="AD21" i="13"/>
  <c r="AC21" i="13"/>
  <c r="AE20" i="13"/>
  <c r="AD20" i="13"/>
  <c r="AC20" i="13"/>
  <c r="AE19" i="13"/>
  <c r="AD19" i="13"/>
  <c r="AC19" i="13"/>
  <c r="AE18" i="13"/>
  <c r="AD18" i="13"/>
  <c r="AC18" i="13"/>
  <c r="AE17" i="13"/>
  <c r="AD17" i="13"/>
  <c r="AC17" i="13"/>
  <c r="AE16" i="13"/>
  <c r="AD16" i="13"/>
  <c r="AC16" i="13"/>
  <c r="AE15" i="13"/>
  <c r="AD15" i="13"/>
  <c r="AC15" i="13"/>
  <c r="AE14" i="13"/>
  <c r="AD14" i="13"/>
  <c r="AC14" i="13"/>
  <c r="AE13" i="13"/>
  <c r="AD13" i="13"/>
  <c r="AC13" i="13"/>
  <c r="AE12" i="13"/>
  <c r="AD12" i="13"/>
  <c r="AC12" i="13"/>
  <c r="AE11" i="13"/>
  <c r="AD11" i="13"/>
  <c r="AC11" i="13"/>
  <c r="AE10" i="13"/>
  <c r="AD10" i="13"/>
  <c r="AC10" i="13"/>
  <c r="AE9" i="13"/>
  <c r="AD9" i="13"/>
  <c r="AC9" i="13"/>
  <c r="AE8" i="13"/>
  <c r="AD8" i="13"/>
  <c r="AC8" i="13"/>
  <c r="AE7" i="13"/>
  <c r="AD7" i="13"/>
  <c r="AC7" i="13"/>
  <c r="AE6" i="13"/>
  <c r="AD6" i="13"/>
  <c r="AE5" i="13"/>
  <c r="AD5" i="13"/>
  <c r="AC5" i="13"/>
  <c r="I103" i="12"/>
  <c r="L103" i="12"/>
  <c r="O103" i="12"/>
  <c r="R103" i="12"/>
  <c r="U103" i="12"/>
  <c r="X103" i="12"/>
  <c r="Y103" i="12"/>
  <c r="AB103" i="12" s="1"/>
  <c r="Z103" i="12"/>
  <c r="AC103" i="12"/>
  <c r="U29" i="18"/>
  <c r="T29" i="18"/>
  <c r="R29" i="18"/>
  <c r="Q29" i="18"/>
  <c r="O29" i="18"/>
  <c r="N29" i="18"/>
  <c r="L29" i="18"/>
  <c r="K29" i="18"/>
  <c r="I29" i="18"/>
  <c r="H29" i="18"/>
  <c r="F29" i="18"/>
  <c r="E29" i="18"/>
  <c r="X26" i="18"/>
  <c r="AA26" i="18" s="1"/>
  <c r="AD26" i="18" s="1"/>
  <c r="W26" i="18"/>
  <c r="Z26" i="18" s="1"/>
  <c r="AC26" i="18" s="1"/>
  <c r="V26" i="18"/>
  <c r="S26" i="18"/>
  <c r="P26" i="18"/>
  <c r="M26" i="18"/>
  <c r="J26" i="18"/>
  <c r="G26" i="18"/>
  <c r="X15" i="18"/>
  <c r="AA15" i="18" s="1"/>
  <c r="AD15" i="18" s="1"/>
  <c r="W15" i="18"/>
  <c r="Z15" i="18" s="1"/>
  <c r="AC15" i="18" s="1"/>
  <c r="V15" i="18"/>
  <c r="S15" i="18"/>
  <c r="S29" i="18" s="1"/>
  <c r="P15" i="18"/>
  <c r="P29" i="18" s="1"/>
  <c r="M15" i="18"/>
  <c r="J15" i="18"/>
  <c r="G15" i="18"/>
  <c r="G29" i="18" s="1"/>
  <c r="U14" i="18"/>
  <c r="U31" i="18" s="1"/>
  <c r="T14" i="18"/>
  <c r="T31" i="18" s="1"/>
  <c r="R14" i="18"/>
  <c r="Q14" i="18"/>
  <c r="O14" i="18"/>
  <c r="O31" i="18" s="1"/>
  <c r="N14" i="18"/>
  <c r="N31" i="18" s="1"/>
  <c r="L14" i="18"/>
  <c r="K14" i="18"/>
  <c r="I14" i="18"/>
  <c r="I31" i="18" s="1"/>
  <c r="H14" i="18"/>
  <c r="H31" i="18" s="1"/>
  <c r="F14" i="18"/>
  <c r="E14" i="18"/>
  <c r="X13" i="18"/>
  <c r="AA13" i="18" s="1"/>
  <c r="AD13" i="18" s="1"/>
  <c r="W13" i="18"/>
  <c r="Z13" i="18" s="1"/>
  <c r="AC13" i="18" s="1"/>
  <c r="V13" i="18"/>
  <c r="S13" i="18"/>
  <c r="P13" i="18"/>
  <c r="M13" i="18"/>
  <c r="J13" i="18"/>
  <c r="G13" i="18"/>
  <c r="X12" i="18"/>
  <c r="AA12" i="18" s="1"/>
  <c r="AD12" i="18" s="1"/>
  <c r="W12" i="18"/>
  <c r="Z12" i="18" s="1"/>
  <c r="AC12" i="18" s="1"/>
  <c r="V12" i="18"/>
  <c r="S12" i="18"/>
  <c r="P12" i="18"/>
  <c r="M12" i="18"/>
  <c r="J12" i="18"/>
  <c r="G12" i="18"/>
  <c r="X11" i="18"/>
  <c r="AA11" i="18" s="1"/>
  <c r="AD11" i="18" s="1"/>
  <c r="W11" i="18"/>
  <c r="Z11" i="18" s="1"/>
  <c r="AC11" i="18" s="1"/>
  <c r="V11" i="18"/>
  <c r="S11" i="18"/>
  <c r="P11" i="18"/>
  <c r="M11" i="18"/>
  <c r="J11" i="18"/>
  <c r="G11" i="18"/>
  <c r="X10" i="18"/>
  <c r="AA10" i="18" s="1"/>
  <c r="AD10" i="18" s="1"/>
  <c r="W10" i="18"/>
  <c r="Z10" i="18" s="1"/>
  <c r="AC10" i="18" s="1"/>
  <c r="V10" i="18"/>
  <c r="S10" i="18"/>
  <c r="P10" i="18"/>
  <c r="M10" i="18"/>
  <c r="J10" i="18"/>
  <c r="G10" i="18"/>
  <c r="X9" i="18"/>
  <c r="AA9" i="18" s="1"/>
  <c r="AD9" i="18" s="1"/>
  <c r="W9" i="18"/>
  <c r="Z9" i="18" s="1"/>
  <c r="AC9" i="18" s="1"/>
  <c r="V9" i="18"/>
  <c r="S9" i="18"/>
  <c r="P9" i="18"/>
  <c r="M9" i="18"/>
  <c r="J9" i="18"/>
  <c r="G9" i="18"/>
  <c r="X8" i="18"/>
  <c r="AA8" i="18" s="1"/>
  <c r="W8" i="18"/>
  <c r="Z8" i="18" s="1"/>
  <c r="V8" i="18"/>
  <c r="S8" i="18"/>
  <c r="P8" i="18"/>
  <c r="M8" i="18"/>
  <c r="J8" i="18"/>
  <c r="G8" i="18"/>
  <c r="X7" i="18"/>
  <c r="AA7" i="18" s="1"/>
  <c r="AD7" i="18" s="1"/>
  <c r="W7" i="18"/>
  <c r="Z7" i="18" s="1"/>
  <c r="AC7" i="18" s="1"/>
  <c r="V7" i="18"/>
  <c r="S7" i="18"/>
  <c r="P7" i="18"/>
  <c r="M7" i="18"/>
  <c r="J7" i="18"/>
  <c r="G7" i="18"/>
  <c r="X6" i="18"/>
  <c r="AA6" i="18" s="1"/>
  <c r="AD6" i="18" s="1"/>
  <c r="W6" i="18"/>
  <c r="Z6" i="18" s="1"/>
  <c r="AC6" i="18" s="1"/>
  <c r="V6" i="18"/>
  <c r="S6" i="18"/>
  <c r="P6" i="18"/>
  <c r="M6" i="18"/>
  <c r="J6" i="18"/>
  <c r="G6" i="18"/>
  <c r="X5" i="18"/>
  <c r="AA5" i="18" s="1"/>
  <c r="AD5" i="18" s="1"/>
  <c r="W5" i="18"/>
  <c r="Z5" i="18" s="1"/>
  <c r="AC5" i="18" s="1"/>
  <c r="V5" i="18"/>
  <c r="S5" i="18"/>
  <c r="P5" i="18"/>
  <c r="M5" i="18"/>
  <c r="J5" i="18"/>
  <c r="G5" i="18"/>
  <c r="U70" i="17"/>
  <c r="T70" i="17"/>
  <c r="R70" i="17"/>
  <c r="Q70" i="17"/>
  <c r="O70" i="17"/>
  <c r="N70" i="17"/>
  <c r="L70" i="17"/>
  <c r="K70" i="17"/>
  <c r="I70" i="17"/>
  <c r="H70" i="17"/>
  <c r="F70" i="17"/>
  <c r="E70" i="17"/>
  <c r="X59" i="17"/>
  <c r="AA59" i="17" s="1"/>
  <c r="AD59" i="17" s="1"/>
  <c r="W59" i="17"/>
  <c r="Z59" i="17" s="1"/>
  <c r="AC59" i="17" s="1"/>
  <c r="V59" i="17"/>
  <c r="S59" i="17"/>
  <c r="P59" i="17"/>
  <c r="M59" i="17"/>
  <c r="J59" i="17"/>
  <c r="G59" i="17"/>
  <c r="X52" i="17"/>
  <c r="AA52" i="17" s="1"/>
  <c r="AD52" i="17" s="1"/>
  <c r="W52" i="17"/>
  <c r="Z52" i="17" s="1"/>
  <c r="AC52" i="17" s="1"/>
  <c r="V52" i="17"/>
  <c r="S52" i="17"/>
  <c r="P52" i="17"/>
  <c r="M52" i="17"/>
  <c r="J52" i="17"/>
  <c r="G52" i="17"/>
  <c r="X51" i="17"/>
  <c r="AA51" i="17" s="1"/>
  <c r="AD51" i="17" s="1"/>
  <c r="W51" i="17"/>
  <c r="Z51" i="17" s="1"/>
  <c r="AC51" i="17" s="1"/>
  <c r="V51" i="17"/>
  <c r="S51" i="17"/>
  <c r="P51" i="17"/>
  <c r="M51" i="17"/>
  <c r="J51" i="17"/>
  <c r="G51" i="17"/>
  <c r="X50" i="17"/>
  <c r="AA50" i="17" s="1"/>
  <c r="AD50" i="17" s="1"/>
  <c r="W50" i="17"/>
  <c r="Z50" i="17" s="1"/>
  <c r="AC50" i="17" s="1"/>
  <c r="V50" i="17"/>
  <c r="S50" i="17"/>
  <c r="P50" i="17"/>
  <c r="M50" i="17"/>
  <c r="J50" i="17"/>
  <c r="G50" i="17"/>
  <c r="X49" i="17"/>
  <c r="AA49" i="17" s="1"/>
  <c r="AD49" i="17" s="1"/>
  <c r="W49" i="17"/>
  <c r="Z49" i="17" s="1"/>
  <c r="AC49" i="17" s="1"/>
  <c r="V49" i="17"/>
  <c r="S49" i="17"/>
  <c r="S70" i="17" s="1"/>
  <c r="P49" i="17"/>
  <c r="M49" i="17"/>
  <c r="J49" i="17"/>
  <c r="G49" i="17"/>
  <c r="G70" i="17" s="1"/>
  <c r="U45" i="17"/>
  <c r="U72" i="17" s="1"/>
  <c r="T45" i="17"/>
  <c r="R45" i="17"/>
  <c r="Q45" i="17"/>
  <c r="Q72" i="17" s="1"/>
  <c r="O45" i="17"/>
  <c r="O72" i="17" s="1"/>
  <c r="N45" i="17"/>
  <c r="L45" i="17"/>
  <c r="K45" i="17"/>
  <c r="K72" i="17" s="1"/>
  <c r="I45" i="17"/>
  <c r="I72" i="17" s="1"/>
  <c r="H45" i="17"/>
  <c r="F45" i="17"/>
  <c r="E45" i="17"/>
  <c r="E72" i="17" s="1"/>
  <c r="X44" i="17"/>
  <c r="AA44" i="17" s="1"/>
  <c r="AD44" i="17" s="1"/>
  <c r="W44" i="17"/>
  <c r="Z44" i="17" s="1"/>
  <c r="AC44" i="17" s="1"/>
  <c r="V44" i="17"/>
  <c r="S44" i="17"/>
  <c r="P44" i="17"/>
  <c r="M44" i="17"/>
  <c r="J44" i="17"/>
  <c r="G44" i="17"/>
  <c r="X43" i="17"/>
  <c r="AA43" i="17" s="1"/>
  <c r="AD43" i="17" s="1"/>
  <c r="W43" i="17"/>
  <c r="Z43" i="17" s="1"/>
  <c r="AC43" i="17" s="1"/>
  <c r="V43" i="17"/>
  <c r="S43" i="17"/>
  <c r="P43" i="17"/>
  <c r="M43" i="17"/>
  <c r="J43" i="17"/>
  <c r="G43" i="17"/>
  <c r="X42" i="17"/>
  <c r="AA42" i="17" s="1"/>
  <c r="AD42" i="17" s="1"/>
  <c r="W42" i="17"/>
  <c r="Z42" i="17" s="1"/>
  <c r="AC42" i="17" s="1"/>
  <c r="V42" i="17"/>
  <c r="S42" i="17"/>
  <c r="P42" i="17"/>
  <c r="M42" i="17"/>
  <c r="J42" i="17"/>
  <c r="G42" i="17"/>
  <c r="X41" i="17"/>
  <c r="AA41" i="17" s="1"/>
  <c r="AD41" i="17" s="1"/>
  <c r="W41" i="17"/>
  <c r="Z41" i="17" s="1"/>
  <c r="AC41" i="17" s="1"/>
  <c r="V41" i="17"/>
  <c r="S41" i="17"/>
  <c r="P41" i="17"/>
  <c r="M41" i="17"/>
  <c r="J41" i="17"/>
  <c r="G41" i="17"/>
  <c r="X40" i="17"/>
  <c r="AA40" i="17" s="1"/>
  <c r="AD40" i="17" s="1"/>
  <c r="W40" i="17"/>
  <c r="Z40" i="17" s="1"/>
  <c r="AC40" i="17" s="1"/>
  <c r="V40" i="17"/>
  <c r="S40" i="17"/>
  <c r="P40" i="17"/>
  <c r="M40" i="17"/>
  <c r="J40" i="17"/>
  <c r="G40" i="17"/>
  <c r="X39" i="17"/>
  <c r="AA39" i="17" s="1"/>
  <c r="AD39" i="17" s="1"/>
  <c r="W39" i="17"/>
  <c r="Z39" i="17" s="1"/>
  <c r="AC39" i="17" s="1"/>
  <c r="V39" i="17"/>
  <c r="S39" i="17"/>
  <c r="P39" i="17"/>
  <c r="M39" i="17"/>
  <c r="J39" i="17"/>
  <c r="G39" i="17"/>
  <c r="X38" i="17"/>
  <c r="AA38" i="17" s="1"/>
  <c r="AD38" i="17" s="1"/>
  <c r="W38" i="17"/>
  <c r="Z38" i="17" s="1"/>
  <c r="AC38" i="17" s="1"/>
  <c r="V38" i="17"/>
  <c r="S38" i="17"/>
  <c r="P38" i="17"/>
  <c r="M38" i="17"/>
  <c r="J38" i="17"/>
  <c r="G38" i="17"/>
  <c r="X37" i="17"/>
  <c r="AA37" i="17" s="1"/>
  <c r="AD37" i="17" s="1"/>
  <c r="W37" i="17"/>
  <c r="Z37" i="17" s="1"/>
  <c r="AC37" i="17" s="1"/>
  <c r="V37" i="17"/>
  <c r="S37" i="17"/>
  <c r="P37" i="17"/>
  <c r="M37" i="17"/>
  <c r="J37" i="17"/>
  <c r="G37" i="17"/>
  <c r="X36" i="17"/>
  <c r="AA36" i="17" s="1"/>
  <c r="AD36" i="17" s="1"/>
  <c r="W36" i="17"/>
  <c r="Z36" i="17" s="1"/>
  <c r="AC36" i="17" s="1"/>
  <c r="V36" i="17"/>
  <c r="S36" i="17"/>
  <c r="P36" i="17"/>
  <c r="M36" i="17"/>
  <c r="J36" i="17"/>
  <c r="G36" i="17"/>
  <c r="X35" i="17"/>
  <c r="AA35" i="17" s="1"/>
  <c r="AD35" i="17" s="1"/>
  <c r="W35" i="17"/>
  <c r="Z35" i="17" s="1"/>
  <c r="AC35" i="17" s="1"/>
  <c r="V35" i="17"/>
  <c r="S35" i="17"/>
  <c r="P35" i="17"/>
  <c r="M35" i="17"/>
  <c r="J35" i="17"/>
  <c r="G35" i="17"/>
  <c r="X34" i="17"/>
  <c r="AA34" i="17" s="1"/>
  <c r="AD34" i="17" s="1"/>
  <c r="W34" i="17"/>
  <c r="Z34" i="17" s="1"/>
  <c r="AC34" i="17" s="1"/>
  <c r="V34" i="17"/>
  <c r="S34" i="17"/>
  <c r="P34" i="17"/>
  <c r="M34" i="17"/>
  <c r="J34" i="17"/>
  <c r="G34" i="17"/>
  <c r="X33" i="17"/>
  <c r="AA33" i="17" s="1"/>
  <c r="AD33" i="17" s="1"/>
  <c r="W33" i="17"/>
  <c r="Z33" i="17" s="1"/>
  <c r="AC33" i="17" s="1"/>
  <c r="V33" i="17"/>
  <c r="S33" i="17"/>
  <c r="P33" i="17"/>
  <c r="M33" i="17"/>
  <c r="J33" i="17"/>
  <c r="G33" i="17"/>
  <c r="X32" i="17"/>
  <c r="AA32" i="17" s="1"/>
  <c r="AD32" i="17" s="1"/>
  <c r="W32" i="17"/>
  <c r="Z32" i="17" s="1"/>
  <c r="AC32" i="17" s="1"/>
  <c r="V32" i="17"/>
  <c r="S32" i="17"/>
  <c r="P32" i="17"/>
  <c r="M32" i="17"/>
  <c r="J32" i="17"/>
  <c r="G32" i="17"/>
  <c r="X31" i="17"/>
  <c r="AA31" i="17" s="1"/>
  <c r="AD31" i="17" s="1"/>
  <c r="W31" i="17"/>
  <c r="Z31" i="17" s="1"/>
  <c r="AC31" i="17" s="1"/>
  <c r="V31" i="17"/>
  <c r="S31" i="17"/>
  <c r="P31" i="17"/>
  <c r="M31" i="17"/>
  <c r="J31" i="17"/>
  <c r="G31" i="17"/>
  <c r="X30" i="17"/>
  <c r="AA30" i="17" s="1"/>
  <c r="AD30" i="17" s="1"/>
  <c r="W30" i="17"/>
  <c r="Z30" i="17" s="1"/>
  <c r="AC30" i="17" s="1"/>
  <c r="V30" i="17"/>
  <c r="S30" i="17"/>
  <c r="P30" i="17"/>
  <c r="M30" i="17"/>
  <c r="J30" i="17"/>
  <c r="G30" i="17"/>
  <c r="U62" i="15"/>
  <c r="T62" i="15"/>
  <c r="R62" i="15"/>
  <c r="Q62" i="15"/>
  <c r="O62" i="15"/>
  <c r="N62" i="15"/>
  <c r="L62" i="15"/>
  <c r="K62" i="15"/>
  <c r="I62" i="15"/>
  <c r="H62" i="15"/>
  <c r="F62" i="15"/>
  <c r="E62" i="15"/>
  <c r="X54" i="15"/>
  <c r="AA54" i="15" s="1"/>
  <c r="AD54" i="15" s="1"/>
  <c r="W54" i="15"/>
  <c r="Z54" i="15" s="1"/>
  <c r="AC54" i="15" s="1"/>
  <c r="V54" i="15"/>
  <c r="S54" i="15"/>
  <c r="P54" i="15"/>
  <c r="M54" i="15"/>
  <c r="J54" i="15"/>
  <c r="G54" i="15"/>
  <c r="X53" i="15"/>
  <c r="X62" i="15" s="1"/>
  <c r="W53" i="15"/>
  <c r="Z53" i="15" s="1"/>
  <c r="V53" i="15"/>
  <c r="V62" i="15" s="1"/>
  <c r="S53" i="15"/>
  <c r="P53" i="15"/>
  <c r="P62" i="15" s="1"/>
  <c r="M53" i="15"/>
  <c r="J53" i="15"/>
  <c r="J62" i="15" s="1"/>
  <c r="G53" i="15"/>
  <c r="Y24" i="15"/>
  <c r="X24" i="15"/>
  <c r="W24" i="15"/>
  <c r="V24" i="15"/>
  <c r="V64" i="15" s="1"/>
  <c r="U24" i="15"/>
  <c r="T24" i="15"/>
  <c r="T64" i="15" s="1"/>
  <c r="S24" i="15"/>
  <c r="R24" i="15"/>
  <c r="R64" i="15" s="1"/>
  <c r="Q24" i="15"/>
  <c r="P24" i="15"/>
  <c r="O24" i="15"/>
  <c r="N24" i="15"/>
  <c r="M24" i="15"/>
  <c r="L24" i="15"/>
  <c r="L64" i="15" s="1"/>
  <c r="K24" i="15"/>
  <c r="J24" i="15"/>
  <c r="J64" i="15" s="1"/>
  <c r="I24" i="15"/>
  <c r="H24" i="15"/>
  <c r="H64" i="15" s="1"/>
  <c r="G24" i="15"/>
  <c r="F24" i="15"/>
  <c r="F64" i="15" s="1"/>
  <c r="E24" i="15"/>
  <c r="U50" i="14"/>
  <c r="T50" i="14"/>
  <c r="R50" i="14"/>
  <c r="Q50" i="14"/>
  <c r="O50" i="14"/>
  <c r="N50" i="14"/>
  <c r="L50" i="14"/>
  <c r="K50" i="14"/>
  <c r="I50" i="14"/>
  <c r="H50" i="14"/>
  <c r="F50" i="14"/>
  <c r="E50" i="14"/>
  <c r="X37" i="14"/>
  <c r="X50" i="14" s="1"/>
  <c r="W37" i="14"/>
  <c r="Z37" i="14" s="1"/>
  <c r="AC37" i="14" s="1"/>
  <c r="AC50" i="14" s="1"/>
  <c r="AC52" i="14" s="1"/>
  <c r="V37" i="14"/>
  <c r="V50" i="14" s="1"/>
  <c r="S37" i="14"/>
  <c r="S50" i="14" s="1"/>
  <c r="P37" i="14"/>
  <c r="P50" i="14" s="1"/>
  <c r="M37" i="14"/>
  <c r="M50" i="14" s="1"/>
  <c r="J37" i="14"/>
  <c r="J50" i="14" s="1"/>
  <c r="G37" i="14"/>
  <c r="U18" i="14"/>
  <c r="T18" i="14"/>
  <c r="R18" i="14"/>
  <c r="Q18" i="14"/>
  <c r="O18" i="14"/>
  <c r="O52" i="14" s="1"/>
  <c r="N18" i="14"/>
  <c r="L18" i="14"/>
  <c r="K18" i="14"/>
  <c r="I18" i="14"/>
  <c r="H18" i="14"/>
  <c r="F18" i="14"/>
  <c r="E18" i="14"/>
  <c r="X17" i="14"/>
  <c r="AA17" i="14" s="1"/>
  <c r="AD17" i="14" s="1"/>
  <c r="W17" i="14"/>
  <c r="Z17" i="14" s="1"/>
  <c r="AC17" i="14" s="1"/>
  <c r="V17" i="14"/>
  <c r="S17" i="14"/>
  <c r="P17" i="14"/>
  <c r="M17" i="14"/>
  <c r="J17" i="14"/>
  <c r="G17" i="14"/>
  <c r="X16" i="14"/>
  <c r="AA16" i="14" s="1"/>
  <c r="AD16" i="14" s="1"/>
  <c r="W16" i="14"/>
  <c r="Z16" i="14" s="1"/>
  <c r="AC16" i="14" s="1"/>
  <c r="V16" i="14"/>
  <c r="S16" i="14"/>
  <c r="P16" i="14"/>
  <c r="M16" i="14"/>
  <c r="J16" i="14"/>
  <c r="G16" i="14"/>
  <c r="X15" i="14"/>
  <c r="AA15" i="14" s="1"/>
  <c r="AD15" i="14" s="1"/>
  <c r="W15" i="14"/>
  <c r="Z15" i="14" s="1"/>
  <c r="AC15" i="14" s="1"/>
  <c r="V15" i="14"/>
  <c r="S15" i="14"/>
  <c r="P15" i="14"/>
  <c r="M15" i="14"/>
  <c r="J15" i="14"/>
  <c r="G15" i="14"/>
  <c r="X14" i="14"/>
  <c r="AA14" i="14" s="1"/>
  <c r="AD14" i="14" s="1"/>
  <c r="W14" i="14"/>
  <c r="Z14" i="14" s="1"/>
  <c r="AC14" i="14" s="1"/>
  <c r="V14" i="14"/>
  <c r="S14" i="14"/>
  <c r="P14" i="14"/>
  <c r="M14" i="14"/>
  <c r="J14" i="14"/>
  <c r="G14" i="14"/>
  <c r="X13" i="14"/>
  <c r="AA13" i="14" s="1"/>
  <c r="AD13" i="14" s="1"/>
  <c r="W13" i="14"/>
  <c r="Z13" i="14" s="1"/>
  <c r="AC13" i="14" s="1"/>
  <c r="V13" i="14"/>
  <c r="S13" i="14"/>
  <c r="P13" i="14"/>
  <c r="M13" i="14"/>
  <c r="J13" i="14"/>
  <c r="G13" i="14"/>
  <c r="X12" i="14"/>
  <c r="AA12" i="14" s="1"/>
  <c r="AD12" i="14" s="1"/>
  <c r="W12" i="14"/>
  <c r="Z12" i="14" s="1"/>
  <c r="AC12" i="14" s="1"/>
  <c r="V12" i="14"/>
  <c r="S12" i="14"/>
  <c r="P12" i="14"/>
  <c r="M12" i="14"/>
  <c r="J12" i="14"/>
  <c r="G12" i="14"/>
  <c r="X11" i="14"/>
  <c r="AA11" i="14" s="1"/>
  <c r="AD11" i="14" s="1"/>
  <c r="W11" i="14"/>
  <c r="Z11" i="14" s="1"/>
  <c r="AC11" i="14" s="1"/>
  <c r="V11" i="14"/>
  <c r="S11" i="14"/>
  <c r="P11" i="14"/>
  <c r="M11" i="14"/>
  <c r="J11" i="14"/>
  <c r="G11" i="14"/>
  <c r="X10" i="14"/>
  <c r="AA10" i="14" s="1"/>
  <c r="AD10" i="14" s="1"/>
  <c r="W10" i="14"/>
  <c r="Z10" i="14" s="1"/>
  <c r="AC10" i="14" s="1"/>
  <c r="V10" i="14"/>
  <c r="S10" i="14"/>
  <c r="P10" i="14"/>
  <c r="M10" i="14"/>
  <c r="J10" i="14"/>
  <c r="G10" i="14"/>
  <c r="Z9" i="14"/>
  <c r="AC9" i="14" s="1"/>
  <c r="X9" i="14"/>
  <c r="AA9" i="14" s="1"/>
  <c r="AD9" i="14" s="1"/>
  <c r="W9" i="14"/>
  <c r="V9" i="14"/>
  <c r="S9" i="14"/>
  <c r="P9" i="14"/>
  <c r="M9" i="14"/>
  <c r="J9" i="14"/>
  <c r="G9" i="14"/>
  <c r="X8" i="14"/>
  <c r="AA8" i="14" s="1"/>
  <c r="AD8" i="14" s="1"/>
  <c r="W8" i="14"/>
  <c r="Z8" i="14" s="1"/>
  <c r="AC8" i="14" s="1"/>
  <c r="V8" i="14"/>
  <c r="S8" i="14"/>
  <c r="P8" i="14"/>
  <c r="M8" i="14"/>
  <c r="J8" i="14"/>
  <c r="G8" i="14"/>
  <c r="X7" i="14"/>
  <c r="AA7" i="14" s="1"/>
  <c r="AD7" i="14" s="1"/>
  <c r="W7" i="14"/>
  <c r="Z7" i="14" s="1"/>
  <c r="AC7" i="14" s="1"/>
  <c r="V7" i="14"/>
  <c r="S7" i="14"/>
  <c r="P7" i="14"/>
  <c r="M7" i="14"/>
  <c r="J7" i="14"/>
  <c r="G7" i="14"/>
  <c r="X6" i="14"/>
  <c r="AA6" i="14" s="1"/>
  <c r="AD6" i="14" s="1"/>
  <c r="W6" i="14"/>
  <c r="Z6" i="14" s="1"/>
  <c r="AC6" i="14" s="1"/>
  <c r="V6" i="14"/>
  <c r="S6" i="14"/>
  <c r="P6" i="14"/>
  <c r="M6" i="14"/>
  <c r="J6" i="14"/>
  <c r="G6" i="14"/>
  <c r="X5" i="14"/>
  <c r="AA5" i="14" s="1"/>
  <c r="W5" i="14"/>
  <c r="Z5" i="14" s="1"/>
  <c r="AC5" i="14" s="1"/>
  <c r="V5" i="14"/>
  <c r="S5" i="14"/>
  <c r="P5" i="14"/>
  <c r="M5" i="14"/>
  <c r="J5" i="14"/>
  <c r="G5" i="14"/>
  <c r="U123" i="13"/>
  <c r="T123" i="13"/>
  <c r="R123" i="13"/>
  <c r="Q123" i="13"/>
  <c r="O123" i="13"/>
  <c r="N123" i="13"/>
  <c r="L123" i="13"/>
  <c r="K123" i="13"/>
  <c r="I123" i="13"/>
  <c r="H123" i="13"/>
  <c r="F123" i="13"/>
  <c r="E123" i="13"/>
  <c r="X122" i="13"/>
  <c r="AA122" i="13" s="1"/>
  <c r="AD122" i="13" s="1"/>
  <c r="W122" i="13"/>
  <c r="Z122" i="13" s="1"/>
  <c r="AC122" i="13" s="1"/>
  <c r="V122" i="13"/>
  <c r="S122" i="13"/>
  <c r="P122" i="13"/>
  <c r="M122" i="13"/>
  <c r="J122" i="13"/>
  <c r="G122" i="13"/>
  <c r="W121" i="13"/>
  <c r="Z121" i="13" s="1"/>
  <c r="AC121" i="13" s="1"/>
  <c r="V121" i="13"/>
  <c r="S121" i="13"/>
  <c r="R121" i="13"/>
  <c r="X121" i="13" s="1"/>
  <c r="AA121" i="13" s="1"/>
  <c r="AD121" i="13" s="1"/>
  <c r="P121" i="13"/>
  <c r="M121" i="13"/>
  <c r="J121" i="13"/>
  <c r="G121" i="13"/>
  <c r="X120" i="13"/>
  <c r="AA120" i="13" s="1"/>
  <c r="AD120" i="13" s="1"/>
  <c r="W120" i="13"/>
  <c r="Z120" i="13" s="1"/>
  <c r="AC120" i="13" s="1"/>
  <c r="V120" i="13"/>
  <c r="S120" i="13"/>
  <c r="P120" i="13"/>
  <c r="M120" i="13"/>
  <c r="J120" i="13"/>
  <c r="G120" i="13"/>
  <c r="X104" i="13"/>
  <c r="AA104" i="13" s="1"/>
  <c r="AD104" i="13" s="1"/>
  <c r="W104" i="13"/>
  <c r="Z104" i="13" s="1"/>
  <c r="AC104" i="13" s="1"/>
  <c r="V104" i="13"/>
  <c r="S104" i="13"/>
  <c r="P104" i="13"/>
  <c r="M104" i="13"/>
  <c r="J104" i="13"/>
  <c r="G104" i="13"/>
  <c r="X103" i="13"/>
  <c r="AA103" i="13" s="1"/>
  <c r="AD103" i="13" s="1"/>
  <c r="W103" i="13"/>
  <c r="Z103" i="13" s="1"/>
  <c r="AC103" i="13" s="1"/>
  <c r="V103" i="13"/>
  <c r="S103" i="13"/>
  <c r="P103" i="13"/>
  <c r="M103" i="13"/>
  <c r="J103" i="13"/>
  <c r="G103" i="13"/>
  <c r="X86" i="13"/>
  <c r="AA86" i="13" s="1"/>
  <c r="AD86" i="13" s="1"/>
  <c r="W86" i="13"/>
  <c r="Z86" i="13" s="1"/>
  <c r="AC86" i="13" s="1"/>
  <c r="V86" i="13"/>
  <c r="S86" i="13"/>
  <c r="P86" i="13"/>
  <c r="M86" i="13"/>
  <c r="J86" i="13"/>
  <c r="G86" i="13"/>
  <c r="Y63" i="13"/>
  <c r="X63" i="13"/>
  <c r="W63" i="13"/>
  <c r="V63" i="13"/>
  <c r="U63" i="13"/>
  <c r="U125" i="13" s="1"/>
  <c r="T63" i="13"/>
  <c r="T125" i="13" s="1"/>
  <c r="S63" i="13"/>
  <c r="R63" i="13"/>
  <c r="Q63" i="13"/>
  <c r="P63" i="13"/>
  <c r="O63" i="13"/>
  <c r="N63" i="13"/>
  <c r="M63" i="13"/>
  <c r="L63" i="13"/>
  <c r="K63" i="13"/>
  <c r="J63" i="13"/>
  <c r="I63" i="13"/>
  <c r="I125" i="13" s="1"/>
  <c r="H63" i="13"/>
  <c r="H125" i="13" s="1"/>
  <c r="G63" i="13"/>
  <c r="F63" i="13"/>
  <c r="E63" i="13"/>
  <c r="L163" i="11"/>
  <c r="L161" i="11"/>
  <c r="L162" i="11" s="1"/>
  <c r="Y160" i="11"/>
  <c r="AB160" i="11" s="1"/>
  <c r="X160" i="11"/>
  <c r="W160" i="11"/>
  <c r="T160" i="11"/>
  <c r="Q160" i="11"/>
  <c r="N160" i="11"/>
  <c r="K160" i="11"/>
  <c r="H160" i="11"/>
  <c r="Y161" i="10"/>
  <c r="X161" i="10"/>
  <c r="W161" i="10"/>
  <c r="T161" i="10"/>
  <c r="Q161" i="10"/>
  <c r="N161" i="10"/>
  <c r="K161" i="10"/>
  <c r="H161" i="10"/>
  <c r="W101" i="12"/>
  <c r="W106" i="12" s="1"/>
  <c r="V101" i="12"/>
  <c r="V106" i="12" s="1"/>
  <c r="T101" i="12"/>
  <c r="T106" i="12" s="1"/>
  <c r="S101" i="12"/>
  <c r="S106" i="12" s="1"/>
  <c r="Q101" i="12"/>
  <c r="Q106" i="12" s="1"/>
  <c r="P101" i="12"/>
  <c r="P106" i="12" s="1"/>
  <c r="N101" i="12"/>
  <c r="N106" i="12" s="1"/>
  <c r="M101" i="12"/>
  <c r="M106" i="12" s="1"/>
  <c r="K101" i="12"/>
  <c r="K106" i="12" s="1"/>
  <c r="H101" i="12"/>
  <c r="G101" i="12"/>
  <c r="G106" i="12" s="1"/>
  <c r="E101" i="12"/>
  <c r="E106" i="12" s="1"/>
  <c r="Z100" i="12"/>
  <c r="AC100" i="12" s="1"/>
  <c r="Y100" i="12"/>
  <c r="AB100" i="12" s="1"/>
  <c r="X100" i="12"/>
  <c r="U100" i="12"/>
  <c r="R100" i="12"/>
  <c r="O100" i="12"/>
  <c r="L100" i="12"/>
  <c r="I100" i="12"/>
  <c r="Z99" i="12"/>
  <c r="AC99" i="12" s="1"/>
  <c r="Y99" i="12"/>
  <c r="AB99" i="12" s="1"/>
  <c r="X99" i="12"/>
  <c r="U99" i="12"/>
  <c r="R99" i="12"/>
  <c r="O99" i="12"/>
  <c r="L99" i="12"/>
  <c r="I99" i="12"/>
  <c r="Z98" i="12"/>
  <c r="AC98" i="12" s="1"/>
  <c r="Y98" i="12"/>
  <c r="AB98" i="12" s="1"/>
  <c r="X98" i="12"/>
  <c r="U98" i="12"/>
  <c r="R98" i="12"/>
  <c r="O98" i="12"/>
  <c r="L98" i="12"/>
  <c r="I98" i="12"/>
  <c r="Z97" i="12"/>
  <c r="AC97" i="12" s="1"/>
  <c r="Y97" i="12"/>
  <c r="AB97" i="12" s="1"/>
  <c r="X97" i="12"/>
  <c r="U97" i="12"/>
  <c r="R97" i="12"/>
  <c r="O97" i="12"/>
  <c r="L97" i="12"/>
  <c r="I97" i="12"/>
  <c r="Z96" i="12"/>
  <c r="AC96" i="12" s="1"/>
  <c r="Y96" i="12"/>
  <c r="AB96" i="12" s="1"/>
  <c r="X96" i="12"/>
  <c r="U96" i="12"/>
  <c r="R96" i="12"/>
  <c r="O96" i="12"/>
  <c r="L96" i="12"/>
  <c r="I96" i="12"/>
  <c r="Z95" i="12"/>
  <c r="AC95" i="12" s="1"/>
  <c r="Y95" i="12"/>
  <c r="AB95" i="12" s="1"/>
  <c r="X95" i="12"/>
  <c r="U95" i="12"/>
  <c r="R95" i="12"/>
  <c r="O95" i="12"/>
  <c r="L95" i="12"/>
  <c r="I95" i="12"/>
  <c r="Z94" i="12"/>
  <c r="AC94" i="12" s="1"/>
  <c r="Y94" i="12"/>
  <c r="AB94" i="12" s="1"/>
  <c r="X94" i="12"/>
  <c r="U94" i="12"/>
  <c r="R94" i="12"/>
  <c r="O94" i="12"/>
  <c r="L94" i="12"/>
  <c r="Z93" i="12"/>
  <c r="AC93" i="12" s="1"/>
  <c r="Y93" i="12"/>
  <c r="AB93" i="12" s="1"/>
  <c r="X93" i="12"/>
  <c r="U93" i="12"/>
  <c r="R93" i="12"/>
  <c r="O93" i="12"/>
  <c r="L93" i="12"/>
  <c r="I93" i="12"/>
  <c r="Z92" i="12"/>
  <c r="AC92" i="12" s="1"/>
  <c r="Y92" i="12"/>
  <c r="AB92" i="12" s="1"/>
  <c r="X92" i="12"/>
  <c r="U92" i="12"/>
  <c r="R92" i="12"/>
  <c r="O92" i="12"/>
  <c r="L92" i="12"/>
  <c r="Z91" i="12"/>
  <c r="AC91" i="12" s="1"/>
  <c r="Y91" i="12"/>
  <c r="AB91" i="12" s="1"/>
  <c r="X91" i="12"/>
  <c r="U91" i="12"/>
  <c r="R91" i="12"/>
  <c r="O91" i="12"/>
  <c r="L91" i="12"/>
  <c r="I91" i="12"/>
  <c r="Z90" i="12"/>
  <c r="AC90" i="12" s="1"/>
  <c r="Y90" i="12"/>
  <c r="AB90" i="12" s="1"/>
  <c r="X90" i="12"/>
  <c r="U90" i="12"/>
  <c r="R90" i="12"/>
  <c r="O90" i="12"/>
  <c r="L90" i="12"/>
  <c r="I90" i="12"/>
  <c r="Z89" i="12"/>
  <c r="AC89" i="12" s="1"/>
  <c r="Y89" i="12"/>
  <c r="AB89" i="12" s="1"/>
  <c r="X89" i="12"/>
  <c r="U89" i="12"/>
  <c r="R89" i="12"/>
  <c r="O89" i="12"/>
  <c r="L89" i="12"/>
  <c r="I89" i="12"/>
  <c r="Z88" i="12"/>
  <c r="AC88" i="12" s="1"/>
  <c r="Y88" i="12"/>
  <c r="AB88" i="12" s="1"/>
  <c r="X88" i="12"/>
  <c r="U88" i="12"/>
  <c r="R88" i="12"/>
  <c r="O88" i="12"/>
  <c r="L88" i="12"/>
  <c r="I88" i="12"/>
  <c r="Z87" i="12"/>
  <c r="AC87" i="12" s="1"/>
  <c r="Y87" i="12"/>
  <c r="AB87" i="12" s="1"/>
  <c r="X87" i="12"/>
  <c r="U87" i="12"/>
  <c r="R87" i="12"/>
  <c r="O87" i="12"/>
  <c r="L87" i="12"/>
  <c r="I87" i="12"/>
  <c r="Z86" i="12"/>
  <c r="AC86" i="12" s="1"/>
  <c r="Y86" i="12"/>
  <c r="AB86" i="12" s="1"/>
  <c r="X86" i="12"/>
  <c r="U86" i="12"/>
  <c r="R86" i="12"/>
  <c r="O86" i="12"/>
  <c r="L86" i="12"/>
  <c r="I86" i="12"/>
  <c r="Z85" i="12"/>
  <c r="AC85" i="12" s="1"/>
  <c r="Y85" i="12"/>
  <c r="AB85" i="12" s="1"/>
  <c r="X85" i="12"/>
  <c r="U85" i="12"/>
  <c r="R85" i="12"/>
  <c r="O85" i="12"/>
  <c r="L85" i="12"/>
  <c r="I85" i="12"/>
  <c r="Z84" i="12"/>
  <c r="AC84" i="12" s="1"/>
  <c r="Y84" i="12"/>
  <c r="AB84" i="12" s="1"/>
  <c r="X84" i="12"/>
  <c r="U84" i="12"/>
  <c r="R84" i="12"/>
  <c r="O84" i="12"/>
  <c r="L84" i="12"/>
  <c r="I84" i="12"/>
  <c r="Z83" i="12"/>
  <c r="AC83" i="12" s="1"/>
  <c r="Y83" i="12"/>
  <c r="AB83" i="12" s="1"/>
  <c r="X83" i="12"/>
  <c r="U83" i="12"/>
  <c r="R83" i="12"/>
  <c r="O83" i="12"/>
  <c r="L83" i="12"/>
  <c r="I83" i="12"/>
  <c r="Z82" i="12"/>
  <c r="AC82" i="12" s="1"/>
  <c r="Y82" i="12"/>
  <c r="AB82" i="12" s="1"/>
  <c r="X82" i="12"/>
  <c r="U82" i="12"/>
  <c r="R82" i="12"/>
  <c r="O82" i="12"/>
  <c r="L82" i="12"/>
  <c r="I82" i="12"/>
  <c r="Z81" i="12"/>
  <c r="AC81" i="12" s="1"/>
  <c r="Y81" i="12"/>
  <c r="AB81" i="12" s="1"/>
  <c r="X81" i="12"/>
  <c r="U81" i="12"/>
  <c r="R81" i="12"/>
  <c r="O81" i="12"/>
  <c r="L81" i="12"/>
  <c r="I81" i="12"/>
  <c r="Z80" i="12"/>
  <c r="AC80" i="12" s="1"/>
  <c r="Y80" i="12"/>
  <c r="AB80" i="12" s="1"/>
  <c r="X80" i="12"/>
  <c r="U80" i="12"/>
  <c r="R80" i="12"/>
  <c r="O80" i="12"/>
  <c r="L80" i="12"/>
  <c r="I80" i="12"/>
  <c r="Z79" i="12"/>
  <c r="AC79" i="12" s="1"/>
  <c r="Y79" i="12"/>
  <c r="AB79" i="12" s="1"/>
  <c r="X79" i="12"/>
  <c r="U79" i="12"/>
  <c r="R79" i="12"/>
  <c r="O79" i="12"/>
  <c r="L79" i="12"/>
  <c r="I79" i="12"/>
  <c r="Z78" i="12"/>
  <c r="AC78" i="12" s="1"/>
  <c r="Y78" i="12"/>
  <c r="AB78" i="12" s="1"/>
  <c r="X78" i="12"/>
  <c r="U78" i="12"/>
  <c r="R78" i="12"/>
  <c r="O78" i="12"/>
  <c r="L78" i="12"/>
  <c r="I78" i="12"/>
  <c r="Z77" i="12"/>
  <c r="AC77" i="12" s="1"/>
  <c r="Y77" i="12"/>
  <c r="AB77" i="12" s="1"/>
  <c r="X77" i="12"/>
  <c r="U77" i="12"/>
  <c r="R77" i="12"/>
  <c r="O77" i="12"/>
  <c r="L77" i="12"/>
  <c r="I77" i="12"/>
  <c r="Z76" i="12"/>
  <c r="AC76" i="12" s="1"/>
  <c r="Y76" i="12"/>
  <c r="AB76" i="12" s="1"/>
  <c r="X76" i="12"/>
  <c r="U76" i="12"/>
  <c r="R76" i="12"/>
  <c r="O76" i="12"/>
  <c r="L76" i="12"/>
  <c r="I76" i="12"/>
  <c r="Z75" i="12"/>
  <c r="AC75" i="12" s="1"/>
  <c r="Y75" i="12"/>
  <c r="AB75" i="12" s="1"/>
  <c r="X75" i="12"/>
  <c r="U75" i="12"/>
  <c r="R75" i="12"/>
  <c r="O75" i="12"/>
  <c r="L75" i="12"/>
  <c r="I75" i="12"/>
  <c r="Z74" i="12"/>
  <c r="AC74" i="12" s="1"/>
  <c r="Y74" i="12"/>
  <c r="AB74" i="12" s="1"/>
  <c r="X74" i="12"/>
  <c r="U74" i="12"/>
  <c r="R74" i="12"/>
  <c r="O74" i="12"/>
  <c r="L74" i="12"/>
  <c r="I74" i="12"/>
  <c r="Z73" i="12"/>
  <c r="AC73" i="12" s="1"/>
  <c r="Y73" i="12"/>
  <c r="AB73" i="12" s="1"/>
  <c r="X73" i="12"/>
  <c r="U73" i="12"/>
  <c r="R73" i="12"/>
  <c r="O73" i="12"/>
  <c r="L73" i="12"/>
  <c r="I73" i="12"/>
  <c r="Z72" i="12"/>
  <c r="AC72" i="12" s="1"/>
  <c r="Y72" i="12"/>
  <c r="AB72" i="12" s="1"/>
  <c r="X72" i="12"/>
  <c r="U72" i="12"/>
  <c r="R72" i="12"/>
  <c r="O72" i="12"/>
  <c r="L72" i="12"/>
  <c r="I72" i="12"/>
  <c r="Z71" i="12"/>
  <c r="AC71" i="12" s="1"/>
  <c r="Y71" i="12"/>
  <c r="AB71" i="12" s="1"/>
  <c r="X71" i="12"/>
  <c r="U71" i="12"/>
  <c r="R71" i="12"/>
  <c r="O71" i="12"/>
  <c r="L71" i="12"/>
  <c r="I71" i="12"/>
  <c r="Z70" i="12"/>
  <c r="AC70" i="12" s="1"/>
  <c r="Y70" i="12"/>
  <c r="AB70" i="12" s="1"/>
  <c r="X70" i="12"/>
  <c r="U70" i="12"/>
  <c r="R70" i="12"/>
  <c r="O70" i="12"/>
  <c r="L70" i="12"/>
  <c r="I70" i="12"/>
  <c r="Z69" i="12"/>
  <c r="AC69" i="12" s="1"/>
  <c r="Y69" i="12"/>
  <c r="AB69" i="12" s="1"/>
  <c r="X69" i="12"/>
  <c r="U69" i="12"/>
  <c r="R69" i="12"/>
  <c r="O69" i="12"/>
  <c r="L69" i="12"/>
  <c r="I69" i="12"/>
  <c r="Z68" i="12"/>
  <c r="AC68" i="12" s="1"/>
  <c r="Y68" i="12"/>
  <c r="AB68" i="12" s="1"/>
  <c r="X68" i="12"/>
  <c r="U68" i="12"/>
  <c r="R68" i="12"/>
  <c r="O68" i="12"/>
  <c r="L68" i="12"/>
  <c r="I68" i="12"/>
  <c r="Z67" i="12"/>
  <c r="AC67" i="12" s="1"/>
  <c r="Y67" i="12"/>
  <c r="AB67" i="12" s="1"/>
  <c r="X67" i="12"/>
  <c r="U67" i="12"/>
  <c r="R67" i="12"/>
  <c r="O67" i="12"/>
  <c r="L67" i="12"/>
  <c r="I67" i="12"/>
  <c r="Z66" i="12"/>
  <c r="AC66" i="12" s="1"/>
  <c r="Y66" i="12"/>
  <c r="AB66" i="12" s="1"/>
  <c r="X66" i="12"/>
  <c r="U66" i="12"/>
  <c r="R66" i="12"/>
  <c r="O66" i="12"/>
  <c r="L66" i="12"/>
  <c r="I66" i="12"/>
  <c r="Z65" i="12"/>
  <c r="AC65" i="12" s="1"/>
  <c r="Y65" i="12"/>
  <c r="AB65" i="12" s="1"/>
  <c r="X65" i="12"/>
  <c r="U65" i="12"/>
  <c r="R65" i="12"/>
  <c r="O65" i="12"/>
  <c r="L65" i="12"/>
  <c r="I65" i="12"/>
  <c r="Z64" i="12"/>
  <c r="AC64" i="12" s="1"/>
  <c r="Y64" i="12"/>
  <c r="AB64" i="12" s="1"/>
  <c r="X64" i="12"/>
  <c r="U64" i="12"/>
  <c r="R64" i="12"/>
  <c r="O64" i="12"/>
  <c r="L64" i="12"/>
  <c r="I64" i="12"/>
  <c r="Z63" i="12"/>
  <c r="AC63" i="12" s="1"/>
  <c r="Y63" i="12"/>
  <c r="AB63" i="12" s="1"/>
  <c r="X63" i="12"/>
  <c r="U63" i="12"/>
  <c r="R63" i="12"/>
  <c r="O63" i="12"/>
  <c r="L63" i="12"/>
  <c r="I63" i="12"/>
  <c r="Z62" i="12"/>
  <c r="AC62" i="12" s="1"/>
  <c r="Y62" i="12"/>
  <c r="AB62" i="12" s="1"/>
  <c r="X62" i="12"/>
  <c r="U62" i="12"/>
  <c r="R62" i="12"/>
  <c r="O62" i="12"/>
  <c r="L62" i="12"/>
  <c r="I62" i="12"/>
  <c r="Z61" i="12"/>
  <c r="AC61" i="12" s="1"/>
  <c r="Y61" i="12"/>
  <c r="AB61" i="12" s="1"/>
  <c r="X61" i="12"/>
  <c r="U61" i="12"/>
  <c r="R61" i="12"/>
  <c r="O61" i="12"/>
  <c r="L61" i="12"/>
  <c r="I61" i="12"/>
  <c r="Z60" i="12"/>
  <c r="AC60" i="12" s="1"/>
  <c r="Y60" i="12"/>
  <c r="AB60" i="12" s="1"/>
  <c r="X60" i="12"/>
  <c r="U60" i="12"/>
  <c r="R60" i="12"/>
  <c r="O60" i="12"/>
  <c r="L60" i="12"/>
  <c r="I60" i="12"/>
  <c r="Z59" i="12"/>
  <c r="AC59" i="12" s="1"/>
  <c r="Y59" i="12"/>
  <c r="AB59" i="12" s="1"/>
  <c r="X59" i="12"/>
  <c r="U59" i="12"/>
  <c r="R59" i="12"/>
  <c r="O59" i="12"/>
  <c r="L59" i="12"/>
  <c r="I59" i="12"/>
  <c r="Z58" i="12"/>
  <c r="AC58" i="12" s="1"/>
  <c r="Y58" i="12"/>
  <c r="AB58" i="12" s="1"/>
  <c r="X58" i="12"/>
  <c r="U58" i="12"/>
  <c r="R58" i="12"/>
  <c r="O58" i="12"/>
  <c r="L58" i="12"/>
  <c r="I58" i="12"/>
  <c r="Z57" i="12"/>
  <c r="AC57" i="12" s="1"/>
  <c r="Y57" i="12"/>
  <c r="AB57" i="12" s="1"/>
  <c r="X57" i="12"/>
  <c r="U57" i="12"/>
  <c r="R57" i="12"/>
  <c r="O57" i="12"/>
  <c r="L57" i="12"/>
  <c r="I57" i="12"/>
  <c r="Z56" i="12"/>
  <c r="AC56" i="12" s="1"/>
  <c r="Y56" i="12"/>
  <c r="AB56" i="12" s="1"/>
  <c r="X56" i="12"/>
  <c r="U56" i="12"/>
  <c r="R56" i="12"/>
  <c r="O56" i="12"/>
  <c r="L56" i="12"/>
  <c r="I56" i="12"/>
  <c r="Z55" i="12"/>
  <c r="AC55" i="12" s="1"/>
  <c r="Y55" i="12"/>
  <c r="AB55" i="12" s="1"/>
  <c r="X55" i="12"/>
  <c r="U55" i="12"/>
  <c r="R55" i="12"/>
  <c r="O55" i="12"/>
  <c r="L55" i="12"/>
  <c r="I55" i="12"/>
  <c r="Z54" i="12"/>
  <c r="AC54" i="12" s="1"/>
  <c r="Y54" i="12"/>
  <c r="AB54" i="12" s="1"/>
  <c r="X54" i="12"/>
  <c r="U54" i="12"/>
  <c r="R54" i="12"/>
  <c r="O54" i="12"/>
  <c r="L54" i="12"/>
  <c r="I54" i="12"/>
  <c r="Z53" i="12"/>
  <c r="AC53" i="12" s="1"/>
  <c r="Y53" i="12"/>
  <c r="AB53" i="12" s="1"/>
  <c r="X53" i="12"/>
  <c r="U53" i="12"/>
  <c r="R53" i="12"/>
  <c r="O53" i="12"/>
  <c r="L53" i="12"/>
  <c r="I53" i="12"/>
  <c r="Z52" i="12"/>
  <c r="AC52" i="12" s="1"/>
  <c r="Y52" i="12"/>
  <c r="AB52" i="12" s="1"/>
  <c r="X52" i="12"/>
  <c r="U52" i="12"/>
  <c r="R52" i="12"/>
  <c r="O52" i="12"/>
  <c r="L52" i="12"/>
  <c r="I52" i="12"/>
  <c r="Z51" i="12"/>
  <c r="AC51" i="12" s="1"/>
  <c r="Y51" i="12"/>
  <c r="AB51" i="12" s="1"/>
  <c r="X51" i="12"/>
  <c r="U51" i="12"/>
  <c r="R51" i="12"/>
  <c r="O51" i="12"/>
  <c r="L51" i="12"/>
  <c r="I51" i="12"/>
  <c r="Z50" i="12"/>
  <c r="AC50" i="12" s="1"/>
  <c r="Y50" i="12"/>
  <c r="AB50" i="12" s="1"/>
  <c r="X50" i="12"/>
  <c r="U50" i="12"/>
  <c r="R50" i="12"/>
  <c r="O50" i="12"/>
  <c r="L50" i="12"/>
  <c r="I50" i="12"/>
  <c r="Z49" i="12"/>
  <c r="AC49" i="12" s="1"/>
  <c r="Y49" i="12"/>
  <c r="AB49" i="12" s="1"/>
  <c r="X49" i="12"/>
  <c r="U49" i="12"/>
  <c r="R49" i="12"/>
  <c r="O49" i="12"/>
  <c r="L49" i="12"/>
  <c r="I49" i="12"/>
  <c r="Z48" i="12"/>
  <c r="AC48" i="12" s="1"/>
  <c r="Y48" i="12"/>
  <c r="AB48" i="12" s="1"/>
  <c r="X48" i="12"/>
  <c r="U48" i="12"/>
  <c r="R48" i="12"/>
  <c r="O48" i="12"/>
  <c r="L48" i="12"/>
  <c r="I48" i="12"/>
  <c r="Z47" i="12"/>
  <c r="AC47" i="12" s="1"/>
  <c r="Y47" i="12"/>
  <c r="AB47" i="12" s="1"/>
  <c r="X47" i="12"/>
  <c r="U47" i="12"/>
  <c r="R47" i="12"/>
  <c r="O47" i="12"/>
  <c r="L47" i="12"/>
  <c r="I47" i="12"/>
  <c r="Z46" i="12"/>
  <c r="AC46" i="12" s="1"/>
  <c r="Y46" i="12"/>
  <c r="AB46" i="12" s="1"/>
  <c r="X46" i="12"/>
  <c r="U46" i="12"/>
  <c r="R46" i="12"/>
  <c r="O46" i="12"/>
  <c r="L46" i="12"/>
  <c r="I46" i="12"/>
  <c r="Z45" i="12"/>
  <c r="AC45" i="12" s="1"/>
  <c r="Y45" i="12"/>
  <c r="AB45" i="12" s="1"/>
  <c r="X45" i="12"/>
  <c r="U45" i="12"/>
  <c r="R45" i="12"/>
  <c r="O45" i="12"/>
  <c r="L45" i="12"/>
  <c r="I45" i="12"/>
  <c r="Z44" i="12"/>
  <c r="AC44" i="12" s="1"/>
  <c r="Y44" i="12"/>
  <c r="AB44" i="12" s="1"/>
  <c r="X44" i="12"/>
  <c r="U44" i="12"/>
  <c r="R44" i="12"/>
  <c r="O44" i="12"/>
  <c r="L44" i="12"/>
  <c r="I44" i="12"/>
  <c r="Z43" i="12"/>
  <c r="AC43" i="12" s="1"/>
  <c r="Y43" i="12"/>
  <c r="AB43" i="12" s="1"/>
  <c r="X43" i="12"/>
  <c r="U43" i="12"/>
  <c r="R43" i="12"/>
  <c r="O43" i="12"/>
  <c r="L43" i="12"/>
  <c r="I43" i="12"/>
  <c r="Z42" i="12"/>
  <c r="AC42" i="12" s="1"/>
  <c r="Y42" i="12"/>
  <c r="AB42" i="12" s="1"/>
  <c r="X42" i="12"/>
  <c r="U42" i="12"/>
  <c r="R42" i="12"/>
  <c r="O42" i="12"/>
  <c r="L42" i="12"/>
  <c r="I42" i="12"/>
  <c r="Z41" i="12"/>
  <c r="AC41" i="12" s="1"/>
  <c r="Y41" i="12"/>
  <c r="AB41" i="12" s="1"/>
  <c r="X41" i="12"/>
  <c r="U41" i="12"/>
  <c r="R41" i="12"/>
  <c r="O41" i="12"/>
  <c r="L41" i="12"/>
  <c r="I41" i="12"/>
  <c r="Z40" i="12"/>
  <c r="AC40" i="12" s="1"/>
  <c r="Y40" i="12"/>
  <c r="AB40" i="12" s="1"/>
  <c r="X40" i="12"/>
  <c r="U40" i="12"/>
  <c r="R40" i="12"/>
  <c r="O40" i="12"/>
  <c r="L40" i="12"/>
  <c r="I40" i="12"/>
  <c r="Z39" i="12"/>
  <c r="AC39" i="12" s="1"/>
  <c r="Y39" i="12"/>
  <c r="AB39" i="12" s="1"/>
  <c r="X39" i="12"/>
  <c r="U39" i="12"/>
  <c r="R39" i="12"/>
  <c r="O39" i="12"/>
  <c r="L39" i="12"/>
  <c r="I39" i="12"/>
  <c r="Z38" i="12"/>
  <c r="AC38" i="12" s="1"/>
  <c r="Y38" i="12"/>
  <c r="AB38" i="12" s="1"/>
  <c r="X38" i="12"/>
  <c r="U38" i="12"/>
  <c r="R38" i="12"/>
  <c r="O38" i="12"/>
  <c r="L38" i="12"/>
  <c r="I38" i="12"/>
  <c r="Z37" i="12"/>
  <c r="AC37" i="12" s="1"/>
  <c r="Y37" i="12"/>
  <c r="AB37" i="12" s="1"/>
  <c r="X37" i="12"/>
  <c r="U37" i="12"/>
  <c r="R37" i="12"/>
  <c r="O37" i="12"/>
  <c r="L37" i="12"/>
  <c r="I37" i="12"/>
  <c r="Z36" i="12"/>
  <c r="AC36" i="12" s="1"/>
  <c r="Y36" i="12"/>
  <c r="AB36" i="12" s="1"/>
  <c r="X36" i="12"/>
  <c r="U36" i="12"/>
  <c r="R36" i="12"/>
  <c r="O36" i="12"/>
  <c r="L36" i="12"/>
  <c r="I36" i="12"/>
  <c r="Z35" i="12"/>
  <c r="AC35" i="12" s="1"/>
  <c r="Y35" i="12"/>
  <c r="AB35" i="12" s="1"/>
  <c r="X35" i="12"/>
  <c r="U35" i="12"/>
  <c r="R35" i="12"/>
  <c r="O35" i="12"/>
  <c r="L35" i="12"/>
  <c r="I35" i="12"/>
  <c r="Z34" i="12"/>
  <c r="AC34" i="12" s="1"/>
  <c r="Y34" i="12"/>
  <c r="AB34" i="12" s="1"/>
  <c r="X34" i="12"/>
  <c r="U34" i="12"/>
  <c r="R34" i="12"/>
  <c r="O34" i="12"/>
  <c r="L34" i="12"/>
  <c r="I34" i="12"/>
  <c r="Z33" i="12"/>
  <c r="AC33" i="12" s="1"/>
  <c r="Y33" i="12"/>
  <c r="AB33" i="12" s="1"/>
  <c r="X33" i="12"/>
  <c r="U33" i="12"/>
  <c r="R33" i="12"/>
  <c r="O33" i="12"/>
  <c r="L33" i="12"/>
  <c r="I33" i="12"/>
  <c r="Z32" i="12"/>
  <c r="AC32" i="12" s="1"/>
  <c r="Y32" i="12"/>
  <c r="AB32" i="12" s="1"/>
  <c r="X32" i="12"/>
  <c r="U32" i="12"/>
  <c r="R32" i="12"/>
  <c r="O32" i="12"/>
  <c r="L32" i="12"/>
  <c r="I32" i="12"/>
  <c r="Z31" i="12"/>
  <c r="AC31" i="12" s="1"/>
  <c r="Y31" i="12"/>
  <c r="AB31" i="12" s="1"/>
  <c r="X31" i="12"/>
  <c r="U31" i="12"/>
  <c r="R31" i="12"/>
  <c r="O31" i="12"/>
  <c r="L31" i="12"/>
  <c r="I31" i="12"/>
  <c r="Z30" i="12"/>
  <c r="AC30" i="12" s="1"/>
  <c r="Y30" i="12"/>
  <c r="AB30" i="12" s="1"/>
  <c r="X30" i="12"/>
  <c r="U30" i="12"/>
  <c r="R30" i="12"/>
  <c r="O30" i="12"/>
  <c r="L30" i="12"/>
  <c r="I30" i="12"/>
  <c r="Z29" i="12"/>
  <c r="AC29" i="12" s="1"/>
  <c r="Y29" i="12"/>
  <c r="AB29" i="12" s="1"/>
  <c r="X29" i="12"/>
  <c r="U29" i="12"/>
  <c r="R29" i="12"/>
  <c r="O29" i="12"/>
  <c r="L29" i="12"/>
  <c r="I29" i="12"/>
  <c r="Z28" i="12"/>
  <c r="AC28" i="12" s="1"/>
  <c r="Y28" i="12"/>
  <c r="AB28" i="12" s="1"/>
  <c r="X28" i="12"/>
  <c r="U28" i="12"/>
  <c r="R28" i="12"/>
  <c r="O28" i="12"/>
  <c r="L28" i="12"/>
  <c r="I28" i="12"/>
  <c r="Z27" i="12"/>
  <c r="AC27" i="12" s="1"/>
  <c r="Y27" i="12"/>
  <c r="AB27" i="12" s="1"/>
  <c r="X27" i="12"/>
  <c r="U27" i="12"/>
  <c r="R27" i="12"/>
  <c r="O27" i="12"/>
  <c r="L27" i="12"/>
  <c r="I27" i="12"/>
  <c r="Z26" i="12"/>
  <c r="AC26" i="12" s="1"/>
  <c r="Y26" i="12"/>
  <c r="AB26" i="12" s="1"/>
  <c r="X26" i="12"/>
  <c r="U26" i="12"/>
  <c r="R26" i="12"/>
  <c r="O26" i="12"/>
  <c r="L26" i="12"/>
  <c r="I26" i="12"/>
  <c r="Z25" i="12"/>
  <c r="AC25" i="12" s="1"/>
  <c r="Y25" i="12"/>
  <c r="AB25" i="12" s="1"/>
  <c r="X25" i="12"/>
  <c r="U25" i="12"/>
  <c r="R25" i="12"/>
  <c r="O25" i="12"/>
  <c r="L25" i="12"/>
  <c r="I25" i="12"/>
  <c r="Z24" i="12"/>
  <c r="AC24" i="12" s="1"/>
  <c r="Y24" i="12"/>
  <c r="AB24" i="12" s="1"/>
  <c r="X24" i="12"/>
  <c r="U24" i="12"/>
  <c r="R24" i="12"/>
  <c r="O24" i="12"/>
  <c r="L24" i="12"/>
  <c r="I24" i="12"/>
  <c r="Z23" i="12"/>
  <c r="AC23" i="12" s="1"/>
  <c r="Y23" i="12"/>
  <c r="AB23" i="12" s="1"/>
  <c r="X23" i="12"/>
  <c r="U23" i="12"/>
  <c r="R23" i="12"/>
  <c r="O23" i="12"/>
  <c r="L23" i="12"/>
  <c r="I23" i="12"/>
  <c r="Z22" i="12"/>
  <c r="AC22" i="12" s="1"/>
  <c r="Y22" i="12"/>
  <c r="AB22" i="12" s="1"/>
  <c r="X22" i="12"/>
  <c r="U22" i="12"/>
  <c r="R22" i="12"/>
  <c r="O22" i="12"/>
  <c r="L22" i="12"/>
  <c r="I22" i="12"/>
  <c r="Z21" i="12"/>
  <c r="AC21" i="12" s="1"/>
  <c r="Y21" i="12"/>
  <c r="AB21" i="12" s="1"/>
  <c r="X21" i="12"/>
  <c r="U21" i="12"/>
  <c r="R21" i="12"/>
  <c r="O21" i="12"/>
  <c r="L21" i="12"/>
  <c r="I21" i="12"/>
  <c r="Z20" i="12"/>
  <c r="AC20" i="12" s="1"/>
  <c r="Y20" i="12"/>
  <c r="AB20" i="12" s="1"/>
  <c r="X20" i="12"/>
  <c r="U20" i="12"/>
  <c r="R20" i="12"/>
  <c r="O20" i="12"/>
  <c r="L20" i="12"/>
  <c r="I20" i="12"/>
  <c r="Z19" i="12"/>
  <c r="AC19" i="12" s="1"/>
  <c r="Y19" i="12"/>
  <c r="AB19" i="12" s="1"/>
  <c r="X19" i="12"/>
  <c r="U19" i="12"/>
  <c r="R19" i="12"/>
  <c r="O19" i="12"/>
  <c r="L19" i="12"/>
  <c r="I19" i="12"/>
  <c r="Z18" i="12"/>
  <c r="AC18" i="12" s="1"/>
  <c r="Y18" i="12"/>
  <c r="AB18" i="12" s="1"/>
  <c r="X18" i="12"/>
  <c r="U18" i="12"/>
  <c r="R18" i="12"/>
  <c r="O18" i="12"/>
  <c r="L18" i="12"/>
  <c r="I18" i="12"/>
  <c r="Z17" i="12"/>
  <c r="AC17" i="12" s="1"/>
  <c r="Y17" i="12"/>
  <c r="AB17" i="12" s="1"/>
  <c r="X17" i="12"/>
  <c r="U17" i="12"/>
  <c r="R17" i="12"/>
  <c r="O17" i="12"/>
  <c r="L17" i="12"/>
  <c r="I17" i="12"/>
  <c r="Z16" i="12"/>
  <c r="AC16" i="12" s="1"/>
  <c r="Y16" i="12"/>
  <c r="AB16" i="12" s="1"/>
  <c r="X16" i="12"/>
  <c r="U16" i="12"/>
  <c r="R16" i="12"/>
  <c r="O16" i="12"/>
  <c r="L16" i="12"/>
  <c r="I16" i="12"/>
  <c r="Z15" i="12"/>
  <c r="AC15" i="12" s="1"/>
  <c r="Y15" i="12"/>
  <c r="AB15" i="12" s="1"/>
  <c r="X15" i="12"/>
  <c r="U15" i="12"/>
  <c r="R15" i="12"/>
  <c r="O15" i="12"/>
  <c r="J15" i="12"/>
  <c r="L15" i="12" s="1"/>
  <c r="I15" i="12"/>
  <c r="AA14" i="12"/>
  <c r="AD14" i="12" s="1"/>
  <c r="Z14" i="12"/>
  <c r="AC14" i="12" s="1"/>
  <c r="Y14" i="12"/>
  <c r="AB14" i="12" s="1"/>
  <c r="X14" i="12"/>
  <c r="Z13" i="12"/>
  <c r="AC13" i="12" s="1"/>
  <c r="Y13" i="12"/>
  <c r="AB13" i="12" s="1"/>
  <c r="X13" i="12"/>
  <c r="U13" i="12"/>
  <c r="R13" i="12"/>
  <c r="O13" i="12"/>
  <c r="L13" i="12"/>
  <c r="I13" i="12"/>
  <c r="Z12" i="12"/>
  <c r="AC12" i="12" s="1"/>
  <c r="Y12" i="12"/>
  <c r="AB12" i="12" s="1"/>
  <c r="X12" i="12"/>
  <c r="U12" i="12"/>
  <c r="R12" i="12"/>
  <c r="O12" i="12"/>
  <c r="L12" i="12"/>
  <c r="I12" i="12"/>
  <c r="Z11" i="12"/>
  <c r="AC11" i="12" s="1"/>
  <c r="Y11" i="12"/>
  <c r="AB11" i="12" s="1"/>
  <c r="X11" i="12"/>
  <c r="U11" i="12"/>
  <c r="R11" i="12"/>
  <c r="O11" i="12"/>
  <c r="L11" i="12"/>
  <c r="I11" i="12"/>
  <c r="Z10" i="12"/>
  <c r="AC10" i="12" s="1"/>
  <c r="Y10" i="12"/>
  <c r="AB10" i="12" s="1"/>
  <c r="X10" i="12"/>
  <c r="U10" i="12"/>
  <c r="R10" i="12"/>
  <c r="O10" i="12"/>
  <c r="L10" i="12"/>
  <c r="I10" i="12"/>
  <c r="Z9" i="12"/>
  <c r="AC9" i="12" s="1"/>
  <c r="Y9" i="12"/>
  <c r="AB9" i="12" s="1"/>
  <c r="X9" i="12"/>
  <c r="U9" i="12"/>
  <c r="R9" i="12"/>
  <c r="O9" i="12"/>
  <c r="L9" i="12"/>
  <c r="I9" i="12"/>
  <c r="Z8" i="12"/>
  <c r="AC8" i="12" s="1"/>
  <c r="Y8" i="12"/>
  <c r="AB8" i="12" s="1"/>
  <c r="X8" i="12"/>
  <c r="U8" i="12"/>
  <c r="R8" i="12"/>
  <c r="R101" i="12" s="1"/>
  <c r="O8" i="12"/>
  <c r="L8" i="12"/>
  <c r="L101" i="12" s="1"/>
  <c r="I8" i="12"/>
  <c r="V158" i="11"/>
  <c r="V163" i="11" s="1"/>
  <c r="U158" i="11"/>
  <c r="S158" i="11"/>
  <c r="S163" i="11" s="1"/>
  <c r="R158" i="11"/>
  <c r="P158" i="11"/>
  <c r="P163" i="11" s="1"/>
  <c r="O158" i="11"/>
  <c r="M158" i="11"/>
  <c r="N158" i="11" s="1"/>
  <c r="J158" i="11"/>
  <c r="J163" i="11" s="1"/>
  <c r="I158" i="11"/>
  <c r="G158" i="11"/>
  <c r="G163" i="11" s="1"/>
  <c r="F158" i="11"/>
  <c r="E158" i="11"/>
  <c r="E163" i="11" s="1"/>
  <c r="Y157" i="11"/>
  <c r="AB157" i="11" s="1"/>
  <c r="X157" i="11"/>
  <c r="AA157" i="11" s="1"/>
  <c r="W157" i="11"/>
  <c r="T157" i="11"/>
  <c r="Q157" i="11"/>
  <c r="N157" i="11"/>
  <c r="K157" i="11"/>
  <c r="H157" i="11"/>
  <c r="Y156" i="11"/>
  <c r="AB156" i="11" s="1"/>
  <c r="X156" i="11"/>
  <c r="AA156" i="11" s="1"/>
  <c r="W156" i="11"/>
  <c r="T156" i="11"/>
  <c r="Q156" i="11"/>
  <c r="N156" i="11"/>
  <c r="K156" i="11"/>
  <c r="H156" i="11"/>
  <c r="Y155" i="11"/>
  <c r="AB155" i="11" s="1"/>
  <c r="X155" i="11"/>
  <c r="AA155" i="11" s="1"/>
  <c r="W155" i="11"/>
  <c r="T155" i="11"/>
  <c r="Q155" i="11"/>
  <c r="N155" i="11"/>
  <c r="K155" i="11"/>
  <c r="H155" i="11"/>
  <c r="Y154" i="11"/>
  <c r="AB154" i="11" s="1"/>
  <c r="X154" i="11"/>
  <c r="AA154" i="11" s="1"/>
  <c r="W154" i="11"/>
  <c r="T154" i="11"/>
  <c r="Q154" i="11"/>
  <c r="N154" i="11"/>
  <c r="K154" i="11"/>
  <c r="H154" i="11"/>
  <c r="Y153" i="11"/>
  <c r="AB153" i="11" s="1"/>
  <c r="X153" i="11"/>
  <c r="AA153" i="11" s="1"/>
  <c r="W153" i="11"/>
  <c r="T153" i="11"/>
  <c r="Q153" i="11"/>
  <c r="N153" i="11"/>
  <c r="K153" i="11"/>
  <c r="H153" i="11"/>
  <c r="Y152" i="11"/>
  <c r="AB152" i="11" s="1"/>
  <c r="X152" i="11"/>
  <c r="AA152" i="11" s="1"/>
  <c r="W152" i="11"/>
  <c r="T152" i="11"/>
  <c r="Q152" i="11"/>
  <c r="N152" i="11"/>
  <c r="K152" i="11"/>
  <c r="H152" i="11"/>
  <c r="Y151" i="11"/>
  <c r="AB151" i="11" s="1"/>
  <c r="X151" i="11"/>
  <c r="AA151" i="11" s="1"/>
  <c r="W151" i="11"/>
  <c r="T151" i="11"/>
  <c r="Q151" i="11"/>
  <c r="N151" i="11"/>
  <c r="K151" i="11"/>
  <c r="H151" i="11"/>
  <c r="Y150" i="11"/>
  <c r="AB150" i="11" s="1"/>
  <c r="X150" i="11"/>
  <c r="AA150" i="11" s="1"/>
  <c r="W150" i="11"/>
  <c r="T150" i="11"/>
  <c r="Q150" i="11"/>
  <c r="N150" i="11"/>
  <c r="K150" i="11"/>
  <c r="H150" i="11"/>
  <c r="Y149" i="11"/>
  <c r="AB149" i="11" s="1"/>
  <c r="X149" i="11"/>
  <c r="AA149" i="11" s="1"/>
  <c r="W149" i="11"/>
  <c r="T149" i="11"/>
  <c r="Q149" i="11"/>
  <c r="N149" i="11"/>
  <c r="K149" i="11"/>
  <c r="H149" i="11"/>
  <c r="Y148" i="11"/>
  <c r="AB148" i="11" s="1"/>
  <c r="X148" i="11"/>
  <c r="AA148" i="11" s="1"/>
  <c r="W148" i="11"/>
  <c r="T148" i="11"/>
  <c r="Q148" i="11"/>
  <c r="N148" i="11"/>
  <c r="K148" i="11"/>
  <c r="H148" i="11"/>
  <c r="Y147" i="11"/>
  <c r="AB147" i="11" s="1"/>
  <c r="X147" i="11"/>
  <c r="AA147" i="11" s="1"/>
  <c r="W147" i="11"/>
  <c r="T147" i="11"/>
  <c r="Q147" i="11"/>
  <c r="N147" i="11"/>
  <c r="K147" i="11"/>
  <c r="H147" i="11"/>
  <c r="Y146" i="11"/>
  <c r="AB146" i="11" s="1"/>
  <c r="X146" i="11"/>
  <c r="AA146" i="11" s="1"/>
  <c r="W146" i="11"/>
  <c r="T146" i="11"/>
  <c r="Q146" i="11"/>
  <c r="N146" i="11"/>
  <c r="K146" i="11"/>
  <c r="H146" i="11"/>
  <c r="Y145" i="11"/>
  <c r="AB145" i="11" s="1"/>
  <c r="X145" i="11"/>
  <c r="AA145" i="11" s="1"/>
  <c r="W145" i="11"/>
  <c r="T145" i="11"/>
  <c r="Q145" i="11"/>
  <c r="N145" i="11"/>
  <c r="K145" i="11"/>
  <c r="H145" i="11"/>
  <c r="Y144" i="11"/>
  <c r="AB144" i="11" s="1"/>
  <c r="X144" i="11"/>
  <c r="AA144" i="11" s="1"/>
  <c r="W144" i="11"/>
  <c r="T144" i="11"/>
  <c r="Q144" i="11"/>
  <c r="N144" i="11"/>
  <c r="K144" i="11"/>
  <c r="H144" i="11"/>
  <c r="AB143" i="11"/>
  <c r="Y143" i="11"/>
  <c r="X143" i="11"/>
  <c r="AA143" i="11" s="1"/>
  <c r="W143" i="11"/>
  <c r="T143" i="11"/>
  <c r="Q143" i="11"/>
  <c r="N143" i="11"/>
  <c r="K143" i="11"/>
  <c r="H143" i="11"/>
  <c r="Y142" i="11"/>
  <c r="AB142" i="11" s="1"/>
  <c r="X142" i="11"/>
  <c r="AA142" i="11" s="1"/>
  <c r="W142" i="11"/>
  <c r="T142" i="11"/>
  <c r="Q142" i="11"/>
  <c r="N142" i="11"/>
  <c r="K142" i="11"/>
  <c r="H142" i="11"/>
  <c r="Y141" i="11"/>
  <c r="AB141" i="11" s="1"/>
  <c r="X141" i="11"/>
  <c r="AA141" i="11" s="1"/>
  <c r="W141" i="11"/>
  <c r="T141" i="11"/>
  <c r="Q141" i="11"/>
  <c r="N141" i="11"/>
  <c r="K141" i="11"/>
  <c r="H141" i="11"/>
  <c r="Y140" i="11"/>
  <c r="AB140" i="11" s="1"/>
  <c r="X140" i="11"/>
  <c r="AA140" i="11" s="1"/>
  <c r="W140" i="11"/>
  <c r="T140" i="11"/>
  <c r="Q140" i="11"/>
  <c r="N140" i="11"/>
  <c r="K140" i="11"/>
  <c r="H140" i="11"/>
  <c r="Y139" i="11"/>
  <c r="AB139" i="11" s="1"/>
  <c r="X139" i="11"/>
  <c r="AA139" i="11" s="1"/>
  <c r="W139" i="11"/>
  <c r="T139" i="11"/>
  <c r="Q139" i="11"/>
  <c r="N139" i="11"/>
  <c r="K139" i="11"/>
  <c r="H139" i="11"/>
  <c r="Y138" i="11"/>
  <c r="AB138" i="11" s="1"/>
  <c r="X138" i="11"/>
  <c r="AA138" i="11" s="1"/>
  <c r="W138" i="11"/>
  <c r="T138" i="11"/>
  <c r="Q138" i="11"/>
  <c r="N138" i="11"/>
  <c r="K138" i="11"/>
  <c r="H138" i="11"/>
  <c r="Y137" i="11"/>
  <c r="AB137" i="11" s="1"/>
  <c r="X137" i="11"/>
  <c r="AA137" i="11" s="1"/>
  <c r="W137" i="11"/>
  <c r="T137" i="11"/>
  <c r="Q137" i="11"/>
  <c r="N137" i="11"/>
  <c r="K137" i="11"/>
  <c r="H137" i="11"/>
  <c r="Y136" i="11"/>
  <c r="AB136" i="11" s="1"/>
  <c r="X136" i="11"/>
  <c r="AA136" i="11" s="1"/>
  <c r="W136" i="11"/>
  <c r="T136" i="11"/>
  <c r="Q136" i="11"/>
  <c r="N136" i="11"/>
  <c r="K136" i="11"/>
  <c r="H136" i="11"/>
  <c r="Y135" i="11"/>
  <c r="AB135" i="11" s="1"/>
  <c r="X135" i="11"/>
  <c r="AA135" i="11" s="1"/>
  <c r="W135" i="11"/>
  <c r="T135" i="11"/>
  <c r="Q135" i="11"/>
  <c r="N135" i="11"/>
  <c r="K135" i="11"/>
  <c r="H135" i="11"/>
  <c r="Y134" i="11"/>
  <c r="AB134" i="11" s="1"/>
  <c r="X134" i="11"/>
  <c r="AA134" i="11" s="1"/>
  <c r="W134" i="11"/>
  <c r="T134" i="11"/>
  <c r="Q134" i="11"/>
  <c r="N134" i="11"/>
  <c r="K134" i="11"/>
  <c r="H134" i="11"/>
  <c r="Y133" i="11"/>
  <c r="AB133" i="11" s="1"/>
  <c r="X133" i="11"/>
  <c r="AA133" i="11" s="1"/>
  <c r="W133" i="11"/>
  <c r="T133" i="11"/>
  <c r="Q133" i="11"/>
  <c r="N133" i="11"/>
  <c r="K133" i="11"/>
  <c r="H133" i="11"/>
  <c r="Y132" i="11"/>
  <c r="AB132" i="11" s="1"/>
  <c r="X132" i="11"/>
  <c r="AA132" i="11" s="1"/>
  <c r="W132" i="11"/>
  <c r="T132" i="11"/>
  <c r="Q132" i="11"/>
  <c r="N132" i="11"/>
  <c r="K132" i="11"/>
  <c r="H132" i="11"/>
  <c r="Y131" i="11"/>
  <c r="AB131" i="11" s="1"/>
  <c r="X131" i="11"/>
  <c r="AA131" i="11" s="1"/>
  <c r="W131" i="11"/>
  <c r="T131" i="11"/>
  <c r="Q131" i="11"/>
  <c r="N131" i="11"/>
  <c r="K131" i="11"/>
  <c r="H131" i="11"/>
  <c r="Y130" i="11"/>
  <c r="AB130" i="11" s="1"/>
  <c r="X130" i="11"/>
  <c r="AA130" i="11" s="1"/>
  <c r="W130" i="11"/>
  <c r="T130" i="11"/>
  <c r="Q130" i="11"/>
  <c r="N130" i="11"/>
  <c r="K130" i="11"/>
  <c r="H130" i="11"/>
  <c r="Y129" i="11"/>
  <c r="AB129" i="11" s="1"/>
  <c r="X129" i="11"/>
  <c r="AA129" i="11" s="1"/>
  <c r="W129" i="11"/>
  <c r="T129" i="11"/>
  <c r="Q129" i="11"/>
  <c r="N129" i="11"/>
  <c r="K129" i="11"/>
  <c r="H129" i="11"/>
  <c r="Y128" i="11"/>
  <c r="AB128" i="11" s="1"/>
  <c r="X128" i="11"/>
  <c r="AA128" i="11" s="1"/>
  <c r="W128" i="11"/>
  <c r="T128" i="11"/>
  <c r="Q128" i="11"/>
  <c r="N128" i="11"/>
  <c r="K128" i="11"/>
  <c r="H128" i="11"/>
  <c r="Y127" i="11"/>
  <c r="AB127" i="11" s="1"/>
  <c r="X127" i="11"/>
  <c r="AA127" i="11" s="1"/>
  <c r="W127" i="11"/>
  <c r="T127" i="11"/>
  <c r="Q127" i="11"/>
  <c r="N127" i="11"/>
  <c r="K127" i="11"/>
  <c r="H127" i="11"/>
  <c r="Y126" i="11"/>
  <c r="AB126" i="11" s="1"/>
  <c r="X126" i="11"/>
  <c r="AA126" i="11" s="1"/>
  <c r="W126" i="11"/>
  <c r="T126" i="11"/>
  <c r="Q126" i="11"/>
  <c r="N126" i="11"/>
  <c r="K126" i="11"/>
  <c r="H126" i="11"/>
  <c r="Y125" i="11"/>
  <c r="AB125" i="11" s="1"/>
  <c r="X125" i="11"/>
  <c r="AA125" i="11" s="1"/>
  <c r="W125" i="11"/>
  <c r="T125" i="11"/>
  <c r="Q125" i="11"/>
  <c r="N125" i="11"/>
  <c r="K125" i="11"/>
  <c r="H125" i="11"/>
  <c r="Y124" i="11"/>
  <c r="AB124" i="11" s="1"/>
  <c r="X124" i="11"/>
  <c r="AA124" i="11" s="1"/>
  <c r="W124" i="11"/>
  <c r="T124" i="11"/>
  <c r="Q124" i="11"/>
  <c r="N124" i="11"/>
  <c r="K124" i="11"/>
  <c r="H124" i="11"/>
  <c r="Y123" i="11"/>
  <c r="AB123" i="11" s="1"/>
  <c r="X123" i="11"/>
  <c r="AA123" i="11" s="1"/>
  <c r="W123" i="11"/>
  <c r="T123" i="11"/>
  <c r="Q123" i="11"/>
  <c r="N123" i="11"/>
  <c r="K123" i="11"/>
  <c r="H123" i="11"/>
  <c r="Y122" i="11"/>
  <c r="AB122" i="11" s="1"/>
  <c r="X122" i="11"/>
  <c r="AA122" i="11" s="1"/>
  <c r="W122" i="11"/>
  <c r="T122" i="11"/>
  <c r="Q122" i="11"/>
  <c r="N122" i="11"/>
  <c r="K122" i="11"/>
  <c r="H122" i="11"/>
  <c r="Y121" i="11"/>
  <c r="AB121" i="11" s="1"/>
  <c r="X121" i="11"/>
  <c r="AA121" i="11" s="1"/>
  <c r="W121" i="11"/>
  <c r="T121" i="11"/>
  <c r="Q121" i="11"/>
  <c r="N121" i="11"/>
  <c r="K121" i="11"/>
  <c r="H121" i="11"/>
  <c r="Y120" i="11"/>
  <c r="AB120" i="11" s="1"/>
  <c r="X120" i="11"/>
  <c r="AA120" i="11" s="1"/>
  <c r="W120" i="11"/>
  <c r="T120" i="11"/>
  <c r="Q120" i="11"/>
  <c r="N120" i="11"/>
  <c r="K120" i="11"/>
  <c r="H120" i="11"/>
  <c r="Y119" i="11"/>
  <c r="AB119" i="11" s="1"/>
  <c r="X119" i="11"/>
  <c r="AA119" i="11" s="1"/>
  <c r="W119" i="11"/>
  <c r="T119" i="11"/>
  <c r="Q119" i="11"/>
  <c r="N119" i="11"/>
  <c r="K119" i="11"/>
  <c r="H119" i="11"/>
  <c r="Y118" i="11"/>
  <c r="AB118" i="11" s="1"/>
  <c r="X118" i="11"/>
  <c r="AA118" i="11" s="1"/>
  <c r="W118" i="11"/>
  <c r="T118" i="11"/>
  <c r="Q118" i="11"/>
  <c r="N118" i="11"/>
  <c r="K118" i="11"/>
  <c r="H118" i="11"/>
  <c r="Y117" i="11"/>
  <c r="AB117" i="11" s="1"/>
  <c r="X117" i="11"/>
  <c r="AA117" i="11" s="1"/>
  <c r="W117" i="11"/>
  <c r="T117" i="11"/>
  <c r="Q117" i="11"/>
  <c r="N117" i="11"/>
  <c r="K117" i="11"/>
  <c r="H117" i="11"/>
  <c r="Y116" i="11"/>
  <c r="AB116" i="11" s="1"/>
  <c r="X116" i="11"/>
  <c r="AA116" i="11" s="1"/>
  <c r="W116" i="11"/>
  <c r="T116" i="11"/>
  <c r="Q116" i="11"/>
  <c r="N116" i="11"/>
  <c r="K116" i="11"/>
  <c r="H116" i="11"/>
  <c r="Y115" i="11"/>
  <c r="AB115" i="11" s="1"/>
  <c r="X115" i="11"/>
  <c r="AA115" i="11" s="1"/>
  <c r="W115" i="11"/>
  <c r="T115" i="11"/>
  <c r="Q115" i="11"/>
  <c r="N115" i="11"/>
  <c r="K115" i="11"/>
  <c r="H115" i="11"/>
  <c r="Y114" i="11"/>
  <c r="AB114" i="11" s="1"/>
  <c r="X114" i="11"/>
  <c r="AA114" i="11" s="1"/>
  <c r="W114" i="11"/>
  <c r="T114" i="11"/>
  <c r="Q114" i="11"/>
  <c r="N114" i="11"/>
  <c r="K114" i="11"/>
  <c r="H114" i="11"/>
  <c r="Y113" i="11"/>
  <c r="AB113" i="11" s="1"/>
  <c r="X113" i="11"/>
  <c r="AA113" i="11" s="1"/>
  <c r="W113" i="11"/>
  <c r="T113" i="11"/>
  <c r="Q113" i="11"/>
  <c r="N113" i="11"/>
  <c r="K113" i="11"/>
  <c r="H113" i="11"/>
  <c r="Y112" i="11"/>
  <c r="AB112" i="11" s="1"/>
  <c r="X112" i="11"/>
  <c r="AA112" i="11" s="1"/>
  <c r="W112" i="11"/>
  <c r="T112" i="11"/>
  <c r="Q112" i="11"/>
  <c r="N112" i="11"/>
  <c r="K112" i="11"/>
  <c r="H112" i="11"/>
  <c r="Y111" i="11"/>
  <c r="AB111" i="11" s="1"/>
  <c r="X111" i="11"/>
  <c r="AA111" i="11" s="1"/>
  <c r="W111" i="11"/>
  <c r="T111" i="11"/>
  <c r="Q111" i="11"/>
  <c r="N111" i="11"/>
  <c r="K111" i="11"/>
  <c r="H111" i="11"/>
  <c r="Y110" i="11"/>
  <c r="AB110" i="11" s="1"/>
  <c r="X110" i="11"/>
  <c r="AA110" i="11" s="1"/>
  <c r="W110" i="11"/>
  <c r="T110" i="11"/>
  <c r="Q110" i="11"/>
  <c r="N110" i="11"/>
  <c r="K110" i="11"/>
  <c r="H110" i="11"/>
  <c r="Y109" i="11"/>
  <c r="AB109" i="11" s="1"/>
  <c r="X109" i="11"/>
  <c r="AA109" i="11" s="1"/>
  <c r="W109" i="11"/>
  <c r="T109" i="11"/>
  <c r="Q109" i="11"/>
  <c r="N109" i="11"/>
  <c r="K109" i="11"/>
  <c r="H109" i="11"/>
  <c r="Y108" i="11"/>
  <c r="AB108" i="11" s="1"/>
  <c r="X108" i="11"/>
  <c r="AA108" i="11" s="1"/>
  <c r="W108" i="11"/>
  <c r="T108" i="11"/>
  <c r="Q108" i="11"/>
  <c r="N108" i="11"/>
  <c r="K108" i="11"/>
  <c r="H108" i="11"/>
  <c r="Y107" i="11"/>
  <c r="AB107" i="11" s="1"/>
  <c r="X107" i="11"/>
  <c r="AA107" i="11" s="1"/>
  <c r="W107" i="11"/>
  <c r="T107" i="11"/>
  <c r="Q107" i="11"/>
  <c r="N107" i="11"/>
  <c r="K107" i="11"/>
  <c r="H107" i="11"/>
  <c r="Y106" i="11"/>
  <c r="AB106" i="11" s="1"/>
  <c r="X106" i="11"/>
  <c r="AA106" i="11" s="1"/>
  <c r="W106" i="11"/>
  <c r="T106" i="11"/>
  <c r="Q106" i="11"/>
  <c r="N106" i="11"/>
  <c r="K106" i="11"/>
  <c r="H106" i="11"/>
  <c r="Y105" i="11"/>
  <c r="AB105" i="11" s="1"/>
  <c r="X105" i="11"/>
  <c r="AA105" i="11" s="1"/>
  <c r="W105" i="11"/>
  <c r="T105" i="11"/>
  <c r="Q105" i="11"/>
  <c r="N105" i="11"/>
  <c r="K105" i="11"/>
  <c r="H105" i="11"/>
  <c r="Y104" i="11"/>
  <c r="AB104" i="11" s="1"/>
  <c r="X104" i="11"/>
  <c r="AA104" i="11" s="1"/>
  <c r="W104" i="11"/>
  <c r="T104" i="11"/>
  <c r="Q104" i="11"/>
  <c r="N104" i="11"/>
  <c r="K104" i="11"/>
  <c r="H104" i="11"/>
  <c r="Y103" i="11"/>
  <c r="AB103" i="11" s="1"/>
  <c r="X103" i="11"/>
  <c r="AA103" i="11" s="1"/>
  <c r="W103" i="11"/>
  <c r="T103" i="11"/>
  <c r="Q103" i="11"/>
  <c r="N103" i="11"/>
  <c r="K103" i="11"/>
  <c r="H103" i="11"/>
  <c r="Y102" i="11"/>
  <c r="AB102" i="11" s="1"/>
  <c r="X102" i="11"/>
  <c r="AA102" i="11" s="1"/>
  <c r="W102" i="11"/>
  <c r="T102" i="11"/>
  <c r="Q102" i="11"/>
  <c r="N102" i="11"/>
  <c r="K102" i="11"/>
  <c r="H102" i="11"/>
  <c r="Y101" i="11"/>
  <c r="AB101" i="11" s="1"/>
  <c r="X101" i="11"/>
  <c r="AA101" i="11" s="1"/>
  <c r="W101" i="11"/>
  <c r="T101" i="11"/>
  <c r="Q101" i="11"/>
  <c r="N101" i="11"/>
  <c r="K101" i="11"/>
  <c r="H101" i="11"/>
  <c r="Y100" i="11"/>
  <c r="AB100" i="11" s="1"/>
  <c r="X100" i="11"/>
  <c r="AA100" i="11" s="1"/>
  <c r="W100" i="11"/>
  <c r="T100" i="11"/>
  <c r="Q100" i="11"/>
  <c r="N100" i="11"/>
  <c r="K100" i="11"/>
  <c r="H100" i="11"/>
  <c r="Y99" i="11"/>
  <c r="AB99" i="11" s="1"/>
  <c r="X99" i="11"/>
  <c r="AA99" i="11" s="1"/>
  <c r="W99" i="11"/>
  <c r="T99" i="11"/>
  <c r="Q99" i="11"/>
  <c r="N99" i="11"/>
  <c r="K99" i="11"/>
  <c r="H99" i="11"/>
  <c r="Y98" i="11"/>
  <c r="AB98" i="11" s="1"/>
  <c r="X98" i="11"/>
  <c r="AA98" i="11" s="1"/>
  <c r="W98" i="11"/>
  <c r="T98" i="11"/>
  <c r="Q98" i="11"/>
  <c r="N98" i="11"/>
  <c r="K98" i="11"/>
  <c r="H98" i="11"/>
  <c r="Y97" i="11"/>
  <c r="AB97" i="11" s="1"/>
  <c r="X97" i="11"/>
  <c r="AA97" i="11" s="1"/>
  <c r="W97" i="11"/>
  <c r="T97" i="11"/>
  <c r="Q97" i="11"/>
  <c r="N97" i="11"/>
  <c r="K97" i="11"/>
  <c r="H97" i="11"/>
  <c r="Y96" i="11"/>
  <c r="AB96" i="11" s="1"/>
  <c r="X96" i="11"/>
  <c r="AA96" i="11" s="1"/>
  <c r="W96" i="11"/>
  <c r="T96" i="11"/>
  <c r="Q96" i="11"/>
  <c r="N96" i="11"/>
  <c r="K96" i="11"/>
  <c r="H96" i="11"/>
  <c r="Y95" i="11"/>
  <c r="AB95" i="11" s="1"/>
  <c r="X95" i="11"/>
  <c r="AA95" i="11" s="1"/>
  <c r="W95" i="11"/>
  <c r="T95" i="11"/>
  <c r="Q95" i="11"/>
  <c r="N95" i="11"/>
  <c r="K95" i="11"/>
  <c r="H95" i="11"/>
  <c r="Y94" i="11"/>
  <c r="AB94" i="11" s="1"/>
  <c r="X94" i="11"/>
  <c r="AA94" i="11" s="1"/>
  <c r="W94" i="11"/>
  <c r="T94" i="11"/>
  <c r="Q94" i="11"/>
  <c r="N94" i="11"/>
  <c r="K94" i="11"/>
  <c r="H94" i="11"/>
  <c r="Y93" i="11"/>
  <c r="AB93" i="11" s="1"/>
  <c r="X93" i="11"/>
  <c r="AA93" i="11" s="1"/>
  <c r="W93" i="11"/>
  <c r="T93" i="11"/>
  <c r="Q93" i="11"/>
  <c r="N93" i="11"/>
  <c r="K93" i="11"/>
  <c r="H93" i="11"/>
  <c r="Y92" i="11"/>
  <c r="AB92" i="11" s="1"/>
  <c r="X92" i="11"/>
  <c r="AA92" i="11" s="1"/>
  <c r="W92" i="11"/>
  <c r="T92" i="11"/>
  <c r="Q92" i="11"/>
  <c r="N92" i="11"/>
  <c r="K92" i="11"/>
  <c r="H92" i="11"/>
  <c r="Y91" i="11"/>
  <c r="AB91" i="11" s="1"/>
  <c r="X91" i="11"/>
  <c r="AA91" i="11" s="1"/>
  <c r="W91" i="11"/>
  <c r="T91" i="11"/>
  <c r="Q91" i="11"/>
  <c r="N91" i="11"/>
  <c r="K91" i="11"/>
  <c r="H91" i="11"/>
  <c r="Y90" i="11"/>
  <c r="AB90" i="11" s="1"/>
  <c r="X90" i="11"/>
  <c r="AA90" i="11" s="1"/>
  <c r="W90" i="11"/>
  <c r="T90" i="11"/>
  <c r="Q90" i="11"/>
  <c r="N90" i="11"/>
  <c r="K90" i="11"/>
  <c r="H90" i="11"/>
  <c r="Y89" i="11"/>
  <c r="AB89" i="11" s="1"/>
  <c r="X89" i="11"/>
  <c r="AA89" i="11" s="1"/>
  <c r="W89" i="11"/>
  <c r="T89" i="11"/>
  <c r="Q89" i="11"/>
  <c r="N89" i="11"/>
  <c r="K89" i="11"/>
  <c r="H89" i="11"/>
  <c r="Y88" i="11"/>
  <c r="AB88" i="11" s="1"/>
  <c r="X88" i="11"/>
  <c r="AA88" i="11" s="1"/>
  <c r="W88" i="11"/>
  <c r="T88" i="11"/>
  <c r="Q88" i="11"/>
  <c r="N88" i="11"/>
  <c r="K88" i="11"/>
  <c r="H88" i="11"/>
  <c r="Y87" i="11"/>
  <c r="AB87" i="11" s="1"/>
  <c r="X87" i="11"/>
  <c r="AA87" i="11" s="1"/>
  <c r="W87" i="11"/>
  <c r="T87" i="11"/>
  <c r="Q87" i="11"/>
  <c r="N87" i="11"/>
  <c r="K87" i="11"/>
  <c r="H87" i="11"/>
  <c r="Y86" i="11"/>
  <c r="AB86" i="11" s="1"/>
  <c r="X86" i="11"/>
  <c r="AA86" i="11" s="1"/>
  <c r="W86" i="11"/>
  <c r="T86" i="11"/>
  <c r="Q86" i="11"/>
  <c r="N86" i="11"/>
  <c r="K86" i="11"/>
  <c r="H86" i="11"/>
  <c r="Y85" i="11"/>
  <c r="AB85" i="11" s="1"/>
  <c r="X85" i="11"/>
  <c r="AA85" i="11" s="1"/>
  <c r="W85" i="11"/>
  <c r="T85" i="11"/>
  <c r="Q85" i="11"/>
  <c r="N85" i="11"/>
  <c r="K85" i="11"/>
  <c r="H85" i="11"/>
  <c r="Y84" i="11"/>
  <c r="AB84" i="11" s="1"/>
  <c r="X84" i="11"/>
  <c r="AA84" i="11" s="1"/>
  <c r="W84" i="11"/>
  <c r="T84" i="11"/>
  <c r="Q84" i="11"/>
  <c r="N84" i="11"/>
  <c r="K84" i="11"/>
  <c r="H84" i="11"/>
  <c r="Y83" i="11"/>
  <c r="AB83" i="11" s="1"/>
  <c r="X83" i="11"/>
  <c r="AA83" i="11" s="1"/>
  <c r="W83" i="11"/>
  <c r="T83" i="11"/>
  <c r="Q83" i="11"/>
  <c r="N83" i="11"/>
  <c r="K83" i="11"/>
  <c r="H83" i="11"/>
  <c r="Y82" i="11"/>
  <c r="AB82" i="11" s="1"/>
  <c r="X82" i="11"/>
  <c r="AA82" i="11" s="1"/>
  <c r="W82" i="11"/>
  <c r="T82" i="11"/>
  <c r="Q82" i="11"/>
  <c r="N82" i="11"/>
  <c r="K82" i="11"/>
  <c r="H82" i="11"/>
  <c r="Y81" i="11"/>
  <c r="AB81" i="11" s="1"/>
  <c r="X81" i="11"/>
  <c r="AA81" i="11" s="1"/>
  <c r="W81" i="11"/>
  <c r="T81" i="11"/>
  <c r="Q81" i="11"/>
  <c r="N81" i="11"/>
  <c r="K81" i="11"/>
  <c r="H81" i="11"/>
  <c r="Y80" i="11"/>
  <c r="AB80" i="11" s="1"/>
  <c r="X80" i="11"/>
  <c r="AA80" i="11" s="1"/>
  <c r="W80" i="11"/>
  <c r="T80" i="11"/>
  <c r="Q80" i="11"/>
  <c r="N80" i="11"/>
  <c r="K80" i="11"/>
  <c r="H80" i="11"/>
  <c r="Y79" i="11"/>
  <c r="AB79" i="11" s="1"/>
  <c r="X79" i="11"/>
  <c r="AA79" i="11" s="1"/>
  <c r="W79" i="11"/>
  <c r="T79" i="11"/>
  <c r="Q79" i="11"/>
  <c r="N79" i="11"/>
  <c r="K79" i="11"/>
  <c r="H79" i="11"/>
  <c r="Y78" i="11"/>
  <c r="AB78" i="11" s="1"/>
  <c r="X78" i="11"/>
  <c r="AA78" i="11" s="1"/>
  <c r="W78" i="11"/>
  <c r="T78" i="11"/>
  <c r="Q78" i="11"/>
  <c r="N78" i="11"/>
  <c r="K78" i="11"/>
  <c r="H78" i="11"/>
  <c r="Y77" i="11"/>
  <c r="AB77" i="11" s="1"/>
  <c r="X77" i="11"/>
  <c r="AA77" i="11" s="1"/>
  <c r="W77" i="11"/>
  <c r="T77" i="11"/>
  <c r="Q77" i="11"/>
  <c r="N77" i="11"/>
  <c r="K77" i="11"/>
  <c r="H77" i="11"/>
  <c r="Y76" i="11"/>
  <c r="AB76" i="11" s="1"/>
  <c r="X76" i="11"/>
  <c r="AA76" i="11" s="1"/>
  <c r="W76" i="11"/>
  <c r="T76" i="11"/>
  <c r="Q76" i="11"/>
  <c r="N76" i="11"/>
  <c r="K76" i="11"/>
  <c r="H76" i="11"/>
  <c r="Y75" i="11"/>
  <c r="AB75" i="11" s="1"/>
  <c r="X75" i="11"/>
  <c r="AA75" i="11" s="1"/>
  <c r="W75" i="11"/>
  <c r="T75" i="11"/>
  <c r="Q75" i="11"/>
  <c r="N75" i="11"/>
  <c r="K75" i="11"/>
  <c r="H75" i="11"/>
  <c r="Y74" i="11"/>
  <c r="AB74" i="11" s="1"/>
  <c r="X74" i="11"/>
  <c r="AA74" i="11" s="1"/>
  <c r="W74" i="11"/>
  <c r="T74" i="11"/>
  <c r="Q74" i="11"/>
  <c r="N74" i="11"/>
  <c r="K74" i="11"/>
  <c r="H74" i="11"/>
  <c r="AB73" i="11"/>
  <c r="Y73" i="11"/>
  <c r="X73" i="11"/>
  <c r="AA73" i="11" s="1"/>
  <c r="W73" i="11"/>
  <c r="T73" i="11"/>
  <c r="Q73" i="11"/>
  <c r="N73" i="11"/>
  <c r="K73" i="11"/>
  <c r="H73" i="11"/>
  <c r="Y72" i="11"/>
  <c r="AB72" i="11" s="1"/>
  <c r="X72" i="11"/>
  <c r="AA72" i="11" s="1"/>
  <c r="W72" i="11"/>
  <c r="T72" i="11"/>
  <c r="Q72" i="11"/>
  <c r="N72" i="11"/>
  <c r="K72" i="11"/>
  <c r="H72" i="11"/>
  <c r="Y71" i="11"/>
  <c r="AB71" i="11" s="1"/>
  <c r="X71" i="11"/>
  <c r="AA71" i="11" s="1"/>
  <c r="W71" i="11"/>
  <c r="T71" i="11"/>
  <c r="Q71" i="11"/>
  <c r="N71" i="11"/>
  <c r="K71" i="11"/>
  <c r="H71" i="11"/>
  <c r="Y70" i="11"/>
  <c r="AB70" i="11" s="1"/>
  <c r="X70" i="11"/>
  <c r="AA70" i="11" s="1"/>
  <c r="W70" i="11"/>
  <c r="T70" i="11"/>
  <c r="Q70" i="11"/>
  <c r="N70" i="11"/>
  <c r="K70" i="11"/>
  <c r="H70" i="11"/>
  <c r="Y69" i="11"/>
  <c r="AB69" i="11" s="1"/>
  <c r="X69" i="11"/>
  <c r="AA69" i="11" s="1"/>
  <c r="W69" i="11"/>
  <c r="T69" i="11"/>
  <c r="Q69" i="11"/>
  <c r="N69" i="11"/>
  <c r="K69" i="11"/>
  <c r="H69" i="11"/>
  <c r="Y68" i="11"/>
  <c r="AB68" i="11" s="1"/>
  <c r="X68" i="11"/>
  <c r="AA68" i="11" s="1"/>
  <c r="W68" i="11"/>
  <c r="T68" i="11"/>
  <c r="Q68" i="11"/>
  <c r="N68" i="11"/>
  <c r="K68" i="11"/>
  <c r="H68" i="11"/>
  <c r="Y67" i="11"/>
  <c r="AB67" i="11" s="1"/>
  <c r="X67" i="11"/>
  <c r="AA67" i="11" s="1"/>
  <c r="W67" i="11"/>
  <c r="T67" i="11"/>
  <c r="Q67" i="11"/>
  <c r="N67" i="11"/>
  <c r="K67" i="11"/>
  <c r="H67" i="11"/>
  <c r="Y66" i="11"/>
  <c r="AB66" i="11" s="1"/>
  <c r="X66" i="11"/>
  <c r="AA66" i="11" s="1"/>
  <c r="W66" i="11"/>
  <c r="T66" i="11"/>
  <c r="Q66" i="11"/>
  <c r="N66" i="11"/>
  <c r="K66" i="11"/>
  <c r="H66" i="11"/>
  <c r="Y65" i="11"/>
  <c r="AB65" i="11" s="1"/>
  <c r="X65" i="11"/>
  <c r="AA65" i="11" s="1"/>
  <c r="W65" i="11"/>
  <c r="T65" i="11"/>
  <c r="Q65" i="11"/>
  <c r="N65" i="11"/>
  <c r="K65" i="11"/>
  <c r="H65" i="11"/>
  <c r="Y64" i="11"/>
  <c r="AB64" i="11" s="1"/>
  <c r="X64" i="11"/>
  <c r="AA64" i="11" s="1"/>
  <c r="W64" i="11"/>
  <c r="T64" i="11"/>
  <c r="Q64" i="11"/>
  <c r="N64" i="11"/>
  <c r="K64" i="11"/>
  <c r="H64" i="11"/>
  <c r="Y63" i="11"/>
  <c r="AB63" i="11" s="1"/>
  <c r="X63" i="11"/>
  <c r="AA63" i="11" s="1"/>
  <c r="W63" i="11"/>
  <c r="T63" i="11"/>
  <c r="Q63" i="11"/>
  <c r="N63" i="11"/>
  <c r="K63" i="11"/>
  <c r="H63" i="11"/>
  <c r="Y62" i="11"/>
  <c r="AB62" i="11" s="1"/>
  <c r="X62" i="11"/>
  <c r="AA62" i="11" s="1"/>
  <c r="W62" i="11"/>
  <c r="T62" i="11"/>
  <c r="Q62" i="11"/>
  <c r="N62" i="11"/>
  <c r="K62" i="11"/>
  <c r="H62" i="11"/>
  <c r="Y61" i="11"/>
  <c r="AB61" i="11" s="1"/>
  <c r="X61" i="11"/>
  <c r="AA61" i="11" s="1"/>
  <c r="W61" i="11"/>
  <c r="T61" i="11"/>
  <c r="Q61" i="11"/>
  <c r="N61" i="11"/>
  <c r="K61" i="11"/>
  <c r="H61" i="11"/>
  <c r="Y60" i="11"/>
  <c r="AB60" i="11" s="1"/>
  <c r="X60" i="11"/>
  <c r="AA60" i="11" s="1"/>
  <c r="W60" i="11"/>
  <c r="T60" i="11"/>
  <c r="Q60" i="11"/>
  <c r="N60" i="11"/>
  <c r="K60" i="11"/>
  <c r="H60" i="11"/>
  <c r="Y59" i="11"/>
  <c r="AB59" i="11" s="1"/>
  <c r="X59" i="11"/>
  <c r="AA59" i="11" s="1"/>
  <c r="W59" i="11"/>
  <c r="T59" i="11"/>
  <c r="Q59" i="11"/>
  <c r="N59" i="11"/>
  <c r="K59" i="11"/>
  <c r="H59" i="11"/>
  <c r="Y58" i="11"/>
  <c r="AB58" i="11" s="1"/>
  <c r="X58" i="11"/>
  <c r="AA58" i="11" s="1"/>
  <c r="W58" i="11"/>
  <c r="T58" i="11"/>
  <c r="Q58" i="11"/>
  <c r="N58" i="11"/>
  <c r="K58" i="11"/>
  <c r="H58" i="11"/>
  <c r="Y57" i="11"/>
  <c r="AB57" i="11" s="1"/>
  <c r="X57" i="11"/>
  <c r="AA57" i="11" s="1"/>
  <c r="W57" i="11"/>
  <c r="T57" i="11"/>
  <c r="Q57" i="11"/>
  <c r="N57" i="11"/>
  <c r="K57" i="11"/>
  <c r="H57" i="11"/>
  <c r="Y56" i="11"/>
  <c r="AB56" i="11" s="1"/>
  <c r="X56" i="11"/>
  <c r="AA56" i="11" s="1"/>
  <c r="W56" i="11"/>
  <c r="T56" i="11"/>
  <c r="Q56" i="11"/>
  <c r="N56" i="11"/>
  <c r="K56" i="11"/>
  <c r="H56" i="11"/>
  <c r="Y55" i="11"/>
  <c r="AB55" i="11" s="1"/>
  <c r="X55" i="11"/>
  <c r="AA55" i="11" s="1"/>
  <c r="W55" i="11"/>
  <c r="T55" i="11"/>
  <c r="Q55" i="11"/>
  <c r="N55" i="11"/>
  <c r="K55" i="11"/>
  <c r="H55" i="11"/>
  <c r="Y54" i="11"/>
  <c r="AB54" i="11" s="1"/>
  <c r="X54" i="11"/>
  <c r="AA54" i="11" s="1"/>
  <c r="W54" i="11"/>
  <c r="T54" i="11"/>
  <c r="Q54" i="11"/>
  <c r="N54" i="11"/>
  <c r="K54" i="11"/>
  <c r="H54" i="11"/>
  <c r="Y53" i="11"/>
  <c r="AB53" i="11" s="1"/>
  <c r="X53" i="11"/>
  <c r="AA53" i="11" s="1"/>
  <c r="W53" i="11"/>
  <c r="T53" i="11"/>
  <c r="Q53" i="11"/>
  <c r="N53" i="11"/>
  <c r="K53" i="11"/>
  <c r="H53" i="11"/>
  <c r="Y52" i="11"/>
  <c r="AB52" i="11" s="1"/>
  <c r="X52" i="11"/>
  <c r="AA52" i="11" s="1"/>
  <c r="W52" i="11"/>
  <c r="T52" i="11"/>
  <c r="Q52" i="11"/>
  <c r="N52" i="11"/>
  <c r="K52" i="11"/>
  <c r="H52" i="11"/>
  <c r="Y51" i="11"/>
  <c r="AB51" i="11" s="1"/>
  <c r="X51" i="11"/>
  <c r="AA51" i="11" s="1"/>
  <c r="W51" i="11"/>
  <c r="T51" i="11"/>
  <c r="Q51" i="11"/>
  <c r="N51" i="11"/>
  <c r="K51" i="11"/>
  <c r="H51" i="11"/>
  <c r="Y50" i="11"/>
  <c r="AB50" i="11" s="1"/>
  <c r="X50" i="11"/>
  <c r="AA50" i="11" s="1"/>
  <c r="W50" i="11"/>
  <c r="T50" i="11"/>
  <c r="Q50" i="11"/>
  <c r="N50" i="11"/>
  <c r="K50" i="11"/>
  <c r="H50" i="11"/>
  <c r="Y49" i="11"/>
  <c r="AB49" i="11" s="1"/>
  <c r="X49" i="11"/>
  <c r="AA49" i="11" s="1"/>
  <c r="W49" i="11"/>
  <c r="T49" i="11"/>
  <c r="Q49" i="11"/>
  <c r="N49" i="11"/>
  <c r="K49" i="11"/>
  <c r="H49" i="11"/>
  <c r="Y48" i="11"/>
  <c r="AB48" i="11" s="1"/>
  <c r="X48" i="11"/>
  <c r="AA48" i="11" s="1"/>
  <c r="W48" i="11"/>
  <c r="T48" i="11"/>
  <c r="Q48" i="11"/>
  <c r="N48" i="11"/>
  <c r="K48" i="11"/>
  <c r="H48" i="11"/>
  <c r="Y47" i="11"/>
  <c r="AB47" i="11" s="1"/>
  <c r="X47" i="11"/>
  <c r="AA47" i="11" s="1"/>
  <c r="W47" i="11"/>
  <c r="T47" i="11"/>
  <c r="Q47" i="11"/>
  <c r="N47" i="11"/>
  <c r="K47" i="11"/>
  <c r="H47" i="11"/>
  <c r="Y46" i="11"/>
  <c r="AB46" i="11" s="1"/>
  <c r="X46" i="11"/>
  <c r="AA46" i="11" s="1"/>
  <c r="W46" i="11"/>
  <c r="T46" i="11"/>
  <c r="Q46" i="11"/>
  <c r="N46" i="11"/>
  <c r="K46" i="11"/>
  <c r="H46" i="11"/>
  <c r="Y45" i="11"/>
  <c r="AB45" i="11" s="1"/>
  <c r="X45" i="11"/>
  <c r="AA45" i="11" s="1"/>
  <c r="W45" i="11"/>
  <c r="T45" i="11"/>
  <c r="Q45" i="11"/>
  <c r="N45" i="11"/>
  <c r="K45" i="11"/>
  <c r="H45" i="11"/>
  <c r="Y44" i="11"/>
  <c r="AB44" i="11" s="1"/>
  <c r="X44" i="11"/>
  <c r="AA44" i="11" s="1"/>
  <c r="W44" i="11"/>
  <c r="T44" i="11"/>
  <c r="Q44" i="11"/>
  <c r="N44" i="11"/>
  <c r="K44" i="11"/>
  <c r="H44" i="11"/>
  <c r="Y43" i="11"/>
  <c r="AB43" i="11" s="1"/>
  <c r="X43" i="11"/>
  <c r="AA43" i="11" s="1"/>
  <c r="W43" i="11"/>
  <c r="T43" i="11"/>
  <c r="Q43" i="11"/>
  <c r="N43" i="11"/>
  <c r="K43" i="11"/>
  <c r="H43" i="11"/>
  <c r="Y42" i="11"/>
  <c r="AB42" i="11" s="1"/>
  <c r="X42" i="11"/>
  <c r="AA42" i="11" s="1"/>
  <c r="W42" i="11"/>
  <c r="T42" i="11"/>
  <c r="Q42" i="11"/>
  <c r="N42" i="11"/>
  <c r="K42" i="11"/>
  <c r="H42" i="11"/>
  <c r="AB41" i="11"/>
  <c r="Y41" i="11"/>
  <c r="X41" i="11"/>
  <c r="AA41" i="11" s="1"/>
  <c r="W41" i="11"/>
  <c r="T41" i="11"/>
  <c r="Q41" i="11"/>
  <c r="N41" i="11"/>
  <c r="K41" i="11"/>
  <c r="H41" i="11"/>
  <c r="Y40" i="11"/>
  <c r="AB40" i="11" s="1"/>
  <c r="X40" i="11"/>
  <c r="AA40" i="11" s="1"/>
  <c r="W40" i="11"/>
  <c r="T40" i="11"/>
  <c r="Q40" i="11"/>
  <c r="N40" i="11"/>
  <c r="K40" i="11"/>
  <c r="H40" i="11"/>
  <c r="Y39" i="11"/>
  <c r="AB39" i="11" s="1"/>
  <c r="X39" i="11"/>
  <c r="AA39" i="11" s="1"/>
  <c r="W39" i="11"/>
  <c r="T39" i="11"/>
  <c r="Q39" i="11"/>
  <c r="N39" i="11"/>
  <c r="K39" i="11"/>
  <c r="H39" i="11"/>
  <c r="Y38" i="11"/>
  <c r="AB38" i="11" s="1"/>
  <c r="X38" i="11"/>
  <c r="AA38" i="11" s="1"/>
  <c r="W38" i="11"/>
  <c r="T38" i="11"/>
  <c r="Q38" i="11"/>
  <c r="N38" i="11"/>
  <c r="K38" i="11"/>
  <c r="H38" i="11"/>
  <c r="Y37" i="11"/>
  <c r="AB37" i="11" s="1"/>
  <c r="X37" i="11"/>
  <c r="AA37" i="11" s="1"/>
  <c r="W37" i="11"/>
  <c r="T37" i="11"/>
  <c r="Q37" i="11"/>
  <c r="N37" i="11"/>
  <c r="K37" i="11"/>
  <c r="H37" i="11"/>
  <c r="Y36" i="11"/>
  <c r="AB36" i="11" s="1"/>
  <c r="X36" i="11"/>
  <c r="AA36" i="11" s="1"/>
  <c r="W36" i="11"/>
  <c r="T36" i="11"/>
  <c r="Q36" i="11"/>
  <c r="N36" i="11"/>
  <c r="K36" i="11"/>
  <c r="H36" i="11"/>
  <c r="Y35" i="11"/>
  <c r="AB35" i="11" s="1"/>
  <c r="X35" i="11"/>
  <c r="AA35" i="11" s="1"/>
  <c r="W35" i="11"/>
  <c r="T35" i="11"/>
  <c r="Q35" i="11"/>
  <c r="N35" i="11"/>
  <c r="K35" i="11"/>
  <c r="H35" i="11"/>
  <c r="Y34" i="11"/>
  <c r="AB34" i="11" s="1"/>
  <c r="X34" i="11"/>
  <c r="AA34" i="11" s="1"/>
  <c r="W34" i="11"/>
  <c r="T34" i="11"/>
  <c r="Q34" i="11"/>
  <c r="N34" i="11"/>
  <c r="K34" i="11"/>
  <c r="H34" i="11"/>
  <c r="Y33" i="11"/>
  <c r="AB33" i="11" s="1"/>
  <c r="X33" i="11"/>
  <c r="AA33" i="11" s="1"/>
  <c r="W33" i="11"/>
  <c r="T33" i="11"/>
  <c r="Q33" i="11"/>
  <c r="N33" i="11"/>
  <c r="K33" i="11"/>
  <c r="H33" i="11"/>
  <c r="Y32" i="11"/>
  <c r="AB32" i="11" s="1"/>
  <c r="X32" i="11"/>
  <c r="AA32" i="11" s="1"/>
  <c r="W32" i="11"/>
  <c r="T32" i="11"/>
  <c r="Q32" i="11"/>
  <c r="N32" i="11"/>
  <c r="K32" i="11"/>
  <c r="H32" i="11"/>
  <c r="Y31" i="11"/>
  <c r="AB31" i="11" s="1"/>
  <c r="X31" i="11"/>
  <c r="AA31" i="11" s="1"/>
  <c r="W31" i="11"/>
  <c r="T31" i="11"/>
  <c r="Q31" i="11"/>
  <c r="N31" i="11"/>
  <c r="K31" i="11"/>
  <c r="H31" i="11"/>
  <c r="Y30" i="11"/>
  <c r="AB30" i="11" s="1"/>
  <c r="X30" i="11"/>
  <c r="AA30" i="11" s="1"/>
  <c r="W30" i="11"/>
  <c r="T30" i="11"/>
  <c r="Q30" i="11"/>
  <c r="N30" i="11"/>
  <c r="K30" i="11"/>
  <c r="H30" i="11"/>
  <c r="Y29" i="11"/>
  <c r="AB29" i="11" s="1"/>
  <c r="X29" i="11"/>
  <c r="AA29" i="11" s="1"/>
  <c r="W29" i="11"/>
  <c r="T29" i="11"/>
  <c r="Q29" i="11"/>
  <c r="N29" i="11"/>
  <c r="K29" i="11"/>
  <c r="H29" i="11"/>
  <c r="Y28" i="11"/>
  <c r="AB28" i="11" s="1"/>
  <c r="X28" i="11"/>
  <c r="AA28" i="11" s="1"/>
  <c r="W28" i="11"/>
  <c r="T28" i="11"/>
  <c r="Q28" i="11"/>
  <c r="N28" i="11"/>
  <c r="K28" i="11"/>
  <c r="H28" i="11"/>
  <c r="Y27" i="11"/>
  <c r="AB27" i="11" s="1"/>
  <c r="X27" i="11"/>
  <c r="AA27" i="11" s="1"/>
  <c r="W27" i="11"/>
  <c r="T27" i="11"/>
  <c r="Q27" i="11"/>
  <c r="N27" i="11"/>
  <c r="K27" i="11"/>
  <c r="H27" i="11"/>
  <c r="Y26" i="11"/>
  <c r="AB26" i="11" s="1"/>
  <c r="X26" i="11"/>
  <c r="AA26" i="11" s="1"/>
  <c r="W26" i="11"/>
  <c r="T26" i="11"/>
  <c r="Q26" i="11"/>
  <c r="N26" i="11"/>
  <c r="K26" i="11"/>
  <c r="H26" i="11"/>
  <c r="Y25" i="11"/>
  <c r="AB25" i="11" s="1"/>
  <c r="X25" i="11"/>
  <c r="AA25" i="11" s="1"/>
  <c r="W25" i="11"/>
  <c r="T25" i="11"/>
  <c r="Q25" i="11"/>
  <c r="N25" i="11"/>
  <c r="K25" i="11"/>
  <c r="H25" i="11"/>
  <c r="Y24" i="11"/>
  <c r="AB24" i="11" s="1"/>
  <c r="X24" i="11"/>
  <c r="AA24" i="11" s="1"/>
  <c r="W24" i="11"/>
  <c r="T24" i="11"/>
  <c r="Q24" i="11"/>
  <c r="N24" i="11"/>
  <c r="K24" i="11"/>
  <c r="H24" i="11"/>
  <c r="Y23" i="11"/>
  <c r="AB23" i="11" s="1"/>
  <c r="X23" i="11"/>
  <c r="AA23" i="11" s="1"/>
  <c r="W23" i="11"/>
  <c r="T23" i="11"/>
  <c r="Q23" i="11"/>
  <c r="N23" i="11"/>
  <c r="K23" i="11"/>
  <c r="H23" i="11"/>
  <c r="Y22" i="11"/>
  <c r="AB22" i="11" s="1"/>
  <c r="X22" i="11"/>
  <c r="AA22" i="11" s="1"/>
  <c r="W22" i="11"/>
  <c r="T22" i="11"/>
  <c r="Q22" i="11"/>
  <c r="N22" i="11"/>
  <c r="K22" i="11"/>
  <c r="H22" i="11"/>
  <c r="Y21" i="11"/>
  <c r="AB21" i="11" s="1"/>
  <c r="X21" i="11"/>
  <c r="AA21" i="11" s="1"/>
  <c r="W21" i="11"/>
  <c r="T21" i="11"/>
  <c r="Q21" i="11"/>
  <c r="N21" i="11"/>
  <c r="K21" i="11"/>
  <c r="H21" i="11"/>
  <c r="Y20" i="11"/>
  <c r="AB20" i="11" s="1"/>
  <c r="X20" i="11"/>
  <c r="AA20" i="11" s="1"/>
  <c r="W20" i="11"/>
  <c r="T20" i="11"/>
  <c r="Q20" i="11"/>
  <c r="N20" i="11"/>
  <c r="K20" i="11"/>
  <c r="H20" i="11"/>
  <c r="Y19" i="11"/>
  <c r="AB19" i="11" s="1"/>
  <c r="X19" i="11"/>
  <c r="AA19" i="11" s="1"/>
  <c r="W19" i="11"/>
  <c r="T19" i="11"/>
  <c r="Q19" i="11"/>
  <c r="N19" i="11"/>
  <c r="K19" i="11"/>
  <c r="H19" i="11"/>
  <c r="Y18" i="11"/>
  <c r="AB18" i="11" s="1"/>
  <c r="X18" i="11"/>
  <c r="AA18" i="11" s="1"/>
  <c r="W18" i="11"/>
  <c r="T18" i="11"/>
  <c r="Q18" i="11"/>
  <c r="N18" i="11"/>
  <c r="K18" i="11"/>
  <c r="H18" i="11"/>
  <c r="Y17" i="11"/>
  <c r="AB17" i="11" s="1"/>
  <c r="X17" i="11"/>
  <c r="AA17" i="11" s="1"/>
  <c r="W17" i="11"/>
  <c r="T17" i="11"/>
  <c r="Q17" i="11"/>
  <c r="N17" i="11"/>
  <c r="K17" i="11"/>
  <c r="H17" i="11"/>
  <c r="Y16" i="11"/>
  <c r="AB16" i="11" s="1"/>
  <c r="X16" i="11"/>
  <c r="AA16" i="11" s="1"/>
  <c r="W16" i="11"/>
  <c r="T16" i="11"/>
  <c r="Q16" i="11"/>
  <c r="N16" i="11"/>
  <c r="K16" i="11"/>
  <c r="H16" i="11"/>
  <c r="Y15" i="11"/>
  <c r="AB15" i="11" s="1"/>
  <c r="X15" i="11"/>
  <c r="AA15" i="11" s="1"/>
  <c r="W15" i="11"/>
  <c r="T15" i="11"/>
  <c r="Q15" i="11"/>
  <c r="N15" i="11"/>
  <c r="K15" i="11"/>
  <c r="H15" i="11"/>
  <c r="Y14" i="11"/>
  <c r="AB14" i="11" s="1"/>
  <c r="X14" i="11"/>
  <c r="AA14" i="11" s="1"/>
  <c r="W14" i="11"/>
  <c r="T14" i="11"/>
  <c r="Q14" i="11"/>
  <c r="N14" i="11"/>
  <c r="K14" i="11"/>
  <c r="H14" i="11"/>
  <c r="Y13" i="11"/>
  <c r="AB13" i="11" s="1"/>
  <c r="X13" i="11"/>
  <c r="AA13" i="11" s="1"/>
  <c r="W13" i="11"/>
  <c r="T13" i="11"/>
  <c r="Q13" i="11"/>
  <c r="N13" i="11"/>
  <c r="K13" i="11"/>
  <c r="H13" i="11"/>
  <c r="Y12" i="11"/>
  <c r="AB12" i="11" s="1"/>
  <c r="X12" i="11"/>
  <c r="AA12" i="11" s="1"/>
  <c r="W12" i="11"/>
  <c r="T12" i="11"/>
  <c r="Q12" i="11"/>
  <c r="N12" i="11"/>
  <c r="K12" i="11"/>
  <c r="H12" i="11"/>
  <c r="Y11" i="11"/>
  <c r="AB11" i="11" s="1"/>
  <c r="X11" i="11"/>
  <c r="AA11" i="11" s="1"/>
  <c r="W11" i="11"/>
  <c r="T11" i="11"/>
  <c r="Q11" i="11"/>
  <c r="N11" i="11"/>
  <c r="K11" i="11"/>
  <c r="H11" i="11"/>
  <c r="Y10" i="11"/>
  <c r="AB10" i="11" s="1"/>
  <c r="X10" i="11"/>
  <c r="AA10" i="11" s="1"/>
  <c r="W10" i="11"/>
  <c r="T10" i="11"/>
  <c r="Q10" i="11"/>
  <c r="N10" i="11"/>
  <c r="K10" i="11"/>
  <c r="H10" i="11"/>
  <c r="Y9" i="11"/>
  <c r="AB9" i="11" s="1"/>
  <c r="X9" i="11"/>
  <c r="AA9" i="11" s="1"/>
  <c r="W9" i="11"/>
  <c r="T9" i="11"/>
  <c r="Q9" i="11"/>
  <c r="N9" i="11"/>
  <c r="K9" i="11"/>
  <c r="H9" i="11"/>
  <c r="Y8" i="11"/>
  <c r="AB8" i="11" s="1"/>
  <c r="X8" i="11"/>
  <c r="AA8" i="11" s="1"/>
  <c r="W8" i="11"/>
  <c r="T8" i="11"/>
  <c r="Q8" i="11"/>
  <c r="N8" i="11"/>
  <c r="K8" i="11"/>
  <c r="H8" i="11"/>
  <c r="Y7" i="11"/>
  <c r="AB7" i="11" s="1"/>
  <c r="X7" i="11"/>
  <c r="AA7" i="11" s="1"/>
  <c r="W7" i="11"/>
  <c r="T7" i="11"/>
  <c r="Q7" i="11"/>
  <c r="N7" i="11"/>
  <c r="K7" i="11"/>
  <c r="H7" i="11"/>
  <c r="V159" i="10"/>
  <c r="V162" i="10" s="1"/>
  <c r="V163" i="10" s="1"/>
  <c r="U159" i="10"/>
  <c r="U164" i="10" s="1"/>
  <c r="S159" i="10"/>
  <c r="S164" i="10" s="1"/>
  <c r="R159" i="10"/>
  <c r="R164" i="10" s="1"/>
  <c r="P159" i="10"/>
  <c r="P164" i="10" s="1"/>
  <c r="O159" i="10"/>
  <c r="O164" i="10" s="1"/>
  <c r="M159" i="10"/>
  <c r="M164" i="10" s="1"/>
  <c r="L159" i="10"/>
  <c r="L164" i="10" s="1"/>
  <c r="J159" i="10"/>
  <c r="J164" i="10" s="1"/>
  <c r="I159" i="10"/>
  <c r="I164" i="10" s="1"/>
  <c r="G159" i="10"/>
  <c r="F159" i="10"/>
  <c r="E159" i="10"/>
  <c r="E162" i="10" s="1"/>
  <c r="E163" i="10" s="1"/>
  <c r="Y158" i="10"/>
  <c r="AB158" i="10" s="1"/>
  <c r="X158" i="10"/>
  <c r="AA158" i="10" s="1"/>
  <c r="W158" i="10"/>
  <c r="T158" i="10"/>
  <c r="Q158" i="10"/>
  <c r="Y157" i="10"/>
  <c r="AB157" i="10" s="1"/>
  <c r="X157" i="10"/>
  <c r="AA157" i="10" s="1"/>
  <c r="W157" i="10"/>
  <c r="T157" i="10"/>
  <c r="Q157" i="10"/>
  <c r="Y156" i="10"/>
  <c r="AB156" i="10" s="1"/>
  <c r="X156" i="10"/>
  <c r="AA156" i="10" s="1"/>
  <c r="W156" i="10"/>
  <c r="T156" i="10"/>
  <c r="Q156" i="10"/>
  <c r="Y155" i="10"/>
  <c r="AB155" i="10" s="1"/>
  <c r="X155" i="10"/>
  <c r="AA155" i="10" s="1"/>
  <c r="W155" i="10"/>
  <c r="T155" i="10"/>
  <c r="Q155" i="10"/>
  <c r="N155" i="10"/>
  <c r="K155" i="10"/>
  <c r="H155" i="10"/>
  <c r="Y154" i="10"/>
  <c r="AB154" i="10" s="1"/>
  <c r="X154" i="10"/>
  <c r="AA154" i="10" s="1"/>
  <c r="W154" i="10"/>
  <c r="T154" i="10"/>
  <c r="Q154" i="10"/>
  <c r="N154" i="10"/>
  <c r="K154" i="10"/>
  <c r="H154" i="10"/>
  <c r="Y153" i="10"/>
  <c r="AB153" i="10" s="1"/>
  <c r="X153" i="10"/>
  <c r="AA153" i="10" s="1"/>
  <c r="W153" i="10"/>
  <c r="T153" i="10"/>
  <c r="Q153" i="10"/>
  <c r="N153" i="10"/>
  <c r="K153" i="10"/>
  <c r="H153" i="10"/>
  <c r="Y152" i="10"/>
  <c r="AB152" i="10" s="1"/>
  <c r="X152" i="10"/>
  <c r="AA152" i="10" s="1"/>
  <c r="W152" i="10"/>
  <c r="T152" i="10"/>
  <c r="Q152" i="10"/>
  <c r="N152" i="10"/>
  <c r="K152" i="10"/>
  <c r="H152" i="10"/>
  <c r="Y151" i="10"/>
  <c r="AB151" i="10" s="1"/>
  <c r="X151" i="10"/>
  <c r="AA151" i="10" s="1"/>
  <c r="W151" i="10"/>
  <c r="T151" i="10"/>
  <c r="Q151" i="10"/>
  <c r="N151" i="10"/>
  <c r="K151" i="10"/>
  <c r="H151" i="10"/>
  <c r="Y150" i="10"/>
  <c r="AB150" i="10" s="1"/>
  <c r="X150" i="10"/>
  <c r="AA150" i="10" s="1"/>
  <c r="W150" i="10"/>
  <c r="T150" i="10"/>
  <c r="Q150" i="10"/>
  <c r="N150" i="10"/>
  <c r="K150" i="10"/>
  <c r="H150" i="10"/>
  <c r="Y149" i="10"/>
  <c r="AB149" i="10" s="1"/>
  <c r="X149" i="10"/>
  <c r="AA149" i="10" s="1"/>
  <c r="W149" i="10"/>
  <c r="T149" i="10"/>
  <c r="Q149" i="10"/>
  <c r="N149" i="10"/>
  <c r="K149" i="10"/>
  <c r="H149" i="10"/>
  <c r="Y148" i="10"/>
  <c r="AB148" i="10" s="1"/>
  <c r="X148" i="10"/>
  <c r="AA148" i="10" s="1"/>
  <c r="W148" i="10"/>
  <c r="T148" i="10"/>
  <c r="Q148" i="10"/>
  <c r="N148" i="10"/>
  <c r="K148" i="10"/>
  <c r="H148" i="10"/>
  <c r="Y147" i="10"/>
  <c r="AB147" i="10" s="1"/>
  <c r="X147" i="10"/>
  <c r="AA147" i="10" s="1"/>
  <c r="W147" i="10"/>
  <c r="T147" i="10"/>
  <c r="Q147" i="10"/>
  <c r="N147" i="10"/>
  <c r="K147" i="10"/>
  <c r="H147" i="10"/>
  <c r="Y146" i="10"/>
  <c r="AB146" i="10" s="1"/>
  <c r="X146" i="10"/>
  <c r="AA146" i="10" s="1"/>
  <c r="W146" i="10"/>
  <c r="T146" i="10"/>
  <c r="Q146" i="10"/>
  <c r="N146" i="10"/>
  <c r="K146" i="10"/>
  <c r="H146" i="10"/>
  <c r="Y145" i="10"/>
  <c r="AB145" i="10" s="1"/>
  <c r="X145" i="10"/>
  <c r="AA145" i="10" s="1"/>
  <c r="W145" i="10"/>
  <c r="T145" i="10"/>
  <c r="Q145" i="10"/>
  <c r="N145" i="10"/>
  <c r="K145" i="10"/>
  <c r="H145" i="10"/>
  <c r="Y144" i="10"/>
  <c r="AB144" i="10" s="1"/>
  <c r="X144" i="10"/>
  <c r="AA144" i="10" s="1"/>
  <c r="W144" i="10"/>
  <c r="T144" i="10"/>
  <c r="Q144" i="10"/>
  <c r="N144" i="10"/>
  <c r="K144" i="10"/>
  <c r="H144" i="10"/>
  <c r="Y143" i="10"/>
  <c r="AB143" i="10" s="1"/>
  <c r="X143" i="10"/>
  <c r="AA143" i="10" s="1"/>
  <c r="W143" i="10"/>
  <c r="T143" i="10"/>
  <c r="Q143" i="10"/>
  <c r="N143" i="10"/>
  <c r="K143" i="10"/>
  <c r="H143" i="10"/>
  <c r="Y142" i="10"/>
  <c r="AB142" i="10" s="1"/>
  <c r="X142" i="10"/>
  <c r="AA142" i="10" s="1"/>
  <c r="W142" i="10"/>
  <c r="T142" i="10"/>
  <c r="Q142" i="10"/>
  <c r="N142" i="10"/>
  <c r="K142" i="10"/>
  <c r="H142" i="10"/>
  <c r="Y141" i="10"/>
  <c r="AB141" i="10" s="1"/>
  <c r="X141" i="10"/>
  <c r="AA141" i="10" s="1"/>
  <c r="W141" i="10"/>
  <c r="T141" i="10"/>
  <c r="Q141" i="10"/>
  <c r="N141" i="10"/>
  <c r="K141" i="10"/>
  <c r="H141" i="10"/>
  <c r="Y140" i="10"/>
  <c r="AB140" i="10" s="1"/>
  <c r="X140" i="10"/>
  <c r="AA140" i="10" s="1"/>
  <c r="W140" i="10"/>
  <c r="T140" i="10"/>
  <c r="Q140" i="10"/>
  <c r="N140" i="10"/>
  <c r="K140" i="10"/>
  <c r="H140" i="10"/>
  <c r="Y139" i="10"/>
  <c r="AB139" i="10" s="1"/>
  <c r="X139" i="10"/>
  <c r="AA139" i="10" s="1"/>
  <c r="W139" i="10"/>
  <c r="T139" i="10"/>
  <c r="Q139" i="10"/>
  <c r="N139" i="10"/>
  <c r="K139" i="10"/>
  <c r="H139" i="10"/>
  <c r="Y138" i="10"/>
  <c r="AB138" i="10" s="1"/>
  <c r="X138" i="10"/>
  <c r="AA138" i="10" s="1"/>
  <c r="W138" i="10"/>
  <c r="T138" i="10"/>
  <c r="Q138" i="10"/>
  <c r="N138" i="10"/>
  <c r="K138" i="10"/>
  <c r="H138" i="10"/>
  <c r="Y137" i="10"/>
  <c r="AB137" i="10" s="1"/>
  <c r="X137" i="10"/>
  <c r="AA137" i="10" s="1"/>
  <c r="W137" i="10"/>
  <c r="T137" i="10"/>
  <c r="Q137" i="10"/>
  <c r="N137" i="10"/>
  <c r="K137" i="10"/>
  <c r="H137" i="10"/>
  <c r="Y136" i="10"/>
  <c r="AB136" i="10" s="1"/>
  <c r="X136" i="10"/>
  <c r="AA136" i="10" s="1"/>
  <c r="W136" i="10"/>
  <c r="T136" i="10"/>
  <c r="Q136" i="10"/>
  <c r="N136" i="10"/>
  <c r="K136" i="10"/>
  <c r="H136" i="10"/>
  <c r="Y135" i="10"/>
  <c r="AB135" i="10" s="1"/>
  <c r="X135" i="10"/>
  <c r="AA135" i="10" s="1"/>
  <c r="W135" i="10"/>
  <c r="T135" i="10"/>
  <c r="Q135" i="10"/>
  <c r="N135" i="10"/>
  <c r="K135" i="10"/>
  <c r="H135" i="10"/>
  <c r="Y134" i="10"/>
  <c r="AB134" i="10" s="1"/>
  <c r="X134" i="10"/>
  <c r="AA134" i="10" s="1"/>
  <c r="W134" i="10"/>
  <c r="T134" i="10"/>
  <c r="Q134" i="10"/>
  <c r="N134" i="10"/>
  <c r="K134" i="10"/>
  <c r="H134" i="10"/>
  <c r="Y133" i="10"/>
  <c r="AB133" i="10" s="1"/>
  <c r="X133" i="10"/>
  <c r="AA133" i="10" s="1"/>
  <c r="W133" i="10"/>
  <c r="T133" i="10"/>
  <c r="Q133" i="10"/>
  <c r="N133" i="10"/>
  <c r="K133" i="10"/>
  <c r="H133" i="10"/>
  <c r="Y132" i="10"/>
  <c r="AB132" i="10" s="1"/>
  <c r="X132" i="10"/>
  <c r="AA132" i="10" s="1"/>
  <c r="W132" i="10"/>
  <c r="T132" i="10"/>
  <c r="Q132" i="10"/>
  <c r="N132" i="10"/>
  <c r="K132" i="10"/>
  <c r="H132" i="10"/>
  <c r="Y131" i="10"/>
  <c r="AB131" i="10" s="1"/>
  <c r="X131" i="10"/>
  <c r="AA131" i="10" s="1"/>
  <c r="W131" i="10"/>
  <c r="T131" i="10"/>
  <c r="Q131" i="10"/>
  <c r="N131" i="10"/>
  <c r="K131" i="10"/>
  <c r="H131" i="10"/>
  <c r="Y130" i="10"/>
  <c r="AB130" i="10" s="1"/>
  <c r="X130" i="10"/>
  <c r="AA130" i="10" s="1"/>
  <c r="W130" i="10"/>
  <c r="T130" i="10"/>
  <c r="Q130" i="10"/>
  <c r="N130" i="10"/>
  <c r="K130" i="10"/>
  <c r="H130" i="10"/>
  <c r="Y129" i="10"/>
  <c r="AB129" i="10" s="1"/>
  <c r="X129" i="10"/>
  <c r="AA129" i="10" s="1"/>
  <c r="W129" i="10"/>
  <c r="T129" i="10"/>
  <c r="Q129" i="10"/>
  <c r="N129" i="10"/>
  <c r="K129" i="10"/>
  <c r="H129" i="10"/>
  <c r="Y128" i="10"/>
  <c r="AB128" i="10" s="1"/>
  <c r="X128" i="10"/>
  <c r="AA128" i="10" s="1"/>
  <c r="W128" i="10"/>
  <c r="T128" i="10"/>
  <c r="Q128" i="10"/>
  <c r="N128" i="10"/>
  <c r="K128" i="10"/>
  <c r="H128" i="10"/>
  <c r="Y127" i="10"/>
  <c r="AB127" i="10" s="1"/>
  <c r="X127" i="10"/>
  <c r="AA127" i="10" s="1"/>
  <c r="W127" i="10"/>
  <c r="T127" i="10"/>
  <c r="Q127" i="10"/>
  <c r="N127" i="10"/>
  <c r="K127" i="10"/>
  <c r="H127" i="10"/>
  <c r="Y126" i="10"/>
  <c r="AB126" i="10" s="1"/>
  <c r="X126" i="10"/>
  <c r="AA126" i="10" s="1"/>
  <c r="W126" i="10"/>
  <c r="T126" i="10"/>
  <c r="Q126" i="10"/>
  <c r="N126" i="10"/>
  <c r="K126" i="10"/>
  <c r="H126" i="10"/>
  <c r="Y125" i="10"/>
  <c r="AB125" i="10" s="1"/>
  <c r="X125" i="10"/>
  <c r="AA125" i="10" s="1"/>
  <c r="W125" i="10"/>
  <c r="T125" i="10"/>
  <c r="Q125" i="10"/>
  <c r="N125" i="10"/>
  <c r="K125" i="10"/>
  <c r="H125" i="10"/>
  <c r="Y124" i="10"/>
  <c r="AB124" i="10" s="1"/>
  <c r="X124" i="10"/>
  <c r="AA124" i="10" s="1"/>
  <c r="W124" i="10"/>
  <c r="T124" i="10"/>
  <c r="Q124" i="10"/>
  <c r="N124" i="10"/>
  <c r="K124" i="10"/>
  <c r="H124" i="10"/>
  <c r="Y123" i="10"/>
  <c r="AB123" i="10" s="1"/>
  <c r="X123" i="10"/>
  <c r="AA123" i="10" s="1"/>
  <c r="W123" i="10"/>
  <c r="T123" i="10"/>
  <c r="Q123" i="10"/>
  <c r="N123" i="10"/>
  <c r="K123" i="10"/>
  <c r="H123" i="10"/>
  <c r="Y122" i="10"/>
  <c r="AB122" i="10" s="1"/>
  <c r="X122" i="10"/>
  <c r="AA122" i="10" s="1"/>
  <c r="W122" i="10"/>
  <c r="T122" i="10"/>
  <c r="Q122" i="10"/>
  <c r="N122" i="10"/>
  <c r="K122" i="10"/>
  <c r="H122" i="10"/>
  <c r="Y121" i="10"/>
  <c r="AB121" i="10" s="1"/>
  <c r="X121" i="10"/>
  <c r="AA121" i="10" s="1"/>
  <c r="W121" i="10"/>
  <c r="T121" i="10"/>
  <c r="Q121" i="10"/>
  <c r="N121" i="10"/>
  <c r="K121" i="10"/>
  <c r="H121" i="10"/>
  <c r="Y120" i="10"/>
  <c r="AB120" i="10" s="1"/>
  <c r="X120" i="10"/>
  <c r="AA120" i="10" s="1"/>
  <c r="W120" i="10"/>
  <c r="T120" i="10"/>
  <c r="Q120" i="10"/>
  <c r="N120" i="10"/>
  <c r="K120" i="10"/>
  <c r="H120" i="10"/>
  <c r="Y119" i="10"/>
  <c r="AB119" i="10" s="1"/>
  <c r="X119" i="10"/>
  <c r="AA119" i="10" s="1"/>
  <c r="W119" i="10"/>
  <c r="T119" i="10"/>
  <c r="Q119" i="10"/>
  <c r="N119" i="10"/>
  <c r="K119" i="10"/>
  <c r="H119" i="10"/>
  <c r="Y118" i="10"/>
  <c r="AB118" i="10" s="1"/>
  <c r="X118" i="10"/>
  <c r="AA118" i="10" s="1"/>
  <c r="W118" i="10"/>
  <c r="T118" i="10"/>
  <c r="Q118" i="10"/>
  <c r="N118" i="10"/>
  <c r="K118" i="10"/>
  <c r="H118" i="10"/>
  <c r="Y117" i="10"/>
  <c r="AB117" i="10" s="1"/>
  <c r="X117" i="10"/>
  <c r="AA117" i="10" s="1"/>
  <c r="W117" i="10"/>
  <c r="T117" i="10"/>
  <c r="Q117" i="10"/>
  <c r="N117" i="10"/>
  <c r="K117" i="10"/>
  <c r="H117" i="10"/>
  <c r="Y116" i="10"/>
  <c r="AB116" i="10" s="1"/>
  <c r="X116" i="10"/>
  <c r="AA116" i="10" s="1"/>
  <c r="W116" i="10"/>
  <c r="T116" i="10"/>
  <c r="Q116" i="10"/>
  <c r="N116" i="10"/>
  <c r="K116" i="10"/>
  <c r="H116" i="10"/>
  <c r="Y115" i="10"/>
  <c r="AB115" i="10" s="1"/>
  <c r="X115" i="10"/>
  <c r="AA115" i="10" s="1"/>
  <c r="W115" i="10"/>
  <c r="T115" i="10"/>
  <c r="Q115" i="10"/>
  <c r="N115" i="10"/>
  <c r="K115" i="10"/>
  <c r="H115" i="10"/>
  <c r="Y114" i="10"/>
  <c r="AB114" i="10" s="1"/>
  <c r="X114" i="10"/>
  <c r="AA114" i="10" s="1"/>
  <c r="W114" i="10"/>
  <c r="T114" i="10"/>
  <c r="Q114" i="10"/>
  <c r="N114" i="10"/>
  <c r="K114" i="10"/>
  <c r="H114" i="10"/>
  <c r="Y113" i="10"/>
  <c r="AB113" i="10" s="1"/>
  <c r="X113" i="10"/>
  <c r="AA113" i="10" s="1"/>
  <c r="W113" i="10"/>
  <c r="T113" i="10"/>
  <c r="Q113" i="10"/>
  <c r="N113" i="10"/>
  <c r="K113" i="10"/>
  <c r="H113" i="10"/>
  <c r="Y112" i="10"/>
  <c r="AB112" i="10" s="1"/>
  <c r="X112" i="10"/>
  <c r="AA112" i="10" s="1"/>
  <c r="W112" i="10"/>
  <c r="T112" i="10"/>
  <c r="Q112" i="10"/>
  <c r="N112" i="10"/>
  <c r="K112" i="10"/>
  <c r="H112" i="10"/>
  <c r="Y111" i="10"/>
  <c r="AB111" i="10" s="1"/>
  <c r="X111" i="10"/>
  <c r="AA111" i="10" s="1"/>
  <c r="W111" i="10"/>
  <c r="T111" i="10"/>
  <c r="Q111" i="10"/>
  <c r="N111" i="10"/>
  <c r="K111" i="10"/>
  <c r="H111" i="10"/>
  <c r="Y110" i="10"/>
  <c r="AB110" i="10" s="1"/>
  <c r="X110" i="10"/>
  <c r="AA110" i="10" s="1"/>
  <c r="W110" i="10"/>
  <c r="T110" i="10"/>
  <c r="Q110" i="10"/>
  <c r="N110" i="10"/>
  <c r="K110" i="10"/>
  <c r="H110" i="10"/>
  <c r="Y109" i="10"/>
  <c r="AB109" i="10" s="1"/>
  <c r="X109" i="10"/>
  <c r="AA109" i="10" s="1"/>
  <c r="W109" i="10"/>
  <c r="T109" i="10"/>
  <c r="Q109" i="10"/>
  <c r="N109" i="10"/>
  <c r="K109" i="10"/>
  <c r="H109" i="10"/>
  <c r="Y108" i="10"/>
  <c r="AB108" i="10" s="1"/>
  <c r="X108" i="10"/>
  <c r="AA108" i="10" s="1"/>
  <c r="W108" i="10"/>
  <c r="T108" i="10"/>
  <c r="Q108" i="10"/>
  <c r="N108" i="10"/>
  <c r="K108" i="10"/>
  <c r="H108" i="10"/>
  <c r="Y107" i="10"/>
  <c r="AB107" i="10" s="1"/>
  <c r="X107" i="10"/>
  <c r="AA107" i="10" s="1"/>
  <c r="W107" i="10"/>
  <c r="T107" i="10"/>
  <c r="Q107" i="10"/>
  <c r="N107" i="10"/>
  <c r="K107" i="10"/>
  <c r="H107" i="10"/>
  <c r="Y106" i="10"/>
  <c r="AB106" i="10" s="1"/>
  <c r="X106" i="10"/>
  <c r="AA106" i="10" s="1"/>
  <c r="W106" i="10"/>
  <c r="T106" i="10"/>
  <c r="Q106" i="10"/>
  <c r="N106" i="10"/>
  <c r="K106" i="10"/>
  <c r="H106" i="10"/>
  <c r="Y105" i="10"/>
  <c r="AB105" i="10" s="1"/>
  <c r="X105" i="10"/>
  <c r="AA105" i="10" s="1"/>
  <c r="W105" i="10"/>
  <c r="T105" i="10"/>
  <c r="Q105" i="10"/>
  <c r="N105" i="10"/>
  <c r="K105" i="10"/>
  <c r="H105" i="10"/>
  <c r="Y104" i="10"/>
  <c r="AB104" i="10" s="1"/>
  <c r="X104" i="10"/>
  <c r="AA104" i="10" s="1"/>
  <c r="W104" i="10"/>
  <c r="T104" i="10"/>
  <c r="Q104" i="10"/>
  <c r="N104" i="10"/>
  <c r="K104" i="10"/>
  <c r="H104" i="10"/>
  <c r="Y103" i="10"/>
  <c r="AB103" i="10" s="1"/>
  <c r="X103" i="10"/>
  <c r="AA103" i="10" s="1"/>
  <c r="W103" i="10"/>
  <c r="T103" i="10"/>
  <c r="Q103" i="10"/>
  <c r="N103" i="10"/>
  <c r="K103" i="10"/>
  <c r="H103" i="10"/>
  <c r="Y102" i="10"/>
  <c r="AB102" i="10" s="1"/>
  <c r="X102" i="10"/>
  <c r="AA102" i="10" s="1"/>
  <c r="W102" i="10"/>
  <c r="T102" i="10"/>
  <c r="Q102" i="10"/>
  <c r="N102" i="10"/>
  <c r="K102" i="10"/>
  <c r="H102" i="10"/>
  <c r="Y101" i="10"/>
  <c r="AB101" i="10" s="1"/>
  <c r="X101" i="10"/>
  <c r="AA101" i="10" s="1"/>
  <c r="W101" i="10"/>
  <c r="T101" i="10"/>
  <c r="Q101" i="10"/>
  <c r="N101" i="10"/>
  <c r="K101" i="10"/>
  <c r="H101" i="10"/>
  <c r="Y100" i="10"/>
  <c r="AB100" i="10" s="1"/>
  <c r="X100" i="10"/>
  <c r="AA100" i="10" s="1"/>
  <c r="W100" i="10"/>
  <c r="T100" i="10"/>
  <c r="Q100" i="10"/>
  <c r="N100" i="10"/>
  <c r="K100" i="10"/>
  <c r="H100" i="10"/>
  <c r="Y99" i="10"/>
  <c r="AB99" i="10" s="1"/>
  <c r="X99" i="10"/>
  <c r="AA99" i="10" s="1"/>
  <c r="W99" i="10"/>
  <c r="T99" i="10"/>
  <c r="Q99" i="10"/>
  <c r="N99" i="10"/>
  <c r="K99" i="10"/>
  <c r="H99" i="10"/>
  <c r="Y98" i="10"/>
  <c r="AB98" i="10" s="1"/>
  <c r="X98" i="10"/>
  <c r="AA98" i="10" s="1"/>
  <c r="W98" i="10"/>
  <c r="T98" i="10"/>
  <c r="Q98" i="10"/>
  <c r="N98" i="10"/>
  <c r="K98" i="10"/>
  <c r="H98" i="10"/>
  <c r="Y97" i="10"/>
  <c r="AB97" i="10" s="1"/>
  <c r="X97" i="10"/>
  <c r="AA97" i="10" s="1"/>
  <c r="W97" i="10"/>
  <c r="T97" i="10"/>
  <c r="Q97" i="10"/>
  <c r="N97" i="10"/>
  <c r="K97" i="10"/>
  <c r="H97" i="10"/>
  <c r="Y96" i="10"/>
  <c r="AB96" i="10" s="1"/>
  <c r="X96" i="10"/>
  <c r="AA96" i="10" s="1"/>
  <c r="W96" i="10"/>
  <c r="T96" i="10"/>
  <c r="Q96" i="10"/>
  <c r="N96" i="10"/>
  <c r="K96" i="10"/>
  <c r="H96" i="10"/>
  <c r="Y95" i="10"/>
  <c r="AB95" i="10" s="1"/>
  <c r="X95" i="10"/>
  <c r="AA95" i="10" s="1"/>
  <c r="W95" i="10"/>
  <c r="T95" i="10"/>
  <c r="Q95" i="10"/>
  <c r="N95" i="10"/>
  <c r="K95" i="10"/>
  <c r="H95" i="10"/>
  <c r="Y94" i="10"/>
  <c r="AB94" i="10" s="1"/>
  <c r="X94" i="10"/>
  <c r="AA94" i="10" s="1"/>
  <c r="W94" i="10"/>
  <c r="T94" i="10"/>
  <c r="Q94" i="10"/>
  <c r="N94" i="10"/>
  <c r="K94" i="10"/>
  <c r="H94" i="10"/>
  <c r="AB93" i="10"/>
  <c r="Y93" i="10"/>
  <c r="X93" i="10"/>
  <c r="AA93" i="10" s="1"/>
  <c r="W93" i="10"/>
  <c r="T93" i="10"/>
  <c r="Q93" i="10"/>
  <c r="N93" i="10"/>
  <c r="K93" i="10"/>
  <c r="H93" i="10"/>
  <c r="Y92" i="10"/>
  <c r="AB92" i="10" s="1"/>
  <c r="X92" i="10"/>
  <c r="AA92" i="10" s="1"/>
  <c r="W92" i="10"/>
  <c r="T92" i="10"/>
  <c r="Q92" i="10"/>
  <c r="N92" i="10"/>
  <c r="K92" i="10"/>
  <c r="H92" i="10"/>
  <c r="Y91" i="10"/>
  <c r="AB91" i="10" s="1"/>
  <c r="X91" i="10"/>
  <c r="AA91" i="10" s="1"/>
  <c r="W91" i="10"/>
  <c r="T91" i="10"/>
  <c r="Q91" i="10"/>
  <c r="N91" i="10"/>
  <c r="K91" i="10"/>
  <c r="H91" i="10"/>
  <c r="Y90" i="10"/>
  <c r="AB90" i="10" s="1"/>
  <c r="X90" i="10"/>
  <c r="AA90" i="10" s="1"/>
  <c r="W90" i="10"/>
  <c r="T90" i="10"/>
  <c r="Q90" i="10"/>
  <c r="N90" i="10"/>
  <c r="K90" i="10"/>
  <c r="H90" i="10"/>
  <c r="Y89" i="10"/>
  <c r="AB89" i="10" s="1"/>
  <c r="X89" i="10"/>
  <c r="AA89" i="10" s="1"/>
  <c r="W89" i="10"/>
  <c r="T89" i="10"/>
  <c r="Q89" i="10"/>
  <c r="N89" i="10"/>
  <c r="K89" i="10"/>
  <c r="H89" i="10"/>
  <c r="Y88" i="10"/>
  <c r="AB88" i="10" s="1"/>
  <c r="X88" i="10"/>
  <c r="AA88" i="10" s="1"/>
  <c r="W88" i="10"/>
  <c r="T88" i="10"/>
  <c r="Q88" i="10"/>
  <c r="N88" i="10"/>
  <c r="K88" i="10"/>
  <c r="H88" i="10"/>
  <c r="Y87" i="10"/>
  <c r="AB87" i="10" s="1"/>
  <c r="X87" i="10"/>
  <c r="AA87" i="10" s="1"/>
  <c r="W87" i="10"/>
  <c r="T87" i="10"/>
  <c r="Q87" i="10"/>
  <c r="N87" i="10"/>
  <c r="K87" i="10"/>
  <c r="H87" i="10"/>
  <c r="Y86" i="10"/>
  <c r="AB86" i="10" s="1"/>
  <c r="X86" i="10"/>
  <c r="AA86" i="10" s="1"/>
  <c r="W86" i="10"/>
  <c r="T86" i="10"/>
  <c r="Q86" i="10"/>
  <c r="N86" i="10"/>
  <c r="K86" i="10"/>
  <c r="H86" i="10"/>
  <c r="AB85" i="10"/>
  <c r="Y85" i="10"/>
  <c r="X85" i="10"/>
  <c r="AA85" i="10" s="1"/>
  <c r="W85" i="10"/>
  <c r="T85" i="10"/>
  <c r="Q85" i="10"/>
  <c r="N85" i="10"/>
  <c r="K85" i="10"/>
  <c r="H85" i="10"/>
  <c r="Y84" i="10"/>
  <c r="AB84" i="10" s="1"/>
  <c r="X84" i="10"/>
  <c r="AA84" i="10" s="1"/>
  <c r="W84" i="10"/>
  <c r="T84" i="10"/>
  <c r="Q84" i="10"/>
  <c r="N84" i="10"/>
  <c r="K84" i="10"/>
  <c r="H84" i="10"/>
  <c r="Y83" i="10"/>
  <c r="AB83" i="10" s="1"/>
  <c r="X83" i="10"/>
  <c r="AA83" i="10" s="1"/>
  <c r="W83" i="10"/>
  <c r="T83" i="10"/>
  <c r="Q83" i="10"/>
  <c r="N83" i="10"/>
  <c r="K83" i="10"/>
  <c r="H83" i="10"/>
  <c r="Y82" i="10"/>
  <c r="AB82" i="10" s="1"/>
  <c r="X82" i="10"/>
  <c r="AA82" i="10" s="1"/>
  <c r="W82" i="10"/>
  <c r="T82" i="10"/>
  <c r="Q82" i="10"/>
  <c r="N82" i="10"/>
  <c r="K82" i="10"/>
  <c r="H82" i="10"/>
  <c r="Y81" i="10"/>
  <c r="AB81" i="10" s="1"/>
  <c r="X81" i="10"/>
  <c r="AA81" i="10" s="1"/>
  <c r="W81" i="10"/>
  <c r="T81" i="10"/>
  <c r="Q81" i="10"/>
  <c r="N81" i="10"/>
  <c r="K81" i="10"/>
  <c r="H81" i="10"/>
  <c r="Y80" i="10"/>
  <c r="AB80" i="10" s="1"/>
  <c r="X80" i="10"/>
  <c r="AA80" i="10" s="1"/>
  <c r="W80" i="10"/>
  <c r="T80" i="10"/>
  <c r="Q80" i="10"/>
  <c r="N80" i="10"/>
  <c r="K80" i="10"/>
  <c r="H80" i="10"/>
  <c r="Y79" i="10"/>
  <c r="AB79" i="10" s="1"/>
  <c r="X79" i="10"/>
  <c r="AA79" i="10" s="1"/>
  <c r="W79" i="10"/>
  <c r="T79" i="10"/>
  <c r="Q79" i="10"/>
  <c r="N79" i="10"/>
  <c r="K79" i="10"/>
  <c r="H79" i="10"/>
  <c r="Y78" i="10"/>
  <c r="AB78" i="10" s="1"/>
  <c r="X78" i="10"/>
  <c r="AA78" i="10" s="1"/>
  <c r="W78" i="10"/>
  <c r="T78" i="10"/>
  <c r="Q78" i="10"/>
  <c r="N78" i="10"/>
  <c r="K78" i="10"/>
  <c r="H78" i="10"/>
  <c r="Y77" i="10"/>
  <c r="AB77" i="10" s="1"/>
  <c r="X77" i="10"/>
  <c r="AA77" i="10" s="1"/>
  <c r="W77" i="10"/>
  <c r="T77" i="10"/>
  <c r="Q77" i="10"/>
  <c r="N77" i="10"/>
  <c r="K77" i="10"/>
  <c r="H77" i="10"/>
  <c r="Y76" i="10"/>
  <c r="AB76" i="10" s="1"/>
  <c r="X76" i="10"/>
  <c r="AA76" i="10" s="1"/>
  <c r="W76" i="10"/>
  <c r="T76" i="10"/>
  <c r="Q76" i="10"/>
  <c r="N76" i="10"/>
  <c r="K76" i="10"/>
  <c r="H76" i="10"/>
  <c r="Y75" i="10"/>
  <c r="AB75" i="10" s="1"/>
  <c r="X75" i="10"/>
  <c r="AA75" i="10" s="1"/>
  <c r="W75" i="10"/>
  <c r="T75" i="10"/>
  <c r="Q75" i="10"/>
  <c r="N75" i="10"/>
  <c r="K75" i="10"/>
  <c r="H75" i="10"/>
  <c r="Y74" i="10"/>
  <c r="AB74" i="10" s="1"/>
  <c r="X74" i="10"/>
  <c r="AA74" i="10" s="1"/>
  <c r="W74" i="10"/>
  <c r="T74" i="10"/>
  <c r="Q74" i="10"/>
  <c r="N74" i="10"/>
  <c r="K74" i="10"/>
  <c r="H74" i="10"/>
  <c r="Y73" i="10"/>
  <c r="AB73" i="10" s="1"/>
  <c r="X73" i="10"/>
  <c r="AA73" i="10" s="1"/>
  <c r="W73" i="10"/>
  <c r="T73" i="10"/>
  <c r="Q73" i="10"/>
  <c r="N73" i="10"/>
  <c r="K73" i="10"/>
  <c r="H73" i="10"/>
  <c r="Y72" i="10"/>
  <c r="AB72" i="10" s="1"/>
  <c r="X72" i="10"/>
  <c r="AA72" i="10" s="1"/>
  <c r="W72" i="10"/>
  <c r="T72" i="10"/>
  <c r="Q72" i="10"/>
  <c r="N72" i="10"/>
  <c r="K72" i="10"/>
  <c r="H72" i="10"/>
  <c r="Y71" i="10"/>
  <c r="AB71" i="10" s="1"/>
  <c r="X71" i="10"/>
  <c r="AA71" i="10" s="1"/>
  <c r="W71" i="10"/>
  <c r="T71" i="10"/>
  <c r="Q71" i="10"/>
  <c r="N71" i="10"/>
  <c r="K71" i="10"/>
  <c r="H71" i="10"/>
  <c r="Y70" i="10"/>
  <c r="AB70" i="10" s="1"/>
  <c r="X70" i="10"/>
  <c r="AA70" i="10" s="1"/>
  <c r="W70" i="10"/>
  <c r="T70" i="10"/>
  <c r="Q70" i="10"/>
  <c r="N70" i="10"/>
  <c r="K70" i="10"/>
  <c r="H70" i="10"/>
  <c r="Y69" i="10"/>
  <c r="AB69" i="10" s="1"/>
  <c r="X69" i="10"/>
  <c r="AA69" i="10" s="1"/>
  <c r="W69" i="10"/>
  <c r="T69" i="10"/>
  <c r="Q69" i="10"/>
  <c r="N69" i="10"/>
  <c r="K69" i="10"/>
  <c r="H69" i="10"/>
  <c r="Y68" i="10"/>
  <c r="AB68" i="10" s="1"/>
  <c r="X68" i="10"/>
  <c r="AA68" i="10" s="1"/>
  <c r="W68" i="10"/>
  <c r="T68" i="10"/>
  <c r="Q68" i="10"/>
  <c r="N68" i="10"/>
  <c r="K68" i="10"/>
  <c r="H68" i="10"/>
  <c r="Y67" i="10"/>
  <c r="AB67" i="10" s="1"/>
  <c r="X67" i="10"/>
  <c r="AA67" i="10" s="1"/>
  <c r="W67" i="10"/>
  <c r="T67" i="10"/>
  <c r="Q67" i="10"/>
  <c r="N67" i="10"/>
  <c r="K67" i="10"/>
  <c r="H67" i="10"/>
  <c r="Y66" i="10"/>
  <c r="AB66" i="10" s="1"/>
  <c r="X66" i="10"/>
  <c r="AA66" i="10" s="1"/>
  <c r="W66" i="10"/>
  <c r="T66" i="10"/>
  <c r="Q66" i="10"/>
  <c r="N66" i="10"/>
  <c r="K66" i="10"/>
  <c r="H66" i="10"/>
  <c r="Y65" i="10"/>
  <c r="AB65" i="10" s="1"/>
  <c r="X65" i="10"/>
  <c r="AA65" i="10" s="1"/>
  <c r="W65" i="10"/>
  <c r="T65" i="10"/>
  <c r="Q65" i="10"/>
  <c r="N65" i="10"/>
  <c r="K65" i="10"/>
  <c r="H65" i="10"/>
  <c r="Y64" i="10"/>
  <c r="AB64" i="10" s="1"/>
  <c r="X64" i="10"/>
  <c r="AA64" i="10" s="1"/>
  <c r="W64" i="10"/>
  <c r="T64" i="10"/>
  <c r="Q64" i="10"/>
  <c r="N64" i="10"/>
  <c r="K64" i="10"/>
  <c r="H64" i="10"/>
  <c r="Y63" i="10"/>
  <c r="AB63" i="10" s="1"/>
  <c r="X63" i="10"/>
  <c r="AA63" i="10" s="1"/>
  <c r="W63" i="10"/>
  <c r="T63" i="10"/>
  <c r="Q63" i="10"/>
  <c r="N63" i="10"/>
  <c r="K63" i="10"/>
  <c r="H63" i="10"/>
  <c r="Y62" i="10"/>
  <c r="AB62" i="10" s="1"/>
  <c r="X62" i="10"/>
  <c r="AA62" i="10" s="1"/>
  <c r="W62" i="10"/>
  <c r="T62" i="10"/>
  <c r="Q62" i="10"/>
  <c r="N62" i="10"/>
  <c r="K62" i="10"/>
  <c r="H62" i="10"/>
  <c r="Y61" i="10"/>
  <c r="AB61" i="10" s="1"/>
  <c r="X61" i="10"/>
  <c r="AA61" i="10" s="1"/>
  <c r="W61" i="10"/>
  <c r="T61" i="10"/>
  <c r="Q61" i="10"/>
  <c r="N61" i="10"/>
  <c r="K61" i="10"/>
  <c r="H61" i="10"/>
  <c r="Y60" i="10"/>
  <c r="AB60" i="10" s="1"/>
  <c r="X60" i="10"/>
  <c r="AA60" i="10" s="1"/>
  <c r="W60" i="10"/>
  <c r="T60" i="10"/>
  <c r="Q60" i="10"/>
  <c r="N60" i="10"/>
  <c r="K60" i="10"/>
  <c r="H60" i="10"/>
  <c r="Y59" i="10"/>
  <c r="AB59" i="10" s="1"/>
  <c r="X59" i="10"/>
  <c r="AA59" i="10" s="1"/>
  <c r="W59" i="10"/>
  <c r="T59" i="10"/>
  <c r="Q59" i="10"/>
  <c r="N59" i="10"/>
  <c r="K59" i="10"/>
  <c r="H59" i="10"/>
  <c r="Y58" i="10"/>
  <c r="AB58" i="10" s="1"/>
  <c r="X58" i="10"/>
  <c r="AA58" i="10" s="1"/>
  <c r="W58" i="10"/>
  <c r="T58" i="10"/>
  <c r="Q58" i="10"/>
  <c r="N58" i="10"/>
  <c r="K58" i="10"/>
  <c r="H58" i="10"/>
  <c r="Y57" i="10"/>
  <c r="AB57" i="10" s="1"/>
  <c r="X57" i="10"/>
  <c r="AA57" i="10" s="1"/>
  <c r="W57" i="10"/>
  <c r="T57" i="10"/>
  <c r="Q57" i="10"/>
  <c r="N57" i="10"/>
  <c r="K57" i="10"/>
  <c r="H57" i="10"/>
  <c r="Y56" i="10"/>
  <c r="AB56" i="10" s="1"/>
  <c r="X56" i="10"/>
  <c r="AA56" i="10" s="1"/>
  <c r="W56" i="10"/>
  <c r="T56" i="10"/>
  <c r="Q56" i="10"/>
  <c r="N56" i="10"/>
  <c r="K56" i="10"/>
  <c r="H56" i="10"/>
  <c r="Y55" i="10"/>
  <c r="AB55" i="10" s="1"/>
  <c r="X55" i="10"/>
  <c r="AA55" i="10" s="1"/>
  <c r="W55" i="10"/>
  <c r="T55" i="10"/>
  <c r="Q55" i="10"/>
  <c r="N55" i="10"/>
  <c r="K55" i="10"/>
  <c r="H55" i="10"/>
  <c r="Y54" i="10"/>
  <c r="AB54" i="10" s="1"/>
  <c r="X54" i="10"/>
  <c r="AA54" i="10" s="1"/>
  <c r="W54" i="10"/>
  <c r="T54" i="10"/>
  <c r="Q54" i="10"/>
  <c r="N54" i="10"/>
  <c r="K54" i="10"/>
  <c r="H54" i="10"/>
  <c r="Y53" i="10"/>
  <c r="AB53" i="10" s="1"/>
  <c r="X53" i="10"/>
  <c r="AA53" i="10" s="1"/>
  <c r="W53" i="10"/>
  <c r="T53" i="10"/>
  <c r="Q53" i="10"/>
  <c r="N53" i="10"/>
  <c r="K53" i="10"/>
  <c r="H53" i="10"/>
  <c r="Y52" i="10"/>
  <c r="AB52" i="10" s="1"/>
  <c r="X52" i="10"/>
  <c r="AA52" i="10" s="1"/>
  <c r="W52" i="10"/>
  <c r="T52" i="10"/>
  <c r="Q52" i="10"/>
  <c r="N52" i="10"/>
  <c r="K52" i="10"/>
  <c r="H52" i="10"/>
  <c r="Y51" i="10"/>
  <c r="AB51" i="10" s="1"/>
  <c r="X51" i="10"/>
  <c r="AA51" i="10" s="1"/>
  <c r="W51" i="10"/>
  <c r="T51" i="10"/>
  <c r="Q51" i="10"/>
  <c r="N51" i="10"/>
  <c r="K51" i="10"/>
  <c r="H51" i="10"/>
  <c r="Y50" i="10"/>
  <c r="AB50" i="10" s="1"/>
  <c r="X50" i="10"/>
  <c r="AA50" i="10" s="1"/>
  <c r="W50" i="10"/>
  <c r="T50" i="10"/>
  <c r="Q50" i="10"/>
  <c r="N50" i="10"/>
  <c r="K50" i="10"/>
  <c r="H50" i="10"/>
  <c r="Y49" i="10"/>
  <c r="AB49" i="10" s="1"/>
  <c r="X49" i="10"/>
  <c r="AA49" i="10" s="1"/>
  <c r="W49" i="10"/>
  <c r="T49" i="10"/>
  <c r="Q49" i="10"/>
  <c r="N49" i="10"/>
  <c r="K49" i="10"/>
  <c r="H49" i="10"/>
  <c r="Y48" i="10"/>
  <c r="AB48" i="10" s="1"/>
  <c r="X48" i="10"/>
  <c r="AA48" i="10" s="1"/>
  <c r="W48" i="10"/>
  <c r="T48" i="10"/>
  <c r="Q48" i="10"/>
  <c r="N48" i="10"/>
  <c r="K48" i="10"/>
  <c r="H48" i="10"/>
  <c r="Y47" i="10"/>
  <c r="AB47" i="10" s="1"/>
  <c r="X47" i="10"/>
  <c r="AA47" i="10" s="1"/>
  <c r="W47" i="10"/>
  <c r="T47" i="10"/>
  <c r="Q47" i="10"/>
  <c r="N47" i="10"/>
  <c r="K47" i="10"/>
  <c r="H47" i="10"/>
  <c r="Y46" i="10"/>
  <c r="AB46" i="10" s="1"/>
  <c r="X46" i="10"/>
  <c r="AA46" i="10" s="1"/>
  <c r="W46" i="10"/>
  <c r="T46" i="10"/>
  <c r="Q46" i="10"/>
  <c r="N46" i="10"/>
  <c r="K46" i="10"/>
  <c r="H46" i="10"/>
  <c r="Y45" i="10"/>
  <c r="AB45" i="10" s="1"/>
  <c r="X45" i="10"/>
  <c r="AA45" i="10" s="1"/>
  <c r="W45" i="10"/>
  <c r="T45" i="10"/>
  <c r="Q45" i="10"/>
  <c r="N45" i="10"/>
  <c r="K45" i="10"/>
  <c r="H45" i="10"/>
  <c r="Y44" i="10"/>
  <c r="AB44" i="10" s="1"/>
  <c r="X44" i="10"/>
  <c r="AA44" i="10" s="1"/>
  <c r="W44" i="10"/>
  <c r="T44" i="10"/>
  <c r="Q44" i="10"/>
  <c r="N44" i="10"/>
  <c r="K44" i="10"/>
  <c r="H44" i="10"/>
  <c r="Y43" i="10"/>
  <c r="AB43" i="10" s="1"/>
  <c r="X43" i="10"/>
  <c r="AA43" i="10" s="1"/>
  <c r="W43" i="10"/>
  <c r="T43" i="10"/>
  <c r="Q43" i="10"/>
  <c r="N43" i="10"/>
  <c r="K43" i="10"/>
  <c r="H43" i="10"/>
  <c r="Y42" i="10"/>
  <c r="AB42" i="10" s="1"/>
  <c r="X42" i="10"/>
  <c r="AA42" i="10" s="1"/>
  <c r="W42" i="10"/>
  <c r="T42" i="10"/>
  <c r="Q42" i="10"/>
  <c r="N42" i="10"/>
  <c r="K42" i="10"/>
  <c r="H42" i="10"/>
  <c r="Y41" i="10"/>
  <c r="AB41" i="10" s="1"/>
  <c r="X41" i="10"/>
  <c r="AA41" i="10" s="1"/>
  <c r="W41" i="10"/>
  <c r="T41" i="10"/>
  <c r="Q41" i="10"/>
  <c r="N41" i="10"/>
  <c r="K41" i="10"/>
  <c r="H41" i="10"/>
  <c r="Y40" i="10"/>
  <c r="AB40" i="10" s="1"/>
  <c r="X40" i="10"/>
  <c r="AA40" i="10" s="1"/>
  <c r="W40" i="10"/>
  <c r="T40" i="10"/>
  <c r="Q40" i="10"/>
  <c r="N40" i="10"/>
  <c r="K40" i="10"/>
  <c r="H40" i="10"/>
  <c r="Y39" i="10"/>
  <c r="AB39" i="10" s="1"/>
  <c r="X39" i="10"/>
  <c r="AA39" i="10" s="1"/>
  <c r="W39" i="10"/>
  <c r="T39" i="10"/>
  <c r="Q39" i="10"/>
  <c r="N39" i="10"/>
  <c r="K39" i="10"/>
  <c r="H39" i="10"/>
  <c r="Y38" i="10"/>
  <c r="AB38" i="10" s="1"/>
  <c r="X38" i="10"/>
  <c r="AA38" i="10" s="1"/>
  <c r="W38" i="10"/>
  <c r="T38" i="10"/>
  <c r="Q38" i="10"/>
  <c r="N38" i="10"/>
  <c r="K38" i="10"/>
  <c r="H38" i="10"/>
  <c r="Y37" i="10"/>
  <c r="AB37" i="10" s="1"/>
  <c r="X37" i="10"/>
  <c r="AA37" i="10" s="1"/>
  <c r="W37" i="10"/>
  <c r="T37" i="10"/>
  <c r="Q37" i="10"/>
  <c r="N37" i="10"/>
  <c r="K37" i="10"/>
  <c r="H37" i="10"/>
  <c r="Y36" i="10"/>
  <c r="AB36" i="10" s="1"/>
  <c r="X36" i="10"/>
  <c r="AA36" i="10" s="1"/>
  <c r="W36" i="10"/>
  <c r="T36" i="10"/>
  <c r="Q36" i="10"/>
  <c r="N36" i="10"/>
  <c r="K36" i="10"/>
  <c r="H36" i="10"/>
  <c r="Y35" i="10"/>
  <c r="AB35" i="10" s="1"/>
  <c r="X35" i="10"/>
  <c r="AA35" i="10" s="1"/>
  <c r="W35" i="10"/>
  <c r="T35" i="10"/>
  <c r="Q35" i="10"/>
  <c r="N35" i="10"/>
  <c r="K35" i="10"/>
  <c r="H35" i="10"/>
  <c r="Y34" i="10"/>
  <c r="AB34" i="10" s="1"/>
  <c r="X34" i="10"/>
  <c r="AA34" i="10" s="1"/>
  <c r="W34" i="10"/>
  <c r="T34" i="10"/>
  <c r="Q34" i="10"/>
  <c r="N34" i="10"/>
  <c r="K34" i="10"/>
  <c r="H34" i="10"/>
  <c r="Y33" i="10"/>
  <c r="AB33" i="10" s="1"/>
  <c r="X33" i="10"/>
  <c r="AA33" i="10" s="1"/>
  <c r="W33" i="10"/>
  <c r="T33" i="10"/>
  <c r="Q33" i="10"/>
  <c r="N33" i="10"/>
  <c r="K33" i="10"/>
  <c r="H33" i="10"/>
  <c r="Y32" i="10"/>
  <c r="AB32" i="10" s="1"/>
  <c r="X32" i="10"/>
  <c r="AA32" i="10" s="1"/>
  <c r="W32" i="10"/>
  <c r="T32" i="10"/>
  <c r="Q32" i="10"/>
  <c r="N32" i="10"/>
  <c r="K32" i="10"/>
  <c r="H32" i="10"/>
  <c r="Y31" i="10"/>
  <c r="AB31" i="10" s="1"/>
  <c r="X31" i="10"/>
  <c r="AA31" i="10" s="1"/>
  <c r="W31" i="10"/>
  <c r="T31" i="10"/>
  <c r="Q31" i="10"/>
  <c r="N31" i="10"/>
  <c r="K31" i="10"/>
  <c r="H31" i="10"/>
  <c r="Y30" i="10"/>
  <c r="AB30" i="10" s="1"/>
  <c r="X30" i="10"/>
  <c r="AA30" i="10" s="1"/>
  <c r="W30" i="10"/>
  <c r="T30" i="10"/>
  <c r="Q30" i="10"/>
  <c r="N30" i="10"/>
  <c r="K30" i="10"/>
  <c r="H30" i="10"/>
  <c r="Y29" i="10"/>
  <c r="AB29" i="10" s="1"/>
  <c r="X29" i="10"/>
  <c r="AA29" i="10" s="1"/>
  <c r="W29" i="10"/>
  <c r="T29" i="10"/>
  <c r="Q29" i="10"/>
  <c r="N29" i="10"/>
  <c r="K29" i="10"/>
  <c r="H29" i="10"/>
  <c r="Y28" i="10"/>
  <c r="AB28" i="10" s="1"/>
  <c r="X28" i="10"/>
  <c r="AA28" i="10" s="1"/>
  <c r="W28" i="10"/>
  <c r="T28" i="10"/>
  <c r="Q28" i="10"/>
  <c r="N28" i="10"/>
  <c r="K28" i="10"/>
  <c r="H28" i="10"/>
  <c r="Y27" i="10"/>
  <c r="AB27" i="10" s="1"/>
  <c r="X27" i="10"/>
  <c r="AA27" i="10" s="1"/>
  <c r="W27" i="10"/>
  <c r="T27" i="10"/>
  <c r="Q27" i="10"/>
  <c r="N27" i="10"/>
  <c r="K27" i="10"/>
  <c r="H27" i="10"/>
  <c r="Y26" i="10"/>
  <c r="AB26" i="10" s="1"/>
  <c r="X26" i="10"/>
  <c r="AA26" i="10" s="1"/>
  <c r="W26" i="10"/>
  <c r="T26" i="10"/>
  <c r="Q26" i="10"/>
  <c r="N26" i="10"/>
  <c r="K26" i="10"/>
  <c r="H26" i="10"/>
  <c r="Y25" i="10"/>
  <c r="AB25" i="10" s="1"/>
  <c r="X25" i="10"/>
  <c r="AA25" i="10" s="1"/>
  <c r="W25" i="10"/>
  <c r="T25" i="10"/>
  <c r="Q25" i="10"/>
  <c r="N25" i="10"/>
  <c r="K25" i="10"/>
  <c r="H25" i="10"/>
  <c r="Y24" i="10"/>
  <c r="AB24" i="10" s="1"/>
  <c r="X24" i="10"/>
  <c r="AA24" i="10" s="1"/>
  <c r="W24" i="10"/>
  <c r="T24" i="10"/>
  <c r="Q24" i="10"/>
  <c r="N24" i="10"/>
  <c r="K24" i="10"/>
  <c r="H24" i="10"/>
  <c r="Y23" i="10"/>
  <c r="AB23" i="10" s="1"/>
  <c r="X23" i="10"/>
  <c r="AA23" i="10" s="1"/>
  <c r="W23" i="10"/>
  <c r="T23" i="10"/>
  <c r="Q23" i="10"/>
  <c r="N23" i="10"/>
  <c r="K23" i="10"/>
  <c r="H23" i="10"/>
  <c r="Y22" i="10"/>
  <c r="AB22" i="10" s="1"/>
  <c r="X22" i="10"/>
  <c r="AA22" i="10" s="1"/>
  <c r="W22" i="10"/>
  <c r="T22" i="10"/>
  <c r="Q22" i="10"/>
  <c r="N22" i="10"/>
  <c r="K22" i="10"/>
  <c r="H22" i="10"/>
  <c r="Y21" i="10"/>
  <c r="AB21" i="10" s="1"/>
  <c r="X21" i="10"/>
  <c r="AA21" i="10" s="1"/>
  <c r="W21" i="10"/>
  <c r="T21" i="10"/>
  <c r="Q21" i="10"/>
  <c r="N21" i="10"/>
  <c r="K21" i="10"/>
  <c r="H21" i="10"/>
  <c r="Y20" i="10"/>
  <c r="AB20" i="10" s="1"/>
  <c r="X20" i="10"/>
  <c r="AA20" i="10" s="1"/>
  <c r="W20" i="10"/>
  <c r="T20" i="10"/>
  <c r="Q20" i="10"/>
  <c r="N20" i="10"/>
  <c r="K20" i="10"/>
  <c r="H20" i="10"/>
  <c r="Y19" i="10"/>
  <c r="AB19" i="10" s="1"/>
  <c r="X19" i="10"/>
  <c r="AA19" i="10" s="1"/>
  <c r="W19" i="10"/>
  <c r="T19" i="10"/>
  <c r="Q19" i="10"/>
  <c r="N19" i="10"/>
  <c r="K19" i="10"/>
  <c r="H19" i="10"/>
  <c r="Y18" i="10"/>
  <c r="AB18" i="10" s="1"/>
  <c r="X18" i="10"/>
  <c r="AA18" i="10" s="1"/>
  <c r="W18" i="10"/>
  <c r="T18" i="10"/>
  <c r="Q18" i="10"/>
  <c r="N18" i="10"/>
  <c r="K18" i="10"/>
  <c r="H18" i="10"/>
  <c r="Y17" i="10"/>
  <c r="AB17" i="10" s="1"/>
  <c r="X17" i="10"/>
  <c r="AA17" i="10" s="1"/>
  <c r="W17" i="10"/>
  <c r="T17" i="10"/>
  <c r="Q17" i="10"/>
  <c r="N17" i="10"/>
  <c r="K17" i="10"/>
  <c r="H17" i="10"/>
  <c r="Y16" i="10"/>
  <c r="AB16" i="10" s="1"/>
  <c r="X16" i="10"/>
  <c r="AA16" i="10" s="1"/>
  <c r="W16" i="10"/>
  <c r="T16" i="10"/>
  <c r="Q16" i="10"/>
  <c r="N16" i="10"/>
  <c r="K16" i="10"/>
  <c r="H16" i="10"/>
  <c r="Y15" i="10"/>
  <c r="AB15" i="10" s="1"/>
  <c r="X15" i="10"/>
  <c r="AA15" i="10" s="1"/>
  <c r="W15" i="10"/>
  <c r="T15" i="10"/>
  <c r="Q15" i="10"/>
  <c r="N15" i="10"/>
  <c r="K15" i="10"/>
  <c r="H15" i="10"/>
  <c r="Y14" i="10"/>
  <c r="AB14" i="10" s="1"/>
  <c r="X14" i="10"/>
  <c r="AA14" i="10" s="1"/>
  <c r="W14" i="10"/>
  <c r="T14" i="10"/>
  <c r="Q14" i="10"/>
  <c r="N14" i="10"/>
  <c r="K14" i="10"/>
  <c r="H14" i="10"/>
  <c r="Y13" i="10"/>
  <c r="AB13" i="10" s="1"/>
  <c r="X13" i="10"/>
  <c r="AA13" i="10" s="1"/>
  <c r="W13" i="10"/>
  <c r="T13" i="10"/>
  <c r="Q13" i="10"/>
  <c r="N13" i="10"/>
  <c r="K13" i="10"/>
  <c r="H13" i="10"/>
  <c r="Y12" i="10"/>
  <c r="AB12" i="10" s="1"/>
  <c r="X12" i="10"/>
  <c r="AA12" i="10" s="1"/>
  <c r="W12" i="10"/>
  <c r="T12" i="10"/>
  <c r="Q12" i="10"/>
  <c r="N12" i="10"/>
  <c r="K12" i="10"/>
  <c r="H12" i="10"/>
  <c r="Y11" i="10"/>
  <c r="AB11" i="10" s="1"/>
  <c r="X11" i="10"/>
  <c r="AA11" i="10" s="1"/>
  <c r="W11" i="10"/>
  <c r="T11" i="10"/>
  <c r="Q11" i="10"/>
  <c r="N11" i="10"/>
  <c r="K11" i="10"/>
  <c r="H11" i="10"/>
  <c r="Y10" i="10"/>
  <c r="AB10" i="10" s="1"/>
  <c r="X10" i="10"/>
  <c r="AA10" i="10" s="1"/>
  <c r="W10" i="10"/>
  <c r="T10" i="10"/>
  <c r="Q10" i="10"/>
  <c r="N10" i="10"/>
  <c r="K10" i="10"/>
  <c r="H10" i="10"/>
  <c r="Y9" i="10"/>
  <c r="AB9" i="10" s="1"/>
  <c r="X9" i="10"/>
  <c r="AA9" i="10" s="1"/>
  <c r="W9" i="10"/>
  <c r="T9" i="10"/>
  <c r="Q9" i="10"/>
  <c r="N9" i="10"/>
  <c r="K9" i="10"/>
  <c r="H9" i="10"/>
  <c r="Y8" i="10"/>
  <c r="AB8" i="10" s="1"/>
  <c r="X8" i="10"/>
  <c r="AA8" i="10" s="1"/>
  <c r="W8" i="10"/>
  <c r="T8" i="10"/>
  <c r="Q8" i="10"/>
  <c r="N8" i="10"/>
  <c r="K8" i="10"/>
  <c r="H8" i="10"/>
  <c r="Y7" i="10"/>
  <c r="AB7" i="10" s="1"/>
  <c r="X7" i="10"/>
  <c r="AA7" i="10" s="1"/>
  <c r="W7" i="10"/>
  <c r="T7" i="10"/>
  <c r="Q7" i="10"/>
  <c r="N7" i="10"/>
  <c r="K7" i="10"/>
  <c r="H7" i="10"/>
  <c r="AA103" i="12" l="1"/>
  <c r="AD103" i="12" s="1"/>
  <c r="N64" i="15"/>
  <c r="T159" i="10"/>
  <c r="T162" i="10" s="1"/>
  <c r="T163" i="10" s="1"/>
  <c r="Z141" i="10"/>
  <c r="AC141" i="10" s="1"/>
  <c r="Z41" i="11"/>
  <c r="AC41" i="11" s="1"/>
  <c r="CD104" i="20"/>
  <c r="CD116" i="21"/>
  <c r="AZ105" i="20"/>
  <c r="AZ103" i="20"/>
  <c r="AZ104" i="20" s="1"/>
  <c r="X29" i="18"/>
  <c r="M29" i="18"/>
  <c r="F31" i="18"/>
  <c r="R31" i="18"/>
  <c r="J29" i="18"/>
  <c r="V29" i="18"/>
  <c r="E31" i="18"/>
  <c r="K31" i="18"/>
  <c r="Q31" i="18"/>
  <c r="Z14" i="18"/>
  <c r="AC8" i="18"/>
  <c r="AC14" i="18" s="1"/>
  <c r="J14" i="18"/>
  <c r="V14" i="18"/>
  <c r="L31" i="18"/>
  <c r="Y26" i="18"/>
  <c r="AB26" i="18" s="1"/>
  <c r="AE26" i="18" s="1"/>
  <c r="W29" i="18"/>
  <c r="AA29" i="18"/>
  <c r="G14" i="18"/>
  <c r="G31" i="18" s="1"/>
  <c r="S14" i="18"/>
  <c r="S31" i="18" s="1"/>
  <c r="Y15" i="18"/>
  <c r="AD29" i="18"/>
  <c r="Z29" i="18"/>
  <c r="AA14" i="18"/>
  <c r="AD8" i="18"/>
  <c r="M14" i="18"/>
  <c r="AC29" i="18"/>
  <c r="AD14" i="18"/>
  <c r="P14" i="18"/>
  <c r="P31" i="18" s="1"/>
  <c r="AC70" i="17"/>
  <c r="AC72" i="17" s="1"/>
  <c r="F72" i="17"/>
  <c r="L72" i="17"/>
  <c r="R72" i="17"/>
  <c r="J70" i="17"/>
  <c r="V70" i="17"/>
  <c r="M70" i="17"/>
  <c r="P70" i="17"/>
  <c r="H72" i="17"/>
  <c r="N72" i="17"/>
  <c r="T72" i="17"/>
  <c r="Y59" i="17"/>
  <c r="AB59" i="17" s="1"/>
  <c r="AE59" i="17" s="1"/>
  <c r="P64" i="15"/>
  <c r="X64" i="15"/>
  <c r="Z62" i="15"/>
  <c r="Z64" i="15" s="1"/>
  <c r="AC53" i="15"/>
  <c r="AC62" i="15" s="1"/>
  <c r="AC64" i="15" s="1"/>
  <c r="J18" i="14"/>
  <c r="J52" i="14" s="1"/>
  <c r="V18" i="14"/>
  <c r="V52" i="14" s="1"/>
  <c r="Y9" i="14"/>
  <c r="AB9" i="14" s="1"/>
  <c r="AE9" i="14" s="1"/>
  <c r="AA37" i="14"/>
  <c r="AD37" i="14" s="1"/>
  <c r="AD50" i="14" s="1"/>
  <c r="AD52" i="14" s="1"/>
  <c r="Y16" i="14"/>
  <c r="AB16" i="14" s="1"/>
  <c r="AE16" i="14" s="1"/>
  <c r="H52" i="14"/>
  <c r="N52" i="14"/>
  <c r="T52" i="14"/>
  <c r="L52" i="14"/>
  <c r="Z50" i="14"/>
  <c r="Z52" i="14" s="1"/>
  <c r="Y7" i="14"/>
  <c r="AB7" i="14" s="1"/>
  <c r="AE7" i="14" s="1"/>
  <c r="Y15" i="14"/>
  <c r="AB15" i="14" s="1"/>
  <c r="AE15" i="14" s="1"/>
  <c r="F52" i="14"/>
  <c r="R52" i="14"/>
  <c r="Y14" i="14"/>
  <c r="AB14" i="14" s="1"/>
  <c r="AE14" i="14" s="1"/>
  <c r="E52" i="14"/>
  <c r="Q52" i="14"/>
  <c r="Y37" i="14"/>
  <c r="Y17" i="14"/>
  <c r="AB17" i="14" s="1"/>
  <c r="AE17" i="14" s="1"/>
  <c r="I52" i="14"/>
  <c r="U52" i="14"/>
  <c r="G50" i="14"/>
  <c r="W50" i="14"/>
  <c r="AA50" i="14"/>
  <c r="AA52" i="14" s="1"/>
  <c r="E125" i="13"/>
  <c r="Q125" i="13"/>
  <c r="M123" i="13"/>
  <c r="M125" i="13" s="1"/>
  <c r="L125" i="13"/>
  <c r="F125" i="13"/>
  <c r="R125" i="13"/>
  <c r="J123" i="13"/>
  <c r="J125" i="13" s="1"/>
  <c r="V123" i="13"/>
  <c r="V125" i="13" s="1"/>
  <c r="Y103" i="13"/>
  <c r="AB103" i="13" s="1"/>
  <c r="AE103" i="13" s="1"/>
  <c r="S123" i="13"/>
  <c r="N125" i="13"/>
  <c r="AD123" i="13"/>
  <c r="AD125" i="13" s="1"/>
  <c r="P123" i="13"/>
  <c r="P125" i="13" s="1"/>
  <c r="G123" i="13"/>
  <c r="G125" i="13" s="1"/>
  <c r="K125" i="13"/>
  <c r="O125" i="13"/>
  <c r="S125" i="13"/>
  <c r="Y86" i="13"/>
  <c r="Z123" i="13"/>
  <c r="Z125" i="13" s="1"/>
  <c r="Y120" i="13"/>
  <c r="AB120" i="13" s="1"/>
  <c r="AE120" i="13" s="1"/>
  <c r="AA123" i="13"/>
  <c r="AA125" i="13" s="1"/>
  <c r="W123" i="13"/>
  <c r="W125" i="13" s="1"/>
  <c r="Y104" i="13"/>
  <c r="AB104" i="13" s="1"/>
  <c r="AE104" i="13" s="1"/>
  <c r="Y121" i="13"/>
  <c r="AB121" i="13" s="1"/>
  <c r="AE121" i="13" s="1"/>
  <c r="Y122" i="13"/>
  <c r="AB122" i="13" s="1"/>
  <c r="AE122" i="13" s="1"/>
  <c r="X123" i="13"/>
  <c r="X125" i="13" s="1"/>
  <c r="AC123" i="13"/>
  <c r="AC125" i="13" s="1"/>
  <c r="X14" i="18"/>
  <c r="W14" i="18"/>
  <c r="W31" i="18" s="1"/>
  <c r="J45" i="17"/>
  <c r="V45" i="17"/>
  <c r="Y51" i="17"/>
  <c r="AB51" i="17" s="1"/>
  <c r="AE51" i="17" s="1"/>
  <c r="Y52" i="17"/>
  <c r="AB52" i="17" s="1"/>
  <c r="AE52" i="17" s="1"/>
  <c r="W70" i="17"/>
  <c r="AA70" i="17"/>
  <c r="AA72" i="17" s="1"/>
  <c r="G45" i="17"/>
  <c r="G72" i="17" s="1"/>
  <c r="S45" i="17"/>
  <c r="S72" i="17" s="1"/>
  <c r="Y49" i="17"/>
  <c r="Y50" i="17"/>
  <c r="AB50" i="17" s="1"/>
  <c r="AE50" i="17" s="1"/>
  <c r="Z70" i="17"/>
  <c r="Z72" i="17" s="1"/>
  <c r="P45" i="17"/>
  <c r="AD70" i="17"/>
  <c r="AD72" i="17" s="1"/>
  <c r="M45" i="17"/>
  <c r="M72" i="17" s="1"/>
  <c r="X70" i="17"/>
  <c r="X45" i="17"/>
  <c r="W45" i="17"/>
  <c r="W72" i="17" s="1"/>
  <c r="G62" i="15"/>
  <c r="G64" i="15" s="1"/>
  <c r="S62" i="15"/>
  <c r="S64" i="15" s="1"/>
  <c r="E64" i="15"/>
  <c r="K64" i="15"/>
  <c r="Q64" i="15"/>
  <c r="I64" i="15"/>
  <c r="O64" i="15"/>
  <c r="U64" i="15"/>
  <c r="M62" i="15"/>
  <c r="M64" i="15" s="1"/>
  <c r="K52" i="14"/>
  <c r="P18" i="14"/>
  <c r="P52" i="14" s="1"/>
  <c r="M18" i="14"/>
  <c r="M52" i="14" s="1"/>
  <c r="Y10" i="14"/>
  <c r="AB10" i="14" s="1"/>
  <c r="AE10" i="14" s="1"/>
  <c r="Y13" i="14"/>
  <c r="AB13" i="14" s="1"/>
  <c r="AE13" i="14" s="1"/>
  <c r="S18" i="14"/>
  <c r="S52" i="14" s="1"/>
  <c r="Y12" i="14"/>
  <c r="AB12" i="14" s="1"/>
  <c r="AE12" i="14" s="1"/>
  <c r="Y11" i="14"/>
  <c r="AB11" i="14" s="1"/>
  <c r="AE11" i="14" s="1"/>
  <c r="AD5" i="14"/>
  <c r="Y6" i="14"/>
  <c r="AB6" i="14" s="1"/>
  <c r="AE6" i="14" s="1"/>
  <c r="X18" i="14"/>
  <c r="X52" i="14" s="1"/>
  <c r="Y5" i="14"/>
  <c r="G18" i="14"/>
  <c r="W18" i="14"/>
  <c r="Y8" i="14"/>
  <c r="AB8" i="14" s="1"/>
  <c r="AE8" i="14" s="1"/>
  <c r="Z105" i="11"/>
  <c r="AC105" i="11" s="1"/>
  <c r="Z17" i="11"/>
  <c r="AC17" i="11" s="1"/>
  <c r="Z160" i="11"/>
  <c r="Z9" i="11"/>
  <c r="AC9" i="11" s="1"/>
  <c r="Z57" i="11"/>
  <c r="AC57" i="11" s="1"/>
  <c r="Z121" i="11"/>
  <c r="AC121" i="11" s="1"/>
  <c r="Q158" i="11"/>
  <c r="W158" i="11"/>
  <c r="W161" i="11" s="1"/>
  <c r="W162" i="11" s="1"/>
  <c r="Z73" i="11"/>
  <c r="AC73" i="11" s="1"/>
  <c r="Z137" i="11"/>
  <c r="AC137" i="11" s="1"/>
  <c r="Z25" i="11"/>
  <c r="AC25" i="11" s="1"/>
  <c r="Z89" i="11"/>
  <c r="AC89" i="11" s="1"/>
  <c r="AA96" i="12"/>
  <c r="AD96" i="12" s="1"/>
  <c r="AA92" i="12"/>
  <c r="AD92" i="12" s="1"/>
  <c r="AA100" i="12"/>
  <c r="AD100" i="12" s="1"/>
  <c r="X101" i="12"/>
  <c r="Z101" i="12"/>
  <c r="AC101" i="12" s="1"/>
  <c r="AC106" i="12" s="1"/>
  <c r="AA16" i="12"/>
  <c r="AD16" i="12" s="1"/>
  <c r="AA17" i="12"/>
  <c r="AD17" i="12" s="1"/>
  <c r="AA18" i="12"/>
  <c r="AD18" i="12" s="1"/>
  <c r="AA19" i="12"/>
  <c r="AD19" i="12" s="1"/>
  <c r="AA20" i="12"/>
  <c r="AD20" i="12" s="1"/>
  <c r="AA21" i="12"/>
  <c r="AD21" i="12" s="1"/>
  <c r="AA22" i="12"/>
  <c r="AD22" i="12" s="1"/>
  <c r="AA23" i="12"/>
  <c r="AD23" i="12" s="1"/>
  <c r="AA24" i="12"/>
  <c r="AD24" i="12" s="1"/>
  <c r="AA25" i="12"/>
  <c r="AD25" i="12" s="1"/>
  <c r="AA26" i="12"/>
  <c r="AD26" i="12" s="1"/>
  <c r="AA27" i="12"/>
  <c r="AD27" i="12" s="1"/>
  <c r="AA28" i="12"/>
  <c r="AD28" i="12" s="1"/>
  <c r="AA29" i="12"/>
  <c r="AD29" i="12" s="1"/>
  <c r="AA30" i="12"/>
  <c r="AD30" i="12" s="1"/>
  <c r="AA31" i="12"/>
  <c r="AD31" i="12" s="1"/>
  <c r="AA32" i="12"/>
  <c r="AD32" i="12" s="1"/>
  <c r="AA33" i="12"/>
  <c r="AD33" i="12" s="1"/>
  <c r="AA34" i="12"/>
  <c r="AD34" i="12" s="1"/>
  <c r="AA35" i="12"/>
  <c r="AD35" i="12" s="1"/>
  <c r="AA36" i="12"/>
  <c r="AD36" i="12" s="1"/>
  <c r="AA37" i="12"/>
  <c r="AD37" i="12" s="1"/>
  <c r="AA38" i="12"/>
  <c r="AD38" i="12" s="1"/>
  <c r="AA39" i="12"/>
  <c r="AD39" i="12" s="1"/>
  <c r="AA40" i="12"/>
  <c r="AD40" i="12" s="1"/>
  <c r="AA41" i="12"/>
  <c r="AD41" i="12" s="1"/>
  <c r="AA42" i="12"/>
  <c r="AD42" i="12" s="1"/>
  <c r="AA43" i="12"/>
  <c r="AD43" i="12" s="1"/>
  <c r="AA44" i="12"/>
  <c r="AD44" i="12" s="1"/>
  <c r="AA45" i="12"/>
  <c r="AD45" i="12" s="1"/>
  <c r="AA46" i="12"/>
  <c r="AD46" i="12" s="1"/>
  <c r="AA47" i="12"/>
  <c r="AD47" i="12" s="1"/>
  <c r="AA48" i="12"/>
  <c r="AD48" i="12" s="1"/>
  <c r="AA49" i="12"/>
  <c r="AD49" i="12" s="1"/>
  <c r="AA50" i="12"/>
  <c r="AD50" i="12" s="1"/>
  <c r="AA51" i="12"/>
  <c r="AD51" i="12" s="1"/>
  <c r="AA52" i="12"/>
  <c r="AD52" i="12" s="1"/>
  <c r="AA53" i="12"/>
  <c r="AD53" i="12" s="1"/>
  <c r="AA54" i="12"/>
  <c r="AD54" i="12" s="1"/>
  <c r="AA55" i="12"/>
  <c r="AD55" i="12" s="1"/>
  <c r="AA56" i="12"/>
  <c r="AD56" i="12" s="1"/>
  <c r="AA57" i="12"/>
  <c r="AD57" i="12" s="1"/>
  <c r="AA58" i="12"/>
  <c r="AD58" i="12" s="1"/>
  <c r="AA59" i="12"/>
  <c r="AD59" i="12" s="1"/>
  <c r="AA60" i="12"/>
  <c r="AD60" i="12" s="1"/>
  <c r="AA61" i="12"/>
  <c r="AD61" i="12" s="1"/>
  <c r="AA62" i="12"/>
  <c r="AD62" i="12" s="1"/>
  <c r="AA63" i="12"/>
  <c r="AD63" i="12" s="1"/>
  <c r="AA64" i="12"/>
  <c r="AD64" i="12" s="1"/>
  <c r="AA65" i="12"/>
  <c r="AD65" i="12" s="1"/>
  <c r="AA66" i="12"/>
  <c r="AD66" i="12" s="1"/>
  <c r="AA67" i="12"/>
  <c r="AD67" i="12" s="1"/>
  <c r="AA68" i="12"/>
  <c r="AD68" i="12" s="1"/>
  <c r="AA69" i="12"/>
  <c r="AD69" i="12" s="1"/>
  <c r="AA70" i="12"/>
  <c r="AD70" i="12" s="1"/>
  <c r="AA71" i="12"/>
  <c r="AD71" i="12" s="1"/>
  <c r="AA72" i="12"/>
  <c r="AD72" i="12" s="1"/>
  <c r="AA73" i="12"/>
  <c r="AD73" i="12" s="1"/>
  <c r="AA74" i="12"/>
  <c r="AD74" i="12" s="1"/>
  <c r="AA75" i="12"/>
  <c r="AD75" i="12" s="1"/>
  <c r="AA76" i="12"/>
  <c r="AD76" i="12" s="1"/>
  <c r="AA77" i="12"/>
  <c r="AD77" i="12" s="1"/>
  <c r="Y11" i="18"/>
  <c r="AB11" i="18" s="1"/>
  <c r="AE11" i="18" s="1"/>
  <c r="Y8" i="18"/>
  <c r="Y5" i="18"/>
  <c r="AB5" i="18" s="1"/>
  <c r="AE5" i="18" s="1"/>
  <c r="Y10" i="18"/>
  <c r="AB10" i="18" s="1"/>
  <c r="AE10" i="18" s="1"/>
  <c r="Y13" i="18"/>
  <c r="AB13" i="18" s="1"/>
  <c r="AE13" i="18" s="1"/>
  <c r="Y6" i="18"/>
  <c r="AB6" i="18" s="1"/>
  <c r="AE6" i="18" s="1"/>
  <c r="Y7" i="18"/>
  <c r="AB7" i="18" s="1"/>
  <c r="AE7" i="18" s="1"/>
  <c r="Y9" i="18"/>
  <c r="AB9" i="18" s="1"/>
  <c r="AE9" i="18" s="1"/>
  <c r="Y12" i="18"/>
  <c r="AB12" i="18" s="1"/>
  <c r="AE12" i="18" s="1"/>
  <c r="AA8" i="12"/>
  <c r="AD8" i="12" s="1"/>
  <c r="U101" i="12"/>
  <c r="U106" i="12" s="1"/>
  <c r="AA9" i="12"/>
  <c r="AD9" i="12" s="1"/>
  <c r="AA10" i="12"/>
  <c r="AD10" i="12" s="1"/>
  <c r="AA11" i="12"/>
  <c r="AD11" i="12" s="1"/>
  <c r="AA12" i="12"/>
  <c r="AD12" i="12" s="1"/>
  <c r="AA13" i="12"/>
  <c r="AD13" i="12" s="1"/>
  <c r="AA93" i="12"/>
  <c r="AD93" i="12" s="1"/>
  <c r="AA97" i="12"/>
  <c r="AD97" i="12" s="1"/>
  <c r="E104" i="12"/>
  <c r="E105" i="12" s="1"/>
  <c r="L106" i="12"/>
  <c r="X106" i="12"/>
  <c r="G104" i="12"/>
  <c r="G105" i="12" s="1"/>
  <c r="M104" i="12"/>
  <c r="M105" i="12" s="1"/>
  <c r="S104" i="12"/>
  <c r="S105" i="12" s="1"/>
  <c r="K104" i="12"/>
  <c r="K105" i="12" s="1"/>
  <c r="Q104" i="12"/>
  <c r="Q105" i="12" s="1"/>
  <c r="W104" i="12"/>
  <c r="W105" i="12" s="1"/>
  <c r="O101" i="12"/>
  <c r="O106" i="12" s="1"/>
  <c r="AA91" i="12"/>
  <c r="AD91" i="12" s="1"/>
  <c r="AA94" i="12"/>
  <c r="AD94" i="12" s="1"/>
  <c r="AA95" i="12"/>
  <c r="AD95" i="12" s="1"/>
  <c r="AA99" i="12"/>
  <c r="AD99" i="12" s="1"/>
  <c r="R106" i="12"/>
  <c r="P104" i="12"/>
  <c r="P105" i="12" s="1"/>
  <c r="V104" i="12"/>
  <c r="V105" i="12" s="1"/>
  <c r="AA15" i="12"/>
  <c r="AD15" i="12" s="1"/>
  <c r="AA78" i="12"/>
  <c r="AD78" i="12" s="1"/>
  <c r="AA79" i="12"/>
  <c r="AD79" i="12" s="1"/>
  <c r="AA80" i="12"/>
  <c r="AD80" i="12" s="1"/>
  <c r="AA81" i="12"/>
  <c r="AD81" i="12" s="1"/>
  <c r="AA82" i="12"/>
  <c r="AD82" i="12" s="1"/>
  <c r="AA83" i="12"/>
  <c r="AD83" i="12" s="1"/>
  <c r="AA84" i="12"/>
  <c r="AD84" i="12" s="1"/>
  <c r="AA85" i="12"/>
  <c r="AD85" i="12" s="1"/>
  <c r="AA86" i="12"/>
  <c r="AD86" i="12" s="1"/>
  <c r="AA87" i="12"/>
  <c r="AD87" i="12" s="1"/>
  <c r="AA88" i="12"/>
  <c r="AD88" i="12" s="1"/>
  <c r="AA89" i="12"/>
  <c r="AD89" i="12" s="1"/>
  <c r="AA90" i="12"/>
  <c r="AD90" i="12" s="1"/>
  <c r="AA98" i="12"/>
  <c r="AD98" i="12" s="1"/>
  <c r="H104" i="12"/>
  <c r="H105" i="12" s="1"/>
  <c r="N104" i="12"/>
  <c r="N105" i="12" s="1"/>
  <c r="T104" i="12"/>
  <c r="T105" i="12" s="1"/>
  <c r="H106" i="12"/>
  <c r="Z33" i="11"/>
  <c r="AC33" i="11" s="1"/>
  <c r="Z65" i="11"/>
  <c r="AC65" i="11" s="1"/>
  <c r="Z97" i="11"/>
  <c r="AC97" i="11" s="1"/>
  <c r="Z129" i="11"/>
  <c r="AC129" i="11" s="1"/>
  <c r="Z49" i="11"/>
  <c r="AC49" i="11" s="1"/>
  <c r="Z81" i="11"/>
  <c r="AC81" i="11" s="1"/>
  <c r="Z113" i="11"/>
  <c r="AC113" i="11" s="1"/>
  <c r="Z145" i="11"/>
  <c r="AC145" i="11" s="1"/>
  <c r="H158" i="11"/>
  <c r="H163" i="11" s="1"/>
  <c r="S161" i="11"/>
  <c r="S162" i="11" s="1"/>
  <c r="Z13" i="11"/>
  <c r="AC13" i="11" s="1"/>
  <c r="Z21" i="11"/>
  <c r="AC21" i="11" s="1"/>
  <c r="Z29" i="11"/>
  <c r="AC29" i="11" s="1"/>
  <c r="Z37" i="11"/>
  <c r="AC37" i="11" s="1"/>
  <c r="Z45" i="11"/>
  <c r="AC45" i="11" s="1"/>
  <c r="Z53" i="11"/>
  <c r="AC53" i="11" s="1"/>
  <c r="Z61" i="11"/>
  <c r="AC61" i="11" s="1"/>
  <c r="Z69" i="11"/>
  <c r="AC69" i="11" s="1"/>
  <c r="Z77" i="11"/>
  <c r="AC77" i="11" s="1"/>
  <c r="Z85" i="11"/>
  <c r="AC85" i="11" s="1"/>
  <c r="Z93" i="11"/>
  <c r="AC93" i="11" s="1"/>
  <c r="Z101" i="11"/>
  <c r="AC101" i="11" s="1"/>
  <c r="Z109" i="11"/>
  <c r="AC109" i="11" s="1"/>
  <c r="Z117" i="11"/>
  <c r="AC117" i="11" s="1"/>
  <c r="Z125" i="11"/>
  <c r="AC125" i="11" s="1"/>
  <c r="Z133" i="11"/>
  <c r="AC133" i="11" s="1"/>
  <c r="Z141" i="11"/>
  <c r="AC141" i="11" s="1"/>
  <c r="Z149" i="11"/>
  <c r="AC149" i="11" s="1"/>
  <c r="T158" i="11"/>
  <c r="T163" i="11" s="1"/>
  <c r="M161" i="11"/>
  <c r="M162" i="11" s="1"/>
  <c r="M163" i="11"/>
  <c r="Z157" i="11"/>
  <c r="AC157" i="11" s="1"/>
  <c r="X158" i="11"/>
  <c r="AA158" i="11" s="1"/>
  <c r="Z153" i="11"/>
  <c r="AC153" i="11" s="1"/>
  <c r="G161" i="11"/>
  <c r="G162" i="11" s="1"/>
  <c r="Z133" i="10"/>
  <c r="AC133" i="10" s="1"/>
  <c r="Z53" i="10"/>
  <c r="AC53" i="10" s="1"/>
  <c r="Z101" i="10"/>
  <c r="AC101" i="10" s="1"/>
  <c r="Y38" i="17"/>
  <c r="AB38" i="17" s="1"/>
  <c r="AE38" i="17" s="1"/>
  <c r="Y34" i="17"/>
  <c r="AB34" i="17" s="1"/>
  <c r="AE34" i="17" s="1"/>
  <c r="Y41" i="17"/>
  <c r="AB41" i="17" s="1"/>
  <c r="AE41" i="17" s="1"/>
  <c r="Y32" i="17"/>
  <c r="AB32" i="17" s="1"/>
  <c r="AE32" i="17" s="1"/>
  <c r="Y44" i="17"/>
  <c r="AB44" i="17" s="1"/>
  <c r="AE44" i="17" s="1"/>
  <c r="Y31" i="17"/>
  <c r="Y35" i="17"/>
  <c r="AB35" i="17" s="1"/>
  <c r="AE35" i="17" s="1"/>
  <c r="Y42" i="17"/>
  <c r="AB42" i="17" s="1"/>
  <c r="AE42" i="17" s="1"/>
  <c r="Y30" i="17"/>
  <c r="AB30" i="17" s="1"/>
  <c r="Y33" i="17"/>
  <c r="AB33" i="17" s="1"/>
  <c r="AE33" i="17" s="1"/>
  <c r="Y37" i="17"/>
  <c r="AB37" i="17" s="1"/>
  <c r="AE37" i="17" s="1"/>
  <c r="Y40" i="17"/>
  <c r="AB40" i="17" s="1"/>
  <c r="AE40" i="17" s="1"/>
  <c r="Y36" i="17"/>
  <c r="AB36" i="17" s="1"/>
  <c r="AE36" i="17" s="1"/>
  <c r="Y39" i="17"/>
  <c r="AB39" i="17" s="1"/>
  <c r="AE39" i="17" s="1"/>
  <c r="Y43" i="17"/>
  <c r="AB43" i="17" s="1"/>
  <c r="AE43" i="17" s="1"/>
  <c r="Z7" i="11"/>
  <c r="AC7" i="11" s="1"/>
  <c r="Z8" i="11"/>
  <c r="AC8" i="11" s="1"/>
  <c r="Z12" i="11"/>
  <c r="AC12" i="11" s="1"/>
  <c r="Z16" i="11"/>
  <c r="AC16" i="11" s="1"/>
  <c r="Z20" i="11"/>
  <c r="AC20" i="11" s="1"/>
  <c r="Z24" i="11"/>
  <c r="AC24" i="11" s="1"/>
  <c r="Z28" i="11"/>
  <c r="AC28" i="11" s="1"/>
  <c r="Z32" i="11"/>
  <c r="AC32" i="11" s="1"/>
  <c r="Z36" i="11"/>
  <c r="AC36" i="11" s="1"/>
  <c r="Z40" i="11"/>
  <c r="AC40" i="11" s="1"/>
  <c r="Z44" i="11"/>
  <c r="AC44" i="11" s="1"/>
  <c r="Z48" i="11"/>
  <c r="AC48" i="11" s="1"/>
  <c r="Z52" i="11"/>
  <c r="AC52" i="11" s="1"/>
  <c r="Z56" i="11"/>
  <c r="AC56" i="11" s="1"/>
  <c r="Z60" i="11"/>
  <c r="AC60" i="11" s="1"/>
  <c r="Z64" i="11"/>
  <c r="AC64" i="11" s="1"/>
  <c r="Z68" i="11"/>
  <c r="AC68" i="11" s="1"/>
  <c r="Z72" i="11"/>
  <c r="AC72" i="11" s="1"/>
  <c r="Z76" i="11"/>
  <c r="AC76" i="11" s="1"/>
  <c r="Z80" i="11"/>
  <c r="AC80" i="11" s="1"/>
  <c r="Z84" i="11"/>
  <c r="AC84" i="11" s="1"/>
  <c r="Z88" i="11"/>
  <c r="AC88" i="11" s="1"/>
  <c r="Z92" i="11"/>
  <c r="AC92" i="11" s="1"/>
  <c r="Z96" i="11"/>
  <c r="AC96" i="11" s="1"/>
  <c r="Z100" i="11"/>
  <c r="AC100" i="11" s="1"/>
  <c r="Z104" i="11"/>
  <c r="AC104" i="11" s="1"/>
  <c r="Z108" i="11"/>
  <c r="AC108" i="11" s="1"/>
  <c r="Z112" i="11"/>
  <c r="AC112" i="11" s="1"/>
  <c r="Z116" i="11"/>
  <c r="AC116" i="11" s="1"/>
  <c r="Z120" i="11"/>
  <c r="AC120" i="11" s="1"/>
  <c r="Z124" i="11"/>
  <c r="AC124" i="11" s="1"/>
  <c r="Z128" i="11"/>
  <c r="AC128" i="11" s="1"/>
  <c r="Z132" i="11"/>
  <c r="AC132" i="11" s="1"/>
  <c r="Z136" i="11"/>
  <c r="AC136" i="11" s="1"/>
  <c r="Z140" i="11"/>
  <c r="AC140" i="11" s="1"/>
  <c r="Z144" i="11"/>
  <c r="AC144" i="11" s="1"/>
  <c r="Z148" i="11"/>
  <c r="AC148" i="11" s="1"/>
  <c r="Z152" i="11"/>
  <c r="AC152" i="11" s="1"/>
  <c r="Z156" i="11"/>
  <c r="AC156" i="11" s="1"/>
  <c r="Y158" i="11"/>
  <c r="AB158" i="11" s="1"/>
  <c r="AB163" i="11" s="1"/>
  <c r="E161" i="11"/>
  <c r="E162" i="11" s="1"/>
  <c r="W163" i="11"/>
  <c r="F161" i="11"/>
  <c r="F162" i="11" s="1"/>
  <c r="R161" i="11"/>
  <c r="R162" i="11" s="1"/>
  <c r="F163" i="11"/>
  <c r="R163" i="11"/>
  <c r="N163" i="11"/>
  <c r="Z11" i="11"/>
  <c r="AC11" i="11" s="1"/>
  <c r="Z15" i="11"/>
  <c r="AC15" i="11" s="1"/>
  <c r="Z19" i="11"/>
  <c r="AC19" i="11" s="1"/>
  <c r="Z23" i="11"/>
  <c r="AC23" i="11" s="1"/>
  <c r="Z27" i="11"/>
  <c r="AC27" i="11" s="1"/>
  <c r="Z31" i="11"/>
  <c r="AC31" i="11" s="1"/>
  <c r="Z35" i="11"/>
  <c r="AC35" i="11" s="1"/>
  <c r="Z39" i="11"/>
  <c r="AC39" i="11" s="1"/>
  <c r="Z43" i="11"/>
  <c r="AC43" i="11" s="1"/>
  <c r="Z47" i="11"/>
  <c r="AC47" i="11" s="1"/>
  <c r="Z51" i="11"/>
  <c r="AC51" i="11" s="1"/>
  <c r="Z55" i="11"/>
  <c r="AC55" i="11" s="1"/>
  <c r="Z59" i="11"/>
  <c r="AC59" i="11" s="1"/>
  <c r="Z63" i="11"/>
  <c r="AC63" i="11" s="1"/>
  <c r="Z67" i="11"/>
  <c r="AC67" i="11" s="1"/>
  <c r="Z71" i="11"/>
  <c r="AC71" i="11" s="1"/>
  <c r="Z75" i="11"/>
  <c r="AC75" i="11" s="1"/>
  <c r="Z79" i="11"/>
  <c r="AC79" i="11" s="1"/>
  <c r="Z83" i="11"/>
  <c r="AC83" i="11" s="1"/>
  <c r="Z87" i="11"/>
  <c r="AC87" i="11" s="1"/>
  <c r="Z91" i="11"/>
  <c r="AC91" i="11" s="1"/>
  <c r="Z95" i="11"/>
  <c r="AC95" i="11" s="1"/>
  <c r="Z99" i="11"/>
  <c r="AC99" i="11" s="1"/>
  <c r="Z103" i="11"/>
  <c r="AC103" i="11" s="1"/>
  <c r="Z107" i="11"/>
  <c r="AC107" i="11" s="1"/>
  <c r="Z111" i="11"/>
  <c r="AC111" i="11" s="1"/>
  <c r="Z115" i="11"/>
  <c r="AC115" i="11" s="1"/>
  <c r="Z119" i="11"/>
  <c r="AC119" i="11" s="1"/>
  <c r="Z123" i="11"/>
  <c r="AC123" i="11" s="1"/>
  <c r="Z127" i="11"/>
  <c r="AC127" i="11" s="1"/>
  <c r="Z131" i="11"/>
  <c r="AC131" i="11" s="1"/>
  <c r="Z135" i="11"/>
  <c r="AC135" i="11" s="1"/>
  <c r="Z139" i="11"/>
  <c r="AC139" i="11" s="1"/>
  <c r="Z143" i="11"/>
  <c r="AC143" i="11" s="1"/>
  <c r="Z147" i="11"/>
  <c r="AC147" i="11" s="1"/>
  <c r="Z151" i="11"/>
  <c r="AC151" i="11" s="1"/>
  <c r="Z155" i="11"/>
  <c r="AC155" i="11" s="1"/>
  <c r="J161" i="11"/>
  <c r="J162" i="11" s="1"/>
  <c r="P161" i="11"/>
  <c r="P162" i="11" s="1"/>
  <c r="V161" i="11"/>
  <c r="V162" i="11" s="1"/>
  <c r="Z10" i="11"/>
  <c r="AC10" i="11" s="1"/>
  <c r="Z14" i="11"/>
  <c r="AC14" i="11" s="1"/>
  <c r="Z18" i="11"/>
  <c r="AC18" i="11" s="1"/>
  <c r="Z22" i="11"/>
  <c r="AC22" i="11" s="1"/>
  <c r="Z26" i="11"/>
  <c r="AC26" i="11" s="1"/>
  <c r="Z30" i="11"/>
  <c r="AC30" i="11" s="1"/>
  <c r="Z34" i="11"/>
  <c r="AC34" i="11" s="1"/>
  <c r="Z38" i="11"/>
  <c r="AC38" i="11" s="1"/>
  <c r="Z42" i="11"/>
  <c r="AC42" i="11" s="1"/>
  <c r="Z46" i="11"/>
  <c r="AC46" i="11" s="1"/>
  <c r="Z50" i="11"/>
  <c r="AC50" i="11" s="1"/>
  <c r="Z54" i="11"/>
  <c r="AC54" i="11" s="1"/>
  <c r="Z58" i="11"/>
  <c r="AC58" i="11" s="1"/>
  <c r="Z62" i="11"/>
  <c r="AC62" i="11" s="1"/>
  <c r="Z66" i="11"/>
  <c r="AC66" i="11" s="1"/>
  <c r="Z70" i="11"/>
  <c r="AC70" i="11" s="1"/>
  <c r="Z74" i="11"/>
  <c r="AC74" i="11" s="1"/>
  <c r="Z78" i="11"/>
  <c r="AC78" i="11" s="1"/>
  <c r="Z82" i="11"/>
  <c r="AC82" i="11" s="1"/>
  <c r="Z86" i="11"/>
  <c r="AC86" i="11" s="1"/>
  <c r="Z90" i="11"/>
  <c r="AC90" i="11" s="1"/>
  <c r="Z94" i="11"/>
  <c r="AC94" i="11" s="1"/>
  <c r="Z98" i="11"/>
  <c r="AC98" i="11" s="1"/>
  <c r="Z102" i="11"/>
  <c r="AC102" i="11" s="1"/>
  <c r="Z106" i="11"/>
  <c r="AC106" i="11" s="1"/>
  <c r="Z110" i="11"/>
  <c r="AC110" i="11" s="1"/>
  <c r="Z114" i="11"/>
  <c r="AC114" i="11" s="1"/>
  <c r="Z118" i="11"/>
  <c r="AC118" i="11" s="1"/>
  <c r="Z122" i="11"/>
  <c r="AC122" i="11" s="1"/>
  <c r="Z126" i="11"/>
  <c r="AC126" i="11" s="1"/>
  <c r="Z130" i="11"/>
  <c r="AC130" i="11" s="1"/>
  <c r="Z134" i="11"/>
  <c r="AC134" i="11" s="1"/>
  <c r="Z138" i="11"/>
  <c r="AC138" i="11" s="1"/>
  <c r="Z142" i="11"/>
  <c r="AC142" i="11" s="1"/>
  <c r="Z146" i="11"/>
  <c r="AC146" i="11" s="1"/>
  <c r="Z150" i="11"/>
  <c r="AC150" i="11" s="1"/>
  <c r="Z154" i="11"/>
  <c r="AC154" i="11" s="1"/>
  <c r="Q163" i="11"/>
  <c r="I161" i="11"/>
  <c r="I162" i="11" s="1"/>
  <c r="O161" i="11"/>
  <c r="O162" i="11" s="1"/>
  <c r="U161" i="11"/>
  <c r="U162" i="11" s="1"/>
  <c r="I163" i="11"/>
  <c r="O163" i="11"/>
  <c r="U163" i="11"/>
  <c r="Z37" i="10"/>
  <c r="AC37" i="10" s="1"/>
  <c r="Z21" i="10"/>
  <c r="AC21" i="10" s="1"/>
  <c r="Z69" i="10"/>
  <c r="AC69" i="10" s="1"/>
  <c r="Z149" i="10"/>
  <c r="AC149" i="10" s="1"/>
  <c r="Y53" i="15"/>
  <c r="AA53" i="15"/>
  <c r="W62" i="15"/>
  <c r="W64" i="15" s="1"/>
  <c r="Y54" i="15"/>
  <c r="AB54" i="15" s="1"/>
  <c r="AE54" i="15" s="1"/>
  <c r="Z85" i="10"/>
  <c r="AC85" i="10" s="1"/>
  <c r="Z117" i="10"/>
  <c r="AC117" i="10" s="1"/>
  <c r="Z45" i="10"/>
  <c r="AC45" i="10" s="1"/>
  <c r="Z77" i="10"/>
  <c r="AC77" i="10" s="1"/>
  <c r="Z29" i="10"/>
  <c r="AC29" i="10" s="1"/>
  <c r="Z61" i="10"/>
  <c r="AC61" i="10" s="1"/>
  <c r="Z7" i="10"/>
  <c r="AC7" i="10" s="1"/>
  <c r="Z8" i="10"/>
  <c r="AC8" i="10" s="1"/>
  <c r="Z9" i="10"/>
  <c r="AC9" i="10" s="1"/>
  <c r="Z10" i="10"/>
  <c r="AC10" i="10" s="1"/>
  <c r="Z11" i="10"/>
  <c r="AC11" i="10" s="1"/>
  <c r="Z12" i="10"/>
  <c r="AC12" i="10" s="1"/>
  <c r="Z13" i="10"/>
  <c r="AC13" i="10" s="1"/>
  <c r="Z14" i="10"/>
  <c r="AC14" i="10" s="1"/>
  <c r="Z15" i="10"/>
  <c r="AC15" i="10" s="1"/>
  <c r="Z16" i="10"/>
  <c r="AC16" i="10" s="1"/>
  <c r="Z17" i="10"/>
  <c r="AC17" i="10" s="1"/>
  <c r="Z33" i="10"/>
  <c r="AC33" i="10" s="1"/>
  <c r="Z49" i="10"/>
  <c r="AC49" i="10" s="1"/>
  <c r="Z65" i="10"/>
  <c r="AC65" i="10" s="1"/>
  <c r="Z97" i="10"/>
  <c r="AC97" i="10" s="1"/>
  <c r="Z113" i="10"/>
  <c r="AC113" i="10" s="1"/>
  <c r="Z129" i="10"/>
  <c r="AC129" i="10" s="1"/>
  <c r="P162" i="10"/>
  <c r="P163" i="10" s="1"/>
  <c r="V164" i="10"/>
  <c r="Z93" i="10"/>
  <c r="AC93" i="10" s="1"/>
  <c r="Z109" i="10"/>
  <c r="AC109" i="10" s="1"/>
  <c r="Z125" i="10"/>
  <c r="AC125" i="10" s="1"/>
  <c r="Z137" i="10"/>
  <c r="AC137" i="10" s="1"/>
  <c r="Z145" i="10"/>
  <c r="AC145" i="10" s="1"/>
  <c r="Z153" i="10"/>
  <c r="AC153" i="10" s="1"/>
  <c r="J162" i="10"/>
  <c r="J163" i="10" s="1"/>
  <c r="Z25" i="10"/>
  <c r="AC25" i="10" s="1"/>
  <c r="Z41" i="10"/>
  <c r="AC41" i="10" s="1"/>
  <c r="Z57" i="10"/>
  <c r="AC57" i="10" s="1"/>
  <c r="Z73" i="10"/>
  <c r="AC73" i="10" s="1"/>
  <c r="Z89" i="10"/>
  <c r="AC89" i="10" s="1"/>
  <c r="Z105" i="10"/>
  <c r="AC105" i="10" s="1"/>
  <c r="Z121" i="10"/>
  <c r="AC121" i="10" s="1"/>
  <c r="E164" i="10"/>
  <c r="Q159" i="10"/>
  <c r="Q164" i="10" s="1"/>
  <c r="Z20" i="10"/>
  <c r="AC20" i="10" s="1"/>
  <c r="Z24" i="10"/>
  <c r="AC24" i="10" s="1"/>
  <c r="Z28" i="10"/>
  <c r="AC28" i="10" s="1"/>
  <c r="Z32" i="10"/>
  <c r="AC32" i="10" s="1"/>
  <c r="Z36" i="10"/>
  <c r="AC36" i="10" s="1"/>
  <c r="Z40" i="10"/>
  <c r="AC40" i="10" s="1"/>
  <c r="Z44" i="10"/>
  <c r="AC44" i="10" s="1"/>
  <c r="Z48" i="10"/>
  <c r="AC48" i="10" s="1"/>
  <c r="Z52" i="10"/>
  <c r="AC52" i="10" s="1"/>
  <c r="Z56" i="10"/>
  <c r="AC56" i="10" s="1"/>
  <c r="Z60" i="10"/>
  <c r="AC60" i="10" s="1"/>
  <c r="Z64" i="10"/>
  <c r="AC64" i="10" s="1"/>
  <c r="Z68" i="10"/>
  <c r="AC68" i="10" s="1"/>
  <c r="Z72" i="10"/>
  <c r="AC72" i="10" s="1"/>
  <c r="Z76" i="10"/>
  <c r="AC76" i="10" s="1"/>
  <c r="Z80" i="10"/>
  <c r="AC80" i="10" s="1"/>
  <c r="Z84" i="10"/>
  <c r="AC84" i="10" s="1"/>
  <c r="Z88" i="10"/>
  <c r="AC88" i="10" s="1"/>
  <c r="Z92" i="10"/>
  <c r="AC92" i="10" s="1"/>
  <c r="Z96" i="10"/>
  <c r="AC96" i="10" s="1"/>
  <c r="Z100" i="10"/>
  <c r="AC100" i="10" s="1"/>
  <c r="Z104" i="10"/>
  <c r="AC104" i="10" s="1"/>
  <c r="Z108" i="10"/>
  <c r="AC108" i="10" s="1"/>
  <c r="Z112" i="10"/>
  <c r="AC112" i="10" s="1"/>
  <c r="Z116" i="10"/>
  <c r="AC116" i="10" s="1"/>
  <c r="Z120" i="10"/>
  <c r="AC120" i="10" s="1"/>
  <c r="Z124" i="10"/>
  <c r="AC124" i="10" s="1"/>
  <c r="Z128" i="10"/>
  <c r="AC128" i="10" s="1"/>
  <c r="Z132" i="10"/>
  <c r="AC132" i="10" s="1"/>
  <c r="Z136" i="10"/>
  <c r="AC136" i="10" s="1"/>
  <c r="Z140" i="10"/>
  <c r="AC140" i="10" s="1"/>
  <c r="Z144" i="10"/>
  <c r="AC144" i="10" s="1"/>
  <c r="Z148" i="10"/>
  <c r="AC148" i="10" s="1"/>
  <c r="Z152" i="10"/>
  <c r="AC152" i="10" s="1"/>
  <c r="Z156" i="10"/>
  <c r="AC156" i="10" s="1"/>
  <c r="Z158" i="10"/>
  <c r="AC158" i="10" s="1"/>
  <c r="Y159" i="10"/>
  <c r="AB159" i="10" s="1"/>
  <c r="I162" i="10"/>
  <c r="I163" i="10" s="1"/>
  <c r="O162" i="10"/>
  <c r="O163" i="10" s="1"/>
  <c r="U162" i="10"/>
  <c r="U163" i="10" s="1"/>
  <c r="Z19" i="10"/>
  <c r="AC19" i="10" s="1"/>
  <c r="Z23" i="10"/>
  <c r="AC23" i="10" s="1"/>
  <c r="Z27" i="10"/>
  <c r="AC27" i="10" s="1"/>
  <c r="Z31" i="10"/>
  <c r="AC31" i="10" s="1"/>
  <c r="Z35" i="10"/>
  <c r="AC35" i="10" s="1"/>
  <c r="Z39" i="10"/>
  <c r="AC39" i="10" s="1"/>
  <c r="Z43" i="10"/>
  <c r="AC43" i="10" s="1"/>
  <c r="Z47" i="10"/>
  <c r="AC47" i="10" s="1"/>
  <c r="Z51" i="10"/>
  <c r="AC51" i="10" s="1"/>
  <c r="Z55" i="10"/>
  <c r="AC55" i="10" s="1"/>
  <c r="Z59" i="10"/>
  <c r="AC59" i="10" s="1"/>
  <c r="Z63" i="10"/>
  <c r="AC63" i="10" s="1"/>
  <c r="Z67" i="10"/>
  <c r="AC67" i="10" s="1"/>
  <c r="Z71" i="10"/>
  <c r="AC71" i="10" s="1"/>
  <c r="Z75" i="10"/>
  <c r="AC75" i="10" s="1"/>
  <c r="Z79" i="10"/>
  <c r="AC79" i="10" s="1"/>
  <c r="Z83" i="10"/>
  <c r="AC83" i="10" s="1"/>
  <c r="Z87" i="10"/>
  <c r="AC87" i="10" s="1"/>
  <c r="Z91" i="10"/>
  <c r="AC91" i="10" s="1"/>
  <c r="Z95" i="10"/>
  <c r="AC95" i="10" s="1"/>
  <c r="Z99" i="10"/>
  <c r="AC99" i="10" s="1"/>
  <c r="Z103" i="10"/>
  <c r="AC103" i="10" s="1"/>
  <c r="Z107" i="10"/>
  <c r="AC107" i="10" s="1"/>
  <c r="Z111" i="10"/>
  <c r="AC111" i="10" s="1"/>
  <c r="Z115" i="10"/>
  <c r="AC115" i="10" s="1"/>
  <c r="Z119" i="10"/>
  <c r="AC119" i="10" s="1"/>
  <c r="Z123" i="10"/>
  <c r="AC123" i="10" s="1"/>
  <c r="Z127" i="10"/>
  <c r="AC127" i="10" s="1"/>
  <c r="Z131" i="10"/>
  <c r="AC131" i="10" s="1"/>
  <c r="Z135" i="10"/>
  <c r="AC135" i="10" s="1"/>
  <c r="Z139" i="10"/>
  <c r="AC139" i="10" s="1"/>
  <c r="Z143" i="10"/>
  <c r="AC143" i="10" s="1"/>
  <c r="Z147" i="10"/>
  <c r="AC147" i="10" s="1"/>
  <c r="Z151" i="10"/>
  <c r="AC151" i="10" s="1"/>
  <c r="Z155" i="10"/>
  <c r="AC155" i="10" s="1"/>
  <c r="Z157" i="10"/>
  <c r="AC157" i="10" s="1"/>
  <c r="X159" i="10"/>
  <c r="AA159" i="10" s="1"/>
  <c r="G162" i="10"/>
  <c r="G163" i="10" s="1"/>
  <c r="M162" i="10"/>
  <c r="M163" i="10" s="1"/>
  <c r="S162" i="10"/>
  <c r="S163" i="10" s="1"/>
  <c r="G164" i="10"/>
  <c r="Z81" i="10"/>
  <c r="AC81" i="10" s="1"/>
  <c r="N159" i="10"/>
  <c r="N164" i="10" s="1"/>
  <c r="K159" i="10"/>
  <c r="K164" i="10" s="1"/>
  <c r="W159" i="10"/>
  <c r="W164" i="10" s="1"/>
  <c r="Z18" i="10"/>
  <c r="AC18" i="10" s="1"/>
  <c r="Z22" i="10"/>
  <c r="AC22" i="10" s="1"/>
  <c r="Z26" i="10"/>
  <c r="AC26" i="10" s="1"/>
  <c r="Z30" i="10"/>
  <c r="AC30" i="10" s="1"/>
  <c r="Z34" i="10"/>
  <c r="AC34" i="10" s="1"/>
  <c r="Z38" i="10"/>
  <c r="AC38" i="10" s="1"/>
  <c r="Z42" i="10"/>
  <c r="AC42" i="10" s="1"/>
  <c r="Z46" i="10"/>
  <c r="AC46" i="10" s="1"/>
  <c r="Z50" i="10"/>
  <c r="AC50" i="10" s="1"/>
  <c r="Z54" i="10"/>
  <c r="AC54" i="10" s="1"/>
  <c r="Z58" i="10"/>
  <c r="AC58" i="10" s="1"/>
  <c r="Z62" i="10"/>
  <c r="AC62" i="10" s="1"/>
  <c r="Z66" i="10"/>
  <c r="AC66" i="10" s="1"/>
  <c r="Z70" i="10"/>
  <c r="AC70" i="10" s="1"/>
  <c r="Z74" i="10"/>
  <c r="AC74" i="10" s="1"/>
  <c r="Z78" i="10"/>
  <c r="AC78" i="10" s="1"/>
  <c r="Z82" i="10"/>
  <c r="AC82" i="10" s="1"/>
  <c r="Z86" i="10"/>
  <c r="AC86" i="10" s="1"/>
  <c r="Z90" i="10"/>
  <c r="AC90" i="10" s="1"/>
  <c r="Z94" i="10"/>
  <c r="AC94" i="10" s="1"/>
  <c r="Z98" i="10"/>
  <c r="AC98" i="10" s="1"/>
  <c r="Z102" i="10"/>
  <c r="AC102" i="10" s="1"/>
  <c r="Z106" i="10"/>
  <c r="AC106" i="10" s="1"/>
  <c r="Z110" i="10"/>
  <c r="AC110" i="10" s="1"/>
  <c r="Z114" i="10"/>
  <c r="AC114" i="10" s="1"/>
  <c r="Z118" i="10"/>
  <c r="AC118" i="10" s="1"/>
  <c r="Z122" i="10"/>
  <c r="AC122" i="10" s="1"/>
  <c r="Z126" i="10"/>
  <c r="AC126" i="10" s="1"/>
  <c r="Z130" i="10"/>
  <c r="AC130" i="10" s="1"/>
  <c r="Z134" i="10"/>
  <c r="AC134" i="10" s="1"/>
  <c r="Z138" i="10"/>
  <c r="AC138" i="10" s="1"/>
  <c r="Z142" i="10"/>
  <c r="AC142" i="10" s="1"/>
  <c r="Z146" i="10"/>
  <c r="AC146" i="10" s="1"/>
  <c r="Z150" i="10"/>
  <c r="AC150" i="10" s="1"/>
  <c r="Z154" i="10"/>
  <c r="AC154" i="10" s="1"/>
  <c r="T164" i="10"/>
  <c r="F162" i="10"/>
  <c r="F163" i="10" s="1"/>
  <c r="L162" i="10"/>
  <c r="L163" i="10" s="1"/>
  <c r="R162" i="10"/>
  <c r="R163" i="10" s="1"/>
  <c r="F164" i="10"/>
  <c r="R104" i="12"/>
  <c r="R105" i="12" s="1"/>
  <c r="U104" i="12"/>
  <c r="U105" i="12" s="1"/>
  <c r="L104" i="12"/>
  <c r="L105" i="12" s="1"/>
  <c r="X104" i="12"/>
  <c r="X105" i="12" s="1"/>
  <c r="O104" i="12"/>
  <c r="O105" i="12" s="1"/>
  <c r="AC160" i="11"/>
  <c r="Q161" i="11"/>
  <c r="Q162" i="11" s="1"/>
  <c r="AA160" i="11"/>
  <c r="N161" i="11"/>
  <c r="N162" i="11" s="1"/>
  <c r="AB161" i="10"/>
  <c r="Z161" i="10"/>
  <c r="AA161" i="10"/>
  <c r="J101" i="12"/>
  <c r="I101" i="12"/>
  <c r="AA101" i="12" s="1"/>
  <c r="AD101" i="12" s="1"/>
  <c r="K158" i="11"/>
  <c r="H159" i="10"/>
  <c r="M31" i="18" l="1"/>
  <c r="V31" i="18"/>
  <c r="AA163" i="11"/>
  <c r="H161" i="11"/>
  <c r="H162" i="11" s="1"/>
  <c r="AB164" i="10"/>
  <c r="X31" i="18"/>
  <c r="AD31" i="18"/>
  <c r="AA31" i="18"/>
  <c r="AC31" i="18"/>
  <c r="J31" i="18"/>
  <c r="AB15" i="18"/>
  <c r="Y29" i="18"/>
  <c r="Z31" i="18"/>
  <c r="V72" i="17"/>
  <c r="X72" i="17"/>
  <c r="J72" i="17"/>
  <c r="P72" i="17"/>
  <c r="AA62" i="15"/>
  <c r="AA64" i="15" s="1"/>
  <c r="AD53" i="15"/>
  <c r="AD62" i="15" s="1"/>
  <c r="AD64" i="15" s="1"/>
  <c r="W52" i="14"/>
  <c r="AB37" i="14"/>
  <c r="Y50" i="14"/>
  <c r="G52" i="14"/>
  <c r="AB86" i="13"/>
  <c r="AE86" i="13" s="1"/>
  <c r="Y123" i="13"/>
  <c r="Y125" i="13" s="1"/>
  <c r="AB8" i="18"/>
  <c r="Y14" i="18"/>
  <c r="AB49" i="17"/>
  <c r="Y70" i="17"/>
  <c r="AE30" i="17"/>
  <c r="AB31" i="17"/>
  <c r="AE31" i="17" s="1"/>
  <c r="Y45" i="17"/>
  <c r="AB5" i="14"/>
  <c r="Y18" i="14"/>
  <c r="Z106" i="12"/>
  <c r="Z104" i="12"/>
  <c r="Z105" i="12" s="1"/>
  <c r="Y101" i="12"/>
  <c r="J106" i="12"/>
  <c r="J104" i="12"/>
  <c r="J105" i="12" s="1"/>
  <c r="AD106" i="12"/>
  <c r="AA106" i="12"/>
  <c r="I104" i="12"/>
  <c r="I105" i="12" s="1"/>
  <c r="AA104" i="12"/>
  <c r="AD104" i="12" s="1"/>
  <c r="AD105" i="12" s="1"/>
  <c r="I106" i="12"/>
  <c r="Z158" i="11"/>
  <c r="AC158" i="11" s="1"/>
  <c r="AC163" i="11" s="1"/>
  <c r="T161" i="11"/>
  <c r="T162" i="11" s="1"/>
  <c r="Y163" i="11"/>
  <c r="X161" i="11"/>
  <c r="AA161" i="11" s="1"/>
  <c r="AA162" i="11" s="1"/>
  <c r="X163" i="11"/>
  <c r="Y161" i="11"/>
  <c r="AB161" i="11" s="1"/>
  <c r="AB162" i="11" s="1"/>
  <c r="X162" i="10"/>
  <c r="X163" i="10" s="1"/>
  <c r="K163" i="11"/>
  <c r="K161" i="11"/>
  <c r="K162" i="11" s="1"/>
  <c r="AB53" i="15"/>
  <c r="Y62" i="15"/>
  <c r="Y64" i="15" s="1"/>
  <c r="W162" i="10"/>
  <c r="W163" i="10" s="1"/>
  <c r="Q162" i="10"/>
  <c r="Q163" i="10" s="1"/>
  <c r="K162" i="10"/>
  <c r="K163" i="10" s="1"/>
  <c r="Y162" i="10"/>
  <c r="AB162" i="10" s="1"/>
  <c r="AB163" i="10" s="1"/>
  <c r="Y164" i="10"/>
  <c r="Z159" i="10"/>
  <c r="AC159" i="10" s="1"/>
  <c r="N162" i="10"/>
  <c r="N163" i="10" s="1"/>
  <c r="X164" i="10"/>
  <c r="AA164" i="10"/>
  <c r="H162" i="10"/>
  <c r="H163" i="10" s="1"/>
  <c r="H164" i="10"/>
  <c r="AC104" i="12"/>
  <c r="AC105" i="12" s="1"/>
  <c r="AC161" i="10"/>
  <c r="Y163" i="10"/>
  <c r="Y31" i="18" l="1"/>
  <c r="AE15" i="18"/>
  <c r="AE29" i="18" s="1"/>
  <c r="AB29" i="18"/>
  <c r="AB14" i="18"/>
  <c r="AE8" i="18"/>
  <c r="AE14" i="18" s="1"/>
  <c r="Y72" i="17"/>
  <c r="AB62" i="15"/>
  <c r="AB64" i="15" s="1"/>
  <c r="AE53" i="15"/>
  <c r="AE62" i="15" s="1"/>
  <c r="AE64" i="15" s="1"/>
  <c r="Y52" i="14"/>
  <c r="AE37" i="14"/>
  <c r="AE50" i="14" s="1"/>
  <c r="AE52" i="14" s="1"/>
  <c r="AB50" i="14"/>
  <c r="AB52" i="14" s="1"/>
  <c r="AB123" i="13"/>
  <c r="AB125" i="13" s="1"/>
  <c r="AE123" i="13"/>
  <c r="AE125" i="13" s="1"/>
  <c r="AE49" i="17"/>
  <c r="AE70" i="17" s="1"/>
  <c r="AE72" i="17" s="1"/>
  <c r="AB70" i="17"/>
  <c r="AB72" i="17" s="1"/>
  <c r="AE5" i="14"/>
  <c r="Y162" i="11"/>
  <c r="X162" i="11"/>
  <c r="AA105" i="12"/>
  <c r="AB101" i="12"/>
  <c r="AB106" i="12" s="1"/>
  <c r="Y106" i="12"/>
  <c r="Y104" i="12"/>
  <c r="Z161" i="11"/>
  <c r="Z163" i="11"/>
  <c r="AA162" i="10"/>
  <c r="AA163" i="10" s="1"/>
  <c r="AC164" i="10"/>
  <c r="Z164" i="10"/>
  <c r="Z162" i="10"/>
  <c r="AH8" i="9"/>
  <c r="U171" i="9"/>
  <c r="R171" i="9"/>
  <c r="O171" i="9"/>
  <c r="L171" i="9"/>
  <c r="I171" i="9"/>
  <c r="Z176" i="8"/>
  <c r="Y176" i="8"/>
  <c r="X176" i="8"/>
  <c r="U176" i="8"/>
  <c r="R176" i="8"/>
  <c r="O176" i="8"/>
  <c r="L176" i="8"/>
  <c r="I176" i="8"/>
  <c r="G171" i="8"/>
  <c r="V155" i="8"/>
  <c r="V167" i="9"/>
  <c r="AB31" i="18" l="1"/>
  <c r="AE31" i="18"/>
  <c r="AB104" i="12"/>
  <c r="AB105" i="12" s="1"/>
  <c r="Y105" i="12"/>
  <c r="AC161" i="11"/>
  <c r="AC162" i="11" s="1"/>
  <c r="Z162" i="11"/>
  <c r="AC162" i="10"/>
  <c r="AC163" i="10" s="1"/>
  <c r="Z163" i="10"/>
  <c r="AC176" i="8"/>
  <c r="AA176" i="8"/>
  <c r="AB176" i="8"/>
  <c r="AD176" i="8" l="1"/>
  <c r="Z134" i="7" l="1"/>
  <c r="Y134" i="7"/>
  <c r="X134" i="7"/>
  <c r="R134" i="7"/>
  <c r="O134" i="7"/>
  <c r="L134" i="7"/>
  <c r="I134" i="7"/>
  <c r="Z96" i="6"/>
  <c r="AC96" i="6" s="1"/>
  <c r="Y96" i="6"/>
  <c r="X96" i="6"/>
  <c r="U96" i="6"/>
  <c r="R96" i="6"/>
  <c r="O96" i="6"/>
  <c r="L96" i="6"/>
  <c r="I96" i="6"/>
  <c r="V129" i="7"/>
  <c r="S91" i="6"/>
  <c r="P124" i="7"/>
  <c r="Q8" i="6"/>
  <c r="M125" i="7"/>
  <c r="N8" i="6"/>
  <c r="K64" i="6"/>
  <c r="AC134" i="7" l="1"/>
  <c r="AB134" i="7"/>
  <c r="AA134" i="7"/>
  <c r="AA96" i="6"/>
  <c r="AB96" i="6"/>
  <c r="AD134" i="7" l="1"/>
  <c r="AD96" i="6"/>
  <c r="AJ168" i="9" l="1"/>
  <c r="AM168" i="9" s="1"/>
  <c r="AI168" i="9"/>
  <c r="AL168" i="9" s="1"/>
  <c r="AH168" i="9"/>
  <c r="AK168" i="9" s="1"/>
  <c r="AJ167" i="9"/>
  <c r="AM167" i="9" s="1"/>
  <c r="AI167" i="9"/>
  <c r="AL167" i="9" s="1"/>
  <c r="AH167" i="9"/>
  <c r="AK167" i="9" s="1"/>
  <c r="AI166" i="9"/>
  <c r="AL166" i="9" s="1"/>
  <c r="AH166" i="9"/>
  <c r="AK166" i="9" s="1"/>
  <c r="AI165" i="9"/>
  <c r="AL165" i="9" s="1"/>
  <c r="AH165" i="9"/>
  <c r="AK165" i="9" s="1"/>
  <c r="AI164" i="9"/>
  <c r="AL164" i="9" s="1"/>
  <c r="AH164" i="9"/>
  <c r="AK164" i="9" s="1"/>
  <c r="AI163" i="9"/>
  <c r="AL163" i="9" s="1"/>
  <c r="AH163" i="9"/>
  <c r="AK163" i="9" s="1"/>
  <c r="AI162" i="9"/>
  <c r="AL162" i="9" s="1"/>
  <c r="AH162" i="9"/>
  <c r="AK162" i="9" s="1"/>
  <c r="AI161" i="9"/>
  <c r="AL161" i="9" s="1"/>
  <c r="AH161" i="9"/>
  <c r="AK161" i="9" s="1"/>
  <c r="AI160" i="9"/>
  <c r="AL160" i="9" s="1"/>
  <c r="AH160" i="9"/>
  <c r="AK160" i="9" s="1"/>
  <c r="AI159" i="9"/>
  <c r="AL159" i="9" s="1"/>
  <c r="AH159" i="9"/>
  <c r="AK159" i="9" s="1"/>
  <c r="AI158" i="9"/>
  <c r="AL158" i="9" s="1"/>
  <c r="AH158" i="9"/>
  <c r="AK158" i="9" s="1"/>
  <c r="AI157" i="9"/>
  <c r="AL157" i="9" s="1"/>
  <c r="AH157" i="9"/>
  <c r="AK157" i="9" s="1"/>
  <c r="AI156" i="9"/>
  <c r="AL156" i="9" s="1"/>
  <c r="AH156" i="9"/>
  <c r="AK156" i="9" s="1"/>
  <c r="AI155" i="9"/>
  <c r="AL155" i="9" s="1"/>
  <c r="AH155" i="9"/>
  <c r="AK155" i="9" s="1"/>
  <c r="AI154" i="9"/>
  <c r="AL154" i="9" s="1"/>
  <c r="AH154" i="9"/>
  <c r="AK154" i="9" s="1"/>
  <c r="AI153" i="9"/>
  <c r="AL153" i="9" s="1"/>
  <c r="AH153" i="9"/>
  <c r="AK153" i="9" s="1"/>
  <c r="AI152" i="9"/>
  <c r="AL152" i="9" s="1"/>
  <c r="AH152" i="9"/>
  <c r="AK152" i="9" s="1"/>
  <c r="AI151" i="9"/>
  <c r="AL151" i="9" s="1"/>
  <c r="AH151" i="9"/>
  <c r="AK151" i="9" s="1"/>
  <c r="AI150" i="9"/>
  <c r="AL150" i="9" s="1"/>
  <c r="AH150" i="9"/>
  <c r="AK150" i="9" s="1"/>
  <c r="AI149" i="9"/>
  <c r="AL149" i="9" s="1"/>
  <c r="AH149" i="9"/>
  <c r="AK149" i="9" s="1"/>
  <c r="AI148" i="9"/>
  <c r="AL148" i="9" s="1"/>
  <c r="AH148" i="9"/>
  <c r="AK148" i="9" s="1"/>
  <c r="AI147" i="9"/>
  <c r="AL147" i="9" s="1"/>
  <c r="AH147" i="9"/>
  <c r="AK147" i="9" s="1"/>
  <c r="AI146" i="9"/>
  <c r="AL146" i="9" s="1"/>
  <c r="AH146" i="9"/>
  <c r="AK146" i="9" s="1"/>
  <c r="AI145" i="9"/>
  <c r="AL145" i="9" s="1"/>
  <c r="AH145" i="9"/>
  <c r="AK145" i="9" s="1"/>
  <c r="AI144" i="9"/>
  <c r="AL144" i="9" s="1"/>
  <c r="AH144" i="9"/>
  <c r="AK144" i="9" s="1"/>
  <c r="AI143" i="9"/>
  <c r="AL143" i="9" s="1"/>
  <c r="AH143" i="9"/>
  <c r="AK143" i="9" s="1"/>
  <c r="AI142" i="9"/>
  <c r="AL142" i="9" s="1"/>
  <c r="AH142" i="9"/>
  <c r="AK142" i="9" s="1"/>
  <c r="AI141" i="9"/>
  <c r="AL141" i="9" s="1"/>
  <c r="AH141" i="9"/>
  <c r="AK141" i="9" s="1"/>
  <c r="AI140" i="9"/>
  <c r="AL140" i="9" s="1"/>
  <c r="AH140" i="9"/>
  <c r="AK140" i="9" s="1"/>
  <c r="AI139" i="9"/>
  <c r="AL139" i="9" s="1"/>
  <c r="AH139" i="9"/>
  <c r="AK139" i="9" s="1"/>
  <c r="AI138" i="9"/>
  <c r="AL138" i="9" s="1"/>
  <c r="AH138" i="9"/>
  <c r="AK138" i="9" s="1"/>
  <c r="AI137" i="9"/>
  <c r="AL137" i="9" s="1"/>
  <c r="AH137" i="9"/>
  <c r="AK137" i="9" s="1"/>
  <c r="AI136" i="9"/>
  <c r="AL136" i="9" s="1"/>
  <c r="AH136" i="9"/>
  <c r="AK136" i="9" s="1"/>
  <c r="AI135" i="9"/>
  <c r="AL135" i="9" s="1"/>
  <c r="AH135" i="9"/>
  <c r="AK135" i="9" s="1"/>
  <c r="AI134" i="9"/>
  <c r="AL134" i="9" s="1"/>
  <c r="AH134" i="9"/>
  <c r="AK134" i="9" s="1"/>
  <c r="AI133" i="9"/>
  <c r="AL133" i="9" s="1"/>
  <c r="AH133" i="9"/>
  <c r="AK133" i="9" s="1"/>
  <c r="AI132" i="9"/>
  <c r="AL132" i="9" s="1"/>
  <c r="AH132" i="9"/>
  <c r="AK132" i="9" s="1"/>
  <c r="AI131" i="9"/>
  <c r="AL131" i="9" s="1"/>
  <c r="AH131" i="9"/>
  <c r="AK131" i="9" s="1"/>
  <c r="AI130" i="9"/>
  <c r="AL130" i="9" s="1"/>
  <c r="AH130" i="9"/>
  <c r="AK130" i="9" s="1"/>
  <c r="AI129" i="9"/>
  <c r="AL129" i="9" s="1"/>
  <c r="AH129" i="9"/>
  <c r="AK129" i="9" s="1"/>
  <c r="AI128" i="9"/>
  <c r="AL128" i="9" s="1"/>
  <c r="AH128" i="9"/>
  <c r="AK128" i="9" s="1"/>
  <c r="AI127" i="9"/>
  <c r="AL127" i="9" s="1"/>
  <c r="AH127" i="9"/>
  <c r="AK127" i="9" s="1"/>
  <c r="AI126" i="9"/>
  <c r="AL126" i="9" s="1"/>
  <c r="AH126" i="9"/>
  <c r="AK126" i="9" s="1"/>
  <c r="AI125" i="9"/>
  <c r="AL125" i="9" s="1"/>
  <c r="AH125" i="9"/>
  <c r="AK125" i="9" s="1"/>
  <c r="AI124" i="9"/>
  <c r="AL124" i="9" s="1"/>
  <c r="AH124" i="9"/>
  <c r="AK124" i="9" s="1"/>
  <c r="AI123" i="9"/>
  <c r="AL123" i="9" s="1"/>
  <c r="AH123" i="9"/>
  <c r="AK123" i="9" s="1"/>
  <c r="AI122" i="9"/>
  <c r="AL122" i="9" s="1"/>
  <c r="AH122" i="9"/>
  <c r="AK122" i="9" s="1"/>
  <c r="AI121" i="9"/>
  <c r="AL121" i="9" s="1"/>
  <c r="AH121" i="9"/>
  <c r="AK121" i="9" s="1"/>
  <c r="AI120" i="9"/>
  <c r="AL120" i="9" s="1"/>
  <c r="AH120" i="9"/>
  <c r="AK120" i="9" s="1"/>
  <c r="AI119" i="9"/>
  <c r="AL119" i="9" s="1"/>
  <c r="AH119" i="9"/>
  <c r="AK119" i="9" s="1"/>
  <c r="AI118" i="9"/>
  <c r="AL118" i="9" s="1"/>
  <c r="AH118" i="9"/>
  <c r="AK118" i="9" s="1"/>
  <c r="AI117" i="9"/>
  <c r="AL117" i="9" s="1"/>
  <c r="AH117" i="9"/>
  <c r="AK117" i="9" s="1"/>
  <c r="AI116" i="9"/>
  <c r="AL116" i="9" s="1"/>
  <c r="AH116" i="9"/>
  <c r="AK116" i="9" s="1"/>
  <c r="AI115" i="9"/>
  <c r="AL115" i="9" s="1"/>
  <c r="AH115" i="9"/>
  <c r="AK115" i="9" s="1"/>
  <c r="AI114" i="9"/>
  <c r="AL114" i="9" s="1"/>
  <c r="AH114" i="9"/>
  <c r="AK114" i="9" s="1"/>
  <c r="AI113" i="9"/>
  <c r="AL113" i="9" s="1"/>
  <c r="AH113" i="9"/>
  <c r="AK113" i="9" s="1"/>
  <c r="AI112" i="9"/>
  <c r="AL112" i="9" s="1"/>
  <c r="AH112" i="9"/>
  <c r="AK112" i="9" s="1"/>
  <c r="AI111" i="9"/>
  <c r="AL111" i="9" s="1"/>
  <c r="AH111" i="9"/>
  <c r="AK111" i="9" s="1"/>
  <c r="AI110" i="9"/>
  <c r="AL110" i="9" s="1"/>
  <c r="AH110" i="9"/>
  <c r="AK110" i="9" s="1"/>
  <c r="AI109" i="9"/>
  <c r="AL109" i="9" s="1"/>
  <c r="AH109" i="9"/>
  <c r="AK109" i="9" s="1"/>
  <c r="AI108" i="9"/>
  <c r="AL108" i="9" s="1"/>
  <c r="AH108" i="9"/>
  <c r="AK108" i="9" s="1"/>
  <c r="AI107" i="9"/>
  <c r="AL107" i="9" s="1"/>
  <c r="AH107" i="9"/>
  <c r="AK107" i="9" s="1"/>
  <c r="AI106" i="9"/>
  <c r="AL106" i="9" s="1"/>
  <c r="AH106" i="9"/>
  <c r="AK106" i="9" s="1"/>
  <c r="AI105" i="9"/>
  <c r="AL105" i="9" s="1"/>
  <c r="AH105" i="9"/>
  <c r="AK105" i="9" s="1"/>
  <c r="AI104" i="9"/>
  <c r="AL104" i="9" s="1"/>
  <c r="AH104" i="9"/>
  <c r="AK104" i="9" s="1"/>
  <c r="AI103" i="9"/>
  <c r="AL103" i="9" s="1"/>
  <c r="AH103" i="9"/>
  <c r="AK103" i="9" s="1"/>
  <c r="AI102" i="9"/>
  <c r="AL102" i="9" s="1"/>
  <c r="AH102" i="9"/>
  <c r="AK102" i="9" s="1"/>
  <c r="AI101" i="9"/>
  <c r="AL101" i="9" s="1"/>
  <c r="AH101" i="9"/>
  <c r="AK101" i="9" s="1"/>
  <c r="AI100" i="9"/>
  <c r="AL100" i="9" s="1"/>
  <c r="AH100" i="9"/>
  <c r="AK100" i="9" s="1"/>
  <c r="AI99" i="9"/>
  <c r="AL99" i="9" s="1"/>
  <c r="AH99" i="9"/>
  <c r="AK99" i="9" s="1"/>
  <c r="AI98" i="9"/>
  <c r="AL98" i="9" s="1"/>
  <c r="AH98" i="9"/>
  <c r="AK98" i="9" s="1"/>
  <c r="AI97" i="9"/>
  <c r="AL97" i="9" s="1"/>
  <c r="AH97" i="9"/>
  <c r="AK97" i="9" s="1"/>
  <c r="AI96" i="9"/>
  <c r="AL96" i="9" s="1"/>
  <c r="AH96" i="9"/>
  <c r="AK96" i="9" s="1"/>
  <c r="AI95" i="9"/>
  <c r="AL95" i="9" s="1"/>
  <c r="AH95" i="9"/>
  <c r="AK95" i="9" s="1"/>
  <c r="AI94" i="9"/>
  <c r="AL94" i="9" s="1"/>
  <c r="AH94" i="9"/>
  <c r="AK94" i="9" s="1"/>
  <c r="AI93" i="9"/>
  <c r="AL93" i="9" s="1"/>
  <c r="AH93" i="9"/>
  <c r="AK93" i="9" s="1"/>
  <c r="AI92" i="9"/>
  <c r="AL92" i="9" s="1"/>
  <c r="AH92" i="9"/>
  <c r="AK92" i="9" s="1"/>
  <c r="AI91" i="9"/>
  <c r="AL91" i="9" s="1"/>
  <c r="AH91" i="9"/>
  <c r="AK91" i="9" s="1"/>
  <c r="AI90" i="9"/>
  <c r="AL90" i="9" s="1"/>
  <c r="AH90" i="9"/>
  <c r="AK90" i="9" s="1"/>
  <c r="AI89" i="9"/>
  <c r="AL89" i="9" s="1"/>
  <c r="AH89" i="9"/>
  <c r="AK89" i="9" s="1"/>
  <c r="AI88" i="9"/>
  <c r="AL88" i="9" s="1"/>
  <c r="AH88" i="9"/>
  <c r="AK88" i="9" s="1"/>
  <c r="AI87" i="9"/>
  <c r="AL87" i="9" s="1"/>
  <c r="AH87" i="9"/>
  <c r="AK87" i="9" s="1"/>
  <c r="AI86" i="9"/>
  <c r="AL86" i="9" s="1"/>
  <c r="AH86" i="9"/>
  <c r="AK86" i="9" s="1"/>
  <c r="AI85" i="9"/>
  <c r="AL85" i="9" s="1"/>
  <c r="AH85" i="9"/>
  <c r="AK85" i="9" s="1"/>
  <c r="AI84" i="9"/>
  <c r="AL84" i="9" s="1"/>
  <c r="AH84" i="9"/>
  <c r="AK84" i="9" s="1"/>
  <c r="AI83" i="9"/>
  <c r="AL83" i="9" s="1"/>
  <c r="AH83" i="9"/>
  <c r="AK83" i="9" s="1"/>
  <c r="AI82" i="9"/>
  <c r="AL82" i="9" s="1"/>
  <c r="AH82" i="9"/>
  <c r="AK82" i="9" s="1"/>
  <c r="AI81" i="9"/>
  <c r="AL81" i="9" s="1"/>
  <c r="AH81" i="9"/>
  <c r="AK81" i="9" s="1"/>
  <c r="AI80" i="9"/>
  <c r="AL80" i="9" s="1"/>
  <c r="AH80" i="9"/>
  <c r="AK80" i="9" s="1"/>
  <c r="AI79" i="9"/>
  <c r="AL79" i="9" s="1"/>
  <c r="AH79" i="9"/>
  <c r="AK79" i="9" s="1"/>
  <c r="AI78" i="9"/>
  <c r="AL78" i="9" s="1"/>
  <c r="AH78" i="9"/>
  <c r="AK78" i="9" s="1"/>
  <c r="AI77" i="9"/>
  <c r="AL77" i="9" s="1"/>
  <c r="AH77" i="9"/>
  <c r="AK77" i="9" s="1"/>
  <c r="AI76" i="9"/>
  <c r="AL76" i="9" s="1"/>
  <c r="AH76" i="9"/>
  <c r="AK76" i="9" s="1"/>
  <c r="AI75" i="9"/>
  <c r="AL75" i="9" s="1"/>
  <c r="AH75" i="9"/>
  <c r="AK75" i="9" s="1"/>
  <c r="AI74" i="9"/>
  <c r="AL74" i="9" s="1"/>
  <c r="AH74" i="9"/>
  <c r="AK74" i="9" s="1"/>
  <c r="AI73" i="9"/>
  <c r="AL73" i="9" s="1"/>
  <c r="AH73" i="9"/>
  <c r="AK73" i="9" s="1"/>
  <c r="AI72" i="9"/>
  <c r="AL72" i="9" s="1"/>
  <c r="AH72" i="9"/>
  <c r="AK72" i="9" s="1"/>
  <c r="AI71" i="9"/>
  <c r="AL71" i="9" s="1"/>
  <c r="AH71" i="9"/>
  <c r="AK71" i="9" s="1"/>
  <c r="AI70" i="9"/>
  <c r="AL70" i="9" s="1"/>
  <c r="AH70" i="9"/>
  <c r="AK70" i="9" s="1"/>
  <c r="AI69" i="9"/>
  <c r="AL69" i="9" s="1"/>
  <c r="AH69" i="9"/>
  <c r="AK69" i="9" s="1"/>
  <c r="AI68" i="9"/>
  <c r="AL68" i="9" s="1"/>
  <c r="AH68" i="9"/>
  <c r="AK68" i="9" s="1"/>
  <c r="AI67" i="9"/>
  <c r="AL67" i="9" s="1"/>
  <c r="AH67" i="9"/>
  <c r="AK67" i="9" s="1"/>
  <c r="AI66" i="9"/>
  <c r="AL66" i="9" s="1"/>
  <c r="AH66" i="9"/>
  <c r="AK66" i="9" s="1"/>
  <c r="AI65" i="9"/>
  <c r="AL65" i="9" s="1"/>
  <c r="AH65" i="9"/>
  <c r="AK65" i="9" s="1"/>
  <c r="AI64" i="9"/>
  <c r="AL64" i="9" s="1"/>
  <c r="AH64" i="9"/>
  <c r="AK64" i="9" s="1"/>
  <c r="AI63" i="9"/>
  <c r="AL63" i="9" s="1"/>
  <c r="AH63" i="9"/>
  <c r="AK63" i="9" s="1"/>
  <c r="AI62" i="9"/>
  <c r="AL62" i="9" s="1"/>
  <c r="AH62" i="9"/>
  <c r="AK62" i="9" s="1"/>
  <c r="AI61" i="9"/>
  <c r="AL61" i="9" s="1"/>
  <c r="AH61" i="9"/>
  <c r="AK61" i="9" s="1"/>
  <c r="AI60" i="9"/>
  <c r="AL60" i="9" s="1"/>
  <c r="AH60" i="9"/>
  <c r="AK60" i="9" s="1"/>
  <c r="AI59" i="9"/>
  <c r="AL59" i="9" s="1"/>
  <c r="AH59" i="9"/>
  <c r="AK59" i="9" s="1"/>
  <c r="AI58" i="9"/>
  <c r="AL58" i="9" s="1"/>
  <c r="AH58" i="9"/>
  <c r="AK58" i="9" s="1"/>
  <c r="AI57" i="9"/>
  <c r="AL57" i="9" s="1"/>
  <c r="AH57" i="9"/>
  <c r="AK57" i="9" s="1"/>
  <c r="AI56" i="9"/>
  <c r="AL56" i="9" s="1"/>
  <c r="AH56" i="9"/>
  <c r="AK56" i="9" s="1"/>
  <c r="AI55" i="9"/>
  <c r="AL55" i="9" s="1"/>
  <c r="AH55" i="9"/>
  <c r="AK55" i="9" s="1"/>
  <c r="AI54" i="9"/>
  <c r="AL54" i="9" s="1"/>
  <c r="AH54" i="9"/>
  <c r="AK54" i="9" s="1"/>
  <c r="AI53" i="9"/>
  <c r="AL53" i="9" s="1"/>
  <c r="AH53" i="9"/>
  <c r="AK53" i="9" s="1"/>
  <c r="AI52" i="9"/>
  <c r="AL52" i="9" s="1"/>
  <c r="AH52" i="9"/>
  <c r="AK52" i="9" s="1"/>
  <c r="AI51" i="9"/>
  <c r="AL51" i="9" s="1"/>
  <c r="AH51" i="9"/>
  <c r="AK51" i="9" s="1"/>
  <c r="AI50" i="9"/>
  <c r="AL50" i="9" s="1"/>
  <c r="AH50" i="9"/>
  <c r="AK50" i="9" s="1"/>
  <c r="AI49" i="9"/>
  <c r="AL49" i="9" s="1"/>
  <c r="AH49" i="9"/>
  <c r="AK49" i="9" s="1"/>
  <c r="AI48" i="9"/>
  <c r="AL48" i="9" s="1"/>
  <c r="AH48" i="9"/>
  <c r="AK48" i="9" s="1"/>
  <c r="AI47" i="9"/>
  <c r="AL47" i="9" s="1"/>
  <c r="AH47" i="9"/>
  <c r="AK47" i="9" s="1"/>
  <c r="AI46" i="9"/>
  <c r="AL46" i="9" s="1"/>
  <c r="AH46" i="9"/>
  <c r="AK46" i="9" s="1"/>
  <c r="AI45" i="9"/>
  <c r="AL45" i="9" s="1"/>
  <c r="AH45" i="9"/>
  <c r="AK45" i="9" s="1"/>
  <c r="AI44" i="9"/>
  <c r="AL44" i="9" s="1"/>
  <c r="AH44" i="9"/>
  <c r="AK44" i="9" s="1"/>
  <c r="AI43" i="9"/>
  <c r="AL43" i="9" s="1"/>
  <c r="AH43" i="9"/>
  <c r="AK43" i="9" s="1"/>
  <c r="AI42" i="9"/>
  <c r="AL42" i="9" s="1"/>
  <c r="AH42" i="9"/>
  <c r="AK42" i="9" s="1"/>
  <c r="AI41" i="9"/>
  <c r="AL41" i="9" s="1"/>
  <c r="AH41" i="9"/>
  <c r="AK41" i="9" s="1"/>
  <c r="AI40" i="9"/>
  <c r="AL40" i="9" s="1"/>
  <c r="AH40" i="9"/>
  <c r="AK40" i="9" s="1"/>
  <c r="AI39" i="9"/>
  <c r="AL39" i="9" s="1"/>
  <c r="AH39" i="9"/>
  <c r="AK39" i="9" s="1"/>
  <c r="AI38" i="9"/>
  <c r="AL38" i="9" s="1"/>
  <c r="AH38" i="9"/>
  <c r="AK38" i="9" s="1"/>
  <c r="AI37" i="9"/>
  <c r="AL37" i="9" s="1"/>
  <c r="AH37" i="9"/>
  <c r="AK37" i="9" s="1"/>
  <c r="AI36" i="9"/>
  <c r="AL36" i="9" s="1"/>
  <c r="AH36" i="9"/>
  <c r="AK36" i="9" s="1"/>
  <c r="AI35" i="9"/>
  <c r="AL35" i="9" s="1"/>
  <c r="AH35" i="9"/>
  <c r="AK35" i="9" s="1"/>
  <c r="AI34" i="9"/>
  <c r="AL34" i="9" s="1"/>
  <c r="AH34" i="9"/>
  <c r="AK34" i="9" s="1"/>
  <c r="AI33" i="9"/>
  <c r="AL33" i="9" s="1"/>
  <c r="AH33" i="9"/>
  <c r="AK33" i="9" s="1"/>
  <c r="AI32" i="9"/>
  <c r="AL32" i="9" s="1"/>
  <c r="AH32" i="9"/>
  <c r="AK32" i="9" s="1"/>
  <c r="AI31" i="9"/>
  <c r="AL31" i="9" s="1"/>
  <c r="AH31" i="9"/>
  <c r="AK31" i="9" s="1"/>
  <c r="AI30" i="9"/>
  <c r="AL30" i="9" s="1"/>
  <c r="AH30" i="9"/>
  <c r="AK30" i="9" s="1"/>
  <c r="AI29" i="9"/>
  <c r="AL29" i="9" s="1"/>
  <c r="AH29" i="9"/>
  <c r="AK29" i="9" s="1"/>
  <c r="AI28" i="9"/>
  <c r="AL28" i="9" s="1"/>
  <c r="AH28" i="9"/>
  <c r="AK28" i="9" s="1"/>
  <c r="AI27" i="9"/>
  <c r="AL27" i="9" s="1"/>
  <c r="AH27" i="9"/>
  <c r="AK27" i="9" s="1"/>
  <c r="AI26" i="9"/>
  <c r="AL26" i="9" s="1"/>
  <c r="AH26" i="9"/>
  <c r="AK26" i="9" s="1"/>
  <c r="AI25" i="9"/>
  <c r="AL25" i="9" s="1"/>
  <c r="AH25" i="9"/>
  <c r="AK25" i="9" s="1"/>
  <c r="AI24" i="9"/>
  <c r="AL24" i="9" s="1"/>
  <c r="AH24" i="9"/>
  <c r="AK24" i="9" s="1"/>
  <c r="AI23" i="9"/>
  <c r="AL23" i="9" s="1"/>
  <c r="AH23" i="9"/>
  <c r="AK23" i="9" s="1"/>
  <c r="AI22" i="9"/>
  <c r="AL22" i="9" s="1"/>
  <c r="AH22" i="9"/>
  <c r="AK22" i="9" s="1"/>
  <c r="AI21" i="9"/>
  <c r="AL21" i="9" s="1"/>
  <c r="AH21" i="9"/>
  <c r="AK21" i="9" s="1"/>
  <c r="AI20" i="9"/>
  <c r="AL20" i="9" s="1"/>
  <c r="AH20" i="9"/>
  <c r="AK20" i="9" s="1"/>
  <c r="AI19" i="9"/>
  <c r="AL19" i="9" s="1"/>
  <c r="AH19" i="9"/>
  <c r="AK19" i="9" s="1"/>
  <c r="AI18" i="9"/>
  <c r="AL18" i="9" s="1"/>
  <c r="AH18" i="9"/>
  <c r="AK18" i="9" s="1"/>
  <c r="AI17" i="9"/>
  <c r="AL17" i="9" s="1"/>
  <c r="AH17" i="9"/>
  <c r="AK17" i="9" s="1"/>
  <c r="AI16" i="9"/>
  <c r="AL16" i="9" s="1"/>
  <c r="AH16" i="9"/>
  <c r="AK16" i="9" s="1"/>
  <c r="AI15" i="9"/>
  <c r="AL15" i="9" s="1"/>
  <c r="AH15" i="9"/>
  <c r="AK15" i="9" s="1"/>
  <c r="AI14" i="9"/>
  <c r="AL14" i="9" s="1"/>
  <c r="AH14" i="9"/>
  <c r="AK14" i="9" s="1"/>
  <c r="AI13" i="9"/>
  <c r="AL13" i="9" s="1"/>
  <c r="AH13" i="9"/>
  <c r="AK13" i="9" s="1"/>
  <c r="AI12" i="9"/>
  <c r="AL12" i="9" s="1"/>
  <c r="AH12" i="9"/>
  <c r="AK12" i="9" s="1"/>
  <c r="AI11" i="9"/>
  <c r="AL11" i="9" s="1"/>
  <c r="AH11" i="9"/>
  <c r="AK11" i="9" s="1"/>
  <c r="AI10" i="9"/>
  <c r="AL10" i="9" s="1"/>
  <c r="AH10" i="9"/>
  <c r="AK10" i="9" s="1"/>
  <c r="AI9" i="9"/>
  <c r="AL9" i="9" s="1"/>
  <c r="AH9" i="9"/>
  <c r="AK9" i="9" s="1"/>
  <c r="AI8" i="9"/>
  <c r="AL8" i="9" s="1"/>
  <c r="AK8" i="9"/>
  <c r="W169" i="9"/>
  <c r="V169" i="9"/>
  <c r="T169" i="9"/>
  <c r="S169" i="9"/>
  <c r="Q169" i="9"/>
  <c r="P169" i="9"/>
  <c r="N169" i="9"/>
  <c r="M169" i="9"/>
  <c r="K169" i="9"/>
  <c r="J169" i="9"/>
  <c r="H169" i="9"/>
  <c r="G169" i="9"/>
  <c r="G172" i="9" s="1"/>
  <c r="X166" i="9"/>
  <c r="U166" i="9"/>
  <c r="R166" i="9"/>
  <c r="O166" i="9"/>
  <c r="L166" i="9"/>
  <c r="I166" i="9"/>
  <c r="X165" i="9"/>
  <c r="U165" i="9"/>
  <c r="R165" i="9"/>
  <c r="O165" i="9"/>
  <c r="L165" i="9"/>
  <c r="I165" i="9"/>
  <c r="X164" i="9"/>
  <c r="U164" i="9"/>
  <c r="R164" i="9"/>
  <c r="O164" i="9"/>
  <c r="L164" i="9"/>
  <c r="I164" i="9"/>
  <c r="X163" i="9"/>
  <c r="U163" i="9"/>
  <c r="R163" i="9"/>
  <c r="O163" i="9"/>
  <c r="L163" i="9"/>
  <c r="I163" i="9"/>
  <c r="X162" i="9"/>
  <c r="U162" i="9"/>
  <c r="R162" i="9"/>
  <c r="O162" i="9"/>
  <c r="L162" i="9"/>
  <c r="I162" i="9"/>
  <c r="X161" i="9"/>
  <c r="U161" i="9"/>
  <c r="R161" i="9"/>
  <c r="O161" i="9"/>
  <c r="L161" i="9"/>
  <c r="I161" i="9"/>
  <c r="X160" i="9"/>
  <c r="U160" i="9"/>
  <c r="R160" i="9"/>
  <c r="O160" i="9"/>
  <c r="L160" i="9"/>
  <c r="I160" i="9"/>
  <c r="X159" i="9"/>
  <c r="U159" i="9"/>
  <c r="R159" i="9"/>
  <c r="O159" i="9"/>
  <c r="L159" i="9"/>
  <c r="I159" i="9"/>
  <c r="X158" i="9"/>
  <c r="U158" i="9"/>
  <c r="R158" i="9"/>
  <c r="O158" i="9"/>
  <c r="L158" i="9"/>
  <c r="I158" i="9"/>
  <c r="X157" i="9"/>
  <c r="U157" i="9"/>
  <c r="R157" i="9"/>
  <c r="O157" i="9"/>
  <c r="L157" i="9"/>
  <c r="I157" i="9"/>
  <c r="X156" i="9"/>
  <c r="U156" i="9"/>
  <c r="R156" i="9"/>
  <c r="O156" i="9"/>
  <c r="L156" i="9"/>
  <c r="I156" i="9"/>
  <c r="X155" i="9"/>
  <c r="U155" i="9"/>
  <c r="R155" i="9"/>
  <c r="O155" i="9"/>
  <c r="L155" i="9"/>
  <c r="I155" i="9"/>
  <c r="X154" i="9"/>
  <c r="U154" i="9"/>
  <c r="R154" i="9"/>
  <c r="O154" i="9"/>
  <c r="L154" i="9"/>
  <c r="I154" i="9"/>
  <c r="X153" i="9"/>
  <c r="U153" i="9"/>
  <c r="R153" i="9"/>
  <c r="O153" i="9"/>
  <c r="L153" i="9"/>
  <c r="I153" i="9"/>
  <c r="X152" i="9"/>
  <c r="U152" i="9"/>
  <c r="R152" i="9"/>
  <c r="O152" i="9"/>
  <c r="L152" i="9"/>
  <c r="I152" i="9"/>
  <c r="X151" i="9"/>
  <c r="U151" i="9"/>
  <c r="R151" i="9"/>
  <c r="O151" i="9"/>
  <c r="L151" i="9"/>
  <c r="I151" i="9"/>
  <c r="X150" i="9"/>
  <c r="U150" i="9"/>
  <c r="R150" i="9"/>
  <c r="O150" i="9"/>
  <c r="L150" i="9"/>
  <c r="I150" i="9"/>
  <c r="X149" i="9"/>
  <c r="U149" i="9"/>
  <c r="R149" i="9"/>
  <c r="O149" i="9"/>
  <c r="L149" i="9"/>
  <c r="I149" i="9"/>
  <c r="X148" i="9"/>
  <c r="U148" i="9"/>
  <c r="R148" i="9"/>
  <c r="O148" i="9"/>
  <c r="L148" i="9"/>
  <c r="I148" i="9"/>
  <c r="X147" i="9"/>
  <c r="U147" i="9"/>
  <c r="R147" i="9"/>
  <c r="O147" i="9"/>
  <c r="L147" i="9"/>
  <c r="I147" i="9"/>
  <c r="X146" i="9"/>
  <c r="U146" i="9"/>
  <c r="R146" i="9"/>
  <c r="O146" i="9"/>
  <c r="L146" i="9"/>
  <c r="I146" i="9"/>
  <c r="X145" i="9"/>
  <c r="U145" i="9"/>
  <c r="R145" i="9"/>
  <c r="O145" i="9"/>
  <c r="L145" i="9"/>
  <c r="I145" i="9"/>
  <c r="X144" i="9"/>
  <c r="U144" i="9"/>
  <c r="R144" i="9"/>
  <c r="O144" i="9"/>
  <c r="L144" i="9"/>
  <c r="I144" i="9"/>
  <c r="X143" i="9"/>
  <c r="U143" i="9"/>
  <c r="R143" i="9"/>
  <c r="O143" i="9"/>
  <c r="L143" i="9"/>
  <c r="I143" i="9"/>
  <c r="X142" i="9"/>
  <c r="U142" i="9"/>
  <c r="R142" i="9"/>
  <c r="O142" i="9"/>
  <c r="L142" i="9"/>
  <c r="I142" i="9"/>
  <c r="X141" i="9"/>
  <c r="U141" i="9"/>
  <c r="R141" i="9"/>
  <c r="O141" i="9"/>
  <c r="L141" i="9"/>
  <c r="I141" i="9"/>
  <c r="X140" i="9"/>
  <c r="U140" i="9"/>
  <c r="R140" i="9"/>
  <c r="O140" i="9"/>
  <c r="L140" i="9"/>
  <c r="I140" i="9"/>
  <c r="X139" i="9"/>
  <c r="U139" i="9"/>
  <c r="R139" i="9"/>
  <c r="O139" i="9"/>
  <c r="L139" i="9"/>
  <c r="I139" i="9"/>
  <c r="X138" i="9"/>
  <c r="U138" i="9"/>
  <c r="R138" i="9"/>
  <c r="O138" i="9"/>
  <c r="L138" i="9"/>
  <c r="I138" i="9"/>
  <c r="X137" i="9"/>
  <c r="U137" i="9"/>
  <c r="R137" i="9"/>
  <c r="O137" i="9"/>
  <c r="L137" i="9"/>
  <c r="I137" i="9"/>
  <c r="X136" i="9"/>
  <c r="U136" i="9"/>
  <c r="R136" i="9"/>
  <c r="O136" i="9"/>
  <c r="L136" i="9"/>
  <c r="I136" i="9"/>
  <c r="X135" i="9"/>
  <c r="U135" i="9"/>
  <c r="R135" i="9"/>
  <c r="O135" i="9"/>
  <c r="L135" i="9"/>
  <c r="I135" i="9"/>
  <c r="X134" i="9"/>
  <c r="U134" i="9"/>
  <c r="R134" i="9"/>
  <c r="O134" i="9"/>
  <c r="L134" i="9"/>
  <c r="I134" i="9"/>
  <c r="X133" i="9"/>
  <c r="U133" i="9"/>
  <c r="R133" i="9"/>
  <c r="O133" i="9"/>
  <c r="L133" i="9"/>
  <c r="I133" i="9"/>
  <c r="X132" i="9"/>
  <c r="U132" i="9"/>
  <c r="R132" i="9"/>
  <c r="O132" i="9"/>
  <c r="L132" i="9"/>
  <c r="I132" i="9"/>
  <c r="X131" i="9"/>
  <c r="U131" i="9"/>
  <c r="R131" i="9"/>
  <c r="O131" i="9"/>
  <c r="L131" i="9"/>
  <c r="I131" i="9"/>
  <c r="X130" i="9"/>
  <c r="U130" i="9"/>
  <c r="R130" i="9"/>
  <c r="O130" i="9"/>
  <c r="L130" i="9"/>
  <c r="I130" i="9"/>
  <c r="X129" i="9"/>
  <c r="U129" i="9"/>
  <c r="R129" i="9"/>
  <c r="O129" i="9"/>
  <c r="L129" i="9"/>
  <c r="I129" i="9"/>
  <c r="X128" i="9"/>
  <c r="U128" i="9"/>
  <c r="R128" i="9"/>
  <c r="O128" i="9"/>
  <c r="L128" i="9"/>
  <c r="I128" i="9"/>
  <c r="X127" i="9"/>
  <c r="U127" i="9"/>
  <c r="R127" i="9"/>
  <c r="O127" i="9"/>
  <c r="L127" i="9"/>
  <c r="I127" i="9"/>
  <c r="X126" i="9"/>
  <c r="U126" i="9"/>
  <c r="R126" i="9"/>
  <c r="O126" i="9"/>
  <c r="L126" i="9"/>
  <c r="I126" i="9"/>
  <c r="X125" i="9"/>
  <c r="U125" i="9"/>
  <c r="R125" i="9"/>
  <c r="O125" i="9"/>
  <c r="L125" i="9"/>
  <c r="I125" i="9"/>
  <c r="X124" i="9"/>
  <c r="U124" i="9"/>
  <c r="R124" i="9"/>
  <c r="O124" i="9"/>
  <c r="L124" i="9"/>
  <c r="I124" i="9"/>
  <c r="X123" i="9"/>
  <c r="U123" i="9"/>
  <c r="R123" i="9"/>
  <c r="O123" i="9"/>
  <c r="L123" i="9"/>
  <c r="I123" i="9"/>
  <c r="X122" i="9"/>
  <c r="U122" i="9"/>
  <c r="R122" i="9"/>
  <c r="O122" i="9"/>
  <c r="L122" i="9"/>
  <c r="I122" i="9"/>
  <c r="X121" i="9"/>
  <c r="U121" i="9"/>
  <c r="R121" i="9"/>
  <c r="O121" i="9"/>
  <c r="L121" i="9"/>
  <c r="I121" i="9"/>
  <c r="X120" i="9"/>
  <c r="U120" i="9"/>
  <c r="R120" i="9"/>
  <c r="O120" i="9"/>
  <c r="L120" i="9"/>
  <c r="I120" i="9"/>
  <c r="X119" i="9"/>
  <c r="U119" i="9"/>
  <c r="R119" i="9"/>
  <c r="O119" i="9"/>
  <c r="L119" i="9"/>
  <c r="I119" i="9"/>
  <c r="X118" i="9"/>
  <c r="U118" i="9"/>
  <c r="R118" i="9"/>
  <c r="O118" i="9"/>
  <c r="L118" i="9"/>
  <c r="I118" i="9"/>
  <c r="X117" i="9"/>
  <c r="U117" i="9"/>
  <c r="R117" i="9"/>
  <c r="O117" i="9"/>
  <c r="L117" i="9"/>
  <c r="I117" i="9"/>
  <c r="X116" i="9"/>
  <c r="U116" i="9"/>
  <c r="R116" i="9"/>
  <c r="O116" i="9"/>
  <c r="L116" i="9"/>
  <c r="I116" i="9"/>
  <c r="X115" i="9"/>
  <c r="U115" i="9"/>
  <c r="R115" i="9"/>
  <c r="O115" i="9"/>
  <c r="L115" i="9"/>
  <c r="I115" i="9"/>
  <c r="X114" i="9"/>
  <c r="U114" i="9"/>
  <c r="R114" i="9"/>
  <c r="O114" i="9"/>
  <c r="L114" i="9"/>
  <c r="I114" i="9"/>
  <c r="X113" i="9"/>
  <c r="U113" i="9"/>
  <c r="R113" i="9"/>
  <c r="O113" i="9"/>
  <c r="L113" i="9"/>
  <c r="I113" i="9"/>
  <c r="X112" i="9"/>
  <c r="U112" i="9"/>
  <c r="R112" i="9"/>
  <c r="O112" i="9"/>
  <c r="L112" i="9"/>
  <c r="I112" i="9"/>
  <c r="X111" i="9"/>
  <c r="U111" i="9"/>
  <c r="R111" i="9"/>
  <c r="O111" i="9"/>
  <c r="L111" i="9"/>
  <c r="I111" i="9"/>
  <c r="X110" i="9"/>
  <c r="U110" i="9"/>
  <c r="R110" i="9"/>
  <c r="O110" i="9"/>
  <c r="L110" i="9"/>
  <c r="I110" i="9"/>
  <c r="X109" i="9"/>
  <c r="U109" i="9"/>
  <c r="R109" i="9"/>
  <c r="O109" i="9"/>
  <c r="L109" i="9"/>
  <c r="I109" i="9"/>
  <c r="X108" i="9"/>
  <c r="U108" i="9"/>
  <c r="R108" i="9"/>
  <c r="O108" i="9"/>
  <c r="L108" i="9"/>
  <c r="I108" i="9"/>
  <c r="X107" i="9"/>
  <c r="U107" i="9"/>
  <c r="R107" i="9"/>
  <c r="O107" i="9"/>
  <c r="L107" i="9"/>
  <c r="I107" i="9"/>
  <c r="X106" i="9"/>
  <c r="U106" i="9"/>
  <c r="R106" i="9"/>
  <c r="O106" i="9"/>
  <c r="L106" i="9"/>
  <c r="I106" i="9"/>
  <c r="X105" i="9"/>
  <c r="U105" i="9"/>
  <c r="R105" i="9"/>
  <c r="O105" i="9"/>
  <c r="L105" i="9"/>
  <c r="I105" i="9"/>
  <c r="X104" i="9"/>
  <c r="U104" i="9"/>
  <c r="R104" i="9"/>
  <c r="O104" i="9"/>
  <c r="L104" i="9"/>
  <c r="I104" i="9"/>
  <c r="X103" i="9"/>
  <c r="U103" i="9"/>
  <c r="R103" i="9"/>
  <c r="O103" i="9"/>
  <c r="L103" i="9"/>
  <c r="I103" i="9"/>
  <c r="X102" i="9"/>
  <c r="U102" i="9"/>
  <c r="R102" i="9"/>
  <c r="O102" i="9"/>
  <c r="L102" i="9"/>
  <c r="I102" i="9"/>
  <c r="X101" i="9"/>
  <c r="U101" i="9"/>
  <c r="R101" i="9"/>
  <c r="O101" i="9"/>
  <c r="L101" i="9"/>
  <c r="I101" i="9"/>
  <c r="X100" i="9"/>
  <c r="U100" i="9"/>
  <c r="R100" i="9"/>
  <c r="O100" i="9"/>
  <c r="L100" i="9"/>
  <c r="I100" i="9"/>
  <c r="X99" i="9"/>
  <c r="U99" i="9"/>
  <c r="R99" i="9"/>
  <c r="O99" i="9"/>
  <c r="L99" i="9"/>
  <c r="I99" i="9"/>
  <c r="X98" i="9"/>
  <c r="U98" i="9"/>
  <c r="R98" i="9"/>
  <c r="O98" i="9"/>
  <c r="L98" i="9"/>
  <c r="I98" i="9"/>
  <c r="X97" i="9"/>
  <c r="U97" i="9"/>
  <c r="R97" i="9"/>
  <c r="O97" i="9"/>
  <c r="L97" i="9"/>
  <c r="I97" i="9"/>
  <c r="X96" i="9"/>
  <c r="U96" i="9"/>
  <c r="R96" i="9"/>
  <c r="O96" i="9"/>
  <c r="L96" i="9"/>
  <c r="I96" i="9"/>
  <c r="X95" i="9"/>
  <c r="U95" i="9"/>
  <c r="R95" i="9"/>
  <c r="O95" i="9"/>
  <c r="L95" i="9"/>
  <c r="I95" i="9"/>
  <c r="X94" i="9"/>
  <c r="U94" i="9"/>
  <c r="R94" i="9"/>
  <c r="O94" i="9"/>
  <c r="L94" i="9"/>
  <c r="I94" i="9"/>
  <c r="X93" i="9"/>
  <c r="U93" i="9"/>
  <c r="R93" i="9"/>
  <c r="O93" i="9"/>
  <c r="L93" i="9"/>
  <c r="I93" i="9"/>
  <c r="X92" i="9"/>
  <c r="U92" i="9"/>
  <c r="R92" i="9"/>
  <c r="O92" i="9"/>
  <c r="L92" i="9"/>
  <c r="I92" i="9"/>
  <c r="X91" i="9"/>
  <c r="U91" i="9"/>
  <c r="R91" i="9"/>
  <c r="O91" i="9"/>
  <c r="L91" i="9"/>
  <c r="I91" i="9"/>
  <c r="X90" i="9"/>
  <c r="U90" i="9"/>
  <c r="R90" i="9"/>
  <c r="O90" i="9"/>
  <c r="L90" i="9"/>
  <c r="I90" i="9"/>
  <c r="X89" i="9"/>
  <c r="U89" i="9"/>
  <c r="R89" i="9"/>
  <c r="O89" i="9"/>
  <c r="L89" i="9"/>
  <c r="I89" i="9"/>
  <c r="X88" i="9"/>
  <c r="U88" i="9"/>
  <c r="R88" i="9"/>
  <c r="O88" i="9"/>
  <c r="L88" i="9"/>
  <c r="I88" i="9"/>
  <c r="X87" i="9"/>
  <c r="U87" i="9"/>
  <c r="R87" i="9"/>
  <c r="O87" i="9"/>
  <c r="L87" i="9"/>
  <c r="I87" i="9"/>
  <c r="X86" i="9"/>
  <c r="U86" i="9"/>
  <c r="R86" i="9"/>
  <c r="O86" i="9"/>
  <c r="L86" i="9"/>
  <c r="I86" i="9"/>
  <c r="X85" i="9"/>
  <c r="U85" i="9"/>
  <c r="R85" i="9"/>
  <c r="O85" i="9"/>
  <c r="L85" i="9"/>
  <c r="I85" i="9"/>
  <c r="X84" i="9"/>
  <c r="U84" i="9"/>
  <c r="R84" i="9"/>
  <c r="O84" i="9"/>
  <c r="L84" i="9"/>
  <c r="I84" i="9"/>
  <c r="X83" i="9"/>
  <c r="U83" i="9"/>
  <c r="R83" i="9"/>
  <c r="O83" i="9"/>
  <c r="L83" i="9"/>
  <c r="I83" i="9"/>
  <c r="X82" i="9"/>
  <c r="U82" i="9"/>
  <c r="R82" i="9"/>
  <c r="O82" i="9"/>
  <c r="L82" i="9"/>
  <c r="I82" i="9"/>
  <c r="X81" i="9"/>
  <c r="U81" i="9"/>
  <c r="R81" i="9"/>
  <c r="O81" i="9"/>
  <c r="L81" i="9"/>
  <c r="I81" i="9"/>
  <c r="X80" i="9"/>
  <c r="U80" i="9"/>
  <c r="R80" i="9"/>
  <c r="O80" i="9"/>
  <c r="L80" i="9"/>
  <c r="I80" i="9"/>
  <c r="X79" i="9"/>
  <c r="U79" i="9"/>
  <c r="R79" i="9"/>
  <c r="O79" i="9"/>
  <c r="L79" i="9"/>
  <c r="I79" i="9"/>
  <c r="X78" i="9"/>
  <c r="U78" i="9"/>
  <c r="R78" i="9"/>
  <c r="O78" i="9"/>
  <c r="L78" i="9"/>
  <c r="I78" i="9"/>
  <c r="X77" i="9"/>
  <c r="U77" i="9"/>
  <c r="R77" i="9"/>
  <c r="O77" i="9"/>
  <c r="L77" i="9"/>
  <c r="I77" i="9"/>
  <c r="X76" i="9"/>
  <c r="U76" i="9"/>
  <c r="R76" i="9"/>
  <c r="O76" i="9"/>
  <c r="L76" i="9"/>
  <c r="I76" i="9"/>
  <c r="X75" i="9"/>
  <c r="U75" i="9"/>
  <c r="R75" i="9"/>
  <c r="O75" i="9"/>
  <c r="L75" i="9"/>
  <c r="I75" i="9"/>
  <c r="X74" i="9"/>
  <c r="U74" i="9"/>
  <c r="R74" i="9"/>
  <c r="O74" i="9"/>
  <c r="L74" i="9"/>
  <c r="I74" i="9"/>
  <c r="X73" i="9"/>
  <c r="U73" i="9"/>
  <c r="R73" i="9"/>
  <c r="O73" i="9"/>
  <c r="L73" i="9"/>
  <c r="I73" i="9"/>
  <c r="X72" i="9"/>
  <c r="U72" i="9"/>
  <c r="R72" i="9"/>
  <c r="O72" i="9"/>
  <c r="L72" i="9"/>
  <c r="I72" i="9"/>
  <c r="X71" i="9"/>
  <c r="U71" i="9"/>
  <c r="R71" i="9"/>
  <c r="O71" i="9"/>
  <c r="L71" i="9"/>
  <c r="I71" i="9"/>
  <c r="X70" i="9"/>
  <c r="U70" i="9"/>
  <c r="R70" i="9"/>
  <c r="O70" i="9"/>
  <c r="L70" i="9"/>
  <c r="I70" i="9"/>
  <c r="X69" i="9"/>
  <c r="U69" i="9"/>
  <c r="R69" i="9"/>
  <c r="O69" i="9"/>
  <c r="L69" i="9"/>
  <c r="I69" i="9"/>
  <c r="X68" i="9"/>
  <c r="U68" i="9"/>
  <c r="R68" i="9"/>
  <c r="O68" i="9"/>
  <c r="L68" i="9"/>
  <c r="I68" i="9"/>
  <c r="X67" i="9"/>
  <c r="U67" i="9"/>
  <c r="R67" i="9"/>
  <c r="O67" i="9"/>
  <c r="L67" i="9"/>
  <c r="I67" i="9"/>
  <c r="X66" i="9"/>
  <c r="U66" i="9"/>
  <c r="R66" i="9"/>
  <c r="O66" i="9"/>
  <c r="L66" i="9"/>
  <c r="I66" i="9"/>
  <c r="X65" i="9"/>
  <c r="U65" i="9"/>
  <c r="R65" i="9"/>
  <c r="O65" i="9"/>
  <c r="L65" i="9"/>
  <c r="I65" i="9"/>
  <c r="X64" i="9"/>
  <c r="U64" i="9"/>
  <c r="R64" i="9"/>
  <c r="O64" i="9"/>
  <c r="L64" i="9"/>
  <c r="I64" i="9"/>
  <c r="X63" i="9"/>
  <c r="U63" i="9"/>
  <c r="R63" i="9"/>
  <c r="O63" i="9"/>
  <c r="L63" i="9"/>
  <c r="I63" i="9"/>
  <c r="X62" i="9"/>
  <c r="U62" i="9"/>
  <c r="R62" i="9"/>
  <c r="O62" i="9"/>
  <c r="L62" i="9"/>
  <c r="I62" i="9"/>
  <c r="X61" i="9"/>
  <c r="U61" i="9"/>
  <c r="R61" i="9"/>
  <c r="O61" i="9"/>
  <c r="L61" i="9"/>
  <c r="I61" i="9"/>
  <c r="X60" i="9"/>
  <c r="U60" i="9"/>
  <c r="R60" i="9"/>
  <c r="O60" i="9"/>
  <c r="L60" i="9"/>
  <c r="I60" i="9"/>
  <c r="X59" i="9"/>
  <c r="U59" i="9"/>
  <c r="R59" i="9"/>
  <c r="O59" i="9"/>
  <c r="L59" i="9"/>
  <c r="I59" i="9"/>
  <c r="X58" i="9"/>
  <c r="U58" i="9"/>
  <c r="R58" i="9"/>
  <c r="L58" i="9"/>
  <c r="I58" i="9"/>
  <c r="X57" i="9"/>
  <c r="U57" i="9"/>
  <c r="R57" i="9"/>
  <c r="O57" i="9"/>
  <c r="L57" i="9"/>
  <c r="I57" i="9"/>
  <c r="X56" i="9"/>
  <c r="U56" i="9"/>
  <c r="R56" i="9"/>
  <c r="O56" i="9"/>
  <c r="L56" i="9"/>
  <c r="I56" i="9"/>
  <c r="X55" i="9"/>
  <c r="U55" i="9"/>
  <c r="R55" i="9"/>
  <c r="O55" i="9"/>
  <c r="L55" i="9"/>
  <c r="I55" i="9"/>
  <c r="X54" i="9"/>
  <c r="U54" i="9"/>
  <c r="R54" i="9"/>
  <c r="O54" i="9"/>
  <c r="L54" i="9"/>
  <c r="I54" i="9"/>
  <c r="X53" i="9"/>
  <c r="U53" i="9"/>
  <c r="R53" i="9"/>
  <c r="O53" i="9"/>
  <c r="L53" i="9"/>
  <c r="I53" i="9"/>
  <c r="X52" i="9"/>
  <c r="U52" i="9"/>
  <c r="R52" i="9"/>
  <c r="O52" i="9"/>
  <c r="L52" i="9"/>
  <c r="I52" i="9"/>
  <c r="X51" i="9"/>
  <c r="U51" i="9"/>
  <c r="R51" i="9"/>
  <c r="O51" i="9"/>
  <c r="L51" i="9"/>
  <c r="I51" i="9"/>
  <c r="X50" i="9"/>
  <c r="U50" i="9"/>
  <c r="R50" i="9"/>
  <c r="O50" i="9"/>
  <c r="L50" i="9"/>
  <c r="I50" i="9"/>
  <c r="X49" i="9"/>
  <c r="U49" i="9"/>
  <c r="R49" i="9"/>
  <c r="O49" i="9"/>
  <c r="L49" i="9"/>
  <c r="I49" i="9"/>
  <c r="X48" i="9"/>
  <c r="U48" i="9"/>
  <c r="R48" i="9"/>
  <c r="O48" i="9"/>
  <c r="L48" i="9"/>
  <c r="I48" i="9"/>
  <c r="X47" i="9"/>
  <c r="U47" i="9"/>
  <c r="R47" i="9"/>
  <c r="O47" i="9"/>
  <c r="L47" i="9"/>
  <c r="I47" i="9"/>
  <c r="X46" i="9"/>
  <c r="U46" i="9"/>
  <c r="R46" i="9"/>
  <c r="O46" i="9"/>
  <c r="L46" i="9"/>
  <c r="I46" i="9"/>
  <c r="X45" i="9"/>
  <c r="U45" i="9"/>
  <c r="R45" i="9"/>
  <c r="O45" i="9"/>
  <c r="L45" i="9"/>
  <c r="I45" i="9"/>
  <c r="X44" i="9"/>
  <c r="U44" i="9"/>
  <c r="R44" i="9"/>
  <c r="O44" i="9"/>
  <c r="L44" i="9"/>
  <c r="I44" i="9"/>
  <c r="X43" i="9"/>
  <c r="U43" i="9"/>
  <c r="R43" i="9"/>
  <c r="O43" i="9"/>
  <c r="L43" i="9"/>
  <c r="I43" i="9"/>
  <c r="X42" i="9"/>
  <c r="U42" i="9"/>
  <c r="R42" i="9"/>
  <c r="O42" i="9"/>
  <c r="L42" i="9"/>
  <c r="I42" i="9"/>
  <c r="X41" i="9"/>
  <c r="U41" i="9"/>
  <c r="R41" i="9"/>
  <c r="O41" i="9"/>
  <c r="L41" i="9"/>
  <c r="I41" i="9"/>
  <c r="X40" i="9"/>
  <c r="U40" i="9"/>
  <c r="R40" i="9"/>
  <c r="O40" i="9"/>
  <c r="L40" i="9"/>
  <c r="I40" i="9"/>
  <c r="X39" i="9"/>
  <c r="U39" i="9"/>
  <c r="R39" i="9"/>
  <c r="O39" i="9"/>
  <c r="L39" i="9"/>
  <c r="I39" i="9"/>
  <c r="X38" i="9"/>
  <c r="U38" i="9"/>
  <c r="R38" i="9"/>
  <c r="O38" i="9"/>
  <c r="L38" i="9"/>
  <c r="I38" i="9"/>
  <c r="X37" i="9"/>
  <c r="U37" i="9"/>
  <c r="R37" i="9"/>
  <c r="O37" i="9"/>
  <c r="L37" i="9"/>
  <c r="I37" i="9"/>
  <c r="X36" i="9"/>
  <c r="U36" i="9"/>
  <c r="R36" i="9"/>
  <c r="O36" i="9"/>
  <c r="L36" i="9"/>
  <c r="I36" i="9"/>
  <c r="X35" i="9"/>
  <c r="U35" i="9"/>
  <c r="R35" i="9"/>
  <c r="O35" i="9"/>
  <c r="L35" i="9"/>
  <c r="I35" i="9"/>
  <c r="X34" i="9"/>
  <c r="U34" i="9"/>
  <c r="R34" i="9"/>
  <c r="O34" i="9"/>
  <c r="L34" i="9"/>
  <c r="I34" i="9"/>
  <c r="X33" i="9"/>
  <c r="U33" i="9"/>
  <c r="R33" i="9"/>
  <c r="O33" i="9"/>
  <c r="L33" i="9"/>
  <c r="I33" i="9"/>
  <c r="X32" i="9"/>
  <c r="U32" i="9"/>
  <c r="R32" i="9"/>
  <c r="O32" i="9"/>
  <c r="L32" i="9"/>
  <c r="I32" i="9"/>
  <c r="X31" i="9"/>
  <c r="U31" i="9"/>
  <c r="R31" i="9"/>
  <c r="O31" i="9"/>
  <c r="L31" i="9"/>
  <c r="I31" i="9"/>
  <c r="X30" i="9"/>
  <c r="U30" i="9"/>
  <c r="R30" i="9"/>
  <c r="O30" i="9"/>
  <c r="L30" i="9"/>
  <c r="I30" i="9"/>
  <c r="X29" i="9"/>
  <c r="U29" i="9"/>
  <c r="R29" i="9"/>
  <c r="O29" i="9"/>
  <c r="L29" i="9"/>
  <c r="I29" i="9"/>
  <c r="X28" i="9"/>
  <c r="U28" i="9"/>
  <c r="R28" i="9"/>
  <c r="O28" i="9"/>
  <c r="L28" i="9"/>
  <c r="I28" i="9"/>
  <c r="X27" i="9"/>
  <c r="U27" i="9"/>
  <c r="R27" i="9"/>
  <c r="O27" i="9"/>
  <c r="L27" i="9"/>
  <c r="I27" i="9"/>
  <c r="X26" i="9"/>
  <c r="U26" i="9"/>
  <c r="R26" i="9"/>
  <c r="O26" i="9"/>
  <c r="L26" i="9"/>
  <c r="I26" i="9"/>
  <c r="X25" i="9"/>
  <c r="U25" i="9"/>
  <c r="R25" i="9"/>
  <c r="O25" i="9"/>
  <c r="L25" i="9"/>
  <c r="I25" i="9"/>
  <c r="X24" i="9"/>
  <c r="U24" i="9"/>
  <c r="R24" i="9"/>
  <c r="O24" i="9"/>
  <c r="L24" i="9"/>
  <c r="I24" i="9"/>
  <c r="X23" i="9"/>
  <c r="U23" i="9"/>
  <c r="R23" i="9"/>
  <c r="O23" i="9"/>
  <c r="L23" i="9"/>
  <c r="I23" i="9"/>
  <c r="X22" i="9"/>
  <c r="U22" i="9"/>
  <c r="R22" i="9"/>
  <c r="O22" i="9"/>
  <c r="L22" i="9"/>
  <c r="I22" i="9"/>
  <c r="X21" i="9"/>
  <c r="U21" i="9"/>
  <c r="R21" i="9"/>
  <c r="O21" i="9"/>
  <c r="L21" i="9"/>
  <c r="I21" i="9"/>
  <c r="X20" i="9"/>
  <c r="U20" i="9"/>
  <c r="R20" i="9"/>
  <c r="O20" i="9"/>
  <c r="L20" i="9"/>
  <c r="I20" i="9"/>
  <c r="X19" i="9"/>
  <c r="U19" i="9"/>
  <c r="R19" i="9"/>
  <c r="O19" i="9"/>
  <c r="L19" i="9"/>
  <c r="I19" i="9"/>
  <c r="X18" i="9"/>
  <c r="U18" i="9"/>
  <c r="R18" i="9"/>
  <c r="O18" i="9"/>
  <c r="L18" i="9"/>
  <c r="I18" i="9"/>
  <c r="X17" i="9"/>
  <c r="U17" i="9"/>
  <c r="R17" i="9"/>
  <c r="O17" i="9"/>
  <c r="L17" i="9"/>
  <c r="I17" i="9"/>
  <c r="X16" i="9"/>
  <c r="U16" i="9"/>
  <c r="R16" i="9"/>
  <c r="O16" i="9"/>
  <c r="L16" i="9"/>
  <c r="I16" i="9"/>
  <c r="X15" i="9"/>
  <c r="U15" i="9"/>
  <c r="R15" i="9"/>
  <c r="O15" i="9"/>
  <c r="L15" i="9"/>
  <c r="I15" i="9"/>
  <c r="X14" i="9"/>
  <c r="U14" i="9"/>
  <c r="R14" i="9"/>
  <c r="O14" i="9"/>
  <c r="L14" i="9"/>
  <c r="I14" i="9"/>
  <c r="X13" i="9"/>
  <c r="U13" i="9"/>
  <c r="R13" i="9"/>
  <c r="O13" i="9"/>
  <c r="L13" i="9"/>
  <c r="I13" i="9"/>
  <c r="X12" i="9"/>
  <c r="U12" i="9"/>
  <c r="R12" i="9"/>
  <c r="O12" i="9"/>
  <c r="L12" i="9"/>
  <c r="I12" i="9"/>
  <c r="X11" i="9"/>
  <c r="U11" i="9"/>
  <c r="R11" i="9"/>
  <c r="O11" i="9"/>
  <c r="L11" i="9"/>
  <c r="I11" i="9"/>
  <c r="X10" i="9"/>
  <c r="U10" i="9"/>
  <c r="R10" i="9"/>
  <c r="O10" i="9"/>
  <c r="L10" i="9"/>
  <c r="I10" i="9"/>
  <c r="X9" i="9"/>
  <c r="U9" i="9"/>
  <c r="R9" i="9"/>
  <c r="O9" i="9"/>
  <c r="L9" i="9"/>
  <c r="I9" i="9"/>
  <c r="X8" i="9"/>
  <c r="U8" i="9"/>
  <c r="R8" i="9"/>
  <c r="O8" i="9"/>
  <c r="L8" i="9"/>
  <c r="I8" i="9"/>
  <c r="F169" i="9"/>
  <c r="M174" i="9" l="1"/>
  <c r="M172" i="9"/>
  <c r="M173" i="9" s="1"/>
  <c r="K172" i="9"/>
  <c r="K173" i="9" s="1"/>
  <c r="K174" i="9"/>
  <c r="Q172" i="9"/>
  <c r="Q173" i="9" s="1"/>
  <c r="Q174" i="9"/>
  <c r="W172" i="9"/>
  <c r="W173" i="9" s="1"/>
  <c r="W174" i="9"/>
  <c r="S174" i="9"/>
  <c r="S172" i="9"/>
  <c r="S173" i="9" s="1"/>
  <c r="F172" i="9"/>
  <c r="F173" i="9" s="1"/>
  <c r="F174" i="9"/>
  <c r="J172" i="9"/>
  <c r="J173" i="9" s="1"/>
  <c r="J174" i="9"/>
  <c r="P172" i="9"/>
  <c r="P173" i="9" s="1"/>
  <c r="P174" i="9"/>
  <c r="V172" i="9"/>
  <c r="V173" i="9" s="1"/>
  <c r="V174" i="9"/>
  <c r="G174" i="9"/>
  <c r="G173" i="9"/>
  <c r="H172" i="9"/>
  <c r="H173" i="9" s="1"/>
  <c r="H174" i="9"/>
  <c r="N172" i="9"/>
  <c r="N173" i="9" s="1"/>
  <c r="N174" i="9"/>
  <c r="T172" i="9"/>
  <c r="T173" i="9" s="1"/>
  <c r="T174" i="9"/>
  <c r="O169" i="9"/>
  <c r="AJ9" i="9"/>
  <c r="AM9" i="9" s="1"/>
  <c r="AJ11" i="9"/>
  <c r="AM11" i="9" s="1"/>
  <c r="AJ13" i="9"/>
  <c r="AM13" i="9" s="1"/>
  <c r="AJ15" i="9"/>
  <c r="AM15" i="9" s="1"/>
  <c r="AJ17" i="9"/>
  <c r="AM17" i="9" s="1"/>
  <c r="AJ19" i="9"/>
  <c r="AM19" i="9" s="1"/>
  <c r="AJ21" i="9"/>
  <c r="AM21" i="9" s="1"/>
  <c r="AJ25" i="9"/>
  <c r="AM25" i="9" s="1"/>
  <c r="AJ27" i="9"/>
  <c r="AM27" i="9" s="1"/>
  <c r="AJ29" i="9"/>
  <c r="AM29" i="9" s="1"/>
  <c r="AJ31" i="9"/>
  <c r="AM31" i="9" s="1"/>
  <c r="AJ33" i="9"/>
  <c r="AM33" i="9" s="1"/>
  <c r="AJ35" i="9"/>
  <c r="AM35" i="9" s="1"/>
  <c r="AJ37" i="9"/>
  <c r="AM37" i="9" s="1"/>
  <c r="AJ39" i="9"/>
  <c r="AM39" i="9" s="1"/>
  <c r="AJ41" i="9"/>
  <c r="AM41" i="9" s="1"/>
  <c r="AJ43" i="9"/>
  <c r="AM43" i="9" s="1"/>
  <c r="AJ45" i="9"/>
  <c r="AM45" i="9" s="1"/>
  <c r="AJ47" i="9"/>
  <c r="AM47" i="9" s="1"/>
  <c r="AJ49" i="9"/>
  <c r="AM49" i="9" s="1"/>
  <c r="AJ51" i="9"/>
  <c r="AM51" i="9" s="1"/>
  <c r="AJ53" i="9"/>
  <c r="AM53" i="9" s="1"/>
  <c r="AJ55" i="9"/>
  <c r="AM55" i="9" s="1"/>
  <c r="AJ57" i="9"/>
  <c r="AM57" i="9" s="1"/>
  <c r="AI169" i="9"/>
  <c r="AJ59" i="9"/>
  <c r="AM59" i="9" s="1"/>
  <c r="AJ61" i="9"/>
  <c r="AM61" i="9" s="1"/>
  <c r="AJ63" i="9"/>
  <c r="AM63" i="9" s="1"/>
  <c r="AJ65" i="9"/>
  <c r="AM65" i="9" s="1"/>
  <c r="AJ67" i="9"/>
  <c r="AM67" i="9" s="1"/>
  <c r="AJ69" i="9"/>
  <c r="AM69" i="9" s="1"/>
  <c r="AJ71" i="9"/>
  <c r="AM71" i="9" s="1"/>
  <c r="AJ73" i="9"/>
  <c r="AM73" i="9" s="1"/>
  <c r="AJ75" i="9"/>
  <c r="AM75" i="9" s="1"/>
  <c r="AJ77" i="9"/>
  <c r="AM77" i="9" s="1"/>
  <c r="AJ79" i="9"/>
  <c r="AM79" i="9" s="1"/>
  <c r="AJ81" i="9"/>
  <c r="AM81" i="9" s="1"/>
  <c r="AJ83" i="9"/>
  <c r="AM83" i="9" s="1"/>
  <c r="AJ87" i="9"/>
  <c r="AM87" i="9" s="1"/>
  <c r="AJ89" i="9"/>
  <c r="AM89" i="9" s="1"/>
  <c r="AJ91" i="9"/>
  <c r="AM91" i="9" s="1"/>
  <c r="AJ93" i="9"/>
  <c r="AM93" i="9" s="1"/>
  <c r="AJ95" i="9"/>
  <c r="AM95" i="9" s="1"/>
  <c r="AJ97" i="9"/>
  <c r="AM97" i="9" s="1"/>
  <c r="AJ99" i="9"/>
  <c r="AM99" i="9" s="1"/>
  <c r="AJ101" i="9"/>
  <c r="AM101" i="9" s="1"/>
  <c r="AJ105" i="9"/>
  <c r="AM105" i="9" s="1"/>
  <c r="AJ107" i="9"/>
  <c r="AM107" i="9" s="1"/>
  <c r="AJ109" i="9"/>
  <c r="AM109" i="9" s="1"/>
  <c r="AJ111" i="9"/>
  <c r="AM111" i="9" s="1"/>
  <c r="AJ113" i="9"/>
  <c r="AM113" i="9" s="1"/>
  <c r="AJ115" i="9"/>
  <c r="AM115" i="9" s="1"/>
  <c r="AJ117" i="9"/>
  <c r="AM117" i="9" s="1"/>
  <c r="AJ119" i="9"/>
  <c r="AM119" i="9" s="1"/>
  <c r="AJ121" i="9"/>
  <c r="AM121" i="9" s="1"/>
  <c r="AJ123" i="9"/>
  <c r="AM123" i="9" s="1"/>
  <c r="AJ125" i="9"/>
  <c r="AM125" i="9" s="1"/>
  <c r="AJ127" i="9"/>
  <c r="AM127" i="9" s="1"/>
  <c r="AJ129" i="9"/>
  <c r="AM129" i="9" s="1"/>
  <c r="AJ131" i="9"/>
  <c r="AM131" i="9" s="1"/>
  <c r="AJ133" i="9"/>
  <c r="AM133" i="9" s="1"/>
  <c r="AJ135" i="9"/>
  <c r="AM135" i="9" s="1"/>
  <c r="AJ137" i="9"/>
  <c r="AM137" i="9" s="1"/>
  <c r="AJ139" i="9"/>
  <c r="AM139" i="9" s="1"/>
  <c r="AJ141" i="9"/>
  <c r="AM141" i="9" s="1"/>
  <c r="AJ143" i="9"/>
  <c r="AM143" i="9" s="1"/>
  <c r="AJ145" i="9"/>
  <c r="AM145" i="9" s="1"/>
  <c r="AJ147" i="9"/>
  <c r="AM147" i="9" s="1"/>
  <c r="AJ149" i="9"/>
  <c r="AM149" i="9" s="1"/>
  <c r="AJ151" i="9"/>
  <c r="AM151" i="9" s="1"/>
  <c r="AJ153" i="9"/>
  <c r="AM153" i="9" s="1"/>
  <c r="AJ155" i="9"/>
  <c r="AM155" i="9" s="1"/>
  <c r="AJ157" i="9"/>
  <c r="AM157" i="9" s="1"/>
  <c r="AJ159" i="9"/>
  <c r="AM159" i="9" s="1"/>
  <c r="AJ161" i="9"/>
  <c r="AM161" i="9" s="1"/>
  <c r="AJ163" i="9"/>
  <c r="AM163" i="9" s="1"/>
  <c r="AJ165" i="9"/>
  <c r="AM165" i="9" s="1"/>
  <c r="L169" i="9"/>
  <c r="AJ10" i="9"/>
  <c r="AM10" i="9" s="1"/>
  <c r="AJ12" i="9"/>
  <c r="AM12" i="9" s="1"/>
  <c r="AJ14" i="9"/>
  <c r="AM14" i="9" s="1"/>
  <c r="AJ16" i="9"/>
  <c r="AM16" i="9" s="1"/>
  <c r="AJ18" i="9"/>
  <c r="AM18" i="9" s="1"/>
  <c r="AJ20" i="9"/>
  <c r="AM20" i="9" s="1"/>
  <c r="AJ22" i="9"/>
  <c r="AM22" i="9" s="1"/>
  <c r="AJ24" i="9"/>
  <c r="AM24" i="9" s="1"/>
  <c r="AJ26" i="9"/>
  <c r="AM26" i="9" s="1"/>
  <c r="AJ28" i="9"/>
  <c r="AM28" i="9" s="1"/>
  <c r="AJ30" i="9"/>
  <c r="AM30" i="9" s="1"/>
  <c r="AJ32" i="9"/>
  <c r="AM32" i="9" s="1"/>
  <c r="AJ34" i="9"/>
  <c r="AM34" i="9" s="1"/>
  <c r="AJ36" i="9"/>
  <c r="AM36" i="9" s="1"/>
  <c r="AJ38" i="9"/>
  <c r="AM38" i="9" s="1"/>
  <c r="AJ40" i="9"/>
  <c r="AM40" i="9" s="1"/>
  <c r="AJ42" i="9"/>
  <c r="AM42" i="9" s="1"/>
  <c r="AJ44" i="9"/>
  <c r="AM44" i="9" s="1"/>
  <c r="AJ46" i="9"/>
  <c r="AM46" i="9" s="1"/>
  <c r="AJ48" i="9"/>
  <c r="AM48" i="9" s="1"/>
  <c r="AJ50" i="9"/>
  <c r="AM50" i="9" s="1"/>
  <c r="AJ52" i="9"/>
  <c r="AM52" i="9" s="1"/>
  <c r="AJ54" i="9"/>
  <c r="AM54" i="9" s="1"/>
  <c r="AJ56" i="9"/>
  <c r="AM56" i="9" s="1"/>
  <c r="AJ58" i="9"/>
  <c r="AM58" i="9" s="1"/>
  <c r="AJ23" i="9"/>
  <c r="AM23" i="9" s="1"/>
  <c r="AJ60" i="9"/>
  <c r="AM60" i="9" s="1"/>
  <c r="AJ62" i="9"/>
  <c r="AM62" i="9" s="1"/>
  <c r="AJ64" i="9"/>
  <c r="AM64" i="9" s="1"/>
  <c r="AJ66" i="9"/>
  <c r="AM66" i="9" s="1"/>
  <c r="AJ68" i="9"/>
  <c r="AM68" i="9" s="1"/>
  <c r="AJ70" i="9"/>
  <c r="AM70" i="9" s="1"/>
  <c r="AJ72" i="9"/>
  <c r="AM72" i="9" s="1"/>
  <c r="AJ74" i="9"/>
  <c r="AM74" i="9" s="1"/>
  <c r="AJ76" i="9"/>
  <c r="AM76" i="9" s="1"/>
  <c r="AJ78" i="9"/>
  <c r="AM78" i="9" s="1"/>
  <c r="AJ80" i="9"/>
  <c r="AM80" i="9" s="1"/>
  <c r="AJ82" i="9"/>
  <c r="AM82" i="9" s="1"/>
  <c r="AJ84" i="9"/>
  <c r="AM84" i="9" s="1"/>
  <c r="AJ86" i="9"/>
  <c r="AM86" i="9" s="1"/>
  <c r="AJ88" i="9"/>
  <c r="AM88" i="9" s="1"/>
  <c r="AJ90" i="9"/>
  <c r="AM90" i="9" s="1"/>
  <c r="AJ92" i="9"/>
  <c r="AM92" i="9" s="1"/>
  <c r="AJ94" i="9"/>
  <c r="AM94" i="9" s="1"/>
  <c r="AJ96" i="9"/>
  <c r="AM96" i="9" s="1"/>
  <c r="AJ98" i="9"/>
  <c r="AM98" i="9" s="1"/>
  <c r="AJ100" i="9"/>
  <c r="AM100" i="9" s="1"/>
  <c r="AJ102" i="9"/>
  <c r="AM102" i="9" s="1"/>
  <c r="AJ104" i="9"/>
  <c r="AM104" i="9" s="1"/>
  <c r="AJ106" i="9"/>
  <c r="AM106" i="9" s="1"/>
  <c r="AJ108" i="9"/>
  <c r="AM108" i="9" s="1"/>
  <c r="AJ110" i="9"/>
  <c r="AM110" i="9" s="1"/>
  <c r="AJ112" i="9"/>
  <c r="AM112" i="9" s="1"/>
  <c r="AJ114" i="9"/>
  <c r="AM114" i="9" s="1"/>
  <c r="AJ116" i="9"/>
  <c r="AM116" i="9" s="1"/>
  <c r="AJ118" i="9"/>
  <c r="AM118" i="9" s="1"/>
  <c r="AJ120" i="9"/>
  <c r="AM120" i="9" s="1"/>
  <c r="AJ122" i="9"/>
  <c r="AM122" i="9" s="1"/>
  <c r="AJ124" i="9"/>
  <c r="AM124" i="9" s="1"/>
  <c r="AJ126" i="9"/>
  <c r="AM126" i="9" s="1"/>
  <c r="AJ128" i="9"/>
  <c r="AM128" i="9" s="1"/>
  <c r="AJ130" i="9"/>
  <c r="AM130" i="9" s="1"/>
  <c r="AJ132" i="9"/>
  <c r="AM132" i="9" s="1"/>
  <c r="AJ134" i="9"/>
  <c r="AM134" i="9" s="1"/>
  <c r="AJ136" i="9"/>
  <c r="AM136" i="9" s="1"/>
  <c r="AJ138" i="9"/>
  <c r="AM138" i="9" s="1"/>
  <c r="AJ140" i="9"/>
  <c r="AM140" i="9" s="1"/>
  <c r="AJ142" i="9"/>
  <c r="AM142" i="9" s="1"/>
  <c r="AJ144" i="9"/>
  <c r="AM144" i="9" s="1"/>
  <c r="AJ146" i="9"/>
  <c r="AM146" i="9" s="1"/>
  <c r="AJ148" i="9"/>
  <c r="AM148" i="9" s="1"/>
  <c r="AJ150" i="9"/>
  <c r="AM150" i="9" s="1"/>
  <c r="AJ152" i="9"/>
  <c r="AM152" i="9" s="1"/>
  <c r="AJ154" i="9"/>
  <c r="AM154" i="9" s="1"/>
  <c r="AJ156" i="9"/>
  <c r="AM156" i="9" s="1"/>
  <c r="AJ158" i="9"/>
  <c r="AM158" i="9" s="1"/>
  <c r="AJ160" i="9"/>
  <c r="AM160" i="9" s="1"/>
  <c r="AJ162" i="9"/>
  <c r="AM162" i="9" s="1"/>
  <c r="AJ164" i="9"/>
  <c r="AM164" i="9" s="1"/>
  <c r="AJ166" i="9"/>
  <c r="AM166" i="9" s="1"/>
  <c r="AJ103" i="9"/>
  <c r="AM103" i="9" s="1"/>
  <c r="AJ85" i="9"/>
  <c r="AM85" i="9" s="1"/>
  <c r="AH169" i="9"/>
  <c r="I169" i="9"/>
  <c r="U169" i="9"/>
  <c r="R169" i="9"/>
  <c r="AJ8" i="9"/>
  <c r="AM8" i="9" s="1"/>
  <c r="Z173" i="8"/>
  <c r="AC173" i="8" s="1"/>
  <c r="Y173" i="8"/>
  <c r="AB173" i="8" s="1"/>
  <c r="Z172" i="8"/>
  <c r="AC172" i="8" s="1"/>
  <c r="Y172" i="8"/>
  <c r="AB172" i="8" s="1"/>
  <c r="Z171" i="8"/>
  <c r="AC171" i="8" s="1"/>
  <c r="Y171" i="8"/>
  <c r="AB171" i="8" s="1"/>
  <c r="Z170" i="8"/>
  <c r="AC170" i="8" s="1"/>
  <c r="Y170" i="8"/>
  <c r="AB170" i="8" s="1"/>
  <c r="Z169" i="8"/>
  <c r="AC169" i="8" s="1"/>
  <c r="Y169" i="8"/>
  <c r="AB169" i="8" s="1"/>
  <c r="Z168" i="8"/>
  <c r="AC168" i="8" s="1"/>
  <c r="Y168" i="8"/>
  <c r="AB168" i="8" s="1"/>
  <c r="Z167" i="8"/>
  <c r="AC167" i="8" s="1"/>
  <c r="Y167" i="8"/>
  <c r="AB167" i="8" s="1"/>
  <c r="Z166" i="8"/>
  <c r="AC166" i="8" s="1"/>
  <c r="Y166" i="8"/>
  <c r="AB166" i="8" s="1"/>
  <c r="Z165" i="8"/>
  <c r="AC165" i="8" s="1"/>
  <c r="Y165" i="8"/>
  <c r="AB165" i="8" s="1"/>
  <c r="Z164" i="8"/>
  <c r="AC164" i="8" s="1"/>
  <c r="Y164" i="8"/>
  <c r="AB164" i="8" s="1"/>
  <c r="Z163" i="8"/>
  <c r="AC163" i="8" s="1"/>
  <c r="Y163" i="8"/>
  <c r="AB163" i="8" s="1"/>
  <c r="Z162" i="8"/>
  <c r="AC162" i="8" s="1"/>
  <c r="Y162" i="8"/>
  <c r="AB162" i="8" s="1"/>
  <c r="Z161" i="8"/>
  <c r="AC161" i="8" s="1"/>
  <c r="Y161" i="8"/>
  <c r="AB161" i="8" s="1"/>
  <c r="Z160" i="8"/>
  <c r="AC160" i="8" s="1"/>
  <c r="Y160" i="8"/>
  <c r="AB160" i="8" s="1"/>
  <c r="Z159" i="8"/>
  <c r="AC159" i="8" s="1"/>
  <c r="Y159" i="8"/>
  <c r="AB159" i="8" s="1"/>
  <c r="Z158" i="8"/>
  <c r="AC158" i="8" s="1"/>
  <c r="Y158" i="8"/>
  <c r="AB158" i="8" s="1"/>
  <c r="Z157" i="8"/>
  <c r="AC157" i="8" s="1"/>
  <c r="Y157" i="8"/>
  <c r="AB157" i="8" s="1"/>
  <c r="Z156" i="8"/>
  <c r="AC156" i="8" s="1"/>
  <c r="Y156" i="8"/>
  <c r="AB156" i="8" s="1"/>
  <c r="Z155" i="8"/>
  <c r="AC155" i="8" s="1"/>
  <c r="Y155" i="8"/>
  <c r="AB155" i="8" s="1"/>
  <c r="Z154" i="8"/>
  <c r="AC154" i="8" s="1"/>
  <c r="Y154" i="8"/>
  <c r="AB154" i="8" s="1"/>
  <c r="Z153" i="8"/>
  <c r="AC153" i="8" s="1"/>
  <c r="Y153" i="8"/>
  <c r="AB153" i="8" s="1"/>
  <c r="Z152" i="8"/>
  <c r="AC152" i="8" s="1"/>
  <c r="Y152" i="8"/>
  <c r="AB152" i="8" s="1"/>
  <c r="Z151" i="8"/>
  <c r="AC151" i="8" s="1"/>
  <c r="Y151" i="8"/>
  <c r="AB151" i="8" s="1"/>
  <c r="Z150" i="8"/>
  <c r="AC150" i="8" s="1"/>
  <c r="Y150" i="8"/>
  <c r="AB150" i="8" s="1"/>
  <c r="Z149" i="8"/>
  <c r="AC149" i="8" s="1"/>
  <c r="Y149" i="8"/>
  <c r="AB149" i="8" s="1"/>
  <c r="Z148" i="8"/>
  <c r="AC148" i="8" s="1"/>
  <c r="Y148" i="8"/>
  <c r="AB148" i="8" s="1"/>
  <c r="Z147" i="8"/>
  <c r="AC147" i="8" s="1"/>
  <c r="Y147" i="8"/>
  <c r="AB147" i="8" s="1"/>
  <c r="Z146" i="8"/>
  <c r="AC146" i="8" s="1"/>
  <c r="Y146" i="8"/>
  <c r="AB146" i="8" s="1"/>
  <c r="Z145" i="8"/>
  <c r="AC145" i="8" s="1"/>
  <c r="Y145" i="8"/>
  <c r="AB145" i="8" s="1"/>
  <c r="Z144" i="8"/>
  <c r="AC144" i="8" s="1"/>
  <c r="Y144" i="8"/>
  <c r="AB144" i="8" s="1"/>
  <c r="Z143" i="8"/>
  <c r="AC143" i="8" s="1"/>
  <c r="Y143" i="8"/>
  <c r="AB143" i="8" s="1"/>
  <c r="Z142" i="8"/>
  <c r="AC142" i="8" s="1"/>
  <c r="Y142" i="8"/>
  <c r="AB142" i="8" s="1"/>
  <c r="Z141" i="8"/>
  <c r="AC141" i="8" s="1"/>
  <c r="Y141" i="8"/>
  <c r="AB141" i="8" s="1"/>
  <c r="Z140" i="8"/>
  <c r="AC140" i="8" s="1"/>
  <c r="Y140" i="8"/>
  <c r="AB140" i="8" s="1"/>
  <c r="Z139" i="8"/>
  <c r="AC139" i="8" s="1"/>
  <c r="Y139" i="8"/>
  <c r="AB139" i="8" s="1"/>
  <c r="Z138" i="8"/>
  <c r="AC138" i="8" s="1"/>
  <c r="Y138" i="8"/>
  <c r="AB138" i="8" s="1"/>
  <c r="Z137" i="8"/>
  <c r="AC137" i="8" s="1"/>
  <c r="Y137" i="8"/>
  <c r="AB137" i="8" s="1"/>
  <c r="Z136" i="8"/>
  <c r="AC136" i="8" s="1"/>
  <c r="Y136" i="8"/>
  <c r="AB136" i="8" s="1"/>
  <c r="Z135" i="8"/>
  <c r="AC135" i="8" s="1"/>
  <c r="Y135" i="8"/>
  <c r="AB135" i="8" s="1"/>
  <c r="Z134" i="8"/>
  <c r="AC134" i="8" s="1"/>
  <c r="Y134" i="8"/>
  <c r="AB134" i="8" s="1"/>
  <c r="Z133" i="8"/>
  <c r="AC133" i="8" s="1"/>
  <c r="Y133" i="8"/>
  <c r="AB133" i="8" s="1"/>
  <c r="Z132" i="8"/>
  <c r="AC132" i="8" s="1"/>
  <c r="Y132" i="8"/>
  <c r="AB132" i="8" s="1"/>
  <c r="Z131" i="8"/>
  <c r="AC131" i="8" s="1"/>
  <c r="Y131" i="8"/>
  <c r="AB131" i="8" s="1"/>
  <c r="Z130" i="8"/>
  <c r="AC130" i="8" s="1"/>
  <c r="Y130" i="8"/>
  <c r="AB130" i="8" s="1"/>
  <c r="Z129" i="8"/>
  <c r="AC129" i="8" s="1"/>
  <c r="Y129" i="8"/>
  <c r="AB129" i="8" s="1"/>
  <c r="Z128" i="8"/>
  <c r="AC128" i="8" s="1"/>
  <c r="Y128" i="8"/>
  <c r="AB128" i="8" s="1"/>
  <c r="Z127" i="8"/>
  <c r="AC127" i="8" s="1"/>
  <c r="Y127" i="8"/>
  <c r="AB127" i="8" s="1"/>
  <c r="Z126" i="8"/>
  <c r="AC126" i="8" s="1"/>
  <c r="Y126" i="8"/>
  <c r="AB126" i="8" s="1"/>
  <c r="Z125" i="8"/>
  <c r="AC125" i="8" s="1"/>
  <c r="Y125" i="8"/>
  <c r="AB125" i="8" s="1"/>
  <c r="Z124" i="8"/>
  <c r="AC124" i="8" s="1"/>
  <c r="Y124" i="8"/>
  <c r="AB124" i="8" s="1"/>
  <c r="Z123" i="8"/>
  <c r="AC123" i="8" s="1"/>
  <c r="Y123" i="8"/>
  <c r="AB123" i="8" s="1"/>
  <c r="Z122" i="8"/>
  <c r="AC122" i="8" s="1"/>
  <c r="Y122" i="8"/>
  <c r="AB122" i="8" s="1"/>
  <c r="Z121" i="8"/>
  <c r="AC121" i="8" s="1"/>
  <c r="Y121" i="8"/>
  <c r="AB121" i="8" s="1"/>
  <c r="Z120" i="8"/>
  <c r="AC120" i="8" s="1"/>
  <c r="Y120" i="8"/>
  <c r="AB120" i="8" s="1"/>
  <c r="Z119" i="8"/>
  <c r="AC119" i="8" s="1"/>
  <c r="Y119" i="8"/>
  <c r="AB119" i="8" s="1"/>
  <c r="Z118" i="8"/>
  <c r="AC118" i="8" s="1"/>
  <c r="Y118" i="8"/>
  <c r="AB118" i="8" s="1"/>
  <c r="Z117" i="8"/>
  <c r="AC117" i="8" s="1"/>
  <c r="Y117" i="8"/>
  <c r="AB117" i="8" s="1"/>
  <c r="Z116" i="8"/>
  <c r="AC116" i="8" s="1"/>
  <c r="Y116" i="8"/>
  <c r="AB116" i="8" s="1"/>
  <c r="Z115" i="8"/>
  <c r="AC115" i="8" s="1"/>
  <c r="Y115" i="8"/>
  <c r="AB115" i="8" s="1"/>
  <c r="Z114" i="8"/>
  <c r="AC114" i="8" s="1"/>
  <c r="Y114" i="8"/>
  <c r="AB114" i="8" s="1"/>
  <c r="Z113" i="8"/>
  <c r="AC113" i="8" s="1"/>
  <c r="Y113" i="8"/>
  <c r="AB113" i="8" s="1"/>
  <c r="Z112" i="8"/>
  <c r="AC112" i="8" s="1"/>
  <c r="Y112" i="8"/>
  <c r="AB112" i="8" s="1"/>
  <c r="Z111" i="8"/>
  <c r="AC111" i="8" s="1"/>
  <c r="Y111" i="8"/>
  <c r="AB111" i="8" s="1"/>
  <c r="Z110" i="8"/>
  <c r="AC110" i="8" s="1"/>
  <c r="Y110" i="8"/>
  <c r="AB110" i="8" s="1"/>
  <c r="Z109" i="8"/>
  <c r="AC109" i="8" s="1"/>
  <c r="Y109" i="8"/>
  <c r="AB109" i="8" s="1"/>
  <c r="Z108" i="8"/>
  <c r="AC108" i="8" s="1"/>
  <c r="Y108" i="8"/>
  <c r="AB108" i="8" s="1"/>
  <c r="Z107" i="8"/>
  <c r="AC107" i="8" s="1"/>
  <c r="Y107" i="8"/>
  <c r="AB107" i="8" s="1"/>
  <c r="Z106" i="8"/>
  <c r="AC106" i="8" s="1"/>
  <c r="Y106" i="8"/>
  <c r="AB106" i="8" s="1"/>
  <c r="Z105" i="8"/>
  <c r="AC105" i="8" s="1"/>
  <c r="Y105" i="8"/>
  <c r="AB105" i="8" s="1"/>
  <c r="Z104" i="8"/>
  <c r="AC104" i="8" s="1"/>
  <c r="Y104" i="8"/>
  <c r="AB104" i="8" s="1"/>
  <c r="Z103" i="8"/>
  <c r="AC103" i="8" s="1"/>
  <c r="Y103" i="8"/>
  <c r="AB103" i="8" s="1"/>
  <c r="Z102" i="8"/>
  <c r="AC102" i="8" s="1"/>
  <c r="Y102" i="8"/>
  <c r="AB102" i="8" s="1"/>
  <c r="Z101" i="8"/>
  <c r="AC101" i="8" s="1"/>
  <c r="Y101" i="8"/>
  <c r="AB101" i="8" s="1"/>
  <c r="Z100" i="8"/>
  <c r="AC100" i="8" s="1"/>
  <c r="Y100" i="8"/>
  <c r="AB100" i="8" s="1"/>
  <c r="Z99" i="8"/>
  <c r="AC99" i="8" s="1"/>
  <c r="Y99" i="8"/>
  <c r="AB99" i="8" s="1"/>
  <c r="Z98" i="8"/>
  <c r="AC98" i="8" s="1"/>
  <c r="Y98" i="8"/>
  <c r="AB98" i="8" s="1"/>
  <c r="Z97" i="8"/>
  <c r="AC97" i="8" s="1"/>
  <c r="Y97" i="8"/>
  <c r="AB97" i="8" s="1"/>
  <c r="Z96" i="8"/>
  <c r="AC96" i="8" s="1"/>
  <c r="Y96" i="8"/>
  <c r="AB96" i="8" s="1"/>
  <c r="Z95" i="8"/>
  <c r="AC95" i="8" s="1"/>
  <c r="Y95" i="8"/>
  <c r="AB95" i="8" s="1"/>
  <c r="Z94" i="8"/>
  <c r="AC94" i="8" s="1"/>
  <c r="Y94" i="8"/>
  <c r="AB94" i="8" s="1"/>
  <c r="Z93" i="8"/>
  <c r="AC93" i="8" s="1"/>
  <c r="Y93" i="8"/>
  <c r="AB93" i="8" s="1"/>
  <c r="Z92" i="8"/>
  <c r="AC92" i="8" s="1"/>
  <c r="Y92" i="8"/>
  <c r="AB92" i="8" s="1"/>
  <c r="Z91" i="8"/>
  <c r="AC91" i="8" s="1"/>
  <c r="Y91" i="8"/>
  <c r="AB91" i="8" s="1"/>
  <c r="Z90" i="8"/>
  <c r="AC90" i="8" s="1"/>
  <c r="Y90" i="8"/>
  <c r="AB90" i="8" s="1"/>
  <c r="Z89" i="8"/>
  <c r="AC89" i="8" s="1"/>
  <c r="Y89" i="8"/>
  <c r="AB89" i="8" s="1"/>
  <c r="Z88" i="8"/>
  <c r="AC88" i="8" s="1"/>
  <c r="Y88" i="8"/>
  <c r="AB88" i="8" s="1"/>
  <c r="Z87" i="8"/>
  <c r="AC87" i="8" s="1"/>
  <c r="Y87" i="8"/>
  <c r="AB87" i="8" s="1"/>
  <c r="Z86" i="8"/>
  <c r="AC86" i="8" s="1"/>
  <c r="Y86" i="8"/>
  <c r="AB86" i="8" s="1"/>
  <c r="Z85" i="8"/>
  <c r="AC85" i="8" s="1"/>
  <c r="Y85" i="8"/>
  <c r="AB85" i="8" s="1"/>
  <c r="Z84" i="8"/>
  <c r="AC84" i="8" s="1"/>
  <c r="Y84" i="8"/>
  <c r="AB84" i="8" s="1"/>
  <c r="Z83" i="8"/>
  <c r="AC83" i="8" s="1"/>
  <c r="Y83" i="8"/>
  <c r="AB83" i="8" s="1"/>
  <c r="Z82" i="8"/>
  <c r="AC82" i="8" s="1"/>
  <c r="Y82" i="8"/>
  <c r="AB82" i="8" s="1"/>
  <c r="Z81" i="8"/>
  <c r="AC81" i="8" s="1"/>
  <c r="Y81" i="8"/>
  <c r="AB81" i="8" s="1"/>
  <c r="Z80" i="8"/>
  <c r="AC80" i="8" s="1"/>
  <c r="Y80" i="8"/>
  <c r="AB80" i="8" s="1"/>
  <c r="Z79" i="8"/>
  <c r="AC79" i="8" s="1"/>
  <c r="Y79" i="8"/>
  <c r="AB79" i="8" s="1"/>
  <c r="Z78" i="8"/>
  <c r="AC78" i="8" s="1"/>
  <c r="Y78" i="8"/>
  <c r="AB78" i="8" s="1"/>
  <c r="Z77" i="8"/>
  <c r="AC77" i="8" s="1"/>
  <c r="Y77" i="8"/>
  <c r="AB77" i="8" s="1"/>
  <c r="Z76" i="8"/>
  <c r="AC76" i="8" s="1"/>
  <c r="Y76" i="8"/>
  <c r="AB76" i="8" s="1"/>
  <c r="Z75" i="8"/>
  <c r="AC75" i="8" s="1"/>
  <c r="Y75" i="8"/>
  <c r="AB75" i="8" s="1"/>
  <c r="Z74" i="8"/>
  <c r="AC74" i="8" s="1"/>
  <c r="Y74" i="8"/>
  <c r="AB74" i="8" s="1"/>
  <c r="Z73" i="8"/>
  <c r="AC73" i="8" s="1"/>
  <c r="Y73" i="8"/>
  <c r="AB73" i="8" s="1"/>
  <c r="Z72" i="8"/>
  <c r="AC72" i="8" s="1"/>
  <c r="Y72" i="8"/>
  <c r="AB72" i="8" s="1"/>
  <c r="Z71" i="8"/>
  <c r="AC71" i="8" s="1"/>
  <c r="Y71" i="8"/>
  <c r="AB71" i="8" s="1"/>
  <c r="Z70" i="8"/>
  <c r="AC70" i="8" s="1"/>
  <c r="Y70" i="8"/>
  <c r="AB70" i="8" s="1"/>
  <c r="Z69" i="8"/>
  <c r="AC69" i="8" s="1"/>
  <c r="Y69" i="8"/>
  <c r="AB69" i="8" s="1"/>
  <c r="Z68" i="8"/>
  <c r="AC68" i="8" s="1"/>
  <c r="Y68" i="8"/>
  <c r="AB68" i="8" s="1"/>
  <c r="Z67" i="8"/>
  <c r="AC67" i="8" s="1"/>
  <c r="Y67" i="8"/>
  <c r="AB67" i="8" s="1"/>
  <c r="Z66" i="8"/>
  <c r="AC66" i="8" s="1"/>
  <c r="Y66" i="8"/>
  <c r="AB66" i="8" s="1"/>
  <c r="Z65" i="8"/>
  <c r="AC65" i="8" s="1"/>
  <c r="Y65" i="8"/>
  <c r="AB65" i="8" s="1"/>
  <c r="Z64" i="8"/>
  <c r="AC64" i="8" s="1"/>
  <c r="Y64" i="8"/>
  <c r="AB64" i="8" s="1"/>
  <c r="Z63" i="8"/>
  <c r="AC63" i="8" s="1"/>
  <c r="Y63" i="8"/>
  <c r="AB63" i="8" s="1"/>
  <c r="Z62" i="8"/>
  <c r="AC62" i="8" s="1"/>
  <c r="Y62" i="8"/>
  <c r="AB62" i="8" s="1"/>
  <c r="Z61" i="8"/>
  <c r="AC61" i="8" s="1"/>
  <c r="Y61" i="8"/>
  <c r="AB61" i="8" s="1"/>
  <c r="Z60" i="8"/>
  <c r="AC60" i="8" s="1"/>
  <c r="Y60" i="8"/>
  <c r="AB60" i="8" s="1"/>
  <c r="Z59" i="8"/>
  <c r="AC59" i="8" s="1"/>
  <c r="Y59" i="8"/>
  <c r="AB59" i="8" s="1"/>
  <c r="Z58" i="8"/>
  <c r="AC58" i="8" s="1"/>
  <c r="Y58" i="8"/>
  <c r="AB58" i="8" s="1"/>
  <c r="Z57" i="8"/>
  <c r="AC57" i="8" s="1"/>
  <c r="Y57" i="8"/>
  <c r="AB57" i="8" s="1"/>
  <c r="Z56" i="8"/>
  <c r="AC56" i="8" s="1"/>
  <c r="Y56" i="8"/>
  <c r="AB56" i="8" s="1"/>
  <c r="Z55" i="8"/>
  <c r="AC55" i="8" s="1"/>
  <c r="Y55" i="8"/>
  <c r="AB55" i="8" s="1"/>
  <c r="Z54" i="8"/>
  <c r="AC54" i="8" s="1"/>
  <c r="Y54" i="8"/>
  <c r="AB54" i="8" s="1"/>
  <c r="Z53" i="8"/>
  <c r="AC53" i="8" s="1"/>
  <c r="Y53" i="8"/>
  <c r="AB53" i="8" s="1"/>
  <c r="Z52" i="8"/>
  <c r="AC52" i="8" s="1"/>
  <c r="Y52" i="8"/>
  <c r="AB52" i="8" s="1"/>
  <c r="Z51" i="8"/>
  <c r="AC51" i="8" s="1"/>
  <c r="Y51" i="8"/>
  <c r="AB51" i="8" s="1"/>
  <c r="Z50" i="8"/>
  <c r="AC50" i="8" s="1"/>
  <c r="Y50" i="8"/>
  <c r="AB50" i="8" s="1"/>
  <c r="Z49" i="8"/>
  <c r="AC49" i="8" s="1"/>
  <c r="Y49" i="8"/>
  <c r="AB49" i="8" s="1"/>
  <c r="Z48" i="8"/>
  <c r="AC48" i="8" s="1"/>
  <c r="Y48" i="8"/>
  <c r="AB48" i="8" s="1"/>
  <c r="Z47" i="8"/>
  <c r="AC47" i="8" s="1"/>
  <c r="Y47" i="8"/>
  <c r="AB47" i="8" s="1"/>
  <c r="Z46" i="8"/>
  <c r="AC46" i="8" s="1"/>
  <c r="Y46" i="8"/>
  <c r="AB46" i="8" s="1"/>
  <c r="Z45" i="8"/>
  <c r="AC45" i="8" s="1"/>
  <c r="Y45" i="8"/>
  <c r="AB45" i="8" s="1"/>
  <c r="Z44" i="8"/>
  <c r="AC44" i="8" s="1"/>
  <c r="Y44" i="8"/>
  <c r="AB44" i="8" s="1"/>
  <c r="Z43" i="8"/>
  <c r="AC43" i="8" s="1"/>
  <c r="Y43" i="8"/>
  <c r="AB43" i="8" s="1"/>
  <c r="Z42" i="8"/>
  <c r="AC42" i="8" s="1"/>
  <c r="Y42" i="8"/>
  <c r="AB42" i="8" s="1"/>
  <c r="Z41" i="8"/>
  <c r="AC41" i="8" s="1"/>
  <c r="Y41" i="8"/>
  <c r="AB41" i="8" s="1"/>
  <c r="Z40" i="8"/>
  <c r="AC40" i="8" s="1"/>
  <c r="Y40" i="8"/>
  <c r="AB40" i="8" s="1"/>
  <c r="Z39" i="8"/>
  <c r="AC39" i="8" s="1"/>
  <c r="Y39" i="8"/>
  <c r="AB39" i="8" s="1"/>
  <c r="Z38" i="8"/>
  <c r="AC38" i="8" s="1"/>
  <c r="Y38" i="8"/>
  <c r="AB38" i="8" s="1"/>
  <c r="Z37" i="8"/>
  <c r="AC37" i="8" s="1"/>
  <c r="Y37" i="8"/>
  <c r="AB37" i="8" s="1"/>
  <c r="Z36" i="8"/>
  <c r="AC36" i="8" s="1"/>
  <c r="Y36" i="8"/>
  <c r="AB36" i="8" s="1"/>
  <c r="Z35" i="8"/>
  <c r="AC35" i="8" s="1"/>
  <c r="Y35" i="8"/>
  <c r="AB35" i="8" s="1"/>
  <c r="Z34" i="8"/>
  <c r="AC34" i="8" s="1"/>
  <c r="Y34" i="8"/>
  <c r="AB34" i="8" s="1"/>
  <c r="Z33" i="8"/>
  <c r="AC33" i="8" s="1"/>
  <c r="Y33" i="8"/>
  <c r="AB33" i="8" s="1"/>
  <c r="Z32" i="8"/>
  <c r="AC32" i="8" s="1"/>
  <c r="Y32" i="8"/>
  <c r="AB32" i="8" s="1"/>
  <c r="Z31" i="8"/>
  <c r="AC31" i="8" s="1"/>
  <c r="Y31" i="8"/>
  <c r="AB31" i="8" s="1"/>
  <c r="Z30" i="8"/>
  <c r="AC30" i="8" s="1"/>
  <c r="Y30" i="8"/>
  <c r="AB30" i="8" s="1"/>
  <c r="Z29" i="8"/>
  <c r="AC29" i="8" s="1"/>
  <c r="Y29" i="8"/>
  <c r="AB29" i="8" s="1"/>
  <c r="Z28" i="8"/>
  <c r="AC28" i="8" s="1"/>
  <c r="Y28" i="8"/>
  <c r="AB28" i="8" s="1"/>
  <c r="Z27" i="8"/>
  <c r="AC27" i="8" s="1"/>
  <c r="Y27" i="8"/>
  <c r="AB27" i="8" s="1"/>
  <c r="Z26" i="8"/>
  <c r="AC26" i="8" s="1"/>
  <c r="Y26" i="8"/>
  <c r="AB26" i="8" s="1"/>
  <c r="Z25" i="8"/>
  <c r="AC25" i="8" s="1"/>
  <c r="Y25" i="8"/>
  <c r="AB25" i="8" s="1"/>
  <c r="Z24" i="8"/>
  <c r="AC24" i="8" s="1"/>
  <c r="Y24" i="8"/>
  <c r="AB24" i="8" s="1"/>
  <c r="Z23" i="8"/>
  <c r="AC23" i="8" s="1"/>
  <c r="Y23" i="8"/>
  <c r="AB23" i="8" s="1"/>
  <c r="Z22" i="8"/>
  <c r="AC22" i="8" s="1"/>
  <c r="Y22" i="8"/>
  <c r="AB22" i="8" s="1"/>
  <c r="Z21" i="8"/>
  <c r="AC21" i="8" s="1"/>
  <c r="Y21" i="8"/>
  <c r="AB21" i="8" s="1"/>
  <c r="Z20" i="8"/>
  <c r="AC20" i="8" s="1"/>
  <c r="Y20" i="8"/>
  <c r="AB20" i="8" s="1"/>
  <c r="Z19" i="8"/>
  <c r="AC19" i="8" s="1"/>
  <c r="Y19" i="8"/>
  <c r="AB19" i="8" s="1"/>
  <c r="Z18" i="8"/>
  <c r="AC18" i="8" s="1"/>
  <c r="Y18" i="8"/>
  <c r="AB18" i="8" s="1"/>
  <c r="Z17" i="8"/>
  <c r="AC17" i="8" s="1"/>
  <c r="Y17" i="8"/>
  <c r="AB17" i="8" s="1"/>
  <c r="Z16" i="8"/>
  <c r="AC16" i="8" s="1"/>
  <c r="Y16" i="8"/>
  <c r="AB16" i="8" s="1"/>
  <c r="Z15" i="8"/>
  <c r="AC15" i="8" s="1"/>
  <c r="Y15" i="8"/>
  <c r="AB15" i="8" s="1"/>
  <c r="Z14" i="8"/>
  <c r="AC14" i="8" s="1"/>
  <c r="Y14" i="8"/>
  <c r="AB14" i="8" s="1"/>
  <c r="Z13" i="8"/>
  <c r="AC13" i="8" s="1"/>
  <c r="Y13" i="8"/>
  <c r="AB13" i="8" s="1"/>
  <c r="Z12" i="8"/>
  <c r="AC12" i="8" s="1"/>
  <c r="Y12" i="8"/>
  <c r="AB12" i="8" s="1"/>
  <c r="Z11" i="8"/>
  <c r="AC11" i="8" s="1"/>
  <c r="Y11" i="8"/>
  <c r="AB11" i="8" s="1"/>
  <c r="Z10" i="8"/>
  <c r="AC10" i="8" s="1"/>
  <c r="Y10" i="8"/>
  <c r="AB10" i="8" s="1"/>
  <c r="Z9" i="8"/>
  <c r="AC9" i="8" s="1"/>
  <c r="Y9" i="8"/>
  <c r="AB9" i="8" s="1"/>
  <c r="W174" i="8"/>
  <c r="V174" i="8"/>
  <c r="T174" i="8"/>
  <c r="S174" i="8"/>
  <c r="Q174" i="8"/>
  <c r="P174" i="8"/>
  <c r="N174" i="8"/>
  <c r="M174" i="8"/>
  <c r="K174" i="8"/>
  <c r="J174" i="8"/>
  <c r="H174" i="8"/>
  <c r="G174" i="8"/>
  <c r="X173" i="8"/>
  <c r="U173" i="8"/>
  <c r="R173" i="8"/>
  <c r="O173" i="8"/>
  <c r="L173" i="8"/>
  <c r="X172" i="8"/>
  <c r="U172" i="8"/>
  <c r="R172" i="8"/>
  <c r="O172" i="8"/>
  <c r="L172" i="8"/>
  <c r="X171" i="8"/>
  <c r="U171" i="8"/>
  <c r="R171" i="8"/>
  <c r="O171" i="8"/>
  <c r="L171" i="8"/>
  <c r="X170" i="8"/>
  <c r="U170" i="8"/>
  <c r="R170" i="8"/>
  <c r="O170" i="8"/>
  <c r="L170" i="8"/>
  <c r="X169" i="8"/>
  <c r="U169" i="8"/>
  <c r="R169" i="8"/>
  <c r="O169" i="8"/>
  <c r="L169" i="8"/>
  <c r="X168" i="8"/>
  <c r="U168" i="8"/>
  <c r="R168" i="8"/>
  <c r="O168" i="8"/>
  <c r="L168" i="8"/>
  <c r="I168" i="8"/>
  <c r="X167" i="8"/>
  <c r="U167" i="8"/>
  <c r="R167" i="8"/>
  <c r="O167" i="8"/>
  <c r="L167" i="8"/>
  <c r="I167" i="8"/>
  <c r="X166" i="8"/>
  <c r="U166" i="8"/>
  <c r="R166" i="8"/>
  <c r="O166" i="8"/>
  <c r="L166" i="8"/>
  <c r="I166" i="8"/>
  <c r="X165" i="8"/>
  <c r="U165" i="8"/>
  <c r="R165" i="8"/>
  <c r="O165" i="8"/>
  <c r="L165" i="8"/>
  <c r="I165" i="8"/>
  <c r="X164" i="8"/>
  <c r="U164" i="8"/>
  <c r="R164" i="8"/>
  <c r="O164" i="8"/>
  <c r="L164" i="8"/>
  <c r="I164" i="8"/>
  <c r="X163" i="8"/>
  <c r="U163" i="8"/>
  <c r="R163" i="8"/>
  <c r="O163" i="8"/>
  <c r="L163" i="8"/>
  <c r="I163" i="8"/>
  <c r="X162" i="8"/>
  <c r="U162" i="8"/>
  <c r="R162" i="8"/>
  <c r="O162" i="8"/>
  <c r="L162" i="8"/>
  <c r="I162" i="8"/>
  <c r="X161" i="8"/>
  <c r="U161" i="8"/>
  <c r="R161" i="8"/>
  <c r="O161" i="8"/>
  <c r="L161" i="8"/>
  <c r="I161" i="8"/>
  <c r="X160" i="8"/>
  <c r="U160" i="8"/>
  <c r="R160" i="8"/>
  <c r="O160" i="8"/>
  <c r="L160" i="8"/>
  <c r="I160" i="8"/>
  <c r="X159" i="8"/>
  <c r="U159" i="8"/>
  <c r="R159" i="8"/>
  <c r="O159" i="8"/>
  <c r="L159" i="8"/>
  <c r="I159" i="8"/>
  <c r="X158" i="8"/>
  <c r="U158" i="8"/>
  <c r="R158" i="8"/>
  <c r="O158" i="8"/>
  <c r="L158" i="8"/>
  <c r="I158" i="8"/>
  <c r="X157" i="8"/>
  <c r="U157" i="8"/>
  <c r="R157" i="8"/>
  <c r="O157" i="8"/>
  <c r="L157" i="8"/>
  <c r="I157" i="8"/>
  <c r="X156" i="8"/>
  <c r="U156" i="8"/>
  <c r="R156" i="8"/>
  <c r="O156" i="8"/>
  <c r="L156" i="8"/>
  <c r="I156" i="8"/>
  <c r="X155" i="8"/>
  <c r="U155" i="8"/>
  <c r="R155" i="8"/>
  <c r="O155" i="8"/>
  <c r="L155" i="8"/>
  <c r="I155" i="8"/>
  <c r="X154" i="8"/>
  <c r="U154" i="8"/>
  <c r="R154" i="8"/>
  <c r="O154" i="8"/>
  <c r="L154" i="8"/>
  <c r="I154" i="8"/>
  <c r="X153" i="8"/>
  <c r="U153" i="8"/>
  <c r="R153" i="8"/>
  <c r="O153" i="8"/>
  <c r="L153" i="8"/>
  <c r="I153" i="8"/>
  <c r="X152" i="8"/>
  <c r="U152" i="8"/>
  <c r="R152" i="8"/>
  <c r="O152" i="8"/>
  <c r="L152" i="8"/>
  <c r="I152" i="8"/>
  <c r="X151" i="8"/>
  <c r="U151" i="8"/>
  <c r="R151" i="8"/>
  <c r="O151" i="8"/>
  <c r="L151" i="8"/>
  <c r="I151" i="8"/>
  <c r="X150" i="8"/>
  <c r="U150" i="8"/>
  <c r="R150" i="8"/>
  <c r="O150" i="8"/>
  <c r="L150" i="8"/>
  <c r="I150" i="8"/>
  <c r="X149" i="8"/>
  <c r="U149" i="8"/>
  <c r="R149" i="8"/>
  <c r="O149" i="8"/>
  <c r="L149" i="8"/>
  <c r="I149" i="8"/>
  <c r="X148" i="8"/>
  <c r="U148" i="8"/>
  <c r="R148" i="8"/>
  <c r="O148" i="8"/>
  <c r="L148" i="8"/>
  <c r="I148" i="8"/>
  <c r="X147" i="8"/>
  <c r="U147" i="8"/>
  <c r="R147" i="8"/>
  <c r="O147" i="8"/>
  <c r="L147" i="8"/>
  <c r="I147" i="8"/>
  <c r="X146" i="8"/>
  <c r="U146" i="8"/>
  <c r="R146" i="8"/>
  <c r="O146" i="8"/>
  <c r="L146" i="8"/>
  <c r="I146" i="8"/>
  <c r="X145" i="8"/>
  <c r="U145" i="8"/>
  <c r="R145" i="8"/>
  <c r="O145" i="8"/>
  <c r="L145" i="8"/>
  <c r="I145" i="8"/>
  <c r="X144" i="8"/>
  <c r="U144" i="8"/>
  <c r="R144" i="8"/>
  <c r="O144" i="8"/>
  <c r="L144" i="8"/>
  <c r="I144" i="8"/>
  <c r="X143" i="8"/>
  <c r="U143" i="8"/>
  <c r="R143" i="8"/>
  <c r="O143" i="8"/>
  <c r="L143" i="8"/>
  <c r="I143" i="8"/>
  <c r="X142" i="8"/>
  <c r="U142" i="8"/>
  <c r="R142" i="8"/>
  <c r="O142" i="8"/>
  <c r="L142" i="8"/>
  <c r="I142" i="8"/>
  <c r="X141" i="8"/>
  <c r="U141" i="8"/>
  <c r="R141" i="8"/>
  <c r="O141" i="8"/>
  <c r="L141" i="8"/>
  <c r="I141" i="8"/>
  <c r="X140" i="8"/>
  <c r="U140" i="8"/>
  <c r="R140" i="8"/>
  <c r="O140" i="8"/>
  <c r="L140" i="8"/>
  <c r="I140" i="8"/>
  <c r="X139" i="8"/>
  <c r="U139" i="8"/>
  <c r="R139" i="8"/>
  <c r="O139" i="8"/>
  <c r="L139" i="8"/>
  <c r="I139" i="8"/>
  <c r="X138" i="8"/>
  <c r="U138" i="8"/>
  <c r="R138" i="8"/>
  <c r="O138" i="8"/>
  <c r="L138" i="8"/>
  <c r="I138" i="8"/>
  <c r="X137" i="8"/>
  <c r="U137" i="8"/>
  <c r="R137" i="8"/>
  <c r="O137" i="8"/>
  <c r="L137" i="8"/>
  <c r="I137" i="8"/>
  <c r="X136" i="8"/>
  <c r="U136" i="8"/>
  <c r="R136" i="8"/>
  <c r="O136" i="8"/>
  <c r="L136" i="8"/>
  <c r="I136" i="8"/>
  <c r="X135" i="8"/>
  <c r="U135" i="8"/>
  <c r="R135" i="8"/>
  <c r="O135" i="8"/>
  <c r="L135" i="8"/>
  <c r="I135" i="8"/>
  <c r="X134" i="8"/>
  <c r="U134" i="8"/>
  <c r="R134" i="8"/>
  <c r="O134" i="8"/>
  <c r="L134" i="8"/>
  <c r="I134" i="8"/>
  <c r="X133" i="8"/>
  <c r="U133" i="8"/>
  <c r="R133" i="8"/>
  <c r="O133" i="8"/>
  <c r="L133" i="8"/>
  <c r="I133" i="8"/>
  <c r="X132" i="8"/>
  <c r="U132" i="8"/>
  <c r="R132" i="8"/>
  <c r="O132" i="8"/>
  <c r="L132" i="8"/>
  <c r="I132" i="8"/>
  <c r="X131" i="8"/>
  <c r="U131" i="8"/>
  <c r="R131" i="8"/>
  <c r="O131" i="8"/>
  <c r="L131" i="8"/>
  <c r="I131" i="8"/>
  <c r="X130" i="8"/>
  <c r="U130" i="8"/>
  <c r="R130" i="8"/>
  <c r="O130" i="8"/>
  <c r="L130" i="8"/>
  <c r="I130" i="8"/>
  <c r="X129" i="8"/>
  <c r="U129" i="8"/>
  <c r="R129" i="8"/>
  <c r="O129" i="8"/>
  <c r="L129" i="8"/>
  <c r="I129" i="8"/>
  <c r="X128" i="8"/>
  <c r="U128" i="8"/>
  <c r="R128" i="8"/>
  <c r="O128" i="8"/>
  <c r="L128" i="8"/>
  <c r="I128" i="8"/>
  <c r="X127" i="8"/>
  <c r="U127" i="8"/>
  <c r="R127" i="8"/>
  <c r="O127" i="8"/>
  <c r="L127" i="8"/>
  <c r="I127" i="8"/>
  <c r="X126" i="8"/>
  <c r="U126" i="8"/>
  <c r="R126" i="8"/>
  <c r="O126" i="8"/>
  <c r="L126" i="8"/>
  <c r="I126" i="8"/>
  <c r="X125" i="8"/>
  <c r="U125" i="8"/>
  <c r="R125" i="8"/>
  <c r="O125" i="8"/>
  <c r="L125" i="8"/>
  <c r="I125" i="8"/>
  <c r="X124" i="8"/>
  <c r="U124" i="8"/>
  <c r="R124" i="8"/>
  <c r="O124" i="8"/>
  <c r="L124" i="8"/>
  <c r="I124" i="8"/>
  <c r="X123" i="8"/>
  <c r="U123" i="8"/>
  <c r="R123" i="8"/>
  <c r="O123" i="8"/>
  <c r="L123" i="8"/>
  <c r="I123" i="8"/>
  <c r="X122" i="8"/>
  <c r="U122" i="8"/>
  <c r="R122" i="8"/>
  <c r="O122" i="8"/>
  <c r="L122" i="8"/>
  <c r="I122" i="8"/>
  <c r="X121" i="8"/>
  <c r="U121" i="8"/>
  <c r="R121" i="8"/>
  <c r="O121" i="8"/>
  <c r="L121" i="8"/>
  <c r="I121" i="8"/>
  <c r="X120" i="8"/>
  <c r="U120" i="8"/>
  <c r="R120" i="8"/>
  <c r="O120" i="8"/>
  <c r="L120" i="8"/>
  <c r="I120" i="8"/>
  <c r="X119" i="8"/>
  <c r="U119" i="8"/>
  <c r="R119" i="8"/>
  <c r="O119" i="8"/>
  <c r="L119" i="8"/>
  <c r="I119" i="8"/>
  <c r="X118" i="8"/>
  <c r="U118" i="8"/>
  <c r="R118" i="8"/>
  <c r="O118" i="8"/>
  <c r="L118" i="8"/>
  <c r="I118" i="8"/>
  <c r="X117" i="8"/>
  <c r="U117" i="8"/>
  <c r="R117" i="8"/>
  <c r="O117" i="8"/>
  <c r="L117" i="8"/>
  <c r="I117" i="8"/>
  <c r="X116" i="8"/>
  <c r="U116" i="8"/>
  <c r="R116" i="8"/>
  <c r="O116" i="8"/>
  <c r="L116" i="8"/>
  <c r="I116" i="8"/>
  <c r="X115" i="8"/>
  <c r="U115" i="8"/>
  <c r="R115" i="8"/>
  <c r="O115" i="8"/>
  <c r="L115" i="8"/>
  <c r="I115" i="8"/>
  <c r="X114" i="8"/>
  <c r="U114" i="8"/>
  <c r="R114" i="8"/>
  <c r="O114" i="8"/>
  <c r="L114" i="8"/>
  <c r="I114" i="8"/>
  <c r="X113" i="8"/>
  <c r="U113" i="8"/>
  <c r="O113" i="8"/>
  <c r="L113" i="8"/>
  <c r="I113" i="8"/>
  <c r="X112" i="8"/>
  <c r="U112" i="8"/>
  <c r="R112" i="8"/>
  <c r="O112" i="8"/>
  <c r="L112" i="8"/>
  <c r="I112" i="8"/>
  <c r="X111" i="8"/>
  <c r="U111" i="8"/>
  <c r="R111" i="8"/>
  <c r="O111" i="8"/>
  <c r="L111" i="8"/>
  <c r="I111" i="8"/>
  <c r="X110" i="8"/>
  <c r="U110" i="8"/>
  <c r="R110" i="8"/>
  <c r="O110" i="8"/>
  <c r="L110" i="8"/>
  <c r="I110" i="8"/>
  <c r="X109" i="8"/>
  <c r="U109" i="8"/>
  <c r="R109" i="8"/>
  <c r="O109" i="8"/>
  <c r="L109" i="8"/>
  <c r="I109" i="8"/>
  <c r="X108" i="8"/>
  <c r="U108" i="8"/>
  <c r="R108" i="8"/>
  <c r="O108" i="8"/>
  <c r="L108" i="8"/>
  <c r="I108" i="8"/>
  <c r="X107" i="8"/>
  <c r="U107" i="8"/>
  <c r="R107" i="8"/>
  <c r="O107" i="8"/>
  <c r="L107" i="8"/>
  <c r="I107" i="8"/>
  <c r="X106" i="8"/>
  <c r="U106" i="8"/>
  <c r="R106" i="8"/>
  <c r="O106" i="8"/>
  <c r="L106" i="8"/>
  <c r="I106" i="8"/>
  <c r="X105" i="8"/>
  <c r="U105" i="8"/>
  <c r="R105" i="8"/>
  <c r="O105" i="8"/>
  <c r="L105" i="8"/>
  <c r="I105" i="8"/>
  <c r="X104" i="8"/>
  <c r="U104" i="8"/>
  <c r="R104" i="8"/>
  <c r="O104" i="8"/>
  <c r="L104" i="8"/>
  <c r="I104" i="8"/>
  <c r="X103" i="8"/>
  <c r="U103" i="8"/>
  <c r="R103" i="8"/>
  <c r="O103" i="8"/>
  <c r="L103" i="8"/>
  <c r="I103" i="8"/>
  <c r="X102" i="8"/>
  <c r="U102" i="8"/>
  <c r="R102" i="8"/>
  <c r="O102" i="8"/>
  <c r="L102" i="8"/>
  <c r="I102" i="8"/>
  <c r="X101" i="8"/>
  <c r="U101" i="8"/>
  <c r="R101" i="8"/>
  <c r="O101" i="8"/>
  <c r="L101" i="8"/>
  <c r="I101" i="8"/>
  <c r="X100" i="8"/>
  <c r="U100" i="8"/>
  <c r="R100" i="8"/>
  <c r="O100" i="8"/>
  <c r="L100" i="8"/>
  <c r="I100" i="8"/>
  <c r="X99" i="8"/>
  <c r="U99" i="8"/>
  <c r="R99" i="8"/>
  <c r="O99" i="8"/>
  <c r="L99" i="8"/>
  <c r="I99" i="8"/>
  <c r="I98" i="8"/>
  <c r="AA98" i="8" s="1"/>
  <c r="AD98" i="8" s="1"/>
  <c r="X97" i="8"/>
  <c r="U97" i="8"/>
  <c r="R97" i="8"/>
  <c r="O97" i="8"/>
  <c r="L97" i="8"/>
  <c r="I97" i="8"/>
  <c r="X96" i="8"/>
  <c r="U96" i="8"/>
  <c r="R96" i="8"/>
  <c r="O96" i="8"/>
  <c r="L96" i="8"/>
  <c r="I96" i="8"/>
  <c r="X95" i="8"/>
  <c r="U95" i="8"/>
  <c r="R95" i="8"/>
  <c r="O95" i="8"/>
  <c r="L95" i="8"/>
  <c r="I95" i="8"/>
  <c r="X94" i="8"/>
  <c r="U94" i="8"/>
  <c r="R94" i="8"/>
  <c r="O94" i="8"/>
  <c r="L94" i="8"/>
  <c r="I94" i="8"/>
  <c r="X93" i="8"/>
  <c r="U93" i="8"/>
  <c r="R93" i="8"/>
  <c r="O93" i="8"/>
  <c r="L93" i="8"/>
  <c r="I93" i="8"/>
  <c r="X92" i="8"/>
  <c r="U92" i="8"/>
  <c r="R92" i="8"/>
  <c r="O92" i="8"/>
  <c r="L92" i="8"/>
  <c r="I92" i="8"/>
  <c r="X91" i="8"/>
  <c r="U91" i="8"/>
  <c r="R91" i="8"/>
  <c r="O91" i="8"/>
  <c r="L91" i="8"/>
  <c r="I91" i="8"/>
  <c r="X90" i="8"/>
  <c r="U90" i="8"/>
  <c r="R90" i="8"/>
  <c r="O90" i="8"/>
  <c r="L90" i="8"/>
  <c r="I90" i="8"/>
  <c r="X89" i="8"/>
  <c r="U89" i="8"/>
  <c r="R89" i="8"/>
  <c r="O89" i="8"/>
  <c r="L89" i="8"/>
  <c r="I89" i="8"/>
  <c r="X88" i="8"/>
  <c r="U88" i="8"/>
  <c r="R88" i="8"/>
  <c r="O88" i="8"/>
  <c r="L88" i="8"/>
  <c r="I88" i="8"/>
  <c r="X87" i="8"/>
  <c r="U87" i="8"/>
  <c r="R87" i="8"/>
  <c r="O87" i="8"/>
  <c r="L87" i="8"/>
  <c r="I87" i="8"/>
  <c r="X86" i="8"/>
  <c r="U86" i="8"/>
  <c r="R86" i="8"/>
  <c r="O86" i="8"/>
  <c r="L86" i="8"/>
  <c r="I86" i="8"/>
  <c r="X85" i="8"/>
  <c r="U85" i="8"/>
  <c r="R85" i="8"/>
  <c r="O85" i="8"/>
  <c r="L85" i="8"/>
  <c r="I85" i="8"/>
  <c r="X84" i="8"/>
  <c r="U84" i="8"/>
  <c r="R84" i="8"/>
  <c r="O84" i="8"/>
  <c r="L84" i="8"/>
  <c r="I84" i="8"/>
  <c r="X83" i="8"/>
  <c r="U83" i="8"/>
  <c r="R83" i="8"/>
  <c r="O83" i="8"/>
  <c r="L83" i="8"/>
  <c r="I83" i="8"/>
  <c r="X82" i="8"/>
  <c r="U82" i="8"/>
  <c r="R82" i="8"/>
  <c r="O82" i="8"/>
  <c r="L82" i="8"/>
  <c r="I82" i="8"/>
  <c r="X81" i="8"/>
  <c r="U81" i="8"/>
  <c r="R81" i="8"/>
  <c r="O81" i="8"/>
  <c r="L81" i="8"/>
  <c r="I81" i="8"/>
  <c r="X80" i="8"/>
  <c r="U80" i="8"/>
  <c r="R80" i="8"/>
  <c r="O80" i="8"/>
  <c r="L80" i="8"/>
  <c r="I80" i="8"/>
  <c r="X79" i="8"/>
  <c r="U79" i="8"/>
  <c r="R79" i="8"/>
  <c r="O79" i="8"/>
  <c r="L79" i="8"/>
  <c r="I79" i="8"/>
  <c r="X78" i="8"/>
  <c r="U78" i="8"/>
  <c r="R78" i="8"/>
  <c r="O78" i="8"/>
  <c r="L78" i="8"/>
  <c r="I78" i="8"/>
  <c r="X77" i="8"/>
  <c r="U77" i="8"/>
  <c r="R77" i="8"/>
  <c r="O77" i="8"/>
  <c r="L77" i="8"/>
  <c r="I77" i="8"/>
  <c r="X76" i="8"/>
  <c r="U76" i="8"/>
  <c r="R76" i="8"/>
  <c r="O76" i="8"/>
  <c r="L76" i="8"/>
  <c r="I76" i="8"/>
  <c r="X75" i="8"/>
  <c r="U75" i="8"/>
  <c r="R75" i="8"/>
  <c r="O75" i="8"/>
  <c r="L75" i="8"/>
  <c r="I75" i="8"/>
  <c r="X74" i="8"/>
  <c r="U74" i="8"/>
  <c r="R74" i="8"/>
  <c r="O74" i="8"/>
  <c r="L74" i="8"/>
  <c r="I74" i="8"/>
  <c r="X73" i="8"/>
  <c r="U73" i="8"/>
  <c r="R73" i="8"/>
  <c r="O73" i="8"/>
  <c r="L73" i="8"/>
  <c r="I73" i="8"/>
  <c r="X72" i="8"/>
  <c r="U72" i="8"/>
  <c r="R72" i="8"/>
  <c r="O72" i="8"/>
  <c r="L72" i="8"/>
  <c r="I72" i="8"/>
  <c r="X71" i="8"/>
  <c r="U71" i="8"/>
  <c r="R71" i="8"/>
  <c r="O71" i="8"/>
  <c r="L71" i="8"/>
  <c r="I71" i="8"/>
  <c r="X70" i="8"/>
  <c r="U70" i="8"/>
  <c r="R70" i="8"/>
  <c r="O70" i="8"/>
  <c r="L70" i="8"/>
  <c r="I70" i="8"/>
  <c r="X69" i="8"/>
  <c r="U69" i="8"/>
  <c r="R69" i="8"/>
  <c r="O69" i="8"/>
  <c r="L69" i="8"/>
  <c r="I69" i="8"/>
  <c r="X68" i="8"/>
  <c r="R68" i="8"/>
  <c r="O68" i="8"/>
  <c r="L68" i="8"/>
  <c r="I68" i="8"/>
  <c r="X67" i="8"/>
  <c r="U67" i="8"/>
  <c r="R67" i="8"/>
  <c r="O67" i="8"/>
  <c r="L67" i="8"/>
  <c r="I67" i="8"/>
  <c r="X66" i="8"/>
  <c r="U66" i="8"/>
  <c r="R66" i="8"/>
  <c r="O66" i="8"/>
  <c r="L66" i="8"/>
  <c r="I66" i="8"/>
  <c r="R65" i="8"/>
  <c r="O65" i="8"/>
  <c r="L65" i="8"/>
  <c r="I65" i="8"/>
  <c r="X64" i="8"/>
  <c r="U64" i="8"/>
  <c r="R64" i="8"/>
  <c r="O64" i="8"/>
  <c r="L64" i="8"/>
  <c r="I64" i="8"/>
  <c r="X63" i="8"/>
  <c r="U63" i="8"/>
  <c r="R63" i="8"/>
  <c r="O63" i="8"/>
  <c r="L63" i="8"/>
  <c r="I63" i="8"/>
  <c r="X62" i="8"/>
  <c r="U62" i="8"/>
  <c r="R62" i="8"/>
  <c r="O62" i="8"/>
  <c r="L62" i="8"/>
  <c r="I62" i="8"/>
  <c r="X61" i="8"/>
  <c r="U61" i="8"/>
  <c r="R61" i="8"/>
  <c r="O61" i="8"/>
  <c r="L61" i="8"/>
  <c r="I61" i="8"/>
  <c r="X60" i="8"/>
  <c r="U60" i="8"/>
  <c r="R60" i="8"/>
  <c r="O60" i="8"/>
  <c r="L60" i="8"/>
  <c r="I60" i="8"/>
  <c r="X59" i="8"/>
  <c r="U59" i="8"/>
  <c r="R59" i="8"/>
  <c r="O59" i="8"/>
  <c r="L59" i="8"/>
  <c r="I59" i="8"/>
  <c r="X58" i="8"/>
  <c r="U58" i="8"/>
  <c r="R58" i="8"/>
  <c r="O58" i="8"/>
  <c r="L58" i="8"/>
  <c r="I58" i="8"/>
  <c r="X57" i="8"/>
  <c r="U57" i="8"/>
  <c r="R57" i="8"/>
  <c r="O57" i="8"/>
  <c r="L57" i="8"/>
  <c r="I57" i="8"/>
  <c r="X56" i="8"/>
  <c r="U56" i="8"/>
  <c r="R56" i="8"/>
  <c r="O56" i="8"/>
  <c r="L56" i="8"/>
  <c r="I56" i="8"/>
  <c r="X55" i="8"/>
  <c r="U55" i="8"/>
  <c r="R55" i="8"/>
  <c r="O55" i="8"/>
  <c r="L55" i="8"/>
  <c r="I55" i="8"/>
  <c r="X54" i="8"/>
  <c r="U54" i="8"/>
  <c r="R54" i="8"/>
  <c r="O54" i="8"/>
  <c r="L54" i="8"/>
  <c r="I54" i="8"/>
  <c r="X53" i="8"/>
  <c r="U53" i="8"/>
  <c r="R53" i="8"/>
  <c r="O53" i="8"/>
  <c r="L53" i="8"/>
  <c r="I53" i="8"/>
  <c r="X52" i="8"/>
  <c r="U52" i="8"/>
  <c r="R52" i="8"/>
  <c r="O52" i="8"/>
  <c r="L52" i="8"/>
  <c r="I52" i="8"/>
  <c r="X51" i="8"/>
  <c r="U51" i="8"/>
  <c r="R51" i="8"/>
  <c r="O51" i="8"/>
  <c r="L51" i="8"/>
  <c r="I51" i="8"/>
  <c r="X50" i="8"/>
  <c r="U50" i="8"/>
  <c r="R50" i="8"/>
  <c r="O50" i="8"/>
  <c r="L50" i="8"/>
  <c r="I50" i="8"/>
  <c r="X49" i="8"/>
  <c r="U49" i="8"/>
  <c r="R49" i="8"/>
  <c r="O49" i="8"/>
  <c r="L49" i="8"/>
  <c r="I49" i="8"/>
  <c r="X48" i="8"/>
  <c r="U48" i="8"/>
  <c r="R48" i="8"/>
  <c r="O48" i="8"/>
  <c r="L48" i="8"/>
  <c r="I48" i="8"/>
  <c r="X47" i="8"/>
  <c r="U47" i="8"/>
  <c r="R47" i="8"/>
  <c r="O47" i="8"/>
  <c r="L47" i="8"/>
  <c r="I47" i="8"/>
  <c r="X46" i="8"/>
  <c r="U46" i="8"/>
  <c r="R46" i="8"/>
  <c r="O46" i="8"/>
  <c r="L46" i="8"/>
  <c r="I46" i="8"/>
  <c r="X45" i="8"/>
  <c r="U45" i="8"/>
  <c r="R45" i="8"/>
  <c r="O45" i="8"/>
  <c r="L45" i="8"/>
  <c r="I45" i="8"/>
  <c r="X44" i="8"/>
  <c r="U44" i="8"/>
  <c r="R44" i="8"/>
  <c r="O44" i="8"/>
  <c r="L44" i="8"/>
  <c r="I44" i="8"/>
  <c r="X43" i="8"/>
  <c r="U43" i="8"/>
  <c r="R43" i="8"/>
  <c r="O43" i="8"/>
  <c r="L43" i="8"/>
  <c r="I43" i="8"/>
  <c r="X42" i="8"/>
  <c r="U42" i="8"/>
  <c r="R42" i="8"/>
  <c r="O42" i="8"/>
  <c r="L42" i="8"/>
  <c r="I42" i="8"/>
  <c r="X41" i="8"/>
  <c r="U41" i="8"/>
  <c r="R41" i="8"/>
  <c r="O41" i="8"/>
  <c r="L41" i="8"/>
  <c r="I41" i="8"/>
  <c r="X40" i="8"/>
  <c r="U40" i="8"/>
  <c r="R40" i="8"/>
  <c r="O40" i="8"/>
  <c r="L40" i="8"/>
  <c r="I40" i="8"/>
  <c r="X39" i="8"/>
  <c r="U39" i="8"/>
  <c r="R39" i="8"/>
  <c r="O39" i="8"/>
  <c r="L39" i="8"/>
  <c r="I39" i="8"/>
  <c r="X38" i="8"/>
  <c r="U38" i="8"/>
  <c r="R38" i="8"/>
  <c r="O38" i="8"/>
  <c r="L38" i="8"/>
  <c r="I38" i="8"/>
  <c r="X37" i="8"/>
  <c r="U37" i="8"/>
  <c r="R37" i="8"/>
  <c r="O37" i="8"/>
  <c r="L37" i="8"/>
  <c r="I37" i="8"/>
  <c r="X36" i="8"/>
  <c r="U36" i="8"/>
  <c r="R36" i="8"/>
  <c r="O36" i="8"/>
  <c r="L36" i="8"/>
  <c r="I36" i="8"/>
  <c r="X35" i="8"/>
  <c r="U35" i="8"/>
  <c r="R35" i="8"/>
  <c r="O35" i="8"/>
  <c r="L35" i="8"/>
  <c r="I35" i="8"/>
  <c r="X34" i="8"/>
  <c r="U34" i="8"/>
  <c r="R34" i="8"/>
  <c r="O34" i="8"/>
  <c r="L34" i="8"/>
  <c r="I34" i="8"/>
  <c r="X33" i="8"/>
  <c r="U33" i="8"/>
  <c r="R33" i="8"/>
  <c r="O33" i="8"/>
  <c r="L33" i="8"/>
  <c r="I33" i="8"/>
  <c r="X32" i="8"/>
  <c r="U32" i="8"/>
  <c r="R32" i="8"/>
  <c r="O32" i="8"/>
  <c r="L32" i="8"/>
  <c r="I32" i="8"/>
  <c r="X31" i="8"/>
  <c r="U31" i="8"/>
  <c r="R31" i="8"/>
  <c r="O31" i="8"/>
  <c r="L31" i="8"/>
  <c r="I31" i="8"/>
  <c r="X30" i="8"/>
  <c r="U30" i="8"/>
  <c r="R30" i="8"/>
  <c r="O30" i="8"/>
  <c r="L30" i="8"/>
  <c r="I30" i="8"/>
  <c r="X29" i="8"/>
  <c r="U29" i="8"/>
  <c r="R29" i="8"/>
  <c r="O29" i="8"/>
  <c r="L29" i="8"/>
  <c r="I29" i="8"/>
  <c r="X28" i="8"/>
  <c r="U28" i="8"/>
  <c r="R28" i="8"/>
  <c r="O28" i="8"/>
  <c r="L28" i="8"/>
  <c r="I28" i="8"/>
  <c r="X27" i="8"/>
  <c r="U27" i="8"/>
  <c r="R27" i="8"/>
  <c r="O27" i="8"/>
  <c r="L27" i="8"/>
  <c r="I27" i="8"/>
  <c r="X26" i="8"/>
  <c r="U26" i="8"/>
  <c r="R26" i="8"/>
  <c r="O26" i="8"/>
  <c r="L26" i="8"/>
  <c r="I26" i="8"/>
  <c r="X25" i="8"/>
  <c r="U25" i="8"/>
  <c r="R25" i="8"/>
  <c r="O25" i="8"/>
  <c r="L25" i="8"/>
  <c r="I25" i="8"/>
  <c r="X24" i="8"/>
  <c r="U24" i="8"/>
  <c r="R24" i="8"/>
  <c r="O24" i="8"/>
  <c r="L24" i="8"/>
  <c r="I24" i="8"/>
  <c r="X23" i="8"/>
  <c r="U23" i="8"/>
  <c r="R23" i="8"/>
  <c r="O23" i="8"/>
  <c r="L23" i="8"/>
  <c r="I23" i="8"/>
  <c r="X22" i="8"/>
  <c r="U22" i="8"/>
  <c r="R22" i="8"/>
  <c r="O22" i="8"/>
  <c r="L22" i="8"/>
  <c r="I22" i="8"/>
  <c r="X21" i="8"/>
  <c r="U21" i="8"/>
  <c r="R21" i="8"/>
  <c r="O21" i="8"/>
  <c r="L21" i="8"/>
  <c r="I21" i="8"/>
  <c r="X20" i="8"/>
  <c r="U20" i="8"/>
  <c r="R20" i="8"/>
  <c r="O20" i="8"/>
  <c r="L20" i="8"/>
  <c r="I20" i="8"/>
  <c r="X19" i="8"/>
  <c r="U19" i="8"/>
  <c r="R19" i="8"/>
  <c r="O19" i="8"/>
  <c r="L19" i="8"/>
  <c r="I19" i="8"/>
  <c r="X18" i="8"/>
  <c r="U18" i="8"/>
  <c r="R18" i="8"/>
  <c r="O18" i="8"/>
  <c r="L18" i="8"/>
  <c r="I18" i="8"/>
  <c r="X17" i="8"/>
  <c r="U17" i="8"/>
  <c r="R17" i="8"/>
  <c r="O17" i="8"/>
  <c r="L17" i="8"/>
  <c r="I17" i="8"/>
  <c r="X16" i="8"/>
  <c r="U16" i="8"/>
  <c r="R16" i="8"/>
  <c r="O16" i="8"/>
  <c r="L16" i="8"/>
  <c r="I16" i="8"/>
  <c r="X15" i="8"/>
  <c r="U15" i="8"/>
  <c r="R15" i="8"/>
  <c r="O15" i="8"/>
  <c r="L15" i="8"/>
  <c r="I15" i="8"/>
  <c r="X14" i="8"/>
  <c r="U14" i="8"/>
  <c r="R14" i="8"/>
  <c r="O14" i="8"/>
  <c r="L14" i="8"/>
  <c r="I14" i="8"/>
  <c r="X13" i="8"/>
  <c r="U13" i="8"/>
  <c r="R13" i="8"/>
  <c r="O13" i="8"/>
  <c r="L13" i="8"/>
  <c r="I13" i="8"/>
  <c r="X12" i="8"/>
  <c r="U12" i="8"/>
  <c r="R12" i="8"/>
  <c r="O12" i="8"/>
  <c r="L12" i="8"/>
  <c r="I12" i="8"/>
  <c r="X11" i="8"/>
  <c r="U11" i="8"/>
  <c r="R11" i="8"/>
  <c r="O11" i="8"/>
  <c r="L11" i="8"/>
  <c r="I11" i="8"/>
  <c r="X10" i="8"/>
  <c r="U10" i="8"/>
  <c r="R10" i="8"/>
  <c r="O10" i="8"/>
  <c r="L10" i="8"/>
  <c r="I10" i="8"/>
  <c r="X9" i="8"/>
  <c r="U9" i="8"/>
  <c r="R9" i="8"/>
  <c r="O9" i="8"/>
  <c r="L9" i="8"/>
  <c r="I9" i="8"/>
  <c r="F174" i="8"/>
  <c r="R174" i="8" l="1"/>
  <c r="R179" i="8" s="1"/>
  <c r="AA70" i="8"/>
  <c r="AD70" i="8" s="1"/>
  <c r="AA72" i="8"/>
  <c r="AD72" i="8" s="1"/>
  <c r="AA74" i="8"/>
  <c r="AD74" i="8" s="1"/>
  <c r="AA76" i="8"/>
  <c r="AD76" i="8" s="1"/>
  <c r="AA78" i="8"/>
  <c r="AD78" i="8" s="1"/>
  <c r="AA80" i="8"/>
  <c r="AD80" i="8" s="1"/>
  <c r="AA82" i="8"/>
  <c r="AD82" i="8" s="1"/>
  <c r="AA84" i="8"/>
  <c r="AD84" i="8" s="1"/>
  <c r="AA86" i="8"/>
  <c r="AD86" i="8" s="1"/>
  <c r="AA88" i="8"/>
  <c r="AD88" i="8" s="1"/>
  <c r="AA90" i="8"/>
  <c r="AD90" i="8" s="1"/>
  <c r="AA92" i="8"/>
  <c r="AD92" i="8" s="1"/>
  <c r="AA96" i="8"/>
  <c r="AD96" i="8" s="1"/>
  <c r="AA115" i="8"/>
  <c r="AD115" i="8" s="1"/>
  <c r="AA117" i="8"/>
  <c r="AD117" i="8" s="1"/>
  <c r="AA119" i="8"/>
  <c r="AD119" i="8" s="1"/>
  <c r="AA121" i="8"/>
  <c r="AD121" i="8" s="1"/>
  <c r="AA123" i="8"/>
  <c r="AD123" i="8" s="1"/>
  <c r="AA125" i="8"/>
  <c r="AD125" i="8" s="1"/>
  <c r="AA127" i="8"/>
  <c r="AD127" i="8" s="1"/>
  <c r="AA129" i="8"/>
  <c r="AD129" i="8" s="1"/>
  <c r="AA131" i="8"/>
  <c r="AD131" i="8" s="1"/>
  <c r="AA133" i="8"/>
  <c r="AD133" i="8" s="1"/>
  <c r="AA135" i="8"/>
  <c r="AD135" i="8" s="1"/>
  <c r="AA137" i="8"/>
  <c r="AD137" i="8" s="1"/>
  <c r="AA139" i="8"/>
  <c r="AD139" i="8" s="1"/>
  <c r="AA141" i="8"/>
  <c r="AD141" i="8" s="1"/>
  <c r="AA143" i="8"/>
  <c r="AD143" i="8" s="1"/>
  <c r="AA145" i="8"/>
  <c r="AD145" i="8" s="1"/>
  <c r="AA147" i="8"/>
  <c r="AD147" i="8" s="1"/>
  <c r="AA149" i="8"/>
  <c r="AD149" i="8" s="1"/>
  <c r="AA151" i="8"/>
  <c r="AD151" i="8" s="1"/>
  <c r="AA153" i="8"/>
  <c r="AD153" i="8" s="1"/>
  <c r="AA155" i="8"/>
  <c r="AD155" i="8" s="1"/>
  <c r="AA157" i="8"/>
  <c r="AD157" i="8" s="1"/>
  <c r="AA159" i="8"/>
  <c r="AD159" i="8" s="1"/>
  <c r="AA161" i="8"/>
  <c r="AD161" i="8" s="1"/>
  <c r="AA163" i="8"/>
  <c r="AD163" i="8" s="1"/>
  <c r="AA165" i="8"/>
  <c r="AD165" i="8" s="1"/>
  <c r="AA167" i="8"/>
  <c r="AD167" i="8" s="1"/>
  <c r="AA169" i="8"/>
  <c r="AD169" i="8" s="1"/>
  <c r="AA173" i="8"/>
  <c r="AD173" i="8" s="1"/>
  <c r="AK169" i="9"/>
  <c r="AK174" i="9" s="1"/>
  <c r="AH174" i="9"/>
  <c r="AH172" i="9"/>
  <c r="AK172" i="9" s="1"/>
  <c r="L172" i="9"/>
  <c r="L173" i="9" s="1"/>
  <c r="L174" i="9"/>
  <c r="I174" i="9"/>
  <c r="I172" i="9"/>
  <c r="I173" i="9" s="1"/>
  <c r="U174" i="9"/>
  <c r="U172" i="9"/>
  <c r="U173" i="9" s="1"/>
  <c r="O174" i="9"/>
  <c r="O172" i="9"/>
  <c r="O173" i="9" s="1"/>
  <c r="R174" i="9"/>
  <c r="R172" i="9"/>
  <c r="R173" i="9" s="1"/>
  <c r="AL169" i="9"/>
  <c r="AL174" i="9" s="1"/>
  <c r="AI174" i="9"/>
  <c r="AI172" i="9"/>
  <c r="AL172" i="9" s="1"/>
  <c r="AA94" i="8"/>
  <c r="AD94" i="8" s="1"/>
  <c r="Q179" i="8"/>
  <c r="Q177" i="8"/>
  <c r="Q178" i="8" s="1"/>
  <c r="J179" i="8"/>
  <c r="J177" i="8"/>
  <c r="J178" i="8" s="1"/>
  <c r="P179" i="8"/>
  <c r="P177" i="8"/>
  <c r="P178" i="8" s="1"/>
  <c r="V179" i="8"/>
  <c r="V177" i="8"/>
  <c r="V178" i="8" s="1"/>
  <c r="K179" i="8"/>
  <c r="K177" i="8"/>
  <c r="K178" i="8" s="1"/>
  <c r="H179" i="8"/>
  <c r="H177" i="8"/>
  <c r="H178" i="8" s="1"/>
  <c r="N179" i="8"/>
  <c r="N177" i="8"/>
  <c r="N178" i="8" s="1"/>
  <c r="T179" i="8"/>
  <c r="T177" i="8"/>
  <c r="T178" i="8" s="1"/>
  <c r="F177" i="8"/>
  <c r="F178" i="8" s="1"/>
  <c r="F179" i="8"/>
  <c r="W179" i="8"/>
  <c r="W177" i="8"/>
  <c r="W178" i="8" s="1"/>
  <c r="G179" i="8"/>
  <c r="G177" i="8"/>
  <c r="G178" i="8" s="1"/>
  <c r="M179" i="8"/>
  <c r="M177" i="8"/>
  <c r="M178" i="8" s="1"/>
  <c r="S179" i="8"/>
  <c r="S177" i="8"/>
  <c r="S178" i="8" s="1"/>
  <c r="AA10" i="8"/>
  <c r="AD10" i="8" s="1"/>
  <c r="AA12" i="8"/>
  <c r="AD12" i="8" s="1"/>
  <c r="AA14" i="8"/>
  <c r="AD14" i="8" s="1"/>
  <c r="AA16" i="8"/>
  <c r="AD16" i="8" s="1"/>
  <c r="AA18" i="8"/>
  <c r="AD18" i="8" s="1"/>
  <c r="AA20" i="8"/>
  <c r="AD20" i="8" s="1"/>
  <c r="AA22" i="8"/>
  <c r="AD22" i="8" s="1"/>
  <c r="AA24" i="8"/>
  <c r="AD24" i="8" s="1"/>
  <c r="AA26" i="8"/>
  <c r="AD26" i="8" s="1"/>
  <c r="AA28" i="8"/>
  <c r="AD28" i="8" s="1"/>
  <c r="AA30" i="8"/>
  <c r="AD30" i="8" s="1"/>
  <c r="AA32" i="8"/>
  <c r="AD32" i="8" s="1"/>
  <c r="AA34" i="8"/>
  <c r="AD34" i="8" s="1"/>
  <c r="AA36" i="8"/>
  <c r="AD36" i="8" s="1"/>
  <c r="AA38" i="8"/>
  <c r="AD38" i="8" s="1"/>
  <c r="AA40" i="8"/>
  <c r="AD40" i="8" s="1"/>
  <c r="AA42" i="8"/>
  <c r="AD42" i="8" s="1"/>
  <c r="AA44" i="8"/>
  <c r="AD44" i="8" s="1"/>
  <c r="AA46" i="8"/>
  <c r="AD46" i="8" s="1"/>
  <c r="AA48" i="8"/>
  <c r="AD48" i="8" s="1"/>
  <c r="AA50" i="8"/>
  <c r="AD50" i="8" s="1"/>
  <c r="AA52" i="8"/>
  <c r="AD52" i="8" s="1"/>
  <c r="AA54" i="8"/>
  <c r="AD54" i="8" s="1"/>
  <c r="AA56" i="8"/>
  <c r="AD56" i="8" s="1"/>
  <c r="AA58" i="8"/>
  <c r="AD58" i="8" s="1"/>
  <c r="AA60" i="8"/>
  <c r="AD60" i="8" s="1"/>
  <c r="AA62" i="8"/>
  <c r="AD62" i="8" s="1"/>
  <c r="AA64" i="8"/>
  <c r="AD64" i="8" s="1"/>
  <c r="AA67" i="8"/>
  <c r="AD67" i="8" s="1"/>
  <c r="AA100" i="8"/>
  <c r="AD100" i="8" s="1"/>
  <c r="AA102" i="8"/>
  <c r="AD102" i="8" s="1"/>
  <c r="AA104" i="8"/>
  <c r="AD104" i="8" s="1"/>
  <c r="AA106" i="8"/>
  <c r="AD106" i="8" s="1"/>
  <c r="AA108" i="8"/>
  <c r="AD108" i="8" s="1"/>
  <c r="AA110" i="8"/>
  <c r="AD110" i="8" s="1"/>
  <c r="AA112" i="8"/>
  <c r="AD112" i="8" s="1"/>
  <c r="AA172" i="8"/>
  <c r="AD172" i="8" s="1"/>
  <c r="AA69" i="8"/>
  <c r="AD69" i="8" s="1"/>
  <c r="AA71" i="8"/>
  <c r="AD71" i="8" s="1"/>
  <c r="AA73" i="8"/>
  <c r="AD73" i="8" s="1"/>
  <c r="AA75" i="8"/>
  <c r="AD75" i="8" s="1"/>
  <c r="AA77" i="8"/>
  <c r="AD77" i="8" s="1"/>
  <c r="AA79" i="8"/>
  <c r="AD79" i="8" s="1"/>
  <c r="AA81" i="8"/>
  <c r="AD81" i="8" s="1"/>
  <c r="AA83" i="8"/>
  <c r="AD83" i="8" s="1"/>
  <c r="AA85" i="8"/>
  <c r="AD85" i="8" s="1"/>
  <c r="AA87" i="8"/>
  <c r="AD87" i="8" s="1"/>
  <c r="AA89" i="8"/>
  <c r="AD89" i="8" s="1"/>
  <c r="AA91" i="8"/>
  <c r="AD91" i="8" s="1"/>
  <c r="AA93" i="8"/>
  <c r="AD93" i="8" s="1"/>
  <c r="AA95" i="8"/>
  <c r="AD95" i="8" s="1"/>
  <c r="AA97" i="8"/>
  <c r="AD97" i="8" s="1"/>
  <c r="AA114" i="8"/>
  <c r="AD114" i="8" s="1"/>
  <c r="AA116" i="8"/>
  <c r="AD116" i="8" s="1"/>
  <c r="AA118" i="8"/>
  <c r="AD118" i="8" s="1"/>
  <c r="AA120" i="8"/>
  <c r="AD120" i="8" s="1"/>
  <c r="AA122" i="8"/>
  <c r="AD122" i="8" s="1"/>
  <c r="AA124" i="8"/>
  <c r="AD124" i="8" s="1"/>
  <c r="AA126" i="8"/>
  <c r="AD126" i="8" s="1"/>
  <c r="AA128" i="8"/>
  <c r="AD128" i="8" s="1"/>
  <c r="AA130" i="8"/>
  <c r="AD130" i="8" s="1"/>
  <c r="AA132" i="8"/>
  <c r="AD132" i="8" s="1"/>
  <c r="AA134" i="8"/>
  <c r="AD134" i="8" s="1"/>
  <c r="AA136" i="8"/>
  <c r="AD136" i="8" s="1"/>
  <c r="AA138" i="8"/>
  <c r="AD138" i="8" s="1"/>
  <c r="AA140" i="8"/>
  <c r="AD140" i="8" s="1"/>
  <c r="AA142" i="8"/>
  <c r="AD142" i="8" s="1"/>
  <c r="AA144" i="8"/>
  <c r="AD144" i="8" s="1"/>
  <c r="AA146" i="8"/>
  <c r="AD146" i="8" s="1"/>
  <c r="AA148" i="8"/>
  <c r="AD148" i="8" s="1"/>
  <c r="AA150" i="8"/>
  <c r="AD150" i="8" s="1"/>
  <c r="AA152" i="8"/>
  <c r="AD152" i="8" s="1"/>
  <c r="AA154" i="8"/>
  <c r="AD154" i="8" s="1"/>
  <c r="AA156" i="8"/>
  <c r="AD156" i="8" s="1"/>
  <c r="AA158" i="8"/>
  <c r="AD158" i="8" s="1"/>
  <c r="AA160" i="8"/>
  <c r="AD160" i="8" s="1"/>
  <c r="AA162" i="8"/>
  <c r="AD162" i="8" s="1"/>
  <c r="AA164" i="8"/>
  <c r="AD164" i="8" s="1"/>
  <c r="AA166" i="8"/>
  <c r="AD166" i="8" s="1"/>
  <c r="AA168" i="8"/>
  <c r="AD168" i="8" s="1"/>
  <c r="AA171" i="8"/>
  <c r="AD171" i="8" s="1"/>
  <c r="Z174" i="8"/>
  <c r="I174" i="8"/>
  <c r="U174" i="8"/>
  <c r="AA11" i="8"/>
  <c r="AD11" i="8" s="1"/>
  <c r="AA13" i="8"/>
  <c r="AD13" i="8" s="1"/>
  <c r="AA15" i="8"/>
  <c r="AD15" i="8" s="1"/>
  <c r="AA17" i="8"/>
  <c r="AD17" i="8" s="1"/>
  <c r="AA19" i="8"/>
  <c r="AD19" i="8" s="1"/>
  <c r="AA21" i="8"/>
  <c r="AD21" i="8" s="1"/>
  <c r="AA23" i="8"/>
  <c r="AD23" i="8" s="1"/>
  <c r="AA25" i="8"/>
  <c r="AD25" i="8" s="1"/>
  <c r="AA27" i="8"/>
  <c r="AD27" i="8" s="1"/>
  <c r="AA29" i="8"/>
  <c r="AD29" i="8" s="1"/>
  <c r="AA31" i="8"/>
  <c r="AD31" i="8" s="1"/>
  <c r="AA33" i="8"/>
  <c r="AD33" i="8" s="1"/>
  <c r="AA35" i="8"/>
  <c r="AD35" i="8" s="1"/>
  <c r="AA37" i="8"/>
  <c r="AD37" i="8" s="1"/>
  <c r="AA39" i="8"/>
  <c r="AD39" i="8" s="1"/>
  <c r="AA41" i="8"/>
  <c r="AD41" i="8" s="1"/>
  <c r="AA43" i="8"/>
  <c r="AD43" i="8" s="1"/>
  <c r="AA45" i="8"/>
  <c r="AD45" i="8" s="1"/>
  <c r="AA47" i="8"/>
  <c r="AD47" i="8" s="1"/>
  <c r="AA49" i="8"/>
  <c r="AD49" i="8" s="1"/>
  <c r="AA51" i="8"/>
  <c r="AD51" i="8" s="1"/>
  <c r="AA53" i="8"/>
  <c r="AD53" i="8" s="1"/>
  <c r="AA55" i="8"/>
  <c r="AD55" i="8" s="1"/>
  <c r="AA57" i="8"/>
  <c r="AD57" i="8" s="1"/>
  <c r="AA59" i="8"/>
  <c r="AD59" i="8" s="1"/>
  <c r="AA61" i="8"/>
  <c r="AD61" i="8" s="1"/>
  <c r="AA63" i="8"/>
  <c r="AD63" i="8" s="1"/>
  <c r="AA65" i="8"/>
  <c r="AD65" i="8" s="1"/>
  <c r="AA66" i="8"/>
  <c r="AD66" i="8" s="1"/>
  <c r="AA68" i="8"/>
  <c r="AD68" i="8" s="1"/>
  <c r="AA99" i="8"/>
  <c r="AD99" i="8" s="1"/>
  <c r="AA101" i="8"/>
  <c r="AD101" i="8" s="1"/>
  <c r="AA103" i="8"/>
  <c r="AD103" i="8" s="1"/>
  <c r="AA105" i="8"/>
  <c r="AD105" i="8" s="1"/>
  <c r="AA107" i="8"/>
  <c r="AD107" i="8" s="1"/>
  <c r="AA109" i="8"/>
  <c r="AD109" i="8" s="1"/>
  <c r="AA111" i="8"/>
  <c r="AD111" i="8" s="1"/>
  <c r="AA113" i="8"/>
  <c r="AD113" i="8" s="1"/>
  <c r="AA170" i="8"/>
  <c r="AD170" i="8" s="1"/>
  <c r="O174" i="8"/>
  <c r="AA9" i="8"/>
  <c r="AD9" i="8" s="1"/>
  <c r="L174" i="8"/>
  <c r="X174" i="8"/>
  <c r="AJ169" i="9"/>
  <c r="Y174" i="8"/>
  <c r="Z131" i="7"/>
  <c r="AC131" i="7" s="1"/>
  <c r="Y131" i="7"/>
  <c r="AB131" i="7" s="1"/>
  <c r="Z130" i="7"/>
  <c r="AC130" i="7" s="1"/>
  <c r="Y130" i="7"/>
  <c r="AB130" i="7" s="1"/>
  <c r="Z129" i="7"/>
  <c r="Y129" i="7"/>
  <c r="Z128" i="7"/>
  <c r="Z127" i="7"/>
  <c r="Y127" i="7"/>
  <c r="Z126" i="7"/>
  <c r="Y126" i="7"/>
  <c r="Z125" i="7"/>
  <c r="Y125" i="7"/>
  <c r="Z124" i="7"/>
  <c r="Y124" i="7"/>
  <c r="Z123" i="7"/>
  <c r="Y123" i="7"/>
  <c r="Z122" i="7"/>
  <c r="Y122" i="7"/>
  <c r="Z121" i="7"/>
  <c r="Y121" i="7"/>
  <c r="Z120" i="7"/>
  <c r="Y120" i="7"/>
  <c r="Z119" i="7"/>
  <c r="Y119" i="7"/>
  <c r="Z118" i="7"/>
  <c r="Y118" i="7"/>
  <c r="Z117" i="7"/>
  <c r="Y117" i="7"/>
  <c r="Z116" i="7"/>
  <c r="Y116" i="7"/>
  <c r="Z115" i="7"/>
  <c r="Y115" i="7"/>
  <c r="Z114" i="7"/>
  <c r="Y114" i="7"/>
  <c r="Z113" i="7"/>
  <c r="Y113" i="7"/>
  <c r="Z112" i="7"/>
  <c r="Y112" i="7"/>
  <c r="Z111" i="7"/>
  <c r="Y111" i="7"/>
  <c r="Z110" i="7"/>
  <c r="Y110" i="7"/>
  <c r="Z109" i="7"/>
  <c r="Y109" i="7"/>
  <c r="Z108" i="7"/>
  <c r="Y108" i="7"/>
  <c r="Z107" i="7"/>
  <c r="Y107" i="7"/>
  <c r="Z106" i="7"/>
  <c r="Y106" i="7"/>
  <c r="Z105" i="7"/>
  <c r="Y105" i="7"/>
  <c r="Z104" i="7"/>
  <c r="Y104" i="7"/>
  <c r="Z103" i="7"/>
  <c r="Y103" i="7"/>
  <c r="Z102" i="7"/>
  <c r="Y102" i="7"/>
  <c r="Z101" i="7"/>
  <c r="Y101" i="7"/>
  <c r="Z100" i="7"/>
  <c r="Y100" i="7"/>
  <c r="Z99" i="7"/>
  <c r="Y99" i="7"/>
  <c r="Z98" i="7"/>
  <c r="Y98" i="7"/>
  <c r="Z97" i="7"/>
  <c r="Y97" i="7"/>
  <c r="Z96" i="7"/>
  <c r="Y96" i="7"/>
  <c r="Z95" i="7"/>
  <c r="Y95" i="7"/>
  <c r="Z94" i="7"/>
  <c r="Y94" i="7"/>
  <c r="Z93" i="7"/>
  <c r="Y93" i="7"/>
  <c r="Z92" i="7"/>
  <c r="Y92" i="7"/>
  <c r="Z91" i="7"/>
  <c r="Y91" i="7"/>
  <c r="Z90" i="7"/>
  <c r="Y90" i="7"/>
  <c r="Z89" i="7"/>
  <c r="Y89" i="7"/>
  <c r="Z88" i="7"/>
  <c r="Y88" i="7"/>
  <c r="Z87" i="7"/>
  <c r="Y87" i="7"/>
  <c r="Z86" i="7"/>
  <c r="Y86" i="7"/>
  <c r="Z85" i="7"/>
  <c r="Y85" i="7"/>
  <c r="Z84" i="7"/>
  <c r="Y84" i="7"/>
  <c r="Z83" i="7"/>
  <c r="Y83" i="7"/>
  <c r="Z82" i="7"/>
  <c r="Y82" i="7"/>
  <c r="Z81" i="7"/>
  <c r="Y81" i="7"/>
  <c r="Z80" i="7"/>
  <c r="Y80" i="7"/>
  <c r="Z79" i="7"/>
  <c r="Y79" i="7"/>
  <c r="Z78" i="7"/>
  <c r="Y78" i="7"/>
  <c r="Z77" i="7"/>
  <c r="Y77" i="7"/>
  <c r="Z76" i="7"/>
  <c r="Y76" i="7"/>
  <c r="Z75" i="7"/>
  <c r="Y75" i="7"/>
  <c r="Z74" i="7"/>
  <c r="Y74" i="7"/>
  <c r="Z73" i="7"/>
  <c r="Y73" i="7"/>
  <c r="Z72" i="7"/>
  <c r="Y72" i="7"/>
  <c r="Z71" i="7"/>
  <c r="Y71" i="7"/>
  <c r="Z70" i="7"/>
  <c r="Y70" i="7"/>
  <c r="Z69" i="7"/>
  <c r="Y69" i="7"/>
  <c r="Z68" i="7"/>
  <c r="Y68" i="7"/>
  <c r="Z67" i="7"/>
  <c r="Y67" i="7"/>
  <c r="Z66" i="7"/>
  <c r="Y66" i="7"/>
  <c r="Z65" i="7"/>
  <c r="Y65" i="7"/>
  <c r="Z64" i="7"/>
  <c r="Y64" i="7"/>
  <c r="Z63" i="7"/>
  <c r="Y63" i="7"/>
  <c r="Z62" i="7"/>
  <c r="Y62" i="7"/>
  <c r="Z61" i="7"/>
  <c r="Y61" i="7"/>
  <c r="Z60" i="7"/>
  <c r="Y60" i="7"/>
  <c r="Z59" i="7"/>
  <c r="Y59" i="7"/>
  <c r="Z58" i="7"/>
  <c r="Y58" i="7"/>
  <c r="Z57" i="7"/>
  <c r="Y57" i="7"/>
  <c r="Z56" i="7"/>
  <c r="Y56" i="7"/>
  <c r="Z55" i="7"/>
  <c r="Y55" i="7"/>
  <c r="Z54" i="7"/>
  <c r="Y54" i="7"/>
  <c r="Z53" i="7"/>
  <c r="Y53" i="7"/>
  <c r="Z52" i="7"/>
  <c r="Y52" i="7"/>
  <c r="Z51" i="7"/>
  <c r="Y51" i="7"/>
  <c r="Z50" i="7"/>
  <c r="Y50" i="7"/>
  <c r="Z49" i="7"/>
  <c r="Y49" i="7"/>
  <c r="Z48" i="7"/>
  <c r="Y48" i="7"/>
  <c r="Z47" i="7"/>
  <c r="Y47" i="7"/>
  <c r="Z46" i="7"/>
  <c r="Y46" i="7"/>
  <c r="Z45" i="7"/>
  <c r="Y45" i="7"/>
  <c r="Z44" i="7"/>
  <c r="Y44" i="7"/>
  <c r="Z43" i="7"/>
  <c r="Y43" i="7"/>
  <c r="Z42" i="7"/>
  <c r="Y42" i="7"/>
  <c r="Z41" i="7"/>
  <c r="Y41" i="7"/>
  <c r="Z40" i="7"/>
  <c r="Y40" i="7"/>
  <c r="Z39" i="7"/>
  <c r="Y39" i="7"/>
  <c r="Z38" i="7"/>
  <c r="Y38" i="7"/>
  <c r="Z37" i="7"/>
  <c r="Y37" i="7"/>
  <c r="Z36" i="7"/>
  <c r="Y36" i="7"/>
  <c r="Z35" i="7"/>
  <c r="Y35" i="7"/>
  <c r="Z34" i="7"/>
  <c r="Y34" i="7"/>
  <c r="Z33" i="7"/>
  <c r="Y33" i="7"/>
  <c r="Z32" i="7"/>
  <c r="Y32" i="7"/>
  <c r="Z31" i="7"/>
  <c r="Y31" i="7"/>
  <c r="Z30" i="7"/>
  <c r="Y30" i="7"/>
  <c r="Z29" i="7"/>
  <c r="Y29" i="7"/>
  <c r="Z28" i="7"/>
  <c r="Y28" i="7"/>
  <c r="Z27" i="7"/>
  <c r="Y27" i="7"/>
  <c r="Z26" i="7"/>
  <c r="Y26" i="7"/>
  <c r="Z25" i="7"/>
  <c r="Y25" i="7"/>
  <c r="Z24" i="7"/>
  <c r="Y24" i="7"/>
  <c r="Z23" i="7"/>
  <c r="Y23" i="7"/>
  <c r="Z22" i="7"/>
  <c r="Y22" i="7"/>
  <c r="Z21" i="7"/>
  <c r="Y21" i="7"/>
  <c r="Z20" i="7"/>
  <c r="Y20" i="7"/>
  <c r="Z19" i="7"/>
  <c r="Y19" i="7"/>
  <c r="Z18" i="7"/>
  <c r="Y18" i="7"/>
  <c r="Z17" i="7"/>
  <c r="Y17" i="7"/>
  <c r="Z16" i="7"/>
  <c r="Y16" i="7"/>
  <c r="Z15" i="7"/>
  <c r="Y15" i="7"/>
  <c r="Z14" i="7"/>
  <c r="Y14" i="7"/>
  <c r="Z13" i="7"/>
  <c r="Y13" i="7"/>
  <c r="Z12" i="7"/>
  <c r="Y12" i="7"/>
  <c r="Z11" i="7"/>
  <c r="Y11" i="7"/>
  <c r="Z10" i="7"/>
  <c r="Y10" i="7"/>
  <c r="Y9" i="7"/>
  <c r="Z9" i="7"/>
  <c r="W132" i="7"/>
  <c r="S132" i="7"/>
  <c r="Q132" i="7"/>
  <c r="P132" i="7"/>
  <c r="N132" i="7"/>
  <c r="M132" i="7"/>
  <c r="K132" i="7"/>
  <c r="J132" i="7"/>
  <c r="H132" i="7"/>
  <c r="G132" i="7"/>
  <c r="L131" i="7"/>
  <c r="I131" i="7"/>
  <c r="L130" i="7"/>
  <c r="I130" i="7"/>
  <c r="X129" i="7"/>
  <c r="R129" i="7"/>
  <c r="U129" i="7" s="1"/>
  <c r="O129" i="7"/>
  <c r="L129" i="7"/>
  <c r="I129" i="7"/>
  <c r="R128" i="7"/>
  <c r="O128" i="7"/>
  <c r="L128" i="7"/>
  <c r="I128" i="7"/>
  <c r="X127" i="7"/>
  <c r="U127" i="7"/>
  <c r="R127" i="7"/>
  <c r="O127" i="7"/>
  <c r="L127" i="7"/>
  <c r="I127" i="7"/>
  <c r="X126" i="7"/>
  <c r="U126" i="7"/>
  <c r="R126" i="7"/>
  <c r="O126" i="7"/>
  <c r="L126" i="7"/>
  <c r="I126" i="7"/>
  <c r="X125" i="7"/>
  <c r="U125" i="7"/>
  <c r="R125" i="7"/>
  <c r="O125" i="7"/>
  <c r="L125" i="7"/>
  <c r="I125" i="7"/>
  <c r="X124" i="7"/>
  <c r="U124" i="7"/>
  <c r="R124" i="7"/>
  <c r="O124" i="7"/>
  <c r="L124" i="7"/>
  <c r="I124" i="7"/>
  <c r="X123" i="7"/>
  <c r="U123" i="7"/>
  <c r="R123" i="7"/>
  <c r="O123" i="7"/>
  <c r="L123" i="7"/>
  <c r="I123" i="7"/>
  <c r="X122" i="7"/>
  <c r="U122" i="7"/>
  <c r="R122" i="7"/>
  <c r="O122" i="7"/>
  <c r="L122" i="7"/>
  <c r="I122" i="7"/>
  <c r="X121" i="7"/>
  <c r="U121" i="7"/>
  <c r="R121" i="7"/>
  <c r="O121" i="7"/>
  <c r="L121" i="7"/>
  <c r="I121" i="7"/>
  <c r="X120" i="7"/>
  <c r="U120" i="7"/>
  <c r="R120" i="7"/>
  <c r="O120" i="7"/>
  <c r="L120" i="7"/>
  <c r="I120" i="7"/>
  <c r="X119" i="7"/>
  <c r="U119" i="7"/>
  <c r="R119" i="7"/>
  <c r="O119" i="7"/>
  <c r="L119" i="7"/>
  <c r="I119" i="7"/>
  <c r="X118" i="7"/>
  <c r="U118" i="7"/>
  <c r="R118" i="7"/>
  <c r="O118" i="7"/>
  <c r="L118" i="7"/>
  <c r="I118" i="7"/>
  <c r="X117" i="7"/>
  <c r="U117" i="7"/>
  <c r="R117" i="7"/>
  <c r="O117" i="7"/>
  <c r="L117" i="7"/>
  <c r="I117" i="7"/>
  <c r="X116" i="7"/>
  <c r="U116" i="7"/>
  <c r="R116" i="7"/>
  <c r="O116" i="7"/>
  <c r="L116" i="7"/>
  <c r="I116" i="7"/>
  <c r="X115" i="7"/>
  <c r="U115" i="7"/>
  <c r="R115" i="7"/>
  <c r="O115" i="7"/>
  <c r="L115" i="7"/>
  <c r="I115" i="7"/>
  <c r="X114" i="7"/>
  <c r="U114" i="7"/>
  <c r="R114" i="7"/>
  <c r="O114" i="7"/>
  <c r="L114" i="7"/>
  <c r="I114" i="7"/>
  <c r="X113" i="7"/>
  <c r="U113" i="7"/>
  <c r="R113" i="7"/>
  <c r="O113" i="7"/>
  <c r="L113" i="7"/>
  <c r="I113" i="7"/>
  <c r="X112" i="7"/>
  <c r="U112" i="7"/>
  <c r="R112" i="7"/>
  <c r="O112" i="7"/>
  <c r="L112" i="7"/>
  <c r="I112" i="7"/>
  <c r="X111" i="7"/>
  <c r="U111" i="7"/>
  <c r="R111" i="7"/>
  <c r="O111" i="7"/>
  <c r="L111" i="7"/>
  <c r="I111" i="7"/>
  <c r="X110" i="7"/>
  <c r="U110" i="7"/>
  <c r="R110" i="7"/>
  <c r="O110" i="7"/>
  <c r="L110" i="7"/>
  <c r="I110" i="7"/>
  <c r="X109" i="7"/>
  <c r="U109" i="7"/>
  <c r="R109" i="7"/>
  <c r="O109" i="7"/>
  <c r="L109" i="7"/>
  <c r="I109" i="7"/>
  <c r="X108" i="7"/>
  <c r="U108" i="7"/>
  <c r="R108" i="7"/>
  <c r="O108" i="7"/>
  <c r="L108" i="7"/>
  <c r="I108" i="7"/>
  <c r="X107" i="7"/>
  <c r="U107" i="7"/>
  <c r="R107" i="7"/>
  <c r="O107" i="7"/>
  <c r="L107" i="7"/>
  <c r="I107" i="7"/>
  <c r="X106" i="7"/>
  <c r="U106" i="7"/>
  <c r="R106" i="7"/>
  <c r="O106" i="7"/>
  <c r="L106" i="7"/>
  <c r="I106" i="7"/>
  <c r="X105" i="7"/>
  <c r="U105" i="7"/>
  <c r="R105" i="7"/>
  <c r="O105" i="7"/>
  <c r="L105" i="7"/>
  <c r="I105" i="7"/>
  <c r="X104" i="7"/>
  <c r="U104" i="7"/>
  <c r="R104" i="7"/>
  <c r="O104" i="7"/>
  <c r="L104" i="7"/>
  <c r="I104" i="7"/>
  <c r="X103" i="7"/>
  <c r="U103" i="7"/>
  <c r="R103" i="7"/>
  <c r="O103" i="7"/>
  <c r="L103" i="7"/>
  <c r="I103" i="7"/>
  <c r="X102" i="7"/>
  <c r="U102" i="7"/>
  <c r="R102" i="7"/>
  <c r="O102" i="7"/>
  <c r="L102" i="7"/>
  <c r="I102" i="7"/>
  <c r="X101" i="7"/>
  <c r="U101" i="7"/>
  <c r="R101" i="7"/>
  <c r="O101" i="7"/>
  <c r="L101" i="7"/>
  <c r="I101" i="7"/>
  <c r="X100" i="7"/>
  <c r="U100" i="7"/>
  <c r="R100" i="7"/>
  <c r="O100" i="7"/>
  <c r="L100" i="7"/>
  <c r="I100" i="7"/>
  <c r="X99" i="7"/>
  <c r="U99" i="7"/>
  <c r="R99" i="7"/>
  <c r="O99" i="7"/>
  <c r="L99" i="7"/>
  <c r="I99" i="7"/>
  <c r="X98" i="7"/>
  <c r="U98" i="7"/>
  <c r="R98" i="7"/>
  <c r="O98" i="7"/>
  <c r="L98" i="7"/>
  <c r="I98" i="7"/>
  <c r="X97" i="7"/>
  <c r="U97" i="7"/>
  <c r="R97" i="7"/>
  <c r="O97" i="7"/>
  <c r="L97" i="7"/>
  <c r="I97" i="7"/>
  <c r="X96" i="7"/>
  <c r="U96" i="7"/>
  <c r="R96" i="7"/>
  <c r="O96" i="7"/>
  <c r="L96" i="7"/>
  <c r="I96" i="7"/>
  <c r="X95" i="7"/>
  <c r="U95" i="7"/>
  <c r="R95" i="7"/>
  <c r="O95" i="7"/>
  <c r="L95" i="7"/>
  <c r="I95" i="7"/>
  <c r="X94" i="7"/>
  <c r="U94" i="7"/>
  <c r="R94" i="7"/>
  <c r="O94" i="7"/>
  <c r="L94" i="7"/>
  <c r="I94" i="7"/>
  <c r="X93" i="7"/>
  <c r="U93" i="7"/>
  <c r="R93" i="7"/>
  <c r="O93" i="7"/>
  <c r="L93" i="7"/>
  <c r="I93" i="7"/>
  <c r="X92" i="7"/>
  <c r="U92" i="7"/>
  <c r="R92" i="7"/>
  <c r="O92" i="7"/>
  <c r="L92" i="7"/>
  <c r="I92" i="7"/>
  <c r="X91" i="7"/>
  <c r="U91" i="7"/>
  <c r="R91" i="7"/>
  <c r="O91" i="7"/>
  <c r="L91" i="7"/>
  <c r="I91" i="7"/>
  <c r="X90" i="7"/>
  <c r="U90" i="7"/>
  <c r="R90" i="7"/>
  <c r="O90" i="7"/>
  <c r="L90" i="7"/>
  <c r="I90" i="7"/>
  <c r="X89" i="7"/>
  <c r="U89" i="7"/>
  <c r="R89" i="7"/>
  <c r="O89" i="7"/>
  <c r="L89" i="7"/>
  <c r="I89" i="7"/>
  <c r="X88" i="7"/>
  <c r="U88" i="7"/>
  <c r="R88" i="7"/>
  <c r="O88" i="7"/>
  <c r="L88" i="7"/>
  <c r="I88" i="7"/>
  <c r="X87" i="7"/>
  <c r="U87" i="7"/>
  <c r="R87" i="7"/>
  <c r="O87" i="7"/>
  <c r="L87" i="7"/>
  <c r="I87" i="7"/>
  <c r="X86" i="7"/>
  <c r="U86" i="7"/>
  <c r="R86" i="7"/>
  <c r="O86" i="7"/>
  <c r="L86" i="7"/>
  <c r="I86" i="7"/>
  <c r="X85" i="7"/>
  <c r="U85" i="7"/>
  <c r="R85" i="7"/>
  <c r="O85" i="7"/>
  <c r="L85" i="7"/>
  <c r="I85" i="7"/>
  <c r="X84" i="7"/>
  <c r="U84" i="7"/>
  <c r="R84" i="7"/>
  <c r="O84" i="7"/>
  <c r="L84" i="7"/>
  <c r="I84" i="7"/>
  <c r="X83" i="7"/>
  <c r="U83" i="7"/>
  <c r="R83" i="7"/>
  <c r="O83" i="7"/>
  <c r="L83" i="7"/>
  <c r="I83" i="7"/>
  <c r="X82" i="7"/>
  <c r="U82" i="7"/>
  <c r="R82" i="7"/>
  <c r="O82" i="7"/>
  <c r="L82" i="7"/>
  <c r="I82" i="7"/>
  <c r="X81" i="7"/>
  <c r="U81" i="7"/>
  <c r="R81" i="7"/>
  <c r="O81" i="7"/>
  <c r="L81" i="7"/>
  <c r="I81" i="7"/>
  <c r="X80" i="7"/>
  <c r="U80" i="7"/>
  <c r="R80" i="7"/>
  <c r="O80" i="7"/>
  <c r="L80" i="7"/>
  <c r="I80" i="7"/>
  <c r="X79" i="7"/>
  <c r="U79" i="7"/>
  <c r="R79" i="7"/>
  <c r="O79" i="7"/>
  <c r="L79" i="7"/>
  <c r="I79" i="7"/>
  <c r="X78" i="7"/>
  <c r="U78" i="7"/>
  <c r="R78" i="7"/>
  <c r="O78" i="7"/>
  <c r="L78" i="7"/>
  <c r="I78" i="7"/>
  <c r="X77" i="7"/>
  <c r="U77" i="7"/>
  <c r="R77" i="7"/>
  <c r="O77" i="7"/>
  <c r="L77" i="7"/>
  <c r="I77" i="7"/>
  <c r="X76" i="7"/>
  <c r="U76" i="7"/>
  <c r="R76" i="7"/>
  <c r="O76" i="7"/>
  <c r="L76" i="7"/>
  <c r="I76" i="7"/>
  <c r="X75" i="7"/>
  <c r="U75" i="7"/>
  <c r="R75" i="7"/>
  <c r="O75" i="7"/>
  <c r="L75" i="7"/>
  <c r="I75" i="7"/>
  <c r="X74" i="7"/>
  <c r="U74" i="7"/>
  <c r="R74" i="7"/>
  <c r="O74" i="7"/>
  <c r="L74" i="7"/>
  <c r="I74" i="7"/>
  <c r="X73" i="7"/>
  <c r="U73" i="7"/>
  <c r="R73" i="7"/>
  <c r="O73" i="7"/>
  <c r="L73" i="7"/>
  <c r="I73" i="7"/>
  <c r="X72" i="7"/>
  <c r="U72" i="7"/>
  <c r="R72" i="7"/>
  <c r="O72" i="7"/>
  <c r="L72" i="7"/>
  <c r="I72" i="7"/>
  <c r="X71" i="7"/>
  <c r="U71" i="7"/>
  <c r="R71" i="7"/>
  <c r="O71" i="7"/>
  <c r="L71" i="7"/>
  <c r="I71" i="7"/>
  <c r="X70" i="7"/>
  <c r="U70" i="7"/>
  <c r="R70" i="7"/>
  <c r="O70" i="7"/>
  <c r="L70" i="7"/>
  <c r="I70" i="7"/>
  <c r="X69" i="7"/>
  <c r="U69" i="7"/>
  <c r="R69" i="7"/>
  <c r="O69" i="7"/>
  <c r="L69" i="7"/>
  <c r="I69" i="7"/>
  <c r="X68" i="7"/>
  <c r="U68" i="7"/>
  <c r="R68" i="7"/>
  <c r="O68" i="7"/>
  <c r="L68" i="7"/>
  <c r="I68" i="7"/>
  <c r="X67" i="7"/>
  <c r="U67" i="7"/>
  <c r="R67" i="7"/>
  <c r="O67" i="7"/>
  <c r="L67" i="7"/>
  <c r="I67" i="7"/>
  <c r="X66" i="7"/>
  <c r="U66" i="7"/>
  <c r="R66" i="7"/>
  <c r="O66" i="7"/>
  <c r="L66" i="7"/>
  <c r="I66" i="7"/>
  <c r="X65" i="7"/>
  <c r="U65" i="7"/>
  <c r="R65" i="7"/>
  <c r="O65" i="7"/>
  <c r="L65" i="7"/>
  <c r="I65" i="7"/>
  <c r="X64" i="7"/>
  <c r="U64" i="7"/>
  <c r="R64" i="7"/>
  <c r="O64" i="7"/>
  <c r="L64" i="7"/>
  <c r="I64" i="7"/>
  <c r="X63" i="7"/>
  <c r="U63" i="7"/>
  <c r="R63" i="7"/>
  <c r="O63" i="7"/>
  <c r="L63" i="7"/>
  <c r="I63" i="7"/>
  <c r="X62" i="7"/>
  <c r="U62" i="7"/>
  <c r="R62" i="7"/>
  <c r="O62" i="7"/>
  <c r="L62" i="7"/>
  <c r="I62" i="7"/>
  <c r="X61" i="7"/>
  <c r="U61" i="7"/>
  <c r="R61" i="7"/>
  <c r="O61" i="7"/>
  <c r="L61" i="7"/>
  <c r="I61" i="7"/>
  <c r="X60" i="7"/>
  <c r="U60" i="7"/>
  <c r="R60" i="7"/>
  <c r="O60" i="7"/>
  <c r="L60" i="7"/>
  <c r="I60" i="7"/>
  <c r="X59" i="7"/>
  <c r="U59" i="7"/>
  <c r="R59" i="7"/>
  <c r="O59" i="7"/>
  <c r="L59" i="7"/>
  <c r="I59" i="7"/>
  <c r="X58" i="7"/>
  <c r="U58" i="7"/>
  <c r="R58" i="7"/>
  <c r="O58" i="7"/>
  <c r="L58" i="7"/>
  <c r="I58" i="7"/>
  <c r="X57" i="7"/>
  <c r="U57" i="7"/>
  <c r="R57" i="7"/>
  <c r="O57" i="7"/>
  <c r="L57" i="7"/>
  <c r="I57" i="7"/>
  <c r="X56" i="7"/>
  <c r="U56" i="7"/>
  <c r="R56" i="7"/>
  <c r="O56" i="7"/>
  <c r="L56" i="7"/>
  <c r="I56" i="7"/>
  <c r="X55" i="7"/>
  <c r="U55" i="7"/>
  <c r="R55" i="7"/>
  <c r="O55" i="7"/>
  <c r="L55" i="7"/>
  <c r="I55" i="7"/>
  <c r="X54" i="7"/>
  <c r="U54" i="7"/>
  <c r="R54" i="7"/>
  <c r="O54" i="7"/>
  <c r="L54" i="7"/>
  <c r="I54" i="7"/>
  <c r="X53" i="7"/>
  <c r="U53" i="7"/>
  <c r="R53" i="7"/>
  <c r="O53" i="7"/>
  <c r="L53" i="7"/>
  <c r="I53" i="7"/>
  <c r="X52" i="7"/>
  <c r="U52" i="7"/>
  <c r="R52" i="7"/>
  <c r="O52" i="7"/>
  <c r="L52" i="7"/>
  <c r="I52" i="7"/>
  <c r="X51" i="7"/>
  <c r="U51" i="7"/>
  <c r="R51" i="7"/>
  <c r="O51" i="7"/>
  <c r="L51" i="7"/>
  <c r="I51" i="7"/>
  <c r="X50" i="7"/>
  <c r="U50" i="7"/>
  <c r="R50" i="7"/>
  <c r="O50" i="7"/>
  <c r="L50" i="7"/>
  <c r="I50" i="7"/>
  <c r="X49" i="7"/>
  <c r="U49" i="7"/>
  <c r="R49" i="7"/>
  <c r="O49" i="7"/>
  <c r="L49" i="7"/>
  <c r="I49" i="7"/>
  <c r="X48" i="7"/>
  <c r="U48" i="7"/>
  <c r="R48" i="7"/>
  <c r="O48" i="7"/>
  <c r="L48" i="7"/>
  <c r="I48" i="7"/>
  <c r="X47" i="7"/>
  <c r="U47" i="7"/>
  <c r="R47" i="7"/>
  <c r="O47" i="7"/>
  <c r="L47" i="7"/>
  <c r="I47" i="7"/>
  <c r="X46" i="7"/>
  <c r="U46" i="7"/>
  <c r="R46" i="7"/>
  <c r="O46" i="7"/>
  <c r="L46" i="7"/>
  <c r="I46" i="7"/>
  <c r="X45" i="7"/>
  <c r="U45" i="7"/>
  <c r="R45" i="7"/>
  <c r="O45" i="7"/>
  <c r="L45" i="7"/>
  <c r="I45" i="7"/>
  <c r="X44" i="7"/>
  <c r="U44" i="7"/>
  <c r="R44" i="7"/>
  <c r="O44" i="7"/>
  <c r="L44" i="7"/>
  <c r="I44" i="7"/>
  <c r="X43" i="7"/>
  <c r="U43" i="7"/>
  <c r="R43" i="7"/>
  <c r="O43" i="7"/>
  <c r="L43" i="7"/>
  <c r="I43" i="7"/>
  <c r="X42" i="7"/>
  <c r="U42" i="7"/>
  <c r="R42" i="7"/>
  <c r="O42" i="7"/>
  <c r="L42" i="7"/>
  <c r="I42" i="7"/>
  <c r="X41" i="7"/>
  <c r="U41" i="7"/>
  <c r="R41" i="7"/>
  <c r="O41" i="7"/>
  <c r="L41" i="7"/>
  <c r="I41" i="7"/>
  <c r="X40" i="7"/>
  <c r="U40" i="7"/>
  <c r="R40" i="7"/>
  <c r="O40" i="7"/>
  <c r="L40" i="7"/>
  <c r="I40" i="7"/>
  <c r="X39" i="7"/>
  <c r="U39" i="7"/>
  <c r="R39" i="7"/>
  <c r="O39" i="7"/>
  <c r="L39" i="7"/>
  <c r="I39" i="7"/>
  <c r="X38" i="7"/>
  <c r="U38" i="7"/>
  <c r="R38" i="7"/>
  <c r="O38" i="7"/>
  <c r="L38" i="7"/>
  <c r="I38" i="7"/>
  <c r="X37" i="7"/>
  <c r="U37" i="7"/>
  <c r="R37" i="7"/>
  <c r="O37" i="7"/>
  <c r="L37" i="7"/>
  <c r="I37" i="7"/>
  <c r="X36" i="7"/>
  <c r="U36" i="7"/>
  <c r="R36" i="7"/>
  <c r="O36" i="7"/>
  <c r="L36" i="7"/>
  <c r="I36" i="7"/>
  <c r="X35" i="7"/>
  <c r="U35" i="7"/>
  <c r="R35" i="7"/>
  <c r="O35" i="7"/>
  <c r="L35" i="7"/>
  <c r="I35" i="7"/>
  <c r="X34" i="7"/>
  <c r="U34" i="7"/>
  <c r="R34" i="7"/>
  <c r="O34" i="7"/>
  <c r="L34" i="7"/>
  <c r="I34" i="7"/>
  <c r="X33" i="7"/>
  <c r="U33" i="7"/>
  <c r="R33" i="7"/>
  <c r="O33" i="7"/>
  <c r="L33" i="7"/>
  <c r="I33" i="7"/>
  <c r="X32" i="7"/>
  <c r="U32" i="7"/>
  <c r="R32" i="7"/>
  <c r="O32" i="7"/>
  <c r="L32" i="7"/>
  <c r="I32" i="7"/>
  <c r="X31" i="7"/>
  <c r="U31" i="7"/>
  <c r="R31" i="7"/>
  <c r="O31" i="7"/>
  <c r="L31" i="7"/>
  <c r="I31" i="7"/>
  <c r="X30" i="7"/>
  <c r="U30" i="7"/>
  <c r="R30" i="7"/>
  <c r="O30" i="7"/>
  <c r="L30" i="7"/>
  <c r="I30" i="7"/>
  <c r="X29" i="7"/>
  <c r="U29" i="7"/>
  <c r="R29" i="7"/>
  <c r="O29" i="7"/>
  <c r="L29" i="7"/>
  <c r="I29" i="7"/>
  <c r="X28" i="7"/>
  <c r="U28" i="7"/>
  <c r="R28" i="7"/>
  <c r="O28" i="7"/>
  <c r="L28" i="7"/>
  <c r="I28" i="7"/>
  <c r="X27" i="7"/>
  <c r="U27" i="7"/>
  <c r="R27" i="7"/>
  <c r="O27" i="7"/>
  <c r="L27" i="7"/>
  <c r="I27" i="7"/>
  <c r="X26" i="7"/>
  <c r="U26" i="7"/>
  <c r="R26" i="7"/>
  <c r="O26" i="7"/>
  <c r="L26" i="7"/>
  <c r="I26" i="7"/>
  <c r="X25" i="7"/>
  <c r="U25" i="7"/>
  <c r="R25" i="7"/>
  <c r="O25" i="7"/>
  <c r="L25" i="7"/>
  <c r="I25" i="7"/>
  <c r="X24" i="7"/>
  <c r="U24" i="7"/>
  <c r="R24" i="7"/>
  <c r="O24" i="7"/>
  <c r="L24" i="7"/>
  <c r="I24" i="7"/>
  <c r="X23" i="7"/>
  <c r="U23" i="7"/>
  <c r="R23" i="7"/>
  <c r="O23" i="7"/>
  <c r="L23" i="7"/>
  <c r="I23" i="7"/>
  <c r="X22" i="7"/>
  <c r="U22" i="7"/>
  <c r="R22" i="7"/>
  <c r="O22" i="7"/>
  <c r="L22" i="7"/>
  <c r="I22" i="7"/>
  <c r="X21" i="7"/>
  <c r="U21" i="7"/>
  <c r="R21" i="7"/>
  <c r="O21" i="7"/>
  <c r="L21" i="7"/>
  <c r="I21" i="7"/>
  <c r="X20" i="7"/>
  <c r="U20" i="7"/>
  <c r="R20" i="7"/>
  <c r="O20" i="7"/>
  <c r="L20" i="7"/>
  <c r="I20" i="7"/>
  <c r="X19" i="7"/>
  <c r="U19" i="7"/>
  <c r="R19" i="7"/>
  <c r="O19" i="7"/>
  <c r="L19" i="7"/>
  <c r="I19" i="7"/>
  <c r="X18" i="7"/>
  <c r="U18" i="7"/>
  <c r="R18" i="7"/>
  <c r="O18" i="7"/>
  <c r="L18" i="7"/>
  <c r="I18" i="7"/>
  <c r="X17" i="7"/>
  <c r="U17" i="7"/>
  <c r="R17" i="7"/>
  <c r="O17" i="7"/>
  <c r="L17" i="7"/>
  <c r="I17" i="7"/>
  <c r="X16" i="7"/>
  <c r="U16" i="7"/>
  <c r="R16" i="7"/>
  <c r="O16" i="7"/>
  <c r="L16" i="7"/>
  <c r="I16" i="7"/>
  <c r="X15" i="7"/>
  <c r="U15" i="7"/>
  <c r="R15" i="7"/>
  <c r="O15" i="7"/>
  <c r="L15" i="7"/>
  <c r="I15" i="7"/>
  <c r="X14" i="7"/>
  <c r="U14" i="7"/>
  <c r="R14" i="7"/>
  <c r="O14" i="7"/>
  <c r="L14" i="7"/>
  <c r="I14" i="7"/>
  <c r="X13" i="7"/>
  <c r="U13" i="7"/>
  <c r="R13" i="7"/>
  <c r="O13" i="7"/>
  <c r="L13" i="7"/>
  <c r="I13" i="7"/>
  <c r="X12" i="7"/>
  <c r="U12" i="7"/>
  <c r="R12" i="7"/>
  <c r="O12" i="7"/>
  <c r="L12" i="7"/>
  <c r="I12" i="7"/>
  <c r="X11" i="7"/>
  <c r="U11" i="7"/>
  <c r="R11" i="7"/>
  <c r="O11" i="7"/>
  <c r="L11" i="7"/>
  <c r="X10" i="7"/>
  <c r="U10" i="7"/>
  <c r="R10" i="7"/>
  <c r="O10" i="7"/>
  <c r="L10" i="7"/>
  <c r="I10" i="7"/>
  <c r="X9" i="7"/>
  <c r="U9" i="7"/>
  <c r="R9" i="7"/>
  <c r="O9" i="7"/>
  <c r="L9" i="7"/>
  <c r="I9" i="7"/>
  <c r="F132" i="7"/>
  <c r="W94" i="6"/>
  <c r="V94" i="6"/>
  <c r="S94" i="6"/>
  <c r="Q94" i="6"/>
  <c r="P94" i="6"/>
  <c r="N94" i="6"/>
  <c r="K94" i="6"/>
  <c r="H94" i="6"/>
  <c r="G94" i="6"/>
  <c r="Z93" i="6"/>
  <c r="AC93" i="6" s="1"/>
  <c r="Y93" i="6"/>
  <c r="AB93" i="6" s="1"/>
  <c r="X93" i="6"/>
  <c r="U93" i="6"/>
  <c r="R93" i="6"/>
  <c r="O93" i="6"/>
  <c r="L93" i="6"/>
  <c r="Z92" i="6"/>
  <c r="Y92" i="6"/>
  <c r="X92" i="6"/>
  <c r="U92" i="6"/>
  <c r="R92" i="6"/>
  <c r="O92" i="6"/>
  <c r="L92" i="6"/>
  <c r="I92" i="6"/>
  <c r="Z91" i="6"/>
  <c r="Y91" i="6"/>
  <c r="X91" i="6"/>
  <c r="U91" i="6"/>
  <c r="R91" i="6"/>
  <c r="O91" i="6"/>
  <c r="L91" i="6"/>
  <c r="I91" i="6"/>
  <c r="Z90" i="6"/>
  <c r="Y90" i="6"/>
  <c r="X90" i="6"/>
  <c r="U90" i="6"/>
  <c r="R90" i="6"/>
  <c r="O90" i="6"/>
  <c r="L90" i="6"/>
  <c r="I90" i="6"/>
  <c r="Z89" i="6"/>
  <c r="Y89" i="6"/>
  <c r="X89" i="6"/>
  <c r="U89" i="6"/>
  <c r="R89" i="6"/>
  <c r="O89" i="6"/>
  <c r="L89" i="6"/>
  <c r="I89" i="6"/>
  <c r="Z88" i="6"/>
  <c r="Y88" i="6"/>
  <c r="X88" i="6"/>
  <c r="U88" i="6"/>
  <c r="R88" i="6"/>
  <c r="O88" i="6"/>
  <c r="L88" i="6"/>
  <c r="I88" i="6"/>
  <c r="AB87" i="6"/>
  <c r="Z87" i="6"/>
  <c r="X87" i="6"/>
  <c r="U87" i="6"/>
  <c r="R87" i="6"/>
  <c r="O87" i="6"/>
  <c r="L87" i="6"/>
  <c r="I87" i="6"/>
  <c r="Y86" i="6"/>
  <c r="X86" i="6"/>
  <c r="Z86" i="6"/>
  <c r="R86" i="6"/>
  <c r="O86" i="6"/>
  <c r="L86" i="6"/>
  <c r="I86" i="6"/>
  <c r="Z85" i="6"/>
  <c r="Y85" i="6"/>
  <c r="X85" i="6"/>
  <c r="U85" i="6"/>
  <c r="R85" i="6"/>
  <c r="O85" i="6"/>
  <c r="L85" i="6"/>
  <c r="I85" i="6"/>
  <c r="Z84" i="6"/>
  <c r="Y84" i="6"/>
  <c r="X84" i="6"/>
  <c r="U84" i="6"/>
  <c r="R84" i="6"/>
  <c r="O84" i="6"/>
  <c r="L84" i="6"/>
  <c r="I84" i="6"/>
  <c r="Z83" i="6"/>
  <c r="Y83" i="6"/>
  <c r="X83" i="6"/>
  <c r="U83" i="6"/>
  <c r="R83" i="6"/>
  <c r="O83" i="6"/>
  <c r="L83" i="6"/>
  <c r="I83" i="6"/>
  <c r="Z82" i="6"/>
  <c r="AO82" i="6" s="1"/>
  <c r="AR82" i="6" s="1"/>
  <c r="Y82" i="6"/>
  <c r="X82" i="6"/>
  <c r="U82" i="6"/>
  <c r="R82" i="6"/>
  <c r="O82" i="6"/>
  <c r="L82" i="6"/>
  <c r="I82" i="6"/>
  <c r="Z81" i="6"/>
  <c r="Y81" i="6"/>
  <c r="X81" i="6"/>
  <c r="U81" i="6"/>
  <c r="R81" i="6"/>
  <c r="O81" i="6"/>
  <c r="L81" i="6"/>
  <c r="I81" i="6"/>
  <c r="Z80" i="6"/>
  <c r="Y80" i="6"/>
  <c r="X80" i="6"/>
  <c r="U80" i="6"/>
  <c r="R80" i="6"/>
  <c r="O80" i="6"/>
  <c r="L80" i="6"/>
  <c r="I80" i="6"/>
  <c r="Z79" i="6"/>
  <c r="AO79" i="6" s="1"/>
  <c r="AR79" i="6" s="1"/>
  <c r="Y79" i="6"/>
  <c r="X79" i="6"/>
  <c r="U79" i="6"/>
  <c r="R79" i="6"/>
  <c r="O79" i="6"/>
  <c r="L79" i="6"/>
  <c r="I79" i="6"/>
  <c r="Z78" i="6"/>
  <c r="Y78" i="6"/>
  <c r="X78" i="6"/>
  <c r="U78" i="6"/>
  <c r="R78" i="6"/>
  <c r="O78" i="6"/>
  <c r="L78" i="6"/>
  <c r="I78" i="6"/>
  <c r="Z77" i="6"/>
  <c r="X77" i="6"/>
  <c r="U77" i="6"/>
  <c r="R77" i="6"/>
  <c r="Y77" i="6"/>
  <c r="L77" i="6"/>
  <c r="I77" i="6"/>
  <c r="Z76" i="6"/>
  <c r="Y76" i="6"/>
  <c r="X76" i="6"/>
  <c r="U76" i="6"/>
  <c r="R76" i="6"/>
  <c r="O76" i="6"/>
  <c r="L76" i="6"/>
  <c r="I76" i="6"/>
  <c r="Z75" i="6"/>
  <c r="Y75" i="6"/>
  <c r="X75" i="6"/>
  <c r="U75" i="6"/>
  <c r="R75" i="6"/>
  <c r="O75" i="6"/>
  <c r="L75" i="6"/>
  <c r="I75" i="6"/>
  <c r="Z74" i="6"/>
  <c r="Y74" i="6"/>
  <c r="X74" i="6"/>
  <c r="U74" i="6"/>
  <c r="R74" i="6"/>
  <c r="O74" i="6"/>
  <c r="L74" i="6"/>
  <c r="I74" i="6"/>
  <c r="Z73" i="6"/>
  <c r="X73" i="6"/>
  <c r="U73" i="6"/>
  <c r="R73" i="6"/>
  <c r="Y73" i="6"/>
  <c r="L73" i="6"/>
  <c r="I73" i="6"/>
  <c r="Z72" i="6"/>
  <c r="Y72" i="6"/>
  <c r="X72" i="6"/>
  <c r="U72" i="6"/>
  <c r="R72" i="6"/>
  <c r="O72" i="6"/>
  <c r="L72" i="6"/>
  <c r="I72" i="6"/>
  <c r="Z71" i="6"/>
  <c r="X71" i="6"/>
  <c r="U71" i="6"/>
  <c r="R71" i="6"/>
  <c r="O71" i="6"/>
  <c r="Y71" i="6"/>
  <c r="L71" i="6"/>
  <c r="I71" i="6"/>
  <c r="Z70" i="6"/>
  <c r="Y70" i="6"/>
  <c r="X70" i="6"/>
  <c r="U70" i="6"/>
  <c r="R70" i="6"/>
  <c r="O70" i="6"/>
  <c r="L70" i="6"/>
  <c r="I70" i="6"/>
  <c r="Z69" i="6"/>
  <c r="X69" i="6"/>
  <c r="U69" i="6"/>
  <c r="R69" i="6"/>
  <c r="Y69" i="6"/>
  <c r="L69" i="6"/>
  <c r="I69" i="6"/>
  <c r="Z68" i="6"/>
  <c r="Y68" i="6"/>
  <c r="X68" i="6"/>
  <c r="U68" i="6"/>
  <c r="R68" i="6"/>
  <c r="O68" i="6"/>
  <c r="L68" i="6"/>
  <c r="I68" i="6"/>
  <c r="Z67" i="6"/>
  <c r="Y67" i="6"/>
  <c r="X67" i="6"/>
  <c r="U67" i="6"/>
  <c r="R67" i="6"/>
  <c r="O67" i="6"/>
  <c r="L67" i="6"/>
  <c r="I67" i="6"/>
  <c r="Z66" i="6"/>
  <c r="X66" i="6"/>
  <c r="U66" i="6"/>
  <c r="R66" i="6"/>
  <c r="Y66" i="6"/>
  <c r="L66" i="6"/>
  <c r="I66" i="6"/>
  <c r="Z65" i="6"/>
  <c r="Y65" i="6"/>
  <c r="X65" i="6"/>
  <c r="U65" i="6"/>
  <c r="R65" i="6"/>
  <c r="O65" i="6"/>
  <c r="L65" i="6"/>
  <c r="I65" i="6"/>
  <c r="Z64" i="6"/>
  <c r="Y64" i="6"/>
  <c r="X64" i="6"/>
  <c r="U64" i="6"/>
  <c r="R64" i="6"/>
  <c r="O64" i="6"/>
  <c r="L64" i="6"/>
  <c r="I64" i="6"/>
  <c r="Z63" i="6"/>
  <c r="Y63" i="6"/>
  <c r="X63" i="6"/>
  <c r="U63" i="6"/>
  <c r="R63" i="6"/>
  <c r="O63" i="6"/>
  <c r="L63" i="6"/>
  <c r="I63" i="6"/>
  <c r="Z62" i="6"/>
  <c r="X62" i="6"/>
  <c r="U62" i="6"/>
  <c r="R62" i="6"/>
  <c r="Y62" i="6"/>
  <c r="L62" i="6"/>
  <c r="I62" i="6"/>
  <c r="Z61" i="6"/>
  <c r="Y61" i="6"/>
  <c r="X61" i="6"/>
  <c r="U61" i="6"/>
  <c r="R61" i="6"/>
  <c r="O61" i="6"/>
  <c r="L61" i="6"/>
  <c r="I61" i="6"/>
  <c r="Z60" i="6"/>
  <c r="X60" i="6"/>
  <c r="U60" i="6"/>
  <c r="R60" i="6"/>
  <c r="Y60" i="6"/>
  <c r="L60" i="6"/>
  <c r="I60" i="6"/>
  <c r="Z59" i="6"/>
  <c r="Y59" i="6"/>
  <c r="X59" i="6"/>
  <c r="U59" i="6"/>
  <c r="R59" i="6"/>
  <c r="O59" i="6"/>
  <c r="L59" i="6"/>
  <c r="I59" i="6"/>
  <c r="Z58" i="6"/>
  <c r="Y58" i="6"/>
  <c r="X58" i="6"/>
  <c r="U58" i="6"/>
  <c r="R58" i="6"/>
  <c r="O58" i="6"/>
  <c r="L58" i="6"/>
  <c r="I58" i="6"/>
  <c r="Z57" i="6"/>
  <c r="Y57" i="6"/>
  <c r="X57" i="6"/>
  <c r="U57" i="6"/>
  <c r="R57" i="6"/>
  <c r="O57" i="6"/>
  <c r="L57" i="6"/>
  <c r="I57" i="6"/>
  <c r="Z56" i="6"/>
  <c r="Y56" i="6"/>
  <c r="X56" i="6"/>
  <c r="U56" i="6"/>
  <c r="R56" i="6"/>
  <c r="O56" i="6"/>
  <c r="L56" i="6"/>
  <c r="I56" i="6"/>
  <c r="Z55" i="6"/>
  <c r="Y55" i="6"/>
  <c r="X55" i="6"/>
  <c r="U55" i="6"/>
  <c r="R55" i="6"/>
  <c r="O55" i="6"/>
  <c r="L55" i="6"/>
  <c r="I55" i="6"/>
  <c r="Z54" i="6"/>
  <c r="AO54" i="6" s="1"/>
  <c r="AR54" i="6" s="1"/>
  <c r="Y54" i="6"/>
  <c r="X54" i="6"/>
  <c r="U54" i="6"/>
  <c r="R54" i="6"/>
  <c r="O54" i="6"/>
  <c r="L54" i="6"/>
  <c r="I54" i="6"/>
  <c r="Z53" i="6"/>
  <c r="Y53" i="6"/>
  <c r="X53" i="6"/>
  <c r="U53" i="6"/>
  <c r="R53" i="6"/>
  <c r="O53" i="6"/>
  <c r="L53" i="6"/>
  <c r="I53" i="6"/>
  <c r="Z52" i="6"/>
  <c r="Y52" i="6"/>
  <c r="X52" i="6"/>
  <c r="U52" i="6"/>
  <c r="R52" i="6"/>
  <c r="O52" i="6"/>
  <c r="L52" i="6"/>
  <c r="I52" i="6"/>
  <c r="Z51" i="6"/>
  <c r="Y51" i="6"/>
  <c r="X51" i="6"/>
  <c r="U51" i="6"/>
  <c r="R51" i="6"/>
  <c r="O51" i="6"/>
  <c r="L51" i="6"/>
  <c r="I51" i="6"/>
  <c r="Z50" i="6"/>
  <c r="X50" i="6"/>
  <c r="U50" i="6"/>
  <c r="R50" i="6"/>
  <c r="Y50" i="6"/>
  <c r="L50" i="6"/>
  <c r="I50" i="6"/>
  <c r="Z49" i="6"/>
  <c r="Y49" i="6"/>
  <c r="X49" i="6"/>
  <c r="U49" i="6"/>
  <c r="R49" i="6"/>
  <c r="O49" i="6"/>
  <c r="L49" i="6"/>
  <c r="I49" i="6"/>
  <c r="Z48" i="6"/>
  <c r="X48" i="6"/>
  <c r="U48" i="6"/>
  <c r="R48" i="6"/>
  <c r="Y48" i="6"/>
  <c r="L48" i="6"/>
  <c r="I48" i="6"/>
  <c r="Z47" i="6"/>
  <c r="Y47" i="6"/>
  <c r="X47" i="6"/>
  <c r="U47" i="6"/>
  <c r="R47" i="6"/>
  <c r="O47" i="6"/>
  <c r="L47" i="6"/>
  <c r="I47" i="6"/>
  <c r="Z46" i="6"/>
  <c r="Y46" i="6"/>
  <c r="X46" i="6"/>
  <c r="U46" i="6"/>
  <c r="R46" i="6"/>
  <c r="O46" i="6"/>
  <c r="L46" i="6"/>
  <c r="I46" i="6"/>
  <c r="Z45" i="6"/>
  <c r="Y45" i="6"/>
  <c r="X45" i="6"/>
  <c r="U45" i="6"/>
  <c r="R45" i="6"/>
  <c r="O45" i="6"/>
  <c r="L45" i="6"/>
  <c r="I45" i="6"/>
  <c r="Z44" i="6"/>
  <c r="Y44" i="6"/>
  <c r="X44" i="6"/>
  <c r="U44" i="6"/>
  <c r="R44" i="6"/>
  <c r="O44" i="6"/>
  <c r="L44" i="6"/>
  <c r="I44" i="6"/>
  <c r="Z43" i="6"/>
  <c r="X43" i="6"/>
  <c r="U43" i="6"/>
  <c r="R43" i="6"/>
  <c r="Y43" i="6"/>
  <c r="L43" i="6"/>
  <c r="I43" i="6"/>
  <c r="Z42" i="6"/>
  <c r="Y42" i="6"/>
  <c r="X42" i="6"/>
  <c r="U42" i="6"/>
  <c r="R42" i="6"/>
  <c r="O42" i="6"/>
  <c r="L42" i="6"/>
  <c r="I42" i="6"/>
  <c r="Z41" i="6"/>
  <c r="Y41" i="6"/>
  <c r="X41" i="6"/>
  <c r="U41" i="6"/>
  <c r="R41" i="6"/>
  <c r="O41" i="6"/>
  <c r="L41" i="6"/>
  <c r="I41" i="6"/>
  <c r="Z40" i="6"/>
  <c r="Y40" i="6"/>
  <c r="X40" i="6"/>
  <c r="U40" i="6"/>
  <c r="R40" i="6"/>
  <c r="O40" i="6"/>
  <c r="L40" i="6"/>
  <c r="I40" i="6"/>
  <c r="Z39" i="6"/>
  <c r="Y39" i="6"/>
  <c r="X39" i="6"/>
  <c r="U39" i="6"/>
  <c r="R39" i="6"/>
  <c r="O39" i="6"/>
  <c r="L39" i="6"/>
  <c r="I39" i="6"/>
  <c r="Z38" i="6"/>
  <c r="Y38" i="6"/>
  <c r="X38" i="6"/>
  <c r="U38" i="6"/>
  <c r="R38" i="6"/>
  <c r="O38" i="6"/>
  <c r="L38" i="6"/>
  <c r="I38" i="6"/>
  <c r="Z37" i="6"/>
  <c r="X37" i="6"/>
  <c r="U37" i="6"/>
  <c r="R37" i="6"/>
  <c r="Y37" i="6"/>
  <c r="L37" i="6"/>
  <c r="I37" i="6"/>
  <c r="Z36" i="6"/>
  <c r="Y36" i="6"/>
  <c r="X36" i="6"/>
  <c r="U36" i="6"/>
  <c r="R36" i="6"/>
  <c r="O36" i="6"/>
  <c r="L36" i="6"/>
  <c r="I36" i="6"/>
  <c r="Z35" i="6"/>
  <c r="X35" i="6"/>
  <c r="U35" i="6"/>
  <c r="R35" i="6"/>
  <c r="Y35" i="6"/>
  <c r="L35" i="6"/>
  <c r="I35" i="6"/>
  <c r="Z34" i="6"/>
  <c r="Y34" i="6"/>
  <c r="X34" i="6"/>
  <c r="U34" i="6"/>
  <c r="R34" i="6"/>
  <c r="O34" i="6"/>
  <c r="L34" i="6"/>
  <c r="I34" i="6"/>
  <c r="Z33" i="6"/>
  <c r="Y33" i="6"/>
  <c r="X33" i="6"/>
  <c r="U33" i="6"/>
  <c r="R33" i="6"/>
  <c r="O33" i="6"/>
  <c r="L33" i="6"/>
  <c r="I33" i="6"/>
  <c r="Z32" i="6"/>
  <c r="Y32" i="6"/>
  <c r="X32" i="6"/>
  <c r="U32" i="6"/>
  <c r="R32" i="6"/>
  <c r="O32" i="6"/>
  <c r="L32" i="6"/>
  <c r="I32" i="6"/>
  <c r="Z31" i="6"/>
  <c r="Y31" i="6"/>
  <c r="X31" i="6"/>
  <c r="U31" i="6"/>
  <c r="R31" i="6"/>
  <c r="O31" i="6"/>
  <c r="L31" i="6"/>
  <c r="I31" i="6"/>
  <c r="Z30" i="6"/>
  <c r="Y30" i="6"/>
  <c r="X30" i="6"/>
  <c r="U30" i="6"/>
  <c r="R30" i="6"/>
  <c r="O30" i="6"/>
  <c r="L30" i="6"/>
  <c r="I30" i="6"/>
  <c r="Z29" i="6"/>
  <c r="Y29" i="6"/>
  <c r="X29" i="6"/>
  <c r="U29" i="6"/>
  <c r="R29" i="6"/>
  <c r="O29" i="6"/>
  <c r="L29" i="6"/>
  <c r="I29" i="6"/>
  <c r="Z28" i="6"/>
  <c r="Y28" i="6"/>
  <c r="X28" i="6"/>
  <c r="U28" i="6"/>
  <c r="R28" i="6"/>
  <c r="O28" i="6"/>
  <c r="L28" i="6"/>
  <c r="I28" i="6"/>
  <c r="Z27" i="6"/>
  <c r="Y27" i="6"/>
  <c r="X27" i="6"/>
  <c r="U27" i="6"/>
  <c r="R27" i="6"/>
  <c r="O27" i="6"/>
  <c r="L27" i="6"/>
  <c r="I27" i="6"/>
  <c r="Z26" i="6"/>
  <c r="Y26" i="6"/>
  <c r="X26" i="6"/>
  <c r="U26" i="6"/>
  <c r="R26" i="6"/>
  <c r="O26" i="6"/>
  <c r="L26" i="6"/>
  <c r="I26" i="6"/>
  <c r="Z25" i="6"/>
  <c r="Y25" i="6"/>
  <c r="X25" i="6"/>
  <c r="U25" i="6"/>
  <c r="R25" i="6"/>
  <c r="O25" i="6"/>
  <c r="L25" i="6"/>
  <c r="I25" i="6"/>
  <c r="Z24" i="6"/>
  <c r="X24" i="6"/>
  <c r="U24" i="6"/>
  <c r="R24" i="6"/>
  <c r="Y24" i="6"/>
  <c r="L24" i="6"/>
  <c r="I24" i="6"/>
  <c r="Z23" i="6"/>
  <c r="Y23" i="6"/>
  <c r="X23" i="6"/>
  <c r="U23" i="6"/>
  <c r="R23" i="6"/>
  <c r="O23" i="6"/>
  <c r="L23" i="6"/>
  <c r="I23" i="6"/>
  <c r="Z22" i="6"/>
  <c r="Y22" i="6"/>
  <c r="X22" i="6"/>
  <c r="U22" i="6"/>
  <c r="R22" i="6"/>
  <c r="O22" i="6"/>
  <c r="L22" i="6"/>
  <c r="I22" i="6"/>
  <c r="Z21" i="6"/>
  <c r="Y21" i="6"/>
  <c r="X21" i="6"/>
  <c r="U21" i="6"/>
  <c r="R21" i="6"/>
  <c r="O21" i="6"/>
  <c r="L21" i="6"/>
  <c r="I21" i="6"/>
  <c r="Z20" i="6"/>
  <c r="Y20" i="6"/>
  <c r="X20" i="6"/>
  <c r="U20" i="6"/>
  <c r="R20" i="6"/>
  <c r="O20" i="6"/>
  <c r="L20" i="6"/>
  <c r="I20" i="6"/>
  <c r="Z19" i="6"/>
  <c r="Y19" i="6"/>
  <c r="X19" i="6"/>
  <c r="U19" i="6"/>
  <c r="R19" i="6"/>
  <c r="O19" i="6"/>
  <c r="L19" i="6"/>
  <c r="I19" i="6"/>
  <c r="Z18" i="6"/>
  <c r="Y18" i="6"/>
  <c r="X18" i="6"/>
  <c r="U18" i="6"/>
  <c r="R18" i="6"/>
  <c r="O18" i="6"/>
  <c r="L18" i="6"/>
  <c r="I18" i="6"/>
  <c r="Z17" i="6"/>
  <c r="Y17" i="6"/>
  <c r="X17" i="6"/>
  <c r="U17" i="6"/>
  <c r="R17" i="6"/>
  <c r="O17" i="6"/>
  <c r="L17" i="6"/>
  <c r="I17" i="6"/>
  <c r="Z16" i="6"/>
  <c r="X16" i="6"/>
  <c r="U16" i="6"/>
  <c r="R16" i="6"/>
  <c r="Y16" i="6"/>
  <c r="L16" i="6"/>
  <c r="I16" i="6"/>
  <c r="Z15" i="6"/>
  <c r="Y15" i="6"/>
  <c r="X15" i="6"/>
  <c r="U15" i="6"/>
  <c r="R15" i="6"/>
  <c r="O15" i="6"/>
  <c r="L15" i="6"/>
  <c r="I15" i="6"/>
  <c r="Z14" i="6"/>
  <c r="Y14" i="6"/>
  <c r="X14" i="6"/>
  <c r="U14" i="6"/>
  <c r="R14" i="6"/>
  <c r="O14" i="6"/>
  <c r="L14" i="6"/>
  <c r="I14" i="6"/>
  <c r="Z13" i="6"/>
  <c r="Y13" i="6"/>
  <c r="X13" i="6"/>
  <c r="U13" i="6"/>
  <c r="R13" i="6"/>
  <c r="O13" i="6"/>
  <c r="L13" i="6"/>
  <c r="I13" i="6"/>
  <c r="Z12" i="6"/>
  <c r="Y12" i="6"/>
  <c r="X12" i="6"/>
  <c r="U12" i="6"/>
  <c r="R12" i="6"/>
  <c r="O12" i="6"/>
  <c r="L12" i="6"/>
  <c r="I12" i="6"/>
  <c r="Z11" i="6"/>
  <c r="Y11" i="6"/>
  <c r="X11" i="6"/>
  <c r="U11" i="6"/>
  <c r="R11" i="6"/>
  <c r="O11" i="6"/>
  <c r="L11" i="6"/>
  <c r="I11" i="6"/>
  <c r="Z10" i="6"/>
  <c r="X10" i="6"/>
  <c r="U10" i="6"/>
  <c r="R10" i="6"/>
  <c r="O10" i="6"/>
  <c r="L10" i="6"/>
  <c r="Y10" i="6"/>
  <c r="I10" i="6"/>
  <c r="Z9" i="6"/>
  <c r="Y9" i="6"/>
  <c r="X9" i="6"/>
  <c r="U9" i="6"/>
  <c r="R9" i="6"/>
  <c r="O9" i="6"/>
  <c r="M94" i="6"/>
  <c r="L9" i="6"/>
  <c r="J94" i="6"/>
  <c r="I9" i="6"/>
  <c r="Z8" i="6"/>
  <c r="Y8" i="6"/>
  <c r="X8" i="6"/>
  <c r="U8" i="6"/>
  <c r="R8" i="6"/>
  <c r="O8" i="6"/>
  <c r="L8" i="6"/>
  <c r="I8" i="6"/>
  <c r="F94" i="6"/>
  <c r="AB10" i="6" l="1"/>
  <c r="AN10" i="6"/>
  <c r="AQ10" i="6" s="1"/>
  <c r="AB17" i="6"/>
  <c r="AN17" i="6"/>
  <c r="AQ17" i="6" s="1"/>
  <c r="AB18" i="6"/>
  <c r="AN18" i="6"/>
  <c r="AQ18" i="6" s="1"/>
  <c r="AB19" i="6"/>
  <c r="AN19" i="6"/>
  <c r="AQ19" i="6" s="1"/>
  <c r="AB20" i="6"/>
  <c r="AN20" i="6"/>
  <c r="AQ20" i="6" s="1"/>
  <c r="AB21" i="6"/>
  <c r="AN21" i="6"/>
  <c r="AQ21" i="6" s="1"/>
  <c r="AB22" i="6"/>
  <c r="AN22" i="6"/>
  <c r="AQ22" i="6" s="1"/>
  <c r="AB23" i="6"/>
  <c r="AN23" i="6"/>
  <c r="AQ23" i="6" s="1"/>
  <c r="AB24" i="6"/>
  <c r="AN24" i="6"/>
  <c r="AQ24" i="6" s="1"/>
  <c r="AC24" i="6"/>
  <c r="AO24" i="6"/>
  <c r="AR24" i="6" s="1"/>
  <c r="AC25" i="6"/>
  <c r="AO25" i="6"/>
  <c r="AR25" i="6" s="1"/>
  <c r="AC26" i="6"/>
  <c r="AO26" i="6"/>
  <c r="AR26" i="6" s="1"/>
  <c r="AC27" i="6"/>
  <c r="AO27" i="6"/>
  <c r="AR27" i="6" s="1"/>
  <c r="AC28" i="6"/>
  <c r="AO28" i="6"/>
  <c r="AR28" i="6" s="1"/>
  <c r="AC29" i="6"/>
  <c r="AO29" i="6"/>
  <c r="AR29" i="6" s="1"/>
  <c r="AC30" i="6"/>
  <c r="AO30" i="6"/>
  <c r="AR30" i="6" s="1"/>
  <c r="AC31" i="6"/>
  <c r="AO31" i="6"/>
  <c r="AR31" i="6" s="1"/>
  <c r="AC32" i="6"/>
  <c r="AO32" i="6"/>
  <c r="AR32" i="6" s="1"/>
  <c r="AC33" i="6"/>
  <c r="AO33" i="6"/>
  <c r="AR33" i="6" s="1"/>
  <c r="AC34" i="6"/>
  <c r="AO34" i="6"/>
  <c r="AR34" i="6" s="1"/>
  <c r="AB44" i="6"/>
  <c r="AN44" i="6"/>
  <c r="AQ44" i="6" s="1"/>
  <c r="AB45" i="6"/>
  <c r="AN45" i="6"/>
  <c r="AQ45" i="6" s="1"/>
  <c r="AB46" i="6"/>
  <c r="AN46" i="6"/>
  <c r="AQ46" i="6" s="1"/>
  <c r="AB47" i="6"/>
  <c r="AN47" i="6"/>
  <c r="AQ47" i="6" s="1"/>
  <c r="AB48" i="6"/>
  <c r="AN48" i="6"/>
  <c r="AQ48" i="6" s="1"/>
  <c r="AC48" i="6"/>
  <c r="AO48" i="6"/>
  <c r="AR48" i="6" s="1"/>
  <c r="AC49" i="6"/>
  <c r="AO49" i="6"/>
  <c r="AR49" i="6" s="1"/>
  <c r="AA54" i="6"/>
  <c r="AC54" i="6"/>
  <c r="AC55" i="6"/>
  <c r="AO55" i="6"/>
  <c r="AR55" i="6" s="1"/>
  <c r="AC56" i="6"/>
  <c r="AO56" i="6"/>
  <c r="AR56" i="6" s="1"/>
  <c r="AC57" i="6"/>
  <c r="AO57" i="6"/>
  <c r="AR57" i="6" s="1"/>
  <c r="AC58" i="6"/>
  <c r="AO58" i="6"/>
  <c r="AR58" i="6" s="1"/>
  <c r="AC59" i="6"/>
  <c r="AO59" i="6"/>
  <c r="AR59" i="6" s="1"/>
  <c r="AB67" i="6"/>
  <c r="AN67" i="6"/>
  <c r="AQ67" i="6" s="1"/>
  <c r="AB68" i="6"/>
  <c r="AN68" i="6"/>
  <c r="AQ68" i="6" s="1"/>
  <c r="AB69" i="6"/>
  <c r="AN69" i="6"/>
  <c r="AQ69" i="6" s="1"/>
  <c r="AC69" i="6"/>
  <c r="AO69" i="6"/>
  <c r="AR69" i="6" s="1"/>
  <c r="AC70" i="6"/>
  <c r="AO70" i="6"/>
  <c r="AR70" i="6" s="1"/>
  <c r="AC71" i="6"/>
  <c r="AO71" i="6"/>
  <c r="AR71" i="6" s="1"/>
  <c r="AC72" i="6"/>
  <c r="AO72" i="6"/>
  <c r="AR72" i="6" s="1"/>
  <c r="AC82" i="6"/>
  <c r="AC83" i="6"/>
  <c r="AO83" i="6"/>
  <c r="AR83" i="6" s="1"/>
  <c r="AC84" i="6"/>
  <c r="AO84" i="6"/>
  <c r="AR84" i="6" s="1"/>
  <c r="AC85" i="6"/>
  <c r="AO85" i="6"/>
  <c r="AR85" i="6" s="1"/>
  <c r="AB10" i="7"/>
  <c r="AN10" i="7"/>
  <c r="AQ10" i="7" s="1"/>
  <c r="AB12" i="7"/>
  <c r="AN12" i="7"/>
  <c r="AQ12" i="7" s="1"/>
  <c r="AB14" i="7"/>
  <c r="AN14" i="7"/>
  <c r="AQ14" i="7" s="1"/>
  <c r="AB16" i="7"/>
  <c r="AN16" i="7"/>
  <c r="AQ16" i="7" s="1"/>
  <c r="AB18" i="7"/>
  <c r="AN18" i="7"/>
  <c r="AQ18" i="7" s="1"/>
  <c r="AB20" i="7"/>
  <c r="AN20" i="7"/>
  <c r="AQ20" i="7" s="1"/>
  <c r="AB22" i="7"/>
  <c r="AN22" i="7"/>
  <c r="AQ22" i="7" s="1"/>
  <c r="AB24" i="7"/>
  <c r="AN24" i="7"/>
  <c r="AQ24" i="7" s="1"/>
  <c r="AB26" i="7"/>
  <c r="AN26" i="7"/>
  <c r="AQ26" i="7" s="1"/>
  <c r="AB28" i="7"/>
  <c r="AN28" i="7"/>
  <c r="AQ28" i="7" s="1"/>
  <c r="AB30" i="7"/>
  <c r="AN30" i="7"/>
  <c r="AQ30" i="7" s="1"/>
  <c r="AB32" i="7"/>
  <c r="AN32" i="7"/>
  <c r="AQ32" i="7" s="1"/>
  <c r="AB34" i="7"/>
  <c r="AN34" i="7"/>
  <c r="AQ34" i="7" s="1"/>
  <c r="AB36" i="7"/>
  <c r="AN36" i="7"/>
  <c r="AQ36" i="7" s="1"/>
  <c r="AB38" i="7"/>
  <c r="AN38" i="7"/>
  <c r="AQ38" i="7" s="1"/>
  <c r="AB40" i="7"/>
  <c r="AN40" i="7"/>
  <c r="AQ40" i="7" s="1"/>
  <c r="AB42" i="7"/>
  <c r="AN42" i="7"/>
  <c r="AQ42" i="7" s="1"/>
  <c r="AB44" i="7"/>
  <c r="AN44" i="7"/>
  <c r="AQ44" i="7" s="1"/>
  <c r="AB46" i="7"/>
  <c r="AN46" i="7"/>
  <c r="AQ46" i="7" s="1"/>
  <c r="AB48" i="7"/>
  <c r="AN48" i="7"/>
  <c r="AQ48" i="7" s="1"/>
  <c r="AB50" i="7"/>
  <c r="AN50" i="7"/>
  <c r="AQ50" i="7" s="1"/>
  <c r="AB52" i="7"/>
  <c r="AN52" i="7"/>
  <c r="AQ52" i="7" s="1"/>
  <c r="AB54" i="7"/>
  <c r="AN54" i="7"/>
  <c r="AQ54" i="7" s="1"/>
  <c r="AB56" i="7"/>
  <c r="AN56" i="7"/>
  <c r="AQ56" i="7" s="1"/>
  <c r="AB58" i="7"/>
  <c r="AN58" i="7"/>
  <c r="AQ58" i="7" s="1"/>
  <c r="AB60" i="7"/>
  <c r="AN60" i="7"/>
  <c r="AQ60" i="7" s="1"/>
  <c r="AB62" i="7"/>
  <c r="AN62" i="7"/>
  <c r="AQ62" i="7" s="1"/>
  <c r="AB64" i="7"/>
  <c r="AN64" i="7"/>
  <c r="AQ64" i="7" s="1"/>
  <c r="AB66" i="7"/>
  <c r="AN66" i="7"/>
  <c r="AQ66" i="7" s="1"/>
  <c r="AB68" i="7"/>
  <c r="AN68" i="7"/>
  <c r="AQ68" i="7" s="1"/>
  <c r="AB70" i="7"/>
  <c r="AN70" i="7"/>
  <c r="AQ70" i="7" s="1"/>
  <c r="AB72" i="7"/>
  <c r="AN72" i="7"/>
  <c r="AQ72" i="7" s="1"/>
  <c r="AB74" i="7"/>
  <c r="AN74" i="7"/>
  <c r="AQ74" i="7" s="1"/>
  <c r="AB76" i="7"/>
  <c r="AN76" i="7"/>
  <c r="AQ76" i="7" s="1"/>
  <c r="AB78" i="7"/>
  <c r="AN78" i="7"/>
  <c r="AQ78" i="7" s="1"/>
  <c r="AB80" i="7"/>
  <c r="AN80" i="7"/>
  <c r="AQ80" i="7" s="1"/>
  <c r="AB82" i="7"/>
  <c r="AN82" i="7"/>
  <c r="AQ82" i="7" s="1"/>
  <c r="AB84" i="7"/>
  <c r="AN84" i="7"/>
  <c r="AQ84" i="7" s="1"/>
  <c r="AB86" i="7"/>
  <c r="AN86" i="7"/>
  <c r="AQ86" i="7" s="1"/>
  <c r="AB88" i="7"/>
  <c r="AN88" i="7"/>
  <c r="AQ88" i="7" s="1"/>
  <c r="AB90" i="7"/>
  <c r="AN90" i="7"/>
  <c r="AQ90" i="7" s="1"/>
  <c r="AB92" i="7"/>
  <c r="AN92" i="7"/>
  <c r="AQ92" i="7" s="1"/>
  <c r="AB94" i="7"/>
  <c r="AN94" i="7"/>
  <c r="AQ94" i="7" s="1"/>
  <c r="AB96" i="7"/>
  <c r="AN96" i="7"/>
  <c r="AQ96" i="7" s="1"/>
  <c r="AB98" i="7"/>
  <c r="AN98" i="7"/>
  <c r="AQ98" i="7" s="1"/>
  <c r="AB100" i="7"/>
  <c r="AN100" i="7"/>
  <c r="AQ100" i="7" s="1"/>
  <c r="AB102" i="7"/>
  <c r="AN102" i="7"/>
  <c r="AQ102" i="7" s="1"/>
  <c r="AB104" i="7"/>
  <c r="AN104" i="7"/>
  <c r="AQ104" i="7" s="1"/>
  <c r="AB106" i="7"/>
  <c r="AN106" i="7"/>
  <c r="AQ106" i="7" s="1"/>
  <c r="AB108" i="7"/>
  <c r="AN108" i="7"/>
  <c r="AQ108" i="7" s="1"/>
  <c r="AB110" i="7"/>
  <c r="AN110" i="7"/>
  <c r="AQ110" i="7" s="1"/>
  <c r="AB112" i="7"/>
  <c r="AN112" i="7"/>
  <c r="AQ112" i="7" s="1"/>
  <c r="AB114" i="7"/>
  <c r="AN114" i="7"/>
  <c r="AQ114" i="7" s="1"/>
  <c r="AB116" i="7"/>
  <c r="AN116" i="7"/>
  <c r="AQ116" i="7" s="1"/>
  <c r="AB118" i="7"/>
  <c r="AN118" i="7"/>
  <c r="AQ118" i="7" s="1"/>
  <c r="AB120" i="7"/>
  <c r="AN120" i="7"/>
  <c r="AQ120" i="7" s="1"/>
  <c r="AB122" i="7"/>
  <c r="AN122" i="7"/>
  <c r="AQ122" i="7" s="1"/>
  <c r="AB124" i="7"/>
  <c r="AN124" i="7"/>
  <c r="AQ124" i="7" s="1"/>
  <c r="AB126" i="7"/>
  <c r="AN126" i="7"/>
  <c r="AQ126" i="7" s="1"/>
  <c r="AC128" i="7"/>
  <c r="AO128" i="7"/>
  <c r="AR128" i="7" s="1"/>
  <c r="AC8" i="6"/>
  <c r="AO8" i="6"/>
  <c r="AB9" i="6"/>
  <c r="AN9" i="6"/>
  <c r="AQ9" i="6" s="1"/>
  <c r="AB11" i="6"/>
  <c r="AN11" i="6"/>
  <c r="AQ11" i="6" s="1"/>
  <c r="AB12" i="6"/>
  <c r="AN12" i="6"/>
  <c r="AQ12" i="6" s="1"/>
  <c r="AB13" i="6"/>
  <c r="AN13" i="6"/>
  <c r="AQ13" i="6" s="1"/>
  <c r="AB14" i="6"/>
  <c r="AN14" i="6"/>
  <c r="AQ14" i="6" s="1"/>
  <c r="AB15" i="6"/>
  <c r="AN15" i="6"/>
  <c r="AQ15" i="6" s="1"/>
  <c r="AB16" i="6"/>
  <c r="AN16" i="6"/>
  <c r="AQ16" i="6" s="1"/>
  <c r="AC16" i="6"/>
  <c r="AO16" i="6"/>
  <c r="AR16" i="6" s="1"/>
  <c r="AC17" i="6"/>
  <c r="AO17" i="6"/>
  <c r="AR17" i="6" s="1"/>
  <c r="AC18" i="6"/>
  <c r="AO18" i="6"/>
  <c r="AR18" i="6" s="1"/>
  <c r="AC19" i="6"/>
  <c r="AO19" i="6"/>
  <c r="AR19" i="6" s="1"/>
  <c r="AC20" i="6"/>
  <c r="AO20" i="6"/>
  <c r="AR20" i="6" s="1"/>
  <c r="AC21" i="6"/>
  <c r="AO21" i="6"/>
  <c r="AR21" i="6" s="1"/>
  <c r="AC22" i="6"/>
  <c r="AO22" i="6"/>
  <c r="AR22" i="6" s="1"/>
  <c r="AC23" i="6"/>
  <c r="AO23" i="6"/>
  <c r="AR23" i="6" s="1"/>
  <c r="AB38" i="6"/>
  <c r="AN38" i="6"/>
  <c r="AQ38" i="6" s="1"/>
  <c r="AB39" i="6"/>
  <c r="AN39" i="6"/>
  <c r="AQ39" i="6" s="1"/>
  <c r="AB40" i="6"/>
  <c r="AN40" i="6"/>
  <c r="AQ40" i="6" s="1"/>
  <c r="AB41" i="6"/>
  <c r="AN41" i="6"/>
  <c r="AQ41" i="6" s="1"/>
  <c r="AB42" i="6"/>
  <c r="AN42" i="6"/>
  <c r="AQ42" i="6" s="1"/>
  <c r="AB43" i="6"/>
  <c r="AN43" i="6"/>
  <c r="AQ43" i="6" s="1"/>
  <c r="AC43" i="6"/>
  <c r="AO43" i="6"/>
  <c r="AR43" i="6" s="1"/>
  <c r="AC44" i="6"/>
  <c r="AO44" i="6"/>
  <c r="AR44" i="6" s="1"/>
  <c r="AC45" i="6"/>
  <c r="AO45" i="6"/>
  <c r="AR45" i="6" s="1"/>
  <c r="AC46" i="6"/>
  <c r="AO46" i="6"/>
  <c r="AR46" i="6" s="1"/>
  <c r="AC47" i="6"/>
  <c r="AO47" i="6"/>
  <c r="AR47" i="6" s="1"/>
  <c r="AB63" i="6"/>
  <c r="AN63" i="6"/>
  <c r="AQ63" i="6" s="1"/>
  <c r="AB64" i="6"/>
  <c r="AN64" i="6"/>
  <c r="AQ64" i="6" s="1"/>
  <c r="AB65" i="6"/>
  <c r="AN65" i="6"/>
  <c r="AQ65" i="6" s="1"/>
  <c r="AB66" i="6"/>
  <c r="AN66" i="6"/>
  <c r="AQ66" i="6" s="1"/>
  <c r="AC66" i="6"/>
  <c r="AO66" i="6"/>
  <c r="AR66" i="6" s="1"/>
  <c r="AC67" i="6"/>
  <c r="AO67" i="6"/>
  <c r="AR67" i="6" s="1"/>
  <c r="AC68" i="6"/>
  <c r="AO68" i="6"/>
  <c r="AR68" i="6" s="1"/>
  <c r="AB78" i="6"/>
  <c r="AN78" i="6"/>
  <c r="AQ78" i="6" s="1"/>
  <c r="AB79" i="6"/>
  <c r="AN79" i="6"/>
  <c r="AQ79" i="6" s="1"/>
  <c r="AC86" i="6"/>
  <c r="AO86" i="6"/>
  <c r="AR86" i="6" s="1"/>
  <c r="AC10" i="7"/>
  <c r="AO10" i="7"/>
  <c r="AR10" i="7" s="1"/>
  <c r="AC12" i="7"/>
  <c r="AO12" i="7"/>
  <c r="AR12" i="7" s="1"/>
  <c r="AC14" i="7"/>
  <c r="AO14" i="7"/>
  <c r="AR14" i="7" s="1"/>
  <c r="AC16" i="7"/>
  <c r="AO16" i="7"/>
  <c r="AR16" i="7" s="1"/>
  <c r="AC18" i="7"/>
  <c r="AO18" i="7"/>
  <c r="AR18" i="7" s="1"/>
  <c r="AC20" i="7"/>
  <c r="AO20" i="7"/>
  <c r="AR20" i="7" s="1"/>
  <c r="AC22" i="7"/>
  <c r="AO22" i="7"/>
  <c r="AR22" i="7" s="1"/>
  <c r="AC24" i="7"/>
  <c r="AO24" i="7"/>
  <c r="AR24" i="7" s="1"/>
  <c r="AC26" i="7"/>
  <c r="AO26" i="7"/>
  <c r="AR26" i="7" s="1"/>
  <c r="AC28" i="7"/>
  <c r="AO28" i="7"/>
  <c r="AR28" i="7" s="1"/>
  <c r="AC30" i="7"/>
  <c r="AO30" i="7"/>
  <c r="AR30" i="7" s="1"/>
  <c r="AC32" i="7"/>
  <c r="AO32" i="7"/>
  <c r="AR32" i="7" s="1"/>
  <c r="AC34" i="7"/>
  <c r="AO34" i="7"/>
  <c r="AR34" i="7" s="1"/>
  <c r="AC36" i="7"/>
  <c r="AO36" i="7"/>
  <c r="AR36" i="7" s="1"/>
  <c r="AC38" i="7"/>
  <c r="AO38" i="7"/>
  <c r="AR38" i="7" s="1"/>
  <c r="AC40" i="7"/>
  <c r="AO40" i="7"/>
  <c r="AR40" i="7" s="1"/>
  <c r="AC42" i="7"/>
  <c r="AO42" i="7"/>
  <c r="AR42" i="7" s="1"/>
  <c r="AC44" i="7"/>
  <c r="AO44" i="7"/>
  <c r="AR44" i="7" s="1"/>
  <c r="AC46" i="7"/>
  <c r="AO46" i="7"/>
  <c r="AR46" i="7" s="1"/>
  <c r="AC48" i="7"/>
  <c r="AO48" i="7"/>
  <c r="AR48" i="7" s="1"/>
  <c r="AC50" i="7"/>
  <c r="AO50" i="7"/>
  <c r="AR50" i="7" s="1"/>
  <c r="AC52" i="7"/>
  <c r="AO52" i="7"/>
  <c r="AR52" i="7" s="1"/>
  <c r="AC54" i="7"/>
  <c r="AO54" i="7"/>
  <c r="AR54" i="7" s="1"/>
  <c r="AC56" i="7"/>
  <c r="AO56" i="7"/>
  <c r="AR56" i="7" s="1"/>
  <c r="AC58" i="7"/>
  <c r="AO58" i="7"/>
  <c r="AR58" i="7" s="1"/>
  <c r="AC60" i="7"/>
  <c r="AO60" i="7"/>
  <c r="AR60" i="7" s="1"/>
  <c r="AC62" i="7"/>
  <c r="AO62" i="7"/>
  <c r="AR62" i="7" s="1"/>
  <c r="AC64" i="7"/>
  <c r="AO64" i="7"/>
  <c r="AR64" i="7" s="1"/>
  <c r="AC66" i="7"/>
  <c r="AO66" i="7"/>
  <c r="AR66" i="7" s="1"/>
  <c r="AC68" i="7"/>
  <c r="AO68" i="7"/>
  <c r="AR68" i="7" s="1"/>
  <c r="AC70" i="7"/>
  <c r="AO70" i="7"/>
  <c r="AR70" i="7" s="1"/>
  <c r="AC72" i="7"/>
  <c r="AO72" i="7"/>
  <c r="AR72" i="7" s="1"/>
  <c r="AC74" i="7"/>
  <c r="AO74" i="7"/>
  <c r="AR74" i="7" s="1"/>
  <c r="AC76" i="7"/>
  <c r="AO76" i="7"/>
  <c r="AR76" i="7" s="1"/>
  <c r="AC78" i="7"/>
  <c r="AO78" i="7"/>
  <c r="AR78" i="7" s="1"/>
  <c r="AC80" i="7"/>
  <c r="AO80" i="7"/>
  <c r="AR80" i="7" s="1"/>
  <c r="AC82" i="7"/>
  <c r="AO82" i="7"/>
  <c r="AR82" i="7" s="1"/>
  <c r="AC84" i="7"/>
  <c r="AO84" i="7"/>
  <c r="AR84" i="7" s="1"/>
  <c r="AC86" i="7"/>
  <c r="AO86" i="7"/>
  <c r="AR86" i="7" s="1"/>
  <c r="AC88" i="7"/>
  <c r="AO88" i="7"/>
  <c r="AR88" i="7" s="1"/>
  <c r="AC90" i="7"/>
  <c r="AO90" i="7"/>
  <c r="AR90" i="7" s="1"/>
  <c r="AC92" i="7"/>
  <c r="AO92" i="7"/>
  <c r="AR92" i="7" s="1"/>
  <c r="AC94" i="7"/>
  <c r="AO94" i="7"/>
  <c r="AR94" i="7" s="1"/>
  <c r="AC96" i="7"/>
  <c r="AO96" i="7"/>
  <c r="AR96" i="7" s="1"/>
  <c r="AC98" i="7"/>
  <c r="AO98" i="7"/>
  <c r="AR98" i="7" s="1"/>
  <c r="AC100" i="7"/>
  <c r="AO100" i="7"/>
  <c r="AR100" i="7" s="1"/>
  <c r="AC102" i="7"/>
  <c r="AO102" i="7"/>
  <c r="AR102" i="7" s="1"/>
  <c r="AC104" i="7"/>
  <c r="AO104" i="7"/>
  <c r="AR104" i="7" s="1"/>
  <c r="AC106" i="7"/>
  <c r="AO106" i="7"/>
  <c r="AR106" i="7" s="1"/>
  <c r="AC108" i="7"/>
  <c r="AO108" i="7"/>
  <c r="AR108" i="7" s="1"/>
  <c r="AC110" i="7"/>
  <c r="AO110" i="7"/>
  <c r="AR110" i="7" s="1"/>
  <c r="AC112" i="7"/>
  <c r="AO112" i="7"/>
  <c r="AR112" i="7" s="1"/>
  <c r="AC114" i="7"/>
  <c r="AO114" i="7"/>
  <c r="AR114" i="7" s="1"/>
  <c r="AC116" i="7"/>
  <c r="AO116" i="7"/>
  <c r="AR116" i="7" s="1"/>
  <c r="AC118" i="7"/>
  <c r="AO118" i="7"/>
  <c r="AR118" i="7" s="1"/>
  <c r="AC120" i="7"/>
  <c r="AO120" i="7"/>
  <c r="AR120" i="7" s="1"/>
  <c r="AC122" i="7"/>
  <c r="AO122" i="7"/>
  <c r="AR122" i="7" s="1"/>
  <c r="AC124" i="7"/>
  <c r="AO124" i="7"/>
  <c r="AR124" i="7" s="1"/>
  <c r="AC126" i="7"/>
  <c r="AO126" i="7"/>
  <c r="AR126" i="7" s="1"/>
  <c r="AB129" i="7"/>
  <c r="AN129" i="7"/>
  <c r="AQ129" i="7" s="1"/>
  <c r="AC9" i="6"/>
  <c r="AO9" i="6"/>
  <c r="AR9" i="6" s="1"/>
  <c r="AC10" i="6"/>
  <c r="AO10" i="6"/>
  <c r="AR10" i="6" s="1"/>
  <c r="AC11" i="6"/>
  <c r="AO11" i="6"/>
  <c r="AR11" i="6" s="1"/>
  <c r="AC12" i="6"/>
  <c r="AO12" i="6"/>
  <c r="AR12" i="6" s="1"/>
  <c r="AC13" i="6"/>
  <c r="AO13" i="6"/>
  <c r="AR13" i="6" s="1"/>
  <c r="AC14" i="6"/>
  <c r="AO14" i="6"/>
  <c r="AR14" i="6" s="1"/>
  <c r="AC15" i="6"/>
  <c r="AO15" i="6"/>
  <c r="AR15" i="6" s="1"/>
  <c r="AB36" i="6"/>
  <c r="AN36" i="6"/>
  <c r="AQ36" i="6" s="1"/>
  <c r="AB37" i="6"/>
  <c r="AN37" i="6"/>
  <c r="AQ37" i="6" s="1"/>
  <c r="AC37" i="6"/>
  <c r="AO37" i="6"/>
  <c r="AR37" i="6" s="1"/>
  <c r="AC38" i="6"/>
  <c r="AO38" i="6"/>
  <c r="AR38" i="6" s="1"/>
  <c r="AC39" i="6"/>
  <c r="AO39" i="6"/>
  <c r="AR39" i="6" s="1"/>
  <c r="AC40" i="6"/>
  <c r="AO40" i="6"/>
  <c r="AR40" i="6" s="1"/>
  <c r="AC41" i="6"/>
  <c r="AO41" i="6"/>
  <c r="AR41" i="6" s="1"/>
  <c r="AC42" i="6"/>
  <c r="AO42" i="6"/>
  <c r="AR42" i="6" s="1"/>
  <c r="AB51" i="6"/>
  <c r="AN51" i="6"/>
  <c r="AQ51" i="6" s="1"/>
  <c r="AB52" i="6"/>
  <c r="AN52" i="6"/>
  <c r="AQ52" i="6" s="1"/>
  <c r="AB53" i="6"/>
  <c r="AN53" i="6"/>
  <c r="AQ53" i="6" s="1"/>
  <c r="AB54" i="6"/>
  <c r="AN54" i="6"/>
  <c r="AQ54" i="6" s="1"/>
  <c r="AB61" i="6"/>
  <c r="AN61" i="6"/>
  <c r="AQ61" i="6" s="1"/>
  <c r="AB62" i="6"/>
  <c r="AN62" i="6"/>
  <c r="AQ62" i="6" s="1"/>
  <c r="AC62" i="6"/>
  <c r="AO62" i="6"/>
  <c r="AR62" i="6" s="1"/>
  <c r="AC63" i="6"/>
  <c r="AO63" i="6"/>
  <c r="AR63" i="6" s="1"/>
  <c r="AC64" i="6"/>
  <c r="AO64" i="6"/>
  <c r="AR64" i="6" s="1"/>
  <c r="AC65" i="6"/>
  <c r="AO65" i="6"/>
  <c r="AR65" i="6" s="1"/>
  <c r="AB74" i="6"/>
  <c r="AN74" i="6"/>
  <c r="AQ74" i="6" s="1"/>
  <c r="AB75" i="6"/>
  <c r="AN75" i="6"/>
  <c r="AQ75" i="6" s="1"/>
  <c r="AB76" i="6"/>
  <c r="AN76" i="6"/>
  <c r="AQ76" i="6" s="1"/>
  <c r="AB77" i="6"/>
  <c r="AN77" i="6"/>
  <c r="AQ77" i="6" s="1"/>
  <c r="AC77" i="6"/>
  <c r="AO77" i="6"/>
  <c r="AR77" i="6" s="1"/>
  <c r="AC78" i="6"/>
  <c r="AO78" i="6"/>
  <c r="AR78" i="6" s="1"/>
  <c r="AB80" i="6"/>
  <c r="AN80" i="6"/>
  <c r="AQ80" i="6" s="1"/>
  <c r="AB81" i="6"/>
  <c r="AN81" i="6"/>
  <c r="AQ81" i="6" s="1"/>
  <c r="AB82" i="6"/>
  <c r="AN82" i="6"/>
  <c r="AQ82" i="6" s="1"/>
  <c r="AC87" i="6"/>
  <c r="AO87" i="6"/>
  <c r="AR87" i="6" s="1"/>
  <c r="AB88" i="6"/>
  <c r="AN88" i="6"/>
  <c r="AQ88" i="6" s="1"/>
  <c r="AB89" i="6"/>
  <c r="AN89" i="6"/>
  <c r="AQ89" i="6" s="1"/>
  <c r="AB90" i="6"/>
  <c r="AN90" i="6"/>
  <c r="AQ90" i="6" s="1"/>
  <c r="AB91" i="6"/>
  <c r="AN91" i="6"/>
  <c r="AQ91" i="6" s="1"/>
  <c r="AB92" i="6"/>
  <c r="AN92" i="6"/>
  <c r="AQ92" i="6" s="1"/>
  <c r="AC9" i="7"/>
  <c r="AO9" i="7"/>
  <c r="AB11" i="7"/>
  <c r="AN11" i="7"/>
  <c r="AQ11" i="7" s="1"/>
  <c r="AB13" i="7"/>
  <c r="AN13" i="7"/>
  <c r="AQ13" i="7" s="1"/>
  <c r="AB15" i="7"/>
  <c r="AN15" i="7"/>
  <c r="AQ15" i="7" s="1"/>
  <c r="AB17" i="7"/>
  <c r="AN17" i="7"/>
  <c r="AQ17" i="7" s="1"/>
  <c r="AB19" i="7"/>
  <c r="AN19" i="7"/>
  <c r="AQ19" i="7" s="1"/>
  <c r="AB21" i="7"/>
  <c r="AN21" i="7"/>
  <c r="AQ21" i="7" s="1"/>
  <c r="AB23" i="7"/>
  <c r="AN23" i="7"/>
  <c r="AQ23" i="7" s="1"/>
  <c r="AB25" i="7"/>
  <c r="AN25" i="7"/>
  <c r="AQ25" i="7" s="1"/>
  <c r="AB27" i="7"/>
  <c r="AN27" i="7"/>
  <c r="AQ27" i="7" s="1"/>
  <c r="AB29" i="7"/>
  <c r="AN29" i="7"/>
  <c r="AQ29" i="7" s="1"/>
  <c r="AB31" i="7"/>
  <c r="AN31" i="7"/>
  <c r="AQ31" i="7" s="1"/>
  <c r="AB33" i="7"/>
  <c r="AN33" i="7"/>
  <c r="AQ33" i="7" s="1"/>
  <c r="AB35" i="7"/>
  <c r="AN35" i="7"/>
  <c r="AQ35" i="7" s="1"/>
  <c r="AB37" i="7"/>
  <c r="AN37" i="7"/>
  <c r="AQ37" i="7" s="1"/>
  <c r="AB39" i="7"/>
  <c r="AN39" i="7"/>
  <c r="AQ39" i="7" s="1"/>
  <c r="AB41" i="7"/>
  <c r="AN41" i="7"/>
  <c r="AQ41" i="7" s="1"/>
  <c r="AB43" i="7"/>
  <c r="AN43" i="7"/>
  <c r="AQ43" i="7" s="1"/>
  <c r="AB45" i="7"/>
  <c r="AN45" i="7"/>
  <c r="AQ45" i="7" s="1"/>
  <c r="AB47" i="7"/>
  <c r="AN47" i="7"/>
  <c r="AQ47" i="7" s="1"/>
  <c r="AB49" i="7"/>
  <c r="AN49" i="7"/>
  <c r="AQ49" i="7" s="1"/>
  <c r="AB51" i="7"/>
  <c r="AN51" i="7"/>
  <c r="AQ51" i="7" s="1"/>
  <c r="AB53" i="7"/>
  <c r="AN53" i="7"/>
  <c r="AQ53" i="7" s="1"/>
  <c r="AB55" i="7"/>
  <c r="AN55" i="7"/>
  <c r="AQ55" i="7" s="1"/>
  <c r="AB57" i="7"/>
  <c r="AN57" i="7"/>
  <c r="AQ57" i="7" s="1"/>
  <c r="AB59" i="7"/>
  <c r="AN59" i="7"/>
  <c r="AQ59" i="7" s="1"/>
  <c r="AB61" i="7"/>
  <c r="AN61" i="7"/>
  <c r="AQ61" i="7" s="1"/>
  <c r="AB63" i="7"/>
  <c r="AN63" i="7"/>
  <c r="AQ63" i="7" s="1"/>
  <c r="AB65" i="7"/>
  <c r="AN65" i="7"/>
  <c r="AQ65" i="7" s="1"/>
  <c r="AB67" i="7"/>
  <c r="AN67" i="7"/>
  <c r="AQ67" i="7" s="1"/>
  <c r="AB69" i="7"/>
  <c r="AN69" i="7"/>
  <c r="AQ69" i="7" s="1"/>
  <c r="AB71" i="7"/>
  <c r="AN71" i="7"/>
  <c r="AQ71" i="7" s="1"/>
  <c r="AB73" i="7"/>
  <c r="AN73" i="7"/>
  <c r="AQ73" i="7" s="1"/>
  <c r="AB75" i="7"/>
  <c r="AN75" i="7"/>
  <c r="AQ75" i="7" s="1"/>
  <c r="AB77" i="7"/>
  <c r="AN77" i="7"/>
  <c r="AQ77" i="7" s="1"/>
  <c r="AB79" i="7"/>
  <c r="AN79" i="7"/>
  <c r="AQ79" i="7" s="1"/>
  <c r="AB81" i="7"/>
  <c r="AN81" i="7"/>
  <c r="AQ81" i="7" s="1"/>
  <c r="AB83" i="7"/>
  <c r="AN83" i="7"/>
  <c r="AQ83" i="7" s="1"/>
  <c r="AB85" i="7"/>
  <c r="AN85" i="7"/>
  <c r="AQ85" i="7" s="1"/>
  <c r="AB87" i="7"/>
  <c r="AN87" i="7"/>
  <c r="AQ87" i="7" s="1"/>
  <c r="AB89" i="7"/>
  <c r="AN89" i="7"/>
  <c r="AQ89" i="7" s="1"/>
  <c r="AB91" i="7"/>
  <c r="AN91" i="7"/>
  <c r="AQ91" i="7" s="1"/>
  <c r="AB93" i="7"/>
  <c r="AN93" i="7"/>
  <c r="AQ93" i="7" s="1"/>
  <c r="AB95" i="7"/>
  <c r="AN95" i="7"/>
  <c r="AQ95" i="7" s="1"/>
  <c r="AB97" i="7"/>
  <c r="AN97" i="7"/>
  <c r="AQ97" i="7" s="1"/>
  <c r="AB99" i="7"/>
  <c r="AN99" i="7"/>
  <c r="AQ99" i="7" s="1"/>
  <c r="AB101" i="7"/>
  <c r="AN101" i="7"/>
  <c r="AQ101" i="7" s="1"/>
  <c r="AB103" i="7"/>
  <c r="AN103" i="7"/>
  <c r="AQ103" i="7" s="1"/>
  <c r="AB105" i="7"/>
  <c r="AN105" i="7"/>
  <c r="AQ105" i="7" s="1"/>
  <c r="AB107" i="7"/>
  <c r="AN107" i="7"/>
  <c r="AQ107" i="7" s="1"/>
  <c r="AB109" i="7"/>
  <c r="AN109" i="7"/>
  <c r="AQ109" i="7" s="1"/>
  <c r="AB111" i="7"/>
  <c r="AN111" i="7"/>
  <c r="AQ111" i="7" s="1"/>
  <c r="AB113" i="7"/>
  <c r="AN113" i="7"/>
  <c r="AQ113" i="7" s="1"/>
  <c r="AB115" i="7"/>
  <c r="AN115" i="7"/>
  <c r="AQ115" i="7" s="1"/>
  <c r="AB117" i="7"/>
  <c r="AN117" i="7"/>
  <c r="AQ117" i="7" s="1"/>
  <c r="AB119" i="7"/>
  <c r="AN119" i="7"/>
  <c r="AQ119" i="7" s="1"/>
  <c r="AB121" i="7"/>
  <c r="AN121" i="7"/>
  <c r="AQ121" i="7" s="1"/>
  <c r="AB123" i="7"/>
  <c r="AN123" i="7"/>
  <c r="AQ123" i="7" s="1"/>
  <c r="AB125" i="7"/>
  <c r="AN125" i="7"/>
  <c r="AQ125" i="7" s="1"/>
  <c r="AB127" i="7"/>
  <c r="AN127" i="7"/>
  <c r="AQ127" i="7" s="1"/>
  <c r="AC129" i="7"/>
  <c r="AO129" i="7"/>
  <c r="AR129" i="7" s="1"/>
  <c r="AB8" i="6"/>
  <c r="AN8" i="6"/>
  <c r="AB25" i="6"/>
  <c r="AN25" i="6"/>
  <c r="AQ25" i="6" s="1"/>
  <c r="AB26" i="6"/>
  <c r="AN26" i="6"/>
  <c r="AQ26" i="6" s="1"/>
  <c r="AB27" i="6"/>
  <c r="AN27" i="6"/>
  <c r="AQ27" i="6" s="1"/>
  <c r="AB28" i="6"/>
  <c r="AN28" i="6"/>
  <c r="AQ28" i="6" s="1"/>
  <c r="AB29" i="6"/>
  <c r="AN29" i="6"/>
  <c r="AQ29" i="6" s="1"/>
  <c r="AB30" i="6"/>
  <c r="AN30" i="6"/>
  <c r="AQ30" i="6" s="1"/>
  <c r="AB31" i="6"/>
  <c r="AN31" i="6"/>
  <c r="AQ31" i="6" s="1"/>
  <c r="AB32" i="6"/>
  <c r="AN32" i="6"/>
  <c r="AQ32" i="6" s="1"/>
  <c r="AB33" i="6"/>
  <c r="AN33" i="6"/>
  <c r="AQ33" i="6" s="1"/>
  <c r="AB34" i="6"/>
  <c r="AN34" i="6"/>
  <c r="AQ34" i="6" s="1"/>
  <c r="AB35" i="6"/>
  <c r="AN35" i="6"/>
  <c r="AQ35" i="6" s="1"/>
  <c r="AC35" i="6"/>
  <c r="AO35" i="6"/>
  <c r="AR35" i="6" s="1"/>
  <c r="AC36" i="6"/>
  <c r="AO36" i="6"/>
  <c r="AR36" i="6" s="1"/>
  <c r="AB49" i="6"/>
  <c r="AN49" i="6"/>
  <c r="AQ49" i="6" s="1"/>
  <c r="AB50" i="6"/>
  <c r="AN50" i="6"/>
  <c r="AQ50" i="6" s="1"/>
  <c r="AC50" i="6"/>
  <c r="AO50" i="6"/>
  <c r="AR50" i="6" s="1"/>
  <c r="AC51" i="6"/>
  <c r="AO51" i="6"/>
  <c r="AR51" i="6" s="1"/>
  <c r="AC52" i="6"/>
  <c r="AO52" i="6"/>
  <c r="AR52" i="6" s="1"/>
  <c r="AC53" i="6"/>
  <c r="AO53" i="6"/>
  <c r="AR53" i="6" s="1"/>
  <c r="AB55" i="6"/>
  <c r="AN55" i="6"/>
  <c r="AQ55" i="6" s="1"/>
  <c r="AB56" i="6"/>
  <c r="AN56" i="6"/>
  <c r="AQ56" i="6" s="1"/>
  <c r="AB57" i="6"/>
  <c r="AN57" i="6"/>
  <c r="AQ57" i="6" s="1"/>
  <c r="AB58" i="6"/>
  <c r="AN58" i="6"/>
  <c r="AQ58" i="6" s="1"/>
  <c r="AB59" i="6"/>
  <c r="AN59" i="6"/>
  <c r="AQ59" i="6" s="1"/>
  <c r="AB60" i="6"/>
  <c r="AN60" i="6"/>
  <c r="AQ60" i="6" s="1"/>
  <c r="AC60" i="6"/>
  <c r="AO60" i="6"/>
  <c r="AR60" i="6" s="1"/>
  <c r="AC61" i="6"/>
  <c r="AO61" i="6"/>
  <c r="AR61" i="6" s="1"/>
  <c r="AB70" i="6"/>
  <c r="AN70" i="6"/>
  <c r="AQ70" i="6" s="1"/>
  <c r="AB71" i="6"/>
  <c r="AN71" i="6"/>
  <c r="AQ71" i="6" s="1"/>
  <c r="AB72" i="6"/>
  <c r="AN72" i="6"/>
  <c r="AQ72" i="6" s="1"/>
  <c r="AB73" i="6"/>
  <c r="AN73" i="6"/>
  <c r="AQ73" i="6" s="1"/>
  <c r="AC73" i="6"/>
  <c r="AO73" i="6"/>
  <c r="AR73" i="6" s="1"/>
  <c r="AC74" i="6"/>
  <c r="AO74" i="6"/>
  <c r="AR74" i="6" s="1"/>
  <c r="AC75" i="6"/>
  <c r="AO75" i="6"/>
  <c r="AR75" i="6" s="1"/>
  <c r="AC76" i="6"/>
  <c r="AO76" i="6"/>
  <c r="AR76" i="6" s="1"/>
  <c r="AC79" i="6"/>
  <c r="AC80" i="6"/>
  <c r="AO80" i="6"/>
  <c r="AR80" i="6" s="1"/>
  <c r="AC81" i="6"/>
  <c r="AO81" i="6"/>
  <c r="AR81" i="6" s="1"/>
  <c r="AB83" i="6"/>
  <c r="AN83" i="6"/>
  <c r="AQ83" i="6" s="1"/>
  <c r="AB84" i="6"/>
  <c r="AN84" i="6"/>
  <c r="AQ84" i="6" s="1"/>
  <c r="AB85" i="6"/>
  <c r="AN85" i="6"/>
  <c r="AQ85" i="6" s="1"/>
  <c r="AB86" i="6"/>
  <c r="AN86" i="6"/>
  <c r="AQ86" i="6" s="1"/>
  <c r="AC88" i="6"/>
  <c r="AO88" i="6"/>
  <c r="AR88" i="6" s="1"/>
  <c r="AC89" i="6"/>
  <c r="AO89" i="6"/>
  <c r="AR89" i="6" s="1"/>
  <c r="AC90" i="6"/>
  <c r="AO90" i="6"/>
  <c r="AR90" i="6" s="1"/>
  <c r="AC91" i="6"/>
  <c r="AO91" i="6"/>
  <c r="AR91" i="6" s="1"/>
  <c r="AC92" i="6"/>
  <c r="AO92" i="6"/>
  <c r="AR92" i="6" s="1"/>
  <c r="AB9" i="7"/>
  <c r="AN9" i="7"/>
  <c r="AC11" i="7"/>
  <c r="AO11" i="7"/>
  <c r="AR11" i="7" s="1"/>
  <c r="AC13" i="7"/>
  <c r="AO13" i="7"/>
  <c r="AR13" i="7" s="1"/>
  <c r="AC15" i="7"/>
  <c r="AO15" i="7"/>
  <c r="AR15" i="7" s="1"/>
  <c r="AC17" i="7"/>
  <c r="AO17" i="7"/>
  <c r="AR17" i="7" s="1"/>
  <c r="AC19" i="7"/>
  <c r="AO19" i="7"/>
  <c r="AR19" i="7" s="1"/>
  <c r="AC21" i="7"/>
  <c r="AO21" i="7"/>
  <c r="AR21" i="7" s="1"/>
  <c r="AC23" i="7"/>
  <c r="AO23" i="7"/>
  <c r="AR23" i="7" s="1"/>
  <c r="AC25" i="7"/>
  <c r="AO25" i="7"/>
  <c r="AR25" i="7" s="1"/>
  <c r="AC27" i="7"/>
  <c r="AO27" i="7"/>
  <c r="AR27" i="7" s="1"/>
  <c r="AC29" i="7"/>
  <c r="AO29" i="7"/>
  <c r="AR29" i="7" s="1"/>
  <c r="AC31" i="7"/>
  <c r="AO31" i="7"/>
  <c r="AR31" i="7" s="1"/>
  <c r="AC33" i="7"/>
  <c r="AO33" i="7"/>
  <c r="AR33" i="7" s="1"/>
  <c r="AC35" i="7"/>
  <c r="AO35" i="7"/>
  <c r="AR35" i="7" s="1"/>
  <c r="AC37" i="7"/>
  <c r="AO37" i="7"/>
  <c r="AR37" i="7" s="1"/>
  <c r="AC39" i="7"/>
  <c r="AO39" i="7"/>
  <c r="AR39" i="7" s="1"/>
  <c r="AC41" i="7"/>
  <c r="AO41" i="7"/>
  <c r="AR41" i="7" s="1"/>
  <c r="AC43" i="7"/>
  <c r="AO43" i="7"/>
  <c r="AR43" i="7" s="1"/>
  <c r="AC45" i="7"/>
  <c r="AO45" i="7"/>
  <c r="AR45" i="7" s="1"/>
  <c r="AC47" i="7"/>
  <c r="AO47" i="7"/>
  <c r="AR47" i="7" s="1"/>
  <c r="AC49" i="7"/>
  <c r="AO49" i="7"/>
  <c r="AR49" i="7" s="1"/>
  <c r="AC51" i="7"/>
  <c r="AO51" i="7"/>
  <c r="AR51" i="7" s="1"/>
  <c r="AC53" i="7"/>
  <c r="AO53" i="7"/>
  <c r="AR53" i="7" s="1"/>
  <c r="AC55" i="7"/>
  <c r="AO55" i="7"/>
  <c r="AR55" i="7" s="1"/>
  <c r="AC57" i="7"/>
  <c r="AO57" i="7"/>
  <c r="AR57" i="7" s="1"/>
  <c r="AC59" i="7"/>
  <c r="AO59" i="7"/>
  <c r="AR59" i="7" s="1"/>
  <c r="AC61" i="7"/>
  <c r="AO61" i="7"/>
  <c r="AR61" i="7" s="1"/>
  <c r="AC63" i="7"/>
  <c r="AO63" i="7"/>
  <c r="AR63" i="7" s="1"/>
  <c r="AC65" i="7"/>
  <c r="AO65" i="7"/>
  <c r="AR65" i="7" s="1"/>
  <c r="AC67" i="7"/>
  <c r="AO67" i="7"/>
  <c r="AR67" i="7" s="1"/>
  <c r="AC69" i="7"/>
  <c r="AO69" i="7"/>
  <c r="AR69" i="7" s="1"/>
  <c r="AC71" i="7"/>
  <c r="AO71" i="7"/>
  <c r="AR71" i="7" s="1"/>
  <c r="AC73" i="7"/>
  <c r="AO73" i="7"/>
  <c r="AR73" i="7" s="1"/>
  <c r="AC75" i="7"/>
  <c r="AO75" i="7"/>
  <c r="AR75" i="7" s="1"/>
  <c r="AC77" i="7"/>
  <c r="AO77" i="7"/>
  <c r="AR77" i="7" s="1"/>
  <c r="AC79" i="7"/>
  <c r="AO79" i="7"/>
  <c r="AR79" i="7" s="1"/>
  <c r="AC81" i="7"/>
  <c r="AO81" i="7"/>
  <c r="AR81" i="7" s="1"/>
  <c r="AC83" i="7"/>
  <c r="AO83" i="7"/>
  <c r="AR83" i="7" s="1"/>
  <c r="AC85" i="7"/>
  <c r="AO85" i="7"/>
  <c r="AR85" i="7" s="1"/>
  <c r="AC87" i="7"/>
  <c r="AO87" i="7"/>
  <c r="AR87" i="7" s="1"/>
  <c r="AC89" i="7"/>
  <c r="AO89" i="7"/>
  <c r="AR89" i="7" s="1"/>
  <c r="AC91" i="7"/>
  <c r="AO91" i="7"/>
  <c r="AR91" i="7" s="1"/>
  <c r="AC93" i="7"/>
  <c r="AO93" i="7"/>
  <c r="AR93" i="7" s="1"/>
  <c r="AC95" i="7"/>
  <c r="AO95" i="7"/>
  <c r="AR95" i="7" s="1"/>
  <c r="AC97" i="7"/>
  <c r="AO97" i="7"/>
  <c r="AR97" i="7" s="1"/>
  <c r="AC99" i="7"/>
  <c r="AO99" i="7"/>
  <c r="AR99" i="7" s="1"/>
  <c r="AC101" i="7"/>
  <c r="AO101" i="7"/>
  <c r="AR101" i="7" s="1"/>
  <c r="AC103" i="7"/>
  <c r="AO103" i="7"/>
  <c r="AR103" i="7" s="1"/>
  <c r="AC105" i="7"/>
  <c r="AO105" i="7"/>
  <c r="AR105" i="7" s="1"/>
  <c r="AC107" i="7"/>
  <c r="AO107" i="7"/>
  <c r="AR107" i="7" s="1"/>
  <c r="AC109" i="7"/>
  <c r="AO109" i="7"/>
  <c r="AR109" i="7" s="1"/>
  <c r="AC111" i="7"/>
  <c r="AO111" i="7"/>
  <c r="AR111" i="7" s="1"/>
  <c r="AC113" i="7"/>
  <c r="AO113" i="7"/>
  <c r="AR113" i="7" s="1"/>
  <c r="AC115" i="7"/>
  <c r="AO115" i="7"/>
  <c r="AR115" i="7" s="1"/>
  <c r="AC117" i="7"/>
  <c r="AO117" i="7"/>
  <c r="AR117" i="7" s="1"/>
  <c r="AC119" i="7"/>
  <c r="AO119" i="7"/>
  <c r="AR119" i="7" s="1"/>
  <c r="AC121" i="7"/>
  <c r="AO121" i="7"/>
  <c r="AR121" i="7" s="1"/>
  <c r="AC123" i="7"/>
  <c r="AO123" i="7"/>
  <c r="AR123" i="7" s="1"/>
  <c r="AC125" i="7"/>
  <c r="AO125" i="7"/>
  <c r="AR125" i="7" s="1"/>
  <c r="AC127" i="7"/>
  <c r="AO127" i="7"/>
  <c r="AR127" i="7" s="1"/>
  <c r="AA130" i="7"/>
  <c r="AD130" i="7" s="1"/>
  <c r="R177" i="8"/>
  <c r="R178" i="8" s="1"/>
  <c r="AA31" i="7"/>
  <c r="AA33" i="7"/>
  <c r="AA47" i="7"/>
  <c r="AA51" i="7"/>
  <c r="AA63" i="7"/>
  <c r="AA67" i="7"/>
  <c r="AA75" i="7"/>
  <c r="AA77" i="7"/>
  <c r="AA79" i="7"/>
  <c r="AA83" i="7"/>
  <c r="AA32" i="6"/>
  <c r="AA45" i="6"/>
  <c r="I94" i="6"/>
  <c r="I97" i="6" s="1"/>
  <c r="I98" i="6" s="1"/>
  <c r="AA21" i="6"/>
  <c r="AA87" i="7"/>
  <c r="AA95" i="7"/>
  <c r="AA96" i="7"/>
  <c r="AA98" i="7"/>
  <c r="AA99" i="7"/>
  <c r="AA102" i="7"/>
  <c r="AA131" i="7"/>
  <c r="AD131" i="7" s="1"/>
  <c r="W99" i="6"/>
  <c r="W97" i="6"/>
  <c r="W98" i="6" s="1"/>
  <c r="F97" i="6"/>
  <c r="F98" i="6" s="1"/>
  <c r="F99" i="6"/>
  <c r="M99" i="6"/>
  <c r="M97" i="6"/>
  <c r="M98" i="6" s="1"/>
  <c r="N99" i="6"/>
  <c r="N97" i="6"/>
  <c r="N98" i="6" s="1"/>
  <c r="K99" i="6"/>
  <c r="K97" i="6"/>
  <c r="K98" i="6" s="1"/>
  <c r="S99" i="6"/>
  <c r="S97" i="6"/>
  <c r="S98" i="6" s="1"/>
  <c r="AA13" i="6"/>
  <c r="AA27" i="6"/>
  <c r="AA44" i="6"/>
  <c r="AA25" i="6"/>
  <c r="AA30" i="6"/>
  <c r="AA51" i="6"/>
  <c r="I99" i="6"/>
  <c r="G99" i="6"/>
  <c r="G97" i="6"/>
  <c r="G98" i="6" s="1"/>
  <c r="P99" i="6"/>
  <c r="P97" i="6"/>
  <c r="P98" i="6" s="1"/>
  <c r="V97" i="6"/>
  <c r="V98" i="6" s="1"/>
  <c r="V99" i="6"/>
  <c r="J97" i="6"/>
  <c r="J98" i="6" s="1"/>
  <c r="J99" i="6"/>
  <c r="H99" i="6"/>
  <c r="H97" i="6"/>
  <c r="H98" i="6" s="1"/>
  <c r="Q97" i="6"/>
  <c r="Q98" i="6" s="1"/>
  <c r="Q99" i="6"/>
  <c r="AA10" i="6"/>
  <c r="AA87" i="6"/>
  <c r="AA17" i="6"/>
  <c r="AA22" i="6"/>
  <c r="AA29" i="6"/>
  <c r="AA34" i="6"/>
  <c r="AA38" i="6"/>
  <c r="AA46" i="6"/>
  <c r="AA63" i="6"/>
  <c r="AA93" i="6"/>
  <c r="AD93" i="6" s="1"/>
  <c r="AM169" i="9"/>
  <c r="AM174" i="9" s="1"/>
  <c r="AJ172" i="9"/>
  <c r="AM172" i="9" s="1"/>
  <c r="AJ174" i="9"/>
  <c r="AH173" i="9"/>
  <c r="AK173" i="9"/>
  <c r="AI173" i="9"/>
  <c r="AL173" i="9"/>
  <c r="L179" i="8"/>
  <c r="L177" i="8"/>
  <c r="L178" i="8" s="1"/>
  <c r="AC174" i="8"/>
  <c r="AC179" i="8" s="1"/>
  <c r="Z177" i="8"/>
  <c r="Z179" i="8"/>
  <c r="AB174" i="8"/>
  <c r="AB179" i="8" s="1"/>
  <c r="Y179" i="8"/>
  <c r="Y177" i="8"/>
  <c r="X177" i="8"/>
  <c r="X178" i="8" s="1"/>
  <c r="X179" i="8"/>
  <c r="I177" i="8"/>
  <c r="I178" i="8" s="1"/>
  <c r="I179" i="8"/>
  <c r="O177" i="8"/>
  <c r="O178" i="8" s="1"/>
  <c r="O179" i="8"/>
  <c r="U179" i="8"/>
  <c r="U177" i="8"/>
  <c r="U178" i="8" s="1"/>
  <c r="AA174" i="8"/>
  <c r="AA12" i="7"/>
  <c r="AA26" i="7"/>
  <c r="AA28" i="7"/>
  <c r="AA30" i="7"/>
  <c r="AA34" i="7"/>
  <c r="AA36" i="7"/>
  <c r="AA38" i="7"/>
  <c r="AA44" i="7"/>
  <c r="AA46" i="7"/>
  <c r="AA54" i="7"/>
  <c r="AA56" i="7"/>
  <c r="AA62" i="7"/>
  <c r="AA64" i="7"/>
  <c r="AA72" i="7"/>
  <c r="AA74" i="7"/>
  <c r="AA80" i="7"/>
  <c r="AA82" i="7"/>
  <c r="AA86" i="7"/>
  <c r="AA90" i="7"/>
  <c r="AA112" i="7"/>
  <c r="AA114" i="7"/>
  <c r="AA116" i="7"/>
  <c r="AA118" i="7"/>
  <c r="AA11" i="7"/>
  <c r="AA15" i="7"/>
  <c r="AA19" i="7"/>
  <c r="AA21" i="7"/>
  <c r="AA25" i="7"/>
  <c r="AA35" i="7"/>
  <c r="AA37" i="7"/>
  <c r="AA43" i="7"/>
  <c r="AA45" i="7"/>
  <c r="AA49" i="7"/>
  <c r="AA59" i="7"/>
  <c r="AA65" i="7"/>
  <c r="AA71" i="7"/>
  <c r="AA73" i="7"/>
  <c r="AA85" i="7"/>
  <c r="AA91" i="7"/>
  <c r="AA97" i="7"/>
  <c r="AA101" i="7"/>
  <c r="AA107" i="7"/>
  <c r="AA115" i="7"/>
  <c r="AA117" i="7"/>
  <c r="AA119" i="7"/>
  <c r="AA121" i="7"/>
  <c r="F137" i="7"/>
  <c r="F135" i="7"/>
  <c r="F136" i="7" s="1"/>
  <c r="H135" i="7"/>
  <c r="H136" i="7" s="1"/>
  <c r="H137" i="7"/>
  <c r="N135" i="7"/>
  <c r="N136" i="7" s="1"/>
  <c r="N137" i="7"/>
  <c r="W135" i="7"/>
  <c r="W136" i="7" s="1"/>
  <c r="W137" i="7"/>
  <c r="AA10" i="7"/>
  <c r="AA14" i="7"/>
  <c r="AA16" i="7"/>
  <c r="AA18" i="7"/>
  <c r="AA20" i="7"/>
  <c r="AA22" i="7"/>
  <c r="AA24" i="7"/>
  <c r="AA32" i="7"/>
  <c r="AA42" i="7"/>
  <c r="AA52" i="7"/>
  <c r="AA66" i="7"/>
  <c r="AA78" i="7"/>
  <c r="AA88" i="7"/>
  <c r="AA100" i="7"/>
  <c r="AA108" i="7"/>
  <c r="AA110" i="7"/>
  <c r="AA120" i="7"/>
  <c r="AA124" i="7"/>
  <c r="G137" i="7"/>
  <c r="G135" i="7"/>
  <c r="G136" i="7" s="1"/>
  <c r="M137" i="7"/>
  <c r="M135" i="7"/>
  <c r="M136" i="7" s="1"/>
  <c r="S137" i="7"/>
  <c r="S135" i="7"/>
  <c r="S136" i="7" s="1"/>
  <c r="AA103" i="7"/>
  <c r="AA109" i="7"/>
  <c r="K137" i="7"/>
  <c r="K135" i="7"/>
  <c r="K136" i="7" s="1"/>
  <c r="Q137" i="7"/>
  <c r="Q135" i="7"/>
  <c r="Q136" i="7" s="1"/>
  <c r="AA17" i="7"/>
  <c r="AA39" i="7"/>
  <c r="AA57" i="7"/>
  <c r="AA61" i="7"/>
  <c r="AA69" i="7"/>
  <c r="AA81" i="7"/>
  <c r="AA105" i="7"/>
  <c r="AA125" i="7"/>
  <c r="AA127" i="7"/>
  <c r="J135" i="7"/>
  <c r="J136" i="7" s="1"/>
  <c r="J137" i="7"/>
  <c r="P135" i="7"/>
  <c r="P136" i="7" s="1"/>
  <c r="P137" i="7"/>
  <c r="I132" i="7"/>
  <c r="AA40" i="7"/>
  <c r="AA48" i="7"/>
  <c r="AA50" i="7"/>
  <c r="AA58" i="7"/>
  <c r="AA60" i="7"/>
  <c r="AA68" i="7"/>
  <c r="AA76" i="7"/>
  <c r="AA92" i="7"/>
  <c r="AA94" i="7"/>
  <c r="AA104" i="7"/>
  <c r="AA106" i="7"/>
  <c r="AA111" i="7"/>
  <c r="AA113" i="7"/>
  <c r="X94" i="6"/>
  <c r="AA93" i="7"/>
  <c r="AA89" i="7"/>
  <c r="AA70" i="7"/>
  <c r="AA122" i="7"/>
  <c r="AA126" i="7"/>
  <c r="AA53" i="7"/>
  <c r="AA55" i="7"/>
  <c r="AA84" i="7"/>
  <c r="R132" i="7"/>
  <c r="AA56" i="6"/>
  <c r="R94" i="6"/>
  <c r="AA92" i="6"/>
  <c r="AA27" i="7"/>
  <c r="AA123" i="7"/>
  <c r="AA41" i="7"/>
  <c r="AA29" i="7"/>
  <c r="AA13" i="7"/>
  <c r="AA9" i="7"/>
  <c r="AA129" i="7"/>
  <c r="AA23" i="7"/>
  <c r="AP23" i="7" s="1"/>
  <c r="AS23" i="7" s="1"/>
  <c r="O132" i="7"/>
  <c r="AA9" i="6"/>
  <c r="AA11" i="6"/>
  <c r="AA20" i="6"/>
  <c r="AA23" i="6"/>
  <c r="AA31" i="6"/>
  <c r="AA36" i="6"/>
  <c r="AA39" i="6"/>
  <c r="AA52" i="6"/>
  <c r="AA42" i="6"/>
  <c r="AA15" i="6"/>
  <c r="AA41" i="6"/>
  <c r="AA55" i="6"/>
  <c r="AA57" i="6"/>
  <c r="AA58" i="6"/>
  <c r="AA59" i="6"/>
  <c r="AA61" i="6"/>
  <c r="AA81" i="6"/>
  <c r="AA91" i="6"/>
  <c r="AA12" i="6"/>
  <c r="AA26" i="6"/>
  <c r="AA33" i="6"/>
  <c r="AA68" i="6"/>
  <c r="AA71" i="6"/>
  <c r="AA76" i="6"/>
  <c r="AA78" i="6"/>
  <c r="AA89" i="6"/>
  <c r="AA88" i="6"/>
  <c r="AA84" i="6"/>
  <c r="AC132" i="7"/>
  <c r="AC137" i="7" s="1"/>
  <c r="L132" i="7"/>
  <c r="Z132" i="7"/>
  <c r="AA80" i="6"/>
  <c r="AA79" i="6"/>
  <c r="AA18" i="6"/>
  <c r="AA40" i="6"/>
  <c r="AA64" i="6"/>
  <c r="AA82" i="6"/>
  <c r="AA90" i="6"/>
  <c r="AA85" i="6"/>
  <c r="L94" i="6"/>
  <c r="AA83" i="6"/>
  <c r="U128" i="7"/>
  <c r="V128" i="7" s="1"/>
  <c r="Y128" i="7" s="1"/>
  <c r="T132" i="7"/>
  <c r="AA75" i="6"/>
  <c r="AA74" i="6"/>
  <c r="AA72" i="6"/>
  <c r="AA70" i="6"/>
  <c r="AA67" i="6"/>
  <c r="AA65" i="6"/>
  <c r="AA53" i="6"/>
  <c r="AA49" i="6"/>
  <c r="AA47" i="6"/>
  <c r="AA28" i="6"/>
  <c r="AA19" i="6"/>
  <c r="AA14" i="6"/>
  <c r="Y94" i="6"/>
  <c r="AA8" i="6"/>
  <c r="O16" i="6"/>
  <c r="AA16" i="6" s="1"/>
  <c r="O35" i="6"/>
  <c r="AA35" i="6" s="1"/>
  <c r="O43" i="6"/>
  <c r="AA43" i="6" s="1"/>
  <c r="O50" i="6"/>
  <c r="AA50" i="6" s="1"/>
  <c r="O62" i="6"/>
  <c r="AA62" i="6" s="1"/>
  <c r="O69" i="6"/>
  <c r="AA69" i="6" s="1"/>
  <c r="O73" i="6"/>
  <c r="AA73" i="6" s="1"/>
  <c r="O77" i="6"/>
  <c r="AA77" i="6" s="1"/>
  <c r="U86" i="6"/>
  <c r="U94" i="6" s="1"/>
  <c r="T94" i="6"/>
  <c r="O24" i="6"/>
  <c r="AA24" i="6" s="1"/>
  <c r="O37" i="6"/>
  <c r="AA37" i="6" s="1"/>
  <c r="O48" i="6"/>
  <c r="AA48" i="6" s="1"/>
  <c r="O60" i="6"/>
  <c r="AA60" i="6" s="1"/>
  <c r="O66" i="6"/>
  <c r="AA66" i="6" s="1"/>
  <c r="AD37" i="6" l="1"/>
  <c r="AP37" i="6"/>
  <c r="AS37" i="6" s="1"/>
  <c r="AD50" i="6"/>
  <c r="AP50" i="6"/>
  <c r="AS50" i="6" s="1"/>
  <c r="AD28" i="6"/>
  <c r="AP28" i="6"/>
  <c r="AS28" i="6" s="1"/>
  <c r="AD33" i="6"/>
  <c r="AP33" i="6"/>
  <c r="AS33" i="6" s="1"/>
  <c r="AD57" i="6"/>
  <c r="AP57" i="6"/>
  <c r="AS57" i="6" s="1"/>
  <c r="AD31" i="6"/>
  <c r="AP31" i="6"/>
  <c r="AS31" i="6" s="1"/>
  <c r="AD9" i="7"/>
  <c r="AP9" i="7"/>
  <c r="AD53" i="7"/>
  <c r="AP53" i="7"/>
  <c r="AS53" i="7" s="1"/>
  <c r="AD81" i="7"/>
  <c r="AP81" i="7"/>
  <c r="AS81" i="7" s="1"/>
  <c r="AD78" i="7"/>
  <c r="AP78" i="7"/>
  <c r="AS78" i="7" s="1"/>
  <c r="AD66" i="6"/>
  <c r="AP66" i="6"/>
  <c r="AS66" i="6" s="1"/>
  <c r="AD24" i="6"/>
  <c r="AP24" i="6"/>
  <c r="AS24" i="6" s="1"/>
  <c r="AD73" i="6"/>
  <c r="AP73" i="6"/>
  <c r="AS73" i="6" s="1"/>
  <c r="AD43" i="6"/>
  <c r="AP43" i="6"/>
  <c r="AS43" i="6" s="1"/>
  <c r="AD47" i="6"/>
  <c r="AP47" i="6"/>
  <c r="AS47" i="6" s="1"/>
  <c r="AD67" i="6"/>
  <c r="AP67" i="6"/>
  <c r="AS67" i="6" s="1"/>
  <c r="AD75" i="6"/>
  <c r="AP75" i="6"/>
  <c r="AS75" i="6" s="1"/>
  <c r="AD64" i="6"/>
  <c r="AP64" i="6"/>
  <c r="AS64" i="6" s="1"/>
  <c r="AD80" i="6"/>
  <c r="AP80" i="6"/>
  <c r="AS80" i="6" s="1"/>
  <c r="AD84" i="6"/>
  <c r="AP84" i="6"/>
  <c r="AS84" i="6" s="1"/>
  <c r="AD76" i="6"/>
  <c r="AP76" i="6"/>
  <c r="AS76" i="6" s="1"/>
  <c r="AD26" i="6"/>
  <c r="AP26" i="6"/>
  <c r="AS26" i="6" s="1"/>
  <c r="AD61" i="6"/>
  <c r="AP61" i="6"/>
  <c r="AS61" i="6" s="1"/>
  <c r="AD55" i="6"/>
  <c r="AP55" i="6"/>
  <c r="AS55" i="6" s="1"/>
  <c r="AD52" i="6"/>
  <c r="AP52" i="6"/>
  <c r="AS52" i="6" s="1"/>
  <c r="AD23" i="6"/>
  <c r="AP23" i="6"/>
  <c r="AS23" i="6" s="1"/>
  <c r="AD13" i="7"/>
  <c r="AP13" i="7"/>
  <c r="AS13" i="7" s="1"/>
  <c r="AD27" i="7"/>
  <c r="AP27" i="7"/>
  <c r="AS27" i="7" s="1"/>
  <c r="AD126" i="7"/>
  <c r="AP126" i="7"/>
  <c r="AS126" i="7" s="1"/>
  <c r="AD93" i="7"/>
  <c r="AP93" i="7"/>
  <c r="AS93" i="7" s="1"/>
  <c r="AD106" i="7"/>
  <c r="AP106" i="7"/>
  <c r="AS106" i="7" s="1"/>
  <c r="AD76" i="7"/>
  <c r="AP76" i="7"/>
  <c r="AS76" i="7" s="1"/>
  <c r="AD50" i="7"/>
  <c r="AP50" i="7"/>
  <c r="AS50" i="7" s="1"/>
  <c r="AD127" i="7"/>
  <c r="AP127" i="7"/>
  <c r="AS127" i="7" s="1"/>
  <c r="AD69" i="7"/>
  <c r="AP69" i="7"/>
  <c r="AS69" i="7" s="1"/>
  <c r="AD17" i="7"/>
  <c r="AP17" i="7"/>
  <c r="AS17" i="7" s="1"/>
  <c r="AD108" i="7"/>
  <c r="AP108" i="7"/>
  <c r="AS108" i="7" s="1"/>
  <c r="AD66" i="7"/>
  <c r="AP66" i="7"/>
  <c r="AS66" i="7" s="1"/>
  <c r="AD24" i="7"/>
  <c r="AP24" i="7"/>
  <c r="AS24" i="7" s="1"/>
  <c r="AD16" i="7"/>
  <c r="AP16" i="7"/>
  <c r="AS16" i="7" s="1"/>
  <c r="AD119" i="7"/>
  <c r="AP119" i="7"/>
  <c r="AS119" i="7" s="1"/>
  <c r="AD101" i="7"/>
  <c r="AP101" i="7"/>
  <c r="AS101" i="7" s="1"/>
  <c r="AD73" i="7"/>
  <c r="AP73" i="7"/>
  <c r="AS73" i="7" s="1"/>
  <c r="AD49" i="7"/>
  <c r="AP49" i="7"/>
  <c r="AS49" i="7" s="1"/>
  <c r="AD35" i="7"/>
  <c r="AP35" i="7"/>
  <c r="AS35" i="7" s="1"/>
  <c r="AD15" i="7"/>
  <c r="AP15" i="7"/>
  <c r="AS15" i="7" s="1"/>
  <c r="AD114" i="7"/>
  <c r="AP114" i="7"/>
  <c r="AS114" i="7" s="1"/>
  <c r="AD82" i="7"/>
  <c r="AP82" i="7"/>
  <c r="AS82" i="7" s="1"/>
  <c r="AD64" i="7"/>
  <c r="AP64" i="7"/>
  <c r="AS64" i="7" s="1"/>
  <c r="AD46" i="7"/>
  <c r="AP46" i="7"/>
  <c r="AS46" i="7" s="1"/>
  <c r="AD34" i="7"/>
  <c r="AP34" i="7"/>
  <c r="AS34" i="7" s="1"/>
  <c r="AD12" i="7"/>
  <c r="AP12" i="7"/>
  <c r="AS12" i="7" s="1"/>
  <c r="AD38" i="6"/>
  <c r="AP38" i="6"/>
  <c r="AS38" i="6" s="1"/>
  <c r="AD17" i="6"/>
  <c r="AP17" i="6"/>
  <c r="AS17" i="6" s="1"/>
  <c r="AD44" i="6"/>
  <c r="AP44" i="6"/>
  <c r="AS44" i="6" s="1"/>
  <c r="AD102" i="7"/>
  <c r="AP102" i="7"/>
  <c r="AS102" i="7" s="1"/>
  <c r="AD95" i="7"/>
  <c r="AP95" i="7"/>
  <c r="AS95" i="7" s="1"/>
  <c r="AD45" i="6"/>
  <c r="AP45" i="6"/>
  <c r="AS45" i="6" s="1"/>
  <c r="AD77" i="7"/>
  <c r="AP77" i="7"/>
  <c r="AS77" i="7" s="1"/>
  <c r="AD51" i="7"/>
  <c r="AP51" i="7"/>
  <c r="AS51" i="7" s="1"/>
  <c r="AQ9" i="7"/>
  <c r="AD35" i="6"/>
  <c r="AP35" i="6"/>
  <c r="AS35" i="6" s="1"/>
  <c r="AD49" i="6"/>
  <c r="AP49" i="6"/>
  <c r="AS49" i="6" s="1"/>
  <c r="AD70" i="6"/>
  <c r="AP70" i="6"/>
  <c r="AS70" i="6" s="1"/>
  <c r="AD71" i="6"/>
  <c r="AP71" i="6"/>
  <c r="AS71" i="6" s="1"/>
  <c r="AD59" i="6"/>
  <c r="AP59" i="6"/>
  <c r="AS59" i="6" s="1"/>
  <c r="AD39" i="6"/>
  <c r="AP39" i="6"/>
  <c r="AS39" i="6" s="1"/>
  <c r="AD92" i="6"/>
  <c r="AP92" i="6"/>
  <c r="AS92" i="6" s="1"/>
  <c r="AD84" i="7"/>
  <c r="AP84" i="7"/>
  <c r="AS84" i="7" s="1"/>
  <c r="AD122" i="7"/>
  <c r="AP122" i="7"/>
  <c r="AS122" i="7" s="1"/>
  <c r="AD104" i="7"/>
  <c r="AP104" i="7"/>
  <c r="AS104" i="7" s="1"/>
  <c r="AD68" i="7"/>
  <c r="AP68" i="7"/>
  <c r="AS68" i="7" s="1"/>
  <c r="AD48" i="7"/>
  <c r="AP48" i="7"/>
  <c r="AS48" i="7" s="1"/>
  <c r="AD125" i="7"/>
  <c r="AP125" i="7"/>
  <c r="AS125" i="7" s="1"/>
  <c r="AD61" i="7"/>
  <c r="AP61" i="7"/>
  <c r="AS61" i="7" s="1"/>
  <c r="AD109" i="7"/>
  <c r="AP109" i="7"/>
  <c r="AS109" i="7" s="1"/>
  <c r="AD124" i="7"/>
  <c r="AP124" i="7"/>
  <c r="AS124" i="7" s="1"/>
  <c r="AD100" i="7"/>
  <c r="AP100" i="7"/>
  <c r="AS100" i="7" s="1"/>
  <c r="AD52" i="7"/>
  <c r="AP52" i="7"/>
  <c r="AS52" i="7" s="1"/>
  <c r="AD22" i="7"/>
  <c r="AP22" i="7"/>
  <c r="AS22" i="7" s="1"/>
  <c r="AD14" i="7"/>
  <c r="AP14" i="7"/>
  <c r="AS14" i="7" s="1"/>
  <c r="AD117" i="7"/>
  <c r="AP117" i="7"/>
  <c r="AS117" i="7" s="1"/>
  <c r="AD97" i="7"/>
  <c r="AP97" i="7"/>
  <c r="AS97" i="7" s="1"/>
  <c r="AD71" i="7"/>
  <c r="AP71" i="7"/>
  <c r="AS71" i="7" s="1"/>
  <c r="AD45" i="7"/>
  <c r="AP45" i="7"/>
  <c r="AS45" i="7" s="1"/>
  <c r="AD25" i="7"/>
  <c r="AP25" i="7"/>
  <c r="AS25" i="7" s="1"/>
  <c r="AD11" i="7"/>
  <c r="AP11" i="7"/>
  <c r="AS11" i="7" s="1"/>
  <c r="AD112" i="7"/>
  <c r="AP112" i="7"/>
  <c r="AS112" i="7" s="1"/>
  <c r="AD80" i="7"/>
  <c r="AP80" i="7"/>
  <c r="AS80" i="7" s="1"/>
  <c r="AD62" i="7"/>
  <c r="AP62" i="7"/>
  <c r="AS62" i="7" s="1"/>
  <c r="AD44" i="7"/>
  <c r="AP44" i="7"/>
  <c r="AS44" i="7" s="1"/>
  <c r="AD30" i="7"/>
  <c r="AP30" i="7"/>
  <c r="AS30" i="7" s="1"/>
  <c r="AD34" i="6"/>
  <c r="AP34" i="6"/>
  <c r="AS34" i="6" s="1"/>
  <c r="AD87" i="6"/>
  <c r="AP87" i="6"/>
  <c r="AS87" i="6" s="1"/>
  <c r="AD51" i="6"/>
  <c r="AP51" i="6"/>
  <c r="AS51" i="6" s="1"/>
  <c r="AD27" i="6"/>
  <c r="AP27" i="6"/>
  <c r="AS27" i="6" s="1"/>
  <c r="AD99" i="7"/>
  <c r="AP99" i="7"/>
  <c r="AS99" i="7" s="1"/>
  <c r="AD87" i="7"/>
  <c r="AP87" i="7"/>
  <c r="AS87" i="7" s="1"/>
  <c r="AD32" i="6"/>
  <c r="AP32" i="6"/>
  <c r="AS32" i="6" s="1"/>
  <c r="AD75" i="7"/>
  <c r="AP75" i="7"/>
  <c r="AS75" i="7" s="1"/>
  <c r="AD47" i="7"/>
  <c r="AP47" i="7"/>
  <c r="AS47" i="7" s="1"/>
  <c r="AR9" i="7"/>
  <c r="AR132" i="7" s="1"/>
  <c r="AO132" i="7"/>
  <c r="AD54" i="6"/>
  <c r="AP54" i="6"/>
  <c r="AS54" i="6" s="1"/>
  <c r="AD60" i="6"/>
  <c r="AP60" i="6"/>
  <c r="AS60" i="6" s="1"/>
  <c r="AD69" i="6"/>
  <c r="AP69" i="6"/>
  <c r="AS69" i="6" s="1"/>
  <c r="AD14" i="6"/>
  <c r="AP14" i="6"/>
  <c r="AS14" i="6" s="1"/>
  <c r="AD85" i="6"/>
  <c r="AP85" i="6"/>
  <c r="AS85" i="6" s="1"/>
  <c r="AD40" i="6"/>
  <c r="AP40" i="6"/>
  <c r="AS40" i="6" s="1"/>
  <c r="AD88" i="6"/>
  <c r="AP88" i="6"/>
  <c r="AS88" i="6" s="1"/>
  <c r="AD12" i="6"/>
  <c r="AP12" i="6"/>
  <c r="AS12" i="6" s="1"/>
  <c r="AD41" i="6"/>
  <c r="AP41" i="6"/>
  <c r="AS41" i="6" s="1"/>
  <c r="AD20" i="6"/>
  <c r="AP20" i="6"/>
  <c r="AS20" i="6" s="1"/>
  <c r="AD29" i="7"/>
  <c r="AP29" i="7"/>
  <c r="AS29" i="7" s="1"/>
  <c r="AD48" i="6"/>
  <c r="AP48" i="6"/>
  <c r="AS48" i="6" s="1"/>
  <c r="AD62" i="6"/>
  <c r="AP62" i="6"/>
  <c r="AS62" i="6" s="1"/>
  <c r="AD16" i="6"/>
  <c r="AP16" i="6"/>
  <c r="AS16" i="6" s="1"/>
  <c r="AD19" i="6"/>
  <c r="AP19" i="6"/>
  <c r="AS19" i="6" s="1"/>
  <c r="AD53" i="6"/>
  <c r="AP53" i="6"/>
  <c r="AS53" i="6" s="1"/>
  <c r="AD72" i="6"/>
  <c r="AP72" i="6"/>
  <c r="AS72" i="6" s="1"/>
  <c r="AB128" i="7"/>
  <c r="AB132" i="7" s="1"/>
  <c r="AB137" i="7" s="1"/>
  <c r="AN128" i="7"/>
  <c r="AQ128" i="7" s="1"/>
  <c r="AD90" i="6"/>
  <c r="AP90" i="6"/>
  <c r="AS90" i="6" s="1"/>
  <c r="AD18" i="6"/>
  <c r="AP18" i="6"/>
  <c r="AS18" i="6" s="1"/>
  <c r="AD89" i="6"/>
  <c r="AP89" i="6"/>
  <c r="AS89" i="6" s="1"/>
  <c r="AD68" i="6"/>
  <c r="AP68" i="6"/>
  <c r="AS68" i="6" s="1"/>
  <c r="AD91" i="6"/>
  <c r="AP91" i="6"/>
  <c r="AS91" i="6" s="1"/>
  <c r="AD58" i="6"/>
  <c r="AP58" i="6"/>
  <c r="AS58" i="6" s="1"/>
  <c r="AD15" i="6"/>
  <c r="AP15" i="6"/>
  <c r="AS15" i="6" s="1"/>
  <c r="AD36" i="6"/>
  <c r="AP36" i="6"/>
  <c r="AS36" i="6" s="1"/>
  <c r="AD11" i="6"/>
  <c r="AP11" i="6"/>
  <c r="AS11" i="6" s="1"/>
  <c r="AD129" i="7"/>
  <c r="AP129" i="7"/>
  <c r="AS129" i="7" s="1"/>
  <c r="AD41" i="7"/>
  <c r="AP41" i="7"/>
  <c r="AS41" i="7" s="1"/>
  <c r="AD55" i="7"/>
  <c r="AP55" i="7"/>
  <c r="AS55" i="7" s="1"/>
  <c r="AD70" i="7"/>
  <c r="AP70" i="7"/>
  <c r="AS70" i="7" s="1"/>
  <c r="AD113" i="7"/>
  <c r="AP113" i="7"/>
  <c r="AS113" i="7" s="1"/>
  <c r="AD94" i="7"/>
  <c r="AP94" i="7"/>
  <c r="AS94" i="7" s="1"/>
  <c r="AD60" i="7"/>
  <c r="AP60" i="7"/>
  <c r="AS60" i="7" s="1"/>
  <c r="AD40" i="7"/>
  <c r="AP40" i="7"/>
  <c r="AS40" i="7" s="1"/>
  <c r="AD105" i="7"/>
  <c r="AP105" i="7"/>
  <c r="AS105" i="7" s="1"/>
  <c r="AD57" i="7"/>
  <c r="AP57" i="7"/>
  <c r="AS57" i="7" s="1"/>
  <c r="AD103" i="7"/>
  <c r="AP103" i="7"/>
  <c r="AS103" i="7" s="1"/>
  <c r="AD120" i="7"/>
  <c r="AP120" i="7"/>
  <c r="AS120" i="7" s="1"/>
  <c r="AD88" i="7"/>
  <c r="AP88" i="7"/>
  <c r="AS88" i="7" s="1"/>
  <c r="AD42" i="7"/>
  <c r="AP42" i="7"/>
  <c r="AS42" i="7" s="1"/>
  <c r="AD20" i="7"/>
  <c r="AP20" i="7"/>
  <c r="AS20" i="7" s="1"/>
  <c r="AD10" i="7"/>
  <c r="AP10" i="7"/>
  <c r="AS10" i="7" s="1"/>
  <c r="AD115" i="7"/>
  <c r="AP115" i="7"/>
  <c r="AS115" i="7" s="1"/>
  <c r="AD91" i="7"/>
  <c r="AP91" i="7"/>
  <c r="AS91" i="7" s="1"/>
  <c r="AD65" i="7"/>
  <c r="AP65" i="7"/>
  <c r="AS65" i="7" s="1"/>
  <c r="AD43" i="7"/>
  <c r="AP43" i="7"/>
  <c r="AS43" i="7" s="1"/>
  <c r="AD21" i="7"/>
  <c r="AP21" i="7"/>
  <c r="AS21" i="7" s="1"/>
  <c r="AD118" i="7"/>
  <c r="AP118" i="7"/>
  <c r="AS118" i="7" s="1"/>
  <c r="AD90" i="7"/>
  <c r="AP90" i="7"/>
  <c r="AS90" i="7" s="1"/>
  <c r="AD74" i="7"/>
  <c r="AP74" i="7"/>
  <c r="AS74" i="7" s="1"/>
  <c r="AD56" i="7"/>
  <c r="AP56" i="7"/>
  <c r="AS56" i="7" s="1"/>
  <c r="AD38" i="7"/>
  <c r="AP38" i="7"/>
  <c r="AS38" i="7" s="1"/>
  <c r="AD28" i="7"/>
  <c r="AP28" i="7"/>
  <c r="AS28" i="7" s="1"/>
  <c r="AD63" i="6"/>
  <c r="AP63" i="6"/>
  <c r="AS63" i="6" s="1"/>
  <c r="AD29" i="6"/>
  <c r="AP29" i="6"/>
  <c r="AS29" i="6" s="1"/>
  <c r="AD10" i="6"/>
  <c r="AP10" i="6"/>
  <c r="AS10" i="6" s="1"/>
  <c r="AD30" i="6"/>
  <c r="AP30" i="6"/>
  <c r="AS30" i="6" s="1"/>
  <c r="AD13" i="6"/>
  <c r="AP13" i="6"/>
  <c r="AS13" i="6" s="1"/>
  <c r="AD98" i="7"/>
  <c r="AP98" i="7"/>
  <c r="AS98" i="7" s="1"/>
  <c r="AD21" i="6"/>
  <c r="AP21" i="6"/>
  <c r="AS21" i="6" s="1"/>
  <c r="AD83" i="7"/>
  <c r="AP83" i="7"/>
  <c r="AS83" i="7" s="1"/>
  <c r="AD67" i="7"/>
  <c r="AP67" i="7"/>
  <c r="AS67" i="7" s="1"/>
  <c r="AD33" i="7"/>
  <c r="AP33" i="7"/>
  <c r="AS33" i="7" s="1"/>
  <c r="AD77" i="6"/>
  <c r="AP77" i="6"/>
  <c r="AS77" i="6" s="1"/>
  <c r="AD8" i="6"/>
  <c r="AP8" i="6"/>
  <c r="AD65" i="6"/>
  <c r="AP65" i="6"/>
  <c r="AS65" i="6" s="1"/>
  <c r="AD74" i="6"/>
  <c r="AP74" i="6"/>
  <c r="AS74" i="6" s="1"/>
  <c r="AD83" i="6"/>
  <c r="AP83" i="6"/>
  <c r="AS83" i="6" s="1"/>
  <c r="AD82" i="6"/>
  <c r="AP82" i="6"/>
  <c r="AS82" i="6" s="1"/>
  <c r="AD79" i="6"/>
  <c r="AP79" i="6"/>
  <c r="AS79" i="6" s="1"/>
  <c r="AD78" i="6"/>
  <c r="AP78" i="6"/>
  <c r="AS78" i="6" s="1"/>
  <c r="AD81" i="6"/>
  <c r="AP81" i="6"/>
  <c r="AS81" i="6" s="1"/>
  <c r="AD42" i="6"/>
  <c r="AP42" i="6"/>
  <c r="AS42" i="6" s="1"/>
  <c r="AD9" i="6"/>
  <c r="AP9" i="6"/>
  <c r="AS9" i="6" s="1"/>
  <c r="AD123" i="7"/>
  <c r="AP123" i="7"/>
  <c r="AS123" i="7" s="1"/>
  <c r="AD56" i="6"/>
  <c r="AP56" i="6"/>
  <c r="AS56" i="6" s="1"/>
  <c r="AD89" i="7"/>
  <c r="AP89" i="7"/>
  <c r="AS89" i="7" s="1"/>
  <c r="AD111" i="7"/>
  <c r="AP111" i="7"/>
  <c r="AS111" i="7" s="1"/>
  <c r="AD92" i="7"/>
  <c r="AP92" i="7"/>
  <c r="AS92" i="7" s="1"/>
  <c r="AD58" i="7"/>
  <c r="AP58" i="7"/>
  <c r="AS58" i="7" s="1"/>
  <c r="AD39" i="7"/>
  <c r="AP39" i="7"/>
  <c r="AS39" i="7" s="1"/>
  <c r="AD110" i="7"/>
  <c r="AP110" i="7"/>
  <c r="AS110" i="7" s="1"/>
  <c r="AD32" i="7"/>
  <c r="AP32" i="7"/>
  <c r="AS32" i="7" s="1"/>
  <c r="AD18" i="7"/>
  <c r="AP18" i="7"/>
  <c r="AS18" i="7" s="1"/>
  <c r="AD121" i="7"/>
  <c r="AP121" i="7"/>
  <c r="AS121" i="7" s="1"/>
  <c r="AD107" i="7"/>
  <c r="AP107" i="7"/>
  <c r="AS107" i="7" s="1"/>
  <c r="AD85" i="7"/>
  <c r="AP85" i="7"/>
  <c r="AS85" i="7" s="1"/>
  <c r="AD59" i="7"/>
  <c r="AP59" i="7"/>
  <c r="AS59" i="7" s="1"/>
  <c r="AD37" i="7"/>
  <c r="AP37" i="7"/>
  <c r="AS37" i="7" s="1"/>
  <c r="AD19" i="7"/>
  <c r="AP19" i="7"/>
  <c r="AS19" i="7" s="1"/>
  <c r="AD116" i="7"/>
  <c r="AP116" i="7"/>
  <c r="AS116" i="7" s="1"/>
  <c r="AD86" i="7"/>
  <c r="AP86" i="7"/>
  <c r="AS86" i="7" s="1"/>
  <c r="AD72" i="7"/>
  <c r="AP72" i="7"/>
  <c r="AS72" i="7" s="1"/>
  <c r="AD54" i="7"/>
  <c r="AP54" i="7"/>
  <c r="AS54" i="7" s="1"/>
  <c r="AD36" i="7"/>
  <c r="AP36" i="7"/>
  <c r="AS36" i="7" s="1"/>
  <c r="AD26" i="7"/>
  <c r="AP26" i="7"/>
  <c r="AS26" i="7" s="1"/>
  <c r="AD46" i="6"/>
  <c r="AP46" i="6"/>
  <c r="AS46" i="6" s="1"/>
  <c r="AD22" i="6"/>
  <c r="AP22" i="6"/>
  <c r="AS22" i="6" s="1"/>
  <c r="AD25" i="6"/>
  <c r="AP25" i="6"/>
  <c r="AS25" i="6" s="1"/>
  <c r="AD96" i="7"/>
  <c r="AP96" i="7"/>
  <c r="AS96" i="7" s="1"/>
  <c r="AD79" i="7"/>
  <c r="AP79" i="7"/>
  <c r="AS79" i="7" s="1"/>
  <c r="AD63" i="7"/>
  <c r="AP63" i="7"/>
  <c r="AS63" i="7" s="1"/>
  <c r="AD31" i="7"/>
  <c r="AP31" i="7"/>
  <c r="AS31" i="7" s="1"/>
  <c r="AQ8" i="6"/>
  <c r="AQ94" i="6" s="1"/>
  <c r="AN94" i="6"/>
  <c r="AR8" i="6"/>
  <c r="AR94" i="6" s="1"/>
  <c r="AO94" i="6"/>
  <c r="AA86" i="6"/>
  <c r="R97" i="6"/>
  <c r="R98" i="6" s="1"/>
  <c r="R99" i="6"/>
  <c r="X97" i="6"/>
  <c r="X98" i="6" s="1"/>
  <c r="X99" i="6"/>
  <c r="U97" i="6"/>
  <c r="U98" i="6" s="1"/>
  <c r="U99" i="6"/>
  <c r="AB94" i="6"/>
  <c r="AB99" i="6" s="1"/>
  <c r="Y99" i="6"/>
  <c r="Y97" i="6"/>
  <c r="L97" i="6"/>
  <c r="L98" i="6" s="1"/>
  <c r="L99" i="6"/>
  <c r="T99" i="6"/>
  <c r="T97" i="6"/>
  <c r="T98" i="6" s="1"/>
  <c r="AM173" i="9"/>
  <c r="AJ173" i="9"/>
  <c r="AD174" i="8"/>
  <c r="AD179" i="8" s="1"/>
  <c r="AA177" i="8"/>
  <c r="AA179" i="8"/>
  <c r="Y178" i="8"/>
  <c r="AB177" i="8"/>
  <c r="AB178" i="8" s="1"/>
  <c r="AC177" i="8"/>
  <c r="AC178" i="8" s="1"/>
  <c r="Z178" i="8"/>
  <c r="L135" i="7"/>
  <c r="L136" i="7" s="1"/>
  <c r="L137" i="7"/>
  <c r="T135" i="7"/>
  <c r="T136" i="7" s="1"/>
  <c r="T137" i="7"/>
  <c r="Z135" i="7"/>
  <c r="Z137" i="7"/>
  <c r="O137" i="7"/>
  <c r="O135" i="7"/>
  <c r="O136" i="7" s="1"/>
  <c r="R135" i="7"/>
  <c r="R136" i="7" s="1"/>
  <c r="R137" i="7"/>
  <c r="I135" i="7"/>
  <c r="I136" i="7" s="1"/>
  <c r="I137" i="7"/>
  <c r="Y132" i="7"/>
  <c r="U132" i="7"/>
  <c r="Z94" i="6"/>
  <c r="AD23" i="7"/>
  <c r="V132" i="7"/>
  <c r="X128" i="7"/>
  <c r="X132" i="7" s="1"/>
  <c r="O94" i="6"/>
  <c r="AS8" i="6" l="1"/>
  <c r="AO135" i="7"/>
  <c r="AO136" i="7" s="1"/>
  <c r="AO137" i="7"/>
  <c r="AO99" i="6"/>
  <c r="AO97" i="6"/>
  <c r="AO98" i="6" s="1"/>
  <c r="AR97" i="6"/>
  <c r="AR98" i="6" s="1"/>
  <c r="AR99" i="6"/>
  <c r="AR137" i="7"/>
  <c r="AR135" i="7"/>
  <c r="AR136" i="7" s="1"/>
  <c r="AN132" i="7"/>
  <c r="AS9" i="7"/>
  <c r="AN99" i="6"/>
  <c r="AN97" i="6"/>
  <c r="AN98" i="6" s="1"/>
  <c r="AD86" i="6"/>
  <c r="AP86" i="6"/>
  <c r="AS86" i="6" s="1"/>
  <c r="AQ99" i="6"/>
  <c r="AQ97" i="6"/>
  <c r="AQ98" i="6" s="1"/>
  <c r="AQ132" i="7"/>
  <c r="AC94" i="6"/>
  <c r="AC99" i="6" s="1"/>
  <c r="Z99" i="6"/>
  <c r="Z97" i="6"/>
  <c r="AB97" i="6"/>
  <c r="AB98" i="6" s="1"/>
  <c r="Y98" i="6"/>
  <c r="AA94" i="6"/>
  <c r="O97" i="6"/>
  <c r="O98" i="6" s="1"/>
  <c r="O99" i="6"/>
  <c r="AD177" i="8"/>
  <c r="AD178" i="8" s="1"/>
  <c r="AA178" i="8"/>
  <c r="Y135" i="7"/>
  <c r="Y137" i="7"/>
  <c r="AC135" i="7"/>
  <c r="AC136" i="7" s="1"/>
  <c r="Z136" i="7"/>
  <c r="X135" i="7"/>
  <c r="X136" i="7" s="1"/>
  <c r="X137" i="7"/>
  <c r="V135" i="7"/>
  <c r="V136" i="7" s="1"/>
  <c r="V137" i="7"/>
  <c r="U137" i="7"/>
  <c r="U135" i="7"/>
  <c r="U136" i="7" s="1"/>
  <c r="AA128" i="7"/>
  <c r="AP128" i="7" s="1"/>
  <c r="AS128" i="7" s="1"/>
  <c r="Y120" i="4"/>
  <c r="AB120" i="4" s="1"/>
  <c r="X120" i="4"/>
  <c r="U120" i="4"/>
  <c r="R120" i="4"/>
  <c r="I120" i="4"/>
  <c r="E120" i="4"/>
  <c r="E121" i="4" s="1"/>
  <c r="E122" i="4" s="1"/>
  <c r="AD101" i="3"/>
  <c r="AC101" i="3"/>
  <c r="AB101" i="3"/>
  <c r="Y101" i="3"/>
  <c r="V101" i="3"/>
  <c r="S101" i="3"/>
  <c r="P101" i="3"/>
  <c r="M101" i="3"/>
  <c r="J101" i="3"/>
  <c r="F101" i="3"/>
  <c r="F104" i="3" s="1"/>
  <c r="X117" i="4"/>
  <c r="X116" i="4"/>
  <c r="X115" i="4"/>
  <c r="X114" i="4"/>
  <c r="X113" i="4"/>
  <c r="X112" i="4"/>
  <c r="X111" i="4"/>
  <c r="X110" i="4"/>
  <c r="X109" i="4"/>
  <c r="X108" i="4"/>
  <c r="X107" i="4"/>
  <c r="X106" i="4"/>
  <c r="X105" i="4"/>
  <c r="X104" i="4"/>
  <c r="X103" i="4"/>
  <c r="X102" i="4"/>
  <c r="X101" i="4"/>
  <c r="X100" i="4"/>
  <c r="X99" i="4"/>
  <c r="X98" i="4"/>
  <c r="X97" i="4"/>
  <c r="X96" i="4"/>
  <c r="X95" i="4"/>
  <c r="X94" i="4"/>
  <c r="X93" i="4"/>
  <c r="X92" i="4"/>
  <c r="X91" i="4"/>
  <c r="X90" i="4"/>
  <c r="X89" i="4"/>
  <c r="X88" i="4"/>
  <c r="X87" i="4"/>
  <c r="X86" i="4"/>
  <c r="X85" i="4"/>
  <c r="X84" i="4"/>
  <c r="X83" i="4"/>
  <c r="X82" i="4"/>
  <c r="X81" i="4"/>
  <c r="X80" i="4"/>
  <c r="X79" i="4"/>
  <c r="X78" i="4"/>
  <c r="X77" i="4"/>
  <c r="X76" i="4"/>
  <c r="X75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99" i="3"/>
  <c r="X104" i="3" s="1"/>
  <c r="W99" i="3"/>
  <c r="W102" i="3" s="1"/>
  <c r="W103" i="3" s="1"/>
  <c r="AQ137" i="7" l="1"/>
  <c r="AQ135" i="7"/>
  <c r="AQ136" i="7" s="1"/>
  <c r="AS132" i="7"/>
  <c r="AN137" i="7"/>
  <c r="AN135" i="7"/>
  <c r="AN136" i="7" s="1"/>
  <c r="AP94" i="6"/>
  <c r="AP132" i="7"/>
  <c r="AS94" i="6"/>
  <c r="Z98" i="6"/>
  <c r="AC97" i="6"/>
  <c r="AC98" i="6" s="1"/>
  <c r="AD94" i="6"/>
  <c r="AD99" i="6" s="1"/>
  <c r="AA97" i="6"/>
  <c r="AA99" i="6"/>
  <c r="AB135" i="7"/>
  <c r="AB136" i="7" s="1"/>
  <c r="Y136" i="7"/>
  <c r="AD128" i="7"/>
  <c r="AD132" i="7" s="1"/>
  <c r="AD137" i="7" s="1"/>
  <c r="AA132" i="7"/>
  <c r="E123" i="4"/>
  <c r="W104" i="3"/>
  <c r="F102" i="3"/>
  <c r="F103" i="3" s="1"/>
  <c r="X102" i="3"/>
  <c r="X103" i="3" s="1"/>
  <c r="AE101" i="3"/>
  <c r="AS99" i="6" l="1"/>
  <c r="AS97" i="6"/>
  <c r="AS98" i="6" s="1"/>
  <c r="AP135" i="7"/>
  <c r="AP136" i="7" s="1"/>
  <c r="AP137" i="7"/>
  <c r="AS137" i="7"/>
  <c r="AS135" i="7"/>
  <c r="AS136" i="7" s="1"/>
  <c r="AP99" i="6"/>
  <c r="AP97" i="6"/>
  <c r="AP98" i="6" s="1"/>
  <c r="AD97" i="6"/>
  <c r="AD98" i="6" s="1"/>
  <c r="AA98" i="6"/>
  <c r="AA137" i="7"/>
  <c r="AA135" i="7"/>
  <c r="X95" i="2"/>
  <c r="R95" i="2"/>
  <c r="O95" i="2"/>
  <c r="L95" i="2"/>
  <c r="I95" i="2"/>
  <c r="E95" i="2"/>
  <c r="E96" i="2" s="1"/>
  <c r="E97" i="2" s="1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177" i="1"/>
  <c r="AA177" i="1" s="1"/>
  <c r="Y177" i="1"/>
  <c r="AB177" i="1" s="1"/>
  <c r="W177" i="1"/>
  <c r="T177" i="1"/>
  <c r="Q177" i="1"/>
  <c r="N177" i="1"/>
  <c r="K177" i="1"/>
  <c r="H177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U175" i="1"/>
  <c r="V175" i="1"/>
  <c r="U180" i="1" l="1"/>
  <c r="U178" i="1"/>
  <c r="U179" i="1" s="1"/>
  <c r="V180" i="1"/>
  <c r="V178" i="1"/>
  <c r="V179" i="1" s="1"/>
  <c r="Z177" i="1"/>
  <c r="AC177" i="1" s="1"/>
  <c r="AA136" i="7"/>
  <c r="AD135" i="7"/>
  <c r="AD136" i="7" s="1"/>
  <c r="E98" i="2"/>
  <c r="W175" i="1"/>
  <c r="W178" i="1" l="1"/>
  <c r="W179" i="1" s="1"/>
  <c r="W180" i="1"/>
  <c r="T104" i="4"/>
  <c r="N116" i="4"/>
  <c r="N120" i="4" s="1"/>
  <c r="O120" i="4" s="1"/>
  <c r="K117" i="4"/>
  <c r="K120" i="4" s="1"/>
  <c r="N97" i="3"/>
  <c r="K93" i="3"/>
  <c r="T64" i="2"/>
  <c r="T95" i="2" s="1"/>
  <c r="U95" i="2" s="1"/>
  <c r="P72" i="2"/>
  <c r="N30" i="2"/>
  <c r="Z120" i="4" l="1"/>
  <c r="L120" i="4"/>
  <c r="T102" i="1"/>
  <c r="T94" i="1"/>
  <c r="T93" i="1"/>
  <c r="T92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6" i="1"/>
  <c r="T45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5" i="1"/>
  <c r="P156" i="1"/>
  <c r="I173" i="1"/>
  <c r="AC120" i="4" l="1"/>
  <c r="AA120" i="4"/>
  <c r="AD120" i="4" s="1"/>
  <c r="W118" i="4"/>
  <c r="V118" i="4"/>
  <c r="Z117" i="4"/>
  <c r="Y117" i="4"/>
  <c r="Z116" i="4"/>
  <c r="Y116" i="4"/>
  <c r="Z115" i="4"/>
  <c r="Y115" i="4"/>
  <c r="Z114" i="4"/>
  <c r="Y114" i="4"/>
  <c r="Z113" i="4"/>
  <c r="Y113" i="4"/>
  <c r="Z112" i="4"/>
  <c r="Y112" i="4"/>
  <c r="Z111" i="4"/>
  <c r="Y111" i="4"/>
  <c r="Z110" i="4"/>
  <c r="Y110" i="4"/>
  <c r="Z109" i="4"/>
  <c r="Y109" i="4"/>
  <c r="Z108" i="4"/>
  <c r="Y108" i="4"/>
  <c r="Z107" i="4"/>
  <c r="Y107" i="4"/>
  <c r="Z106" i="4"/>
  <c r="Y106" i="4"/>
  <c r="Z105" i="4"/>
  <c r="Y105" i="4"/>
  <c r="Z104" i="4"/>
  <c r="Y104" i="4"/>
  <c r="Z103" i="4"/>
  <c r="Y103" i="4"/>
  <c r="Z102" i="4"/>
  <c r="Y102" i="4"/>
  <c r="Z101" i="4"/>
  <c r="Y101" i="4"/>
  <c r="Z100" i="4"/>
  <c r="Y100" i="4"/>
  <c r="Z99" i="4"/>
  <c r="Y99" i="4"/>
  <c r="Z98" i="4"/>
  <c r="Y98" i="4"/>
  <c r="Z97" i="4"/>
  <c r="Y97" i="4"/>
  <c r="Z96" i="4"/>
  <c r="Y96" i="4"/>
  <c r="Z95" i="4"/>
  <c r="Y95" i="4"/>
  <c r="Z94" i="4"/>
  <c r="Y94" i="4"/>
  <c r="Z93" i="4"/>
  <c r="Y93" i="4"/>
  <c r="Z92" i="4"/>
  <c r="Y92" i="4"/>
  <c r="Z91" i="4"/>
  <c r="Y91" i="4"/>
  <c r="Z90" i="4"/>
  <c r="Y90" i="4"/>
  <c r="Z89" i="4"/>
  <c r="Y89" i="4"/>
  <c r="Z88" i="4"/>
  <c r="Y88" i="4"/>
  <c r="Z87" i="4"/>
  <c r="Y87" i="4"/>
  <c r="Z86" i="4"/>
  <c r="Y86" i="4"/>
  <c r="Z85" i="4"/>
  <c r="Y85" i="4"/>
  <c r="Z84" i="4"/>
  <c r="Y84" i="4"/>
  <c r="Z83" i="4"/>
  <c r="Y83" i="4"/>
  <c r="Z82" i="4"/>
  <c r="Y82" i="4"/>
  <c r="Z81" i="4"/>
  <c r="Y81" i="4"/>
  <c r="Z80" i="4"/>
  <c r="Y80" i="4"/>
  <c r="Z79" i="4"/>
  <c r="Y79" i="4"/>
  <c r="Z78" i="4"/>
  <c r="Y78" i="4"/>
  <c r="Z77" i="4"/>
  <c r="Y77" i="4"/>
  <c r="Z76" i="4"/>
  <c r="Y76" i="4"/>
  <c r="Z75" i="4"/>
  <c r="Y75" i="4"/>
  <c r="Z74" i="4"/>
  <c r="Y74" i="4"/>
  <c r="Z73" i="4"/>
  <c r="Y73" i="4"/>
  <c r="Z72" i="4"/>
  <c r="Y72" i="4"/>
  <c r="Z71" i="4"/>
  <c r="Y71" i="4"/>
  <c r="Z70" i="4"/>
  <c r="Y70" i="4"/>
  <c r="Z69" i="4"/>
  <c r="Y69" i="4"/>
  <c r="Z68" i="4"/>
  <c r="Y68" i="4"/>
  <c r="Z67" i="4"/>
  <c r="Y67" i="4"/>
  <c r="Z66" i="4"/>
  <c r="Y66" i="4"/>
  <c r="Z65" i="4"/>
  <c r="Y65" i="4"/>
  <c r="Z64" i="4"/>
  <c r="Y64" i="4"/>
  <c r="Z63" i="4"/>
  <c r="Y63" i="4"/>
  <c r="Z62" i="4"/>
  <c r="Y62" i="4"/>
  <c r="Z61" i="4"/>
  <c r="Y61" i="4"/>
  <c r="Z60" i="4"/>
  <c r="Y60" i="4"/>
  <c r="Z59" i="4"/>
  <c r="Y59" i="4"/>
  <c r="Z58" i="4"/>
  <c r="Y58" i="4"/>
  <c r="Z57" i="4"/>
  <c r="Y57" i="4"/>
  <c r="Z56" i="4"/>
  <c r="Y56" i="4"/>
  <c r="Z55" i="4"/>
  <c r="Y55" i="4"/>
  <c r="Z54" i="4"/>
  <c r="Y54" i="4"/>
  <c r="Z53" i="4"/>
  <c r="Y53" i="4"/>
  <c r="Z52" i="4"/>
  <c r="Y52" i="4"/>
  <c r="Z51" i="4"/>
  <c r="Y51" i="4"/>
  <c r="Z50" i="4"/>
  <c r="Y50" i="4"/>
  <c r="Z49" i="4"/>
  <c r="Y49" i="4"/>
  <c r="Z48" i="4"/>
  <c r="Y48" i="4"/>
  <c r="Z47" i="4"/>
  <c r="Y47" i="4"/>
  <c r="Z46" i="4"/>
  <c r="Y46" i="4"/>
  <c r="Z45" i="4"/>
  <c r="Y45" i="4"/>
  <c r="Z44" i="4"/>
  <c r="Y44" i="4"/>
  <c r="Z43" i="4"/>
  <c r="Y43" i="4"/>
  <c r="Z42" i="4"/>
  <c r="Y42" i="4"/>
  <c r="Z41" i="4"/>
  <c r="Y41" i="4"/>
  <c r="Z40" i="4"/>
  <c r="Y40" i="4"/>
  <c r="Z39" i="4"/>
  <c r="Y39" i="4"/>
  <c r="Z38" i="4"/>
  <c r="Y38" i="4"/>
  <c r="Z37" i="4"/>
  <c r="Y37" i="4"/>
  <c r="Z36" i="4"/>
  <c r="Y36" i="4"/>
  <c r="Z35" i="4"/>
  <c r="Y35" i="4"/>
  <c r="Z34" i="4"/>
  <c r="Y34" i="4"/>
  <c r="Z33" i="4"/>
  <c r="Y33" i="4"/>
  <c r="Z32" i="4"/>
  <c r="Y32" i="4"/>
  <c r="Z31" i="4"/>
  <c r="Y31" i="4"/>
  <c r="Z30" i="4"/>
  <c r="Y30" i="4"/>
  <c r="Z29" i="4"/>
  <c r="Y29" i="4"/>
  <c r="Z28" i="4"/>
  <c r="Y28" i="4"/>
  <c r="Z27" i="4"/>
  <c r="Y27" i="4"/>
  <c r="Z26" i="4"/>
  <c r="Y26" i="4"/>
  <c r="Z25" i="4"/>
  <c r="Y25" i="4"/>
  <c r="Z24" i="4"/>
  <c r="Y24" i="4"/>
  <c r="Z23" i="4"/>
  <c r="Y23" i="4"/>
  <c r="Z22" i="4"/>
  <c r="Y22" i="4"/>
  <c r="Z21" i="4"/>
  <c r="Y21" i="4"/>
  <c r="Z20" i="4"/>
  <c r="Y20" i="4"/>
  <c r="Z19" i="4"/>
  <c r="Y19" i="4"/>
  <c r="Z18" i="4"/>
  <c r="Y18" i="4"/>
  <c r="Z17" i="4"/>
  <c r="Y17" i="4"/>
  <c r="Z16" i="4"/>
  <c r="Y16" i="4"/>
  <c r="Z15" i="4"/>
  <c r="Y15" i="4"/>
  <c r="Z14" i="4"/>
  <c r="Y14" i="4"/>
  <c r="Z13" i="4"/>
  <c r="Y13" i="4"/>
  <c r="Z12" i="4"/>
  <c r="Y12" i="4"/>
  <c r="Z11" i="4"/>
  <c r="Y11" i="4"/>
  <c r="Z10" i="4"/>
  <c r="Y10" i="4"/>
  <c r="Z9" i="4"/>
  <c r="Y9" i="4"/>
  <c r="Z8" i="4"/>
  <c r="Y8" i="4"/>
  <c r="Z84" i="2"/>
  <c r="Y84" i="2"/>
  <c r="Z83" i="2"/>
  <c r="Y83" i="2"/>
  <c r="Z82" i="2"/>
  <c r="Y82" i="2"/>
  <c r="Z81" i="2"/>
  <c r="Y81" i="2"/>
  <c r="Z80" i="2"/>
  <c r="Y80" i="2"/>
  <c r="Z79" i="2"/>
  <c r="Y79" i="2"/>
  <c r="Z78" i="2"/>
  <c r="AC78" i="2" s="1"/>
  <c r="Y78" i="2"/>
  <c r="AB78" i="2" s="1"/>
  <c r="Z77" i="2"/>
  <c r="AC77" i="2" s="1"/>
  <c r="Y77" i="2"/>
  <c r="AB77" i="2" s="1"/>
  <c r="Z76" i="2"/>
  <c r="Y76" i="2"/>
  <c r="Z75" i="2"/>
  <c r="Y75" i="2"/>
  <c r="Z74" i="2"/>
  <c r="Y74" i="2"/>
  <c r="Z73" i="2"/>
  <c r="Y73" i="2"/>
  <c r="Z72" i="2"/>
  <c r="Y72" i="2"/>
  <c r="Z71" i="2"/>
  <c r="Y71" i="2"/>
  <c r="Z70" i="2"/>
  <c r="Y70" i="2"/>
  <c r="Z69" i="2"/>
  <c r="Y69" i="2"/>
  <c r="Z68" i="2"/>
  <c r="AC68" i="2" s="1"/>
  <c r="Y68" i="2"/>
  <c r="AB68" i="2" s="1"/>
  <c r="Z67" i="2"/>
  <c r="Y67" i="2"/>
  <c r="Z66" i="2"/>
  <c r="Y66" i="2"/>
  <c r="Z65" i="2"/>
  <c r="Y65" i="2"/>
  <c r="Z64" i="2"/>
  <c r="Y64" i="2"/>
  <c r="Z63" i="2"/>
  <c r="Y63" i="2"/>
  <c r="Z62" i="2"/>
  <c r="AC62" i="2" s="1"/>
  <c r="Y62" i="2"/>
  <c r="AB62" i="2" s="1"/>
  <c r="Z61" i="2"/>
  <c r="Y61" i="2"/>
  <c r="Z60" i="2"/>
  <c r="Y60" i="2"/>
  <c r="Z59" i="2"/>
  <c r="AC59" i="2" s="1"/>
  <c r="Y59" i="2"/>
  <c r="AB59" i="2" s="1"/>
  <c r="Z58" i="2"/>
  <c r="Y58" i="2"/>
  <c r="Z57" i="2"/>
  <c r="Y57" i="2"/>
  <c r="Z56" i="2"/>
  <c r="Y56" i="2"/>
  <c r="Z55" i="2"/>
  <c r="AC55" i="2" s="1"/>
  <c r="Y55" i="2"/>
  <c r="AB55" i="2" s="1"/>
  <c r="Z54" i="2"/>
  <c r="Y54" i="2"/>
  <c r="Z53" i="2"/>
  <c r="AC53" i="2" s="1"/>
  <c r="Y53" i="2"/>
  <c r="AB53" i="2" s="1"/>
  <c r="Z52" i="2"/>
  <c r="Y52" i="2"/>
  <c r="Z51" i="2"/>
  <c r="Y51" i="2"/>
  <c r="Z50" i="2"/>
  <c r="Y50" i="2"/>
  <c r="Z49" i="2"/>
  <c r="Y49" i="2"/>
  <c r="Z48" i="2"/>
  <c r="Y48" i="2"/>
  <c r="Z47" i="2"/>
  <c r="Y47" i="2"/>
  <c r="Z46" i="2"/>
  <c r="Y46" i="2"/>
  <c r="Z45" i="2"/>
  <c r="Y45" i="2"/>
  <c r="Z44" i="2"/>
  <c r="AC44" i="2" s="1"/>
  <c r="Y44" i="2"/>
  <c r="AB44" i="2" s="1"/>
  <c r="Z43" i="2"/>
  <c r="AC43" i="2" s="1"/>
  <c r="Y43" i="2"/>
  <c r="AB43" i="2" s="1"/>
  <c r="Z42" i="2"/>
  <c r="Y42" i="2"/>
  <c r="Z41" i="2"/>
  <c r="Y41" i="2"/>
  <c r="Z40" i="2"/>
  <c r="Y40" i="2"/>
  <c r="Z39" i="2"/>
  <c r="AP39" i="2" s="1"/>
  <c r="Y39" i="2"/>
  <c r="AO39" i="2" s="1"/>
  <c r="Z38" i="2"/>
  <c r="Y38" i="2"/>
  <c r="Z37" i="2"/>
  <c r="Y37" i="2"/>
  <c r="Z36" i="2"/>
  <c r="Y36" i="2"/>
  <c r="Z35" i="2"/>
  <c r="Y35" i="2"/>
  <c r="Z34" i="2"/>
  <c r="AC34" i="2" s="1"/>
  <c r="Y34" i="2"/>
  <c r="AB34" i="2" s="1"/>
  <c r="Z33" i="2"/>
  <c r="AC33" i="2" s="1"/>
  <c r="Y33" i="2"/>
  <c r="AB33" i="2" s="1"/>
  <c r="Z32" i="2"/>
  <c r="AC32" i="2" s="1"/>
  <c r="Y32" i="2"/>
  <c r="AB32" i="2" s="1"/>
  <c r="Z31" i="2"/>
  <c r="AC31" i="2" s="1"/>
  <c r="Y31" i="2"/>
  <c r="AB31" i="2" s="1"/>
  <c r="Z30" i="2"/>
  <c r="Y30" i="2"/>
  <c r="Z29" i="2"/>
  <c r="Y29" i="2"/>
  <c r="Z28" i="2"/>
  <c r="Y28" i="2"/>
  <c r="Z27" i="2"/>
  <c r="Y27" i="2"/>
  <c r="Z26" i="2"/>
  <c r="Y26" i="2"/>
  <c r="Z25" i="2"/>
  <c r="Y25" i="2"/>
  <c r="Z24" i="2"/>
  <c r="AC24" i="2" s="1"/>
  <c r="Y24" i="2"/>
  <c r="AB24" i="2" s="1"/>
  <c r="Z23" i="2"/>
  <c r="Y23" i="2"/>
  <c r="Z22" i="2"/>
  <c r="AC22" i="2" s="1"/>
  <c r="Y22" i="2"/>
  <c r="AB22" i="2" s="1"/>
  <c r="Z21" i="2"/>
  <c r="Y21" i="2"/>
  <c r="Z20" i="2"/>
  <c r="Y20" i="2"/>
  <c r="Z19" i="2"/>
  <c r="Y19" i="2"/>
  <c r="Z18" i="2"/>
  <c r="Y18" i="2"/>
  <c r="Z17" i="2"/>
  <c r="Y17" i="2"/>
  <c r="Z16" i="2"/>
  <c r="AC16" i="2" s="1"/>
  <c r="Y16" i="2"/>
  <c r="AB16" i="2" s="1"/>
  <c r="Z15" i="2"/>
  <c r="AC15" i="2" s="1"/>
  <c r="Y15" i="2"/>
  <c r="AB15" i="2" s="1"/>
  <c r="Z14" i="2"/>
  <c r="Y14" i="2"/>
  <c r="Z13" i="2"/>
  <c r="Y13" i="2"/>
  <c r="Z12" i="2"/>
  <c r="Y12" i="2"/>
  <c r="Z11" i="2"/>
  <c r="Y11" i="2"/>
  <c r="Z10" i="2"/>
  <c r="Y10" i="2"/>
  <c r="Z9" i="2"/>
  <c r="Y9" i="2"/>
  <c r="Z8" i="2"/>
  <c r="Y8" i="2"/>
  <c r="X93" i="2"/>
  <c r="X96" i="2" s="1"/>
  <c r="W93" i="2"/>
  <c r="W96" i="2" s="1"/>
  <c r="V93" i="2"/>
  <c r="V96" i="2" s="1"/>
  <c r="Y174" i="1"/>
  <c r="AB174" i="1" s="1"/>
  <c r="X174" i="1"/>
  <c r="AA174" i="1" s="1"/>
  <c r="Y173" i="1"/>
  <c r="AB173" i="1" s="1"/>
  <c r="AA173" i="1"/>
  <c r="Y172" i="1"/>
  <c r="X172" i="1"/>
  <c r="Y171" i="1"/>
  <c r="X171" i="1"/>
  <c r="Y170" i="1"/>
  <c r="X170" i="1"/>
  <c r="Y169" i="1"/>
  <c r="X169" i="1"/>
  <c r="Y168" i="1"/>
  <c r="X168" i="1"/>
  <c r="Y167" i="1"/>
  <c r="X167" i="1"/>
  <c r="Y166" i="1"/>
  <c r="X166" i="1"/>
  <c r="Y165" i="1"/>
  <c r="X165" i="1"/>
  <c r="Y164" i="1"/>
  <c r="X164" i="1"/>
  <c r="Y163" i="1"/>
  <c r="X163" i="1"/>
  <c r="Y162" i="1"/>
  <c r="X162" i="1"/>
  <c r="Y161" i="1"/>
  <c r="X161" i="1"/>
  <c r="Y160" i="1"/>
  <c r="X160" i="1"/>
  <c r="Y159" i="1"/>
  <c r="AB159" i="1" s="1"/>
  <c r="X159" i="1"/>
  <c r="AA159" i="1" s="1"/>
  <c r="Y158" i="1"/>
  <c r="X158" i="1"/>
  <c r="Y157" i="1"/>
  <c r="X157" i="1"/>
  <c r="Y156" i="1"/>
  <c r="X156" i="1"/>
  <c r="Y155" i="1"/>
  <c r="X155" i="1"/>
  <c r="Y154" i="1"/>
  <c r="X154" i="1"/>
  <c r="Y153" i="1"/>
  <c r="X153" i="1"/>
  <c r="Y152" i="1"/>
  <c r="X152" i="1"/>
  <c r="Y151" i="1"/>
  <c r="X151" i="1"/>
  <c r="Y150" i="1"/>
  <c r="AB150" i="1" s="1"/>
  <c r="X150" i="1"/>
  <c r="AA150" i="1" s="1"/>
  <c r="Y149" i="1"/>
  <c r="X149" i="1"/>
  <c r="Y148" i="1"/>
  <c r="X148" i="1"/>
  <c r="Y147" i="1"/>
  <c r="X147" i="1"/>
  <c r="Y146" i="1"/>
  <c r="X146" i="1"/>
  <c r="Y145" i="1"/>
  <c r="X145" i="1"/>
  <c r="Y144" i="1"/>
  <c r="AB144" i="1" s="1"/>
  <c r="X144" i="1"/>
  <c r="AA144" i="1" s="1"/>
  <c r="Y143" i="1"/>
  <c r="X143" i="1"/>
  <c r="Y142" i="1"/>
  <c r="AB142" i="1" s="1"/>
  <c r="X142" i="1"/>
  <c r="AA142" i="1" s="1"/>
  <c r="Y141" i="1"/>
  <c r="X141" i="1"/>
  <c r="Y140" i="1"/>
  <c r="X140" i="1"/>
  <c r="Y139" i="1"/>
  <c r="X139" i="1"/>
  <c r="Y138" i="1"/>
  <c r="X138" i="1"/>
  <c r="Y137" i="1"/>
  <c r="X137" i="1"/>
  <c r="Y136" i="1"/>
  <c r="X136" i="1"/>
  <c r="Y135" i="1"/>
  <c r="X135" i="1"/>
  <c r="Y134" i="1"/>
  <c r="X134" i="1"/>
  <c r="Y133" i="1"/>
  <c r="X133" i="1"/>
  <c r="Y132" i="1"/>
  <c r="X132" i="1"/>
  <c r="Y131" i="1"/>
  <c r="X131" i="1"/>
  <c r="Y130" i="1"/>
  <c r="X130" i="1"/>
  <c r="Y129" i="1"/>
  <c r="AB129" i="1" s="1"/>
  <c r="X129" i="1"/>
  <c r="AA129" i="1" s="1"/>
  <c r="Y128" i="1"/>
  <c r="AB128" i="1" s="1"/>
  <c r="X128" i="1"/>
  <c r="AA128" i="1" s="1"/>
  <c r="Y127" i="1"/>
  <c r="X127" i="1"/>
  <c r="Y126" i="1"/>
  <c r="X126" i="1"/>
  <c r="Y125" i="1"/>
  <c r="X125" i="1"/>
  <c r="Y124" i="1"/>
  <c r="X124" i="1"/>
  <c r="Y123" i="1"/>
  <c r="X123" i="1"/>
  <c r="Y122" i="1"/>
  <c r="X122" i="1"/>
  <c r="Y121" i="1"/>
  <c r="X121" i="1"/>
  <c r="Y120" i="1"/>
  <c r="X120" i="1"/>
  <c r="Y119" i="1"/>
  <c r="X119" i="1"/>
  <c r="Y118" i="1"/>
  <c r="X118" i="1"/>
  <c r="Y117" i="1"/>
  <c r="X117" i="1"/>
  <c r="Y116" i="1"/>
  <c r="X116" i="1"/>
  <c r="Y115" i="1"/>
  <c r="X115" i="1"/>
  <c r="Y114" i="1"/>
  <c r="X114" i="1"/>
  <c r="Y113" i="1"/>
  <c r="AB113" i="1" s="1"/>
  <c r="X113" i="1"/>
  <c r="AA113" i="1" s="1"/>
  <c r="Y112" i="1"/>
  <c r="X112" i="1"/>
  <c r="Y111" i="1"/>
  <c r="X111" i="1"/>
  <c r="Y110" i="1"/>
  <c r="X110" i="1"/>
  <c r="Y109" i="1"/>
  <c r="X109" i="1"/>
  <c r="Y108" i="1"/>
  <c r="X108" i="1"/>
  <c r="Y107" i="1"/>
  <c r="X107" i="1"/>
  <c r="Y106" i="1"/>
  <c r="X106" i="1"/>
  <c r="Y105" i="1"/>
  <c r="X105" i="1"/>
  <c r="Y104" i="1"/>
  <c r="X104" i="1"/>
  <c r="Y103" i="1"/>
  <c r="X103" i="1"/>
  <c r="Y102" i="1"/>
  <c r="X102" i="1"/>
  <c r="Y101" i="1"/>
  <c r="X101" i="1"/>
  <c r="Y100" i="1"/>
  <c r="X100" i="1"/>
  <c r="Y99" i="1"/>
  <c r="AB99" i="1" s="1"/>
  <c r="X99" i="1"/>
  <c r="AA99" i="1" s="1"/>
  <c r="Y98" i="1"/>
  <c r="X98" i="1"/>
  <c r="Y97" i="1"/>
  <c r="X97" i="1"/>
  <c r="Y96" i="1"/>
  <c r="X96" i="1"/>
  <c r="Y95" i="1"/>
  <c r="X95" i="1"/>
  <c r="Y94" i="1"/>
  <c r="X94" i="1"/>
  <c r="Y93" i="1"/>
  <c r="X93" i="1"/>
  <c r="Y92" i="1"/>
  <c r="X92" i="1"/>
  <c r="Y91" i="1"/>
  <c r="X91" i="1"/>
  <c r="Y90" i="1"/>
  <c r="AB90" i="1" s="1"/>
  <c r="X90" i="1"/>
  <c r="AA90" i="1" s="1"/>
  <c r="Y89" i="1"/>
  <c r="X89" i="1"/>
  <c r="Y88" i="1"/>
  <c r="X88" i="1"/>
  <c r="Y87" i="1"/>
  <c r="AB87" i="1" s="1"/>
  <c r="X87" i="1"/>
  <c r="AA87" i="1" s="1"/>
  <c r="Y86" i="1"/>
  <c r="X86" i="1"/>
  <c r="Y85" i="1"/>
  <c r="X85" i="1"/>
  <c r="Y84" i="1"/>
  <c r="X84" i="1"/>
  <c r="Y83" i="1"/>
  <c r="X83" i="1"/>
  <c r="Y82" i="1"/>
  <c r="X82" i="1"/>
  <c r="Y81" i="1"/>
  <c r="X81" i="1"/>
  <c r="Y80" i="1"/>
  <c r="X80" i="1"/>
  <c r="Y79" i="1"/>
  <c r="X79" i="1"/>
  <c r="Y78" i="1"/>
  <c r="X78" i="1"/>
  <c r="Y77" i="1"/>
  <c r="X77" i="1"/>
  <c r="Y76" i="1"/>
  <c r="X76" i="1"/>
  <c r="Y75" i="1"/>
  <c r="X75" i="1"/>
  <c r="Y74" i="1"/>
  <c r="X74" i="1"/>
  <c r="Y73" i="1"/>
  <c r="X73" i="1"/>
  <c r="Y72" i="1"/>
  <c r="X72" i="1"/>
  <c r="Y71" i="1"/>
  <c r="X71" i="1"/>
  <c r="Y70" i="1"/>
  <c r="X70" i="1"/>
  <c r="Y69" i="1"/>
  <c r="X69" i="1"/>
  <c r="Y68" i="1"/>
  <c r="AB68" i="1" s="1"/>
  <c r="X68" i="1"/>
  <c r="AA68" i="1" s="1"/>
  <c r="Y67" i="1"/>
  <c r="X67" i="1"/>
  <c r="Y66" i="1"/>
  <c r="X66" i="1"/>
  <c r="Y65" i="1"/>
  <c r="X65" i="1"/>
  <c r="Y64" i="1"/>
  <c r="X64" i="1"/>
  <c r="Y63" i="1"/>
  <c r="X63" i="1"/>
  <c r="Y62" i="1"/>
  <c r="X62" i="1"/>
  <c r="Y61" i="1"/>
  <c r="X61" i="1"/>
  <c r="Y60" i="1"/>
  <c r="X60" i="1"/>
  <c r="Y59" i="1"/>
  <c r="X59" i="1"/>
  <c r="Y58" i="1"/>
  <c r="X58" i="1"/>
  <c r="Y57" i="1"/>
  <c r="X57" i="1"/>
  <c r="Y56" i="1"/>
  <c r="X56" i="1"/>
  <c r="Y55" i="1"/>
  <c r="X55" i="1"/>
  <c r="Y54" i="1"/>
  <c r="X54" i="1"/>
  <c r="Y53" i="1"/>
  <c r="X53" i="1"/>
  <c r="Y52" i="1"/>
  <c r="X52" i="1"/>
  <c r="Y51" i="1"/>
  <c r="X51" i="1"/>
  <c r="Y50" i="1"/>
  <c r="X50" i="1"/>
  <c r="Y49" i="1"/>
  <c r="X49" i="1"/>
  <c r="Y48" i="1"/>
  <c r="X48" i="1"/>
  <c r="Y47" i="1"/>
  <c r="X47" i="1"/>
  <c r="Y46" i="1"/>
  <c r="X46" i="1"/>
  <c r="Y45" i="1"/>
  <c r="X45" i="1"/>
  <c r="Y44" i="1"/>
  <c r="X44" i="1"/>
  <c r="Y43" i="1"/>
  <c r="X43" i="1"/>
  <c r="Y42" i="1"/>
  <c r="X42" i="1"/>
  <c r="Y41" i="1"/>
  <c r="AB41" i="1" s="1"/>
  <c r="X41" i="1"/>
  <c r="AA41" i="1" s="1"/>
  <c r="Y40" i="1"/>
  <c r="X40" i="1"/>
  <c r="Y39" i="1"/>
  <c r="X39" i="1"/>
  <c r="Y38" i="1"/>
  <c r="X38" i="1"/>
  <c r="Y37" i="1"/>
  <c r="X37" i="1"/>
  <c r="Y36" i="1"/>
  <c r="X36" i="1"/>
  <c r="Y35" i="1"/>
  <c r="X35" i="1"/>
  <c r="Y34" i="1"/>
  <c r="X34" i="1"/>
  <c r="Y33" i="1"/>
  <c r="X33" i="1"/>
  <c r="Y32" i="1"/>
  <c r="X32" i="1"/>
  <c r="Y31" i="1"/>
  <c r="X31" i="1"/>
  <c r="Y30" i="1"/>
  <c r="X30" i="1"/>
  <c r="Y29" i="1"/>
  <c r="AB29" i="1" s="1"/>
  <c r="X29" i="1"/>
  <c r="AA29" i="1" s="1"/>
  <c r="Y28" i="1"/>
  <c r="X28" i="1"/>
  <c r="Y27" i="1"/>
  <c r="X27" i="1"/>
  <c r="Y26" i="1"/>
  <c r="X26" i="1"/>
  <c r="Y25" i="1"/>
  <c r="X25" i="1"/>
  <c r="Y24" i="1"/>
  <c r="X24" i="1"/>
  <c r="Y23" i="1"/>
  <c r="X23" i="1"/>
  <c r="Y22" i="1"/>
  <c r="X22" i="1"/>
  <c r="Y21" i="1"/>
  <c r="AB21" i="1" s="1"/>
  <c r="X21" i="1"/>
  <c r="AA21" i="1" s="1"/>
  <c r="Y20" i="1"/>
  <c r="X20" i="1"/>
  <c r="Y19" i="1"/>
  <c r="X19" i="1"/>
  <c r="Y18" i="1"/>
  <c r="X18" i="1"/>
  <c r="Y17" i="1"/>
  <c r="X17" i="1"/>
  <c r="Y16" i="1"/>
  <c r="X16" i="1"/>
  <c r="Y15" i="1"/>
  <c r="X15" i="1"/>
  <c r="Y14" i="1"/>
  <c r="X14" i="1"/>
  <c r="Y13" i="1"/>
  <c r="X13" i="1"/>
  <c r="Y12" i="1"/>
  <c r="X12" i="1"/>
  <c r="Y11" i="1"/>
  <c r="X11" i="1"/>
  <c r="Y10" i="1"/>
  <c r="X10" i="1"/>
  <c r="Y9" i="1"/>
  <c r="X9" i="1"/>
  <c r="Y8" i="1"/>
  <c r="X8" i="1"/>
  <c r="Y99" i="3"/>
  <c r="Y98" i="3"/>
  <c r="Y97" i="3"/>
  <c r="Y96" i="3"/>
  <c r="Y95" i="3"/>
  <c r="Y94" i="3"/>
  <c r="Y93" i="3"/>
  <c r="Y92" i="3"/>
  <c r="Y91" i="3"/>
  <c r="Y90" i="3"/>
  <c r="Y89" i="3"/>
  <c r="Y88" i="3"/>
  <c r="Y87" i="3"/>
  <c r="Y86" i="3"/>
  <c r="Y85" i="3"/>
  <c r="Y84" i="3"/>
  <c r="Y83" i="3"/>
  <c r="Y82" i="3"/>
  <c r="Y81" i="3"/>
  <c r="Y80" i="3"/>
  <c r="Y79" i="3"/>
  <c r="Y78" i="3"/>
  <c r="Y77" i="3"/>
  <c r="Y76" i="3"/>
  <c r="Y75" i="3"/>
  <c r="Y74" i="3"/>
  <c r="Y73" i="3"/>
  <c r="Y72" i="3"/>
  <c r="Y71" i="3"/>
  <c r="Y70" i="3"/>
  <c r="Y69" i="3"/>
  <c r="Y68" i="3"/>
  <c r="Y67" i="3"/>
  <c r="Y66" i="3"/>
  <c r="Y65" i="3"/>
  <c r="Y64" i="3"/>
  <c r="Y63" i="3"/>
  <c r="Y62" i="3"/>
  <c r="Y61" i="3"/>
  <c r="Y60" i="3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AA98" i="3"/>
  <c r="Z98" i="3"/>
  <c r="AA97" i="3"/>
  <c r="Z97" i="3"/>
  <c r="AA96" i="3"/>
  <c r="Z96" i="3"/>
  <c r="AA95" i="3"/>
  <c r="Z95" i="3"/>
  <c r="AA94" i="3"/>
  <c r="Z94" i="3"/>
  <c r="AA93" i="3"/>
  <c r="Z93" i="3"/>
  <c r="AA92" i="3"/>
  <c r="Z92" i="3"/>
  <c r="AA91" i="3"/>
  <c r="Z91" i="3"/>
  <c r="AA90" i="3"/>
  <c r="Z90" i="3"/>
  <c r="AA89" i="3"/>
  <c r="Z89" i="3"/>
  <c r="AA88" i="3"/>
  <c r="Z88" i="3"/>
  <c r="AA87" i="3"/>
  <c r="Z87" i="3"/>
  <c r="AA86" i="3"/>
  <c r="Z86" i="3"/>
  <c r="AA85" i="3"/>
  <c r="Z85" i="3"/>
  <c r="AA84" i="3"/>
  <c r="Z84" i="3"/>
  <c r="AA83" i="3"/>
  <c r="Z83" i="3"/>
  <c r="AA82" i="3"/>
  <c r="Z82" i="3"/>
  <c r="AA81" i="3"/>
  <c r="Z81" i="3"/>
  <c r="AA80" i="3"/>
  <c r="Z80" i="3"/>
  <c r="AA79" i="3"/>
  <c r="Z79" i="3"/>
  <c r="AA78" i="3"/>
  <c r="Z78" i="3"/>
  <c r="AA77" i="3"/>
  <c r="Z77" i="3"/>
  <c r="AA76" i="3"/>
  <c r="Z76" i="3"/>
  <c r="AA75" i="3"/>
  <c r="Z75" i="3"/>
  <c r="AA74" i="3"/>
  <c r="Z74" i="3"/>
  <c r="AA73" i="3"/>
  <c r="Z73" i="3"/>
  <c r="AA72" i="3"/>
  <c r="Z72" i="3"/>
  <c r="AA71" i="3"/>
  <c r="Z71" i="3"/>
  <c r="AA70" i="3"/>
  <c r="Z70" i="3"/>
  <c r="AA69" i="3"/>
  <c r="Z69" i="3"/>
  <c r="AA68" i="3"/>
  <c r="Z68" i="3"/>
  <c r="AA67" i="3"/>
  <c r="Z67" i="3"/>
  <c r="AA66" i="3"/>
  <c r="Z66" i="3"/>
  <c r="AA65" i="3"/>
  <c r="Z65" i="3"/>
  <c r="AA64" i="3"/>
  <c r="Z64" i="3"/>
  <c r="AA63" i="3"/>
  <c r="Z63" i="3"/>
  <c r="AA62" i="3"/>
  <c r="Z62" i="3"/>
  <c r="AA61" i="3"/>
  <c r="Z61" i="3"/>
  <c r="AA60" i="3"/>
  <c r="Z60" i="3"/>
  <c r="AA59" i="3"/>
  <c r="Z59" i="3"/>
  <c r="AA58" i="3"/>
  <c r="Z58" i="3"/>
  <c r="AA57" i="3"/>
  <c r="Z57" i="3"/>
  <c r="AA56" i="3"/>
  <c r="Z56" i="3"/>
  <c r="AA55" i="3"/>
  <c r="Z55" i="3"/>
  <c r="AA54" i="3"/>
  <c r="Z54" i="3"/>
  <c r="AA53" i="3"/>
  <c r="Z53" i="3"/>
  <c r="AA52" i="3"/>
  <c r="Z52" i="3"/>
  <c r="AA51" i="3"/>
  <c r="Z51" i="3"/>
  <c r="AA50" i="3"/>
  <c r="Z50" i="3"/>
  <c r="AA49" i="3"/>
  <c r="Z49" i="3"/>
  <c r="AA48" i="3"/>
  <c r="Z48" i="3"/>
  <c r="AA47" i="3"/>
  <c r="Z47" i="3"/>
  <c r="AA46" i="3"/>
  <c r="Z46" i="3"/>
  <c r="AA45" i="3"/>
  <c r="Z45" i="3"/>
  <c r="AA44" i="3"/>
  <c r="Z44" i="3"/>
  <c r="AA43" i="3"/>
  <c r="Z43" i="3"/>
  <c r="AA42" i="3"/>
  <c r="Z42" i="3"/>
  <c r="AA41" i="3"/>
  <c r="Z41" i="3"/>
  <c r="AA40" i="3"/>
  <c r="Z40" i="3"/>
  <c r="AA39" i="3"/>
  <c r="Z39" i="3"/>
  <c r="AA38" i="3"/>
  <c r="Z38" i="3"/>
  <c r="AA37" i="3"/>
  <c r="Z37" i="3"/>
  <c r="AA36" i="3"/>
  <c r="Z36" i="3"/>
  <c r="AA35" i="3"/>
  <c r="Z35" i="3"/>
  <c r="AA34" i="3"/>
  <c r="Z34" i="3"/>
  <c r="AA33" i="3"/>
  <c r="Z33" i="3"/>
  <c r="AA32" i="3"/>
  <c r="Z32" i="3"/>
  <c r="AA31" i="3"/>
  <c r="Z31" i="3"/>
  <c r="AA30" i="3"/>
  <c r="Z30" i="3"/>
  <c r="AA29" i="3"/>
  <c r="Z29" i="3"/>
  <c r="AA28" i="3"/>
  <c r="Z28" i="3"/>
  <c r="AA27" i="3"/>
  <c r="Z27" i="3"/>
  <c r="AA26" i="3"/>
  <c r="Z26" i="3"/>
  <c r="AA25" i="3"/>
  <c r="Z25" i="3"/>
  <c r="AA24" i="3"/>
  <c r="Z24" i="3"/>
  <c r="AA23" i="3"/>
  <c r="Z23" i="3"/>
  <c r="AA22" i="3"/>
  <c r="Z22" i="3"/>
  <c r="AA21" i="3"/>
  <c r="Z21" i="3"/>
  <c r="AA20" i="3"/>
  <c r="Z20" i="3"/>
  <c r="AA19" i="3"/>
  <c r="Z19" i="3"/>
  <c r="AA18" i="3"/>
  <c r="Z18" i="3"/>
  <c r="AA17" i="3"/>
  <c r="Z17" i="3"/>
  <c r="AA16" i="3"/>
  <c r="Z16" i="3"/>
  <c r="AA15" i="3"/>
  <c r="Z15" i="3"/>
  <c r="AA14" i="3"/>
  <c r="Z14" i="3"/>
  <c r="AA13" i="3"/>
  <c r="Z13" i="3"/>
  <c r="AA12" i="3"/>
  <c r="Z12" i="3"/>
  <c r="AA11" i="3"/>
  <c r="Z11" i="3"/>
  <c r="AA10" i="3"/>
  <c r="Z10" i="3"/>
  <c r="AA9" i="3"/>
  <c r="Z9" i="3"/>
  <c r="AA8" i="3"/>
  <c r="Z8" i="3"/>
  <c r="U99" i="3"/>
  <c r="T99" i="3"/>
  <c r="S175" i="1"/>
  <c r="S178" i="1" s="1"/>
  <c r="R175" i="1"/>
  <c r="R178" i="1" s="1"/>
  <c r="T172" i="1"/>
  <c r="T173" i="1"/>
  <c r="T17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14" i="1"/>
  <c r="T113" i="1"/>
  <c r="T112" i="1"/>
  <c r="T110" i="1"/>
  <c r="T109" i="1"/>
  <c r="T108" i="1"/>
  <c r="T118" i="4"/>
  <c r="S118" i="4"/>
  <c r="U117" i="4"/>
  <c r="U116" i="4"/>
  <c r="U115" i="4"/>
  <c r="U114" i="4"/>
  <c r="U113" i="4"/>
  <c r="U112" i="4"/>
  <c r="U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U94" i="4"/>
  <c r="U93" i="4"/>
  <c r="U92" i="4"/>
  <c r="U91" i="4"/>
  <c r="U90" i="4"/>
  <c r="U89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T93" i="2"/>
  <c r="T96" i="2" s="1"/>
  <c r="S93" i="2"/>
  <c r="S96" i="2" s="1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I8" i="4"/>
  <c r="L8" i="4"/>
  <c r="O8" i="4"/>
  <c r="I9" i="4"/>
  <c r="L9" i="4"/>
  <c r="O9" i="4"/>
  <c r="I10" i="4"/>
  <c r="L10" i="4"/>
  <c r="O10" i="4"/>
  <c r="I11" i="4"/>
  <c r="L11" i="4"/>
  <c r="O11" i="4"/>
  <c r="I12" i="4"/>
  <c r="L12" i="4"/>
  <c r="O12" i="4"/>
  <c r="I13" i="4"/>
  <c r="L13" i="4"/>
  <c r="O13" i="4"/>
  <c r="I14" i="4"/>
  <c r="L14" i="4"/>
  <c r="O14" i="4"/>
  <c r="I15" i="4"/>
  <c r="L15" i="4"/>
  <c r="O15" i="4"/>
  <c r="I16" i="4"/>
  <c r="L16" i="4"/>
  <c r="O16" i="4"/>
  <c r="I17" i="4"/>
  <c r="L17" i="4"/>
  <c r="O17" i="4"/>
  <c r="I18" i="4"/>
  <c r="L18" i="4"/>
  <c r="O18" i="4"/>
  <c r="I19" i="4"/>
  <c r="L19" i="4"/>
  <c r="O19" i="4"/>
  <c r="I20" i="4"/>
  <c r="L20" i="4"/>
  <c r="O20" i="4"/>
  <c r="I21" i="4"/>
  <c r="L21" i="4"/>
  <c r="O21" i="4"/>
  <c r="I22" i="4"/>
  <c r="L22" i="4"/>
  <c r="O22" i="4"/>
  <c r="I23" i="4"/>
  <c r="L23" i="4"/>
  <c r="O23" i="4"/>
  <c r="I24" i="4"/>
  <c r="L24" i="4"/>
  <c r="O24" i="4"/>
  <c r="I25" i="4"/>
  <c r="L25" i="4"/>
  <c r="O25" i="4"/>
  <c r="I26" i="4"/>
  <c r="L26" i="4"/>
  <c r="O26" i="4"/>
  <c r="I27" i="4"/>
  <c r="L27" i="4"/>
  <c r="O27" i="4"/>
  <c r="I28" i="4"/>
  <c r="L28" i="4"/>
  <c r="O28" i="4"/>
  <c r="I29" i="4"/>
  <c r="L29" i="4"/>
  <c r="O29" i="4"/>
  <c r="I30" i="4"/>
  <c r="L30" i="4"/>
  <c r="O30" i="4"/>
  <c r="I31" i="4"/>
  <c r="L31" i="4"/>
  <c r="O31" i="4"/>
  <c r="I32" i="4"/>
  <c r="L32" i="4"/>
  <c r="O32" i="4"/>
  <c r="I33" i="4"/>
  <c r="L33" i="4"/>
  <c r="O33" i="4"/>
  <c r="I34" i="4"/>
  <c r="L34" i="4"/>
  <c r="O34" i="4"/>
  <c r="I35" i="4"/>
  <c r="L35" i="4"/>
  <c r="O35" i="4"/>
  <c r="I36" i="4"/>
  <c r="L36" i="4"/>
  <c r="O36" i="4"/>
  <c r="I37" i="4"/>
  <c r="L37" i="4"/>
  <c r="O37" i="4"/>
  <c r="I38" i="4"/>
  <c r="L38" i="4"/>
  <c r="O38" i="4"/>
  <c r="I39" i="4"/>
  <c r="L39" i="4"/>
  <c r="O39" i="4"/>
  <c r="I40" i="4"/>
  <c r="L40" i="4"/>
  <c r="O40" i="4"/>
  <c r="I41" i="4"/>
  <c r="L41" i="4"/>
  <c r="O41" i="4"/>
  <c r="I42" i="4"/>
  <c r="L42" i="4"/>
  <c r="O42" i="4"/>
  <c r="I43" i="4"/>
  <c r="L43" i="4"/>
  <c r="O43" i="4"/>
  <c r="I44" i="4"/>
  <c r="L44" i="4"/>
  <c r="O44" i="4"/>
  <c r="I45" i="4"/>
  <c r="L45" i="4"/>
  <c r="O45" i="4"/>
  <c r="I46" i="4"/>
  <c r="L46" i="4"/>
  <c r="O46" i="4"/>
  <c r="I47" i="4"/>
  <c r="L47" i="4"/>
  <c r="O47" i="4"/>
  <c r="I48" i="4"/>
  <c r="L48" i="4"/>
  <c r="O48" i="4"/>
  <c r="I49" i="4"/>
  <c r="L49" i="4"/>
  <c r="O49" i="4"/>
  <c r="I50" i="4"/>
  <c r="L50" i="4"/>
  <c r="O50" i="4"/>
  <c r="I51" i="4"/>
  <c r="L51" i="4"/>
  <c r="O51" i="4"/>
  <c r="I52" i="4"/>
  <c r="L52" i="4"/>
  <c r="O52" i="4"/>
  <c r="I53" i="4"/>
  <c r="L53" i="4"/>
  <c r="O53" i="4"/>
  <c r="I54" i="4"/>
  <c r="L54" i="4"/>
  <c r="O54" i="4"/>
  <c r="I55" i="4"/>
  <c r="L55" i="4"/>
  <c r="O55" i="4"/>
  <c r="I56" i="4"/>
  <c r="L56" i="4"/>
  <c r="O56" i="4"/>
  <c r="I57" i="4"/>
  <c r="L57" i="4"/>
  <c r="O57" i="4"/>
  <c r="I58" i="4"/>
  <c r="L58" i="4"/>
  <c r="O58" i="4"/>
  <c r="I59" i="4"/>
  <c r="L59" i="4"/>
  <c r="O59" i="4"/>
  <c r="I60" i="4"/>
  <c r="L60" i="4"/>
  <c r="O60" i="4"/>
  <c r="I61" i="4"/>
  <c r="L61" i="4"/>
  <c r="O61" i="4"/>
  <c r="I62" i="4"/>
  <c r="L62" i="4"/>
  <c r="O62" i="4"/>
  <c r="I63" i="4"/>
  <c r="L63" i="4"/>
  <c r="O63" i="4"/>
  <c r="I64" i="4"/>
  <c r="L64" i="4"/>
  <c r="O64" i="4"/>
  <c r="I65" i="4"/>
  <c r="L65" i="4"/>
  <c r="O65" i="4"/>
  <c r="I66" i="4"/>
  <c r="L66" i="4"/>
  <c r="O66" i="4"/>
  <c r="I67" i="4"/>
  <c r="L67" i="4"/>
  <c r="O67" i="4"/>
  <c r="I68" i="4"/>
  <c r="L68" i="4"/>
  <c r="O68" i="4"/>
  <c r="I69" i="4"/>
  <c r="L69" i="4"/>
  <c r="O69" i="4"/>
  <c r="I70" i="4"/>
  <c r="L70" i="4"/>
  <c r="O70" i="4"/>
  <c r="I71" i="4"/>
  <c r="L71" i="4"/>
  <c r="O71" i="4"/>
  <c r="I72" i="4"/>
  <c r="L72" i="4"/>
  <c r="O72" i="4"/>
  <c r="I73" i="4"/>
  <c r="L73" i="4"/>
  <c r="O73" i="4"/>
  <c r="I74" i="4"/>
  <c r="L74" i="4"/>
  <c r="O74" i="4"/>
  <c r="I75" i="4"/>
  <c r="L75" i="4"/>
  <c r="O75" i="4"/>
  <c r="I76" i="4"/>
  <c r="L76" i="4"/>
  <c r="O76" i="4"/>
  <c r="I77" i="4"/>
  <c r="L77" i="4"/>
  <c r="O77" i="4"/>
  <c r="I78" i="4"/>
  <c r="L78" i="4"/>
  <c r="O78" i="4"/>
  <c r="I79" i="4"/>
  <c r="L79" i="4"/>
  <c r="O79" i="4"/>
  <c r="I80" i="4"/>
  <c r="L80" i="4"/>
  <c r="O80" i="4"/>
  <c r="I81" i="4"/>
  <c r="L81" i="4"/>
  <c r="O81" i="4"/>
  <c r="I82" i="4"/>
  <c r="L82" i="4"/>
  <c r="O82" i="4"/>
  <c r="I83" i="4"/>
  <c r="L83" i="4"/>
  <c r="O83" i="4"/>
  <c r="I84" i="4"/>
  <c r="L84" i="4"/>
  <c r="O84" i="4"/>
  <c r="I85" i="4"/>
  <c r="L85" i="4"/>
  <c r="O85" i="4"/>
  <c r="I86" i="4"/>
  <c r="L86" i="4"/>
  <c r="O86" i="4"/>
  <c r="I87" i="4"/>
  <c r="L87" i="4"/>
  <c r="O87" i="4"/>
  <c r="I88" i="4"/>
  <c r="L88" i="4"/>
  <c r="O88" i="4"/>
  <c r="I89" i="4"/>
  <c r="L89" i="4"/>
  <c r="O89" i="4"/>
  <c r="I90" i="4"/>
  <c r="L90" i="4"/>
  <c r="O90" i="4"/>
  <c r="I91" i="4"/>
  <c r="L91" i="4"/>
  <c r="O91" i="4"/>
  <c r="I92" i="4"/>
  <c r="L92" i="4"/>
  <c r="O92" i="4"/>
  <c r="I93" i="4"/>
  <c r="L93" i="4"/>
  <c r="O93" i="4"/>
  <c r="I94" i="4"/>
  <c r="L94" i="4"/>
  <c r="O94" i="4"/>
  <c r="I95" i="4"/>
  <c r="L95" i="4"/>
  <c r="O95" i="4"/>
  <c r="I96" i="4"/>
  <c r="L96" i="4"/>
  <c r="O96" i="4"/>
  <c r="I97" i="4"/>
  <c r="L97" i="4"/>
  <c r="O97" i="4"/>
  <c r="I98" i="4"/>
  <c r="L98" i="4"/>
  <c r="O98" i="4"/>
  <c r="I99" i="4"/>
  <c r="L99" i="4"/>
  <c r="O99" i="4"/>
  <c r="I100" i="4"/>
  <c r="L100" i="4"/>
  <c r="O100" i="4"/>
  <c r="I101" i="4"/>
  <c r="L101" i="4"/>
  <c r="O101" i="4"/>
  <c r="I102" i="4"/>
  <c r="L102" i="4"/>
  <c r="O102" i="4"/>
  <c r="I103" i="4"/>
  <c r="L103" i="4"/>
  <c r="O103" i="4"/>
  <c r="I104" i="4"/>
  <c r="L104" i="4"/>
  <c r="O104" i="4"/>
  <c r="I105" i="4"/>
  <c r="L105" i="4"/>
  <c r="O105" i="4"/>
  <c r="I106" i="4"/>
  <c r="L106" i="4"/>
  <c r="O106" i="4"/>
  <c r="I107" i="4"/>
  <c r="L107" i="4"/>
  <c r="O107" i="4"/>
  <c r="I108" i="4"/>
  <c r="L108" i="4"/>
  <c r="O108" i="4"/>
  <c r="I109" i="4"/>
  <c r="L109" i="4"/>
  <c r="O109" i="4"/>
  <c r="I110" i="4"/>
  <c r="L110" i="4"/>
  <c r="O110" i="4"/>
  <c r="I111" i="4"/>
  <c r="L111" i="4"/>
  <c r="O111" i="4"/>
  <c r="I112" i="4"/>
  <c r="L112" i="4"/>
  <c r="O112" i="4"/>
  <c r="I113" i="4"/>
  <c r="L113" i="4"/>
  <c r="O113" i="4"/>
  <c r="I114" i="4"/>
  <c r="L114" i="4"/>
  <c r="O114" i="4"/>
  <c r="I115" i="4"/>
  <c r="L115" i="4"/>
  <c r="O115" i="4"/>
  <c r="I116" i="4"/>
  <c r="L116" i="4"/>
  <c r="O116" i="4"/>
  <c r="I117" i="4"/>
  <c r="L117" i="4"/>
  <c r="O117" i="4"/>
  <c r="G118" i="4"/>
  <c r="H118" i="4"/>
  <c r="J118" i="4"/>
  <c r="K118" i="4"/>
  <c r="M118" i="4"/>
  <c r="N118" i="4"/>
  <c r="I8" i="2"/>
  <c r="L8" i="2"/>
  <c r="O8" i="2"/>
  <c r="I9" i="2"/>
  <c r="L9" i="2"/>
  <c r="O9" i="2"/>
  <c r="I10" i="2"/>
  <c r="L10" i="2"/>
  <c r="O10" i="2"/>
  <c r="I11" i="2"/>
  <c r="L11" i="2"/>
  <c r="O11" i="2"/>
  <c r="I12" i="2"/>
  <c r="L12" i="2"/>
  <c r="O12" i="2"/>
  <c r="I13" i="2"/>
  <c r="L13" i="2"/>
  <c r="O13" i="2"/>
  <c r="I14" i="2"/>
  <c r="L14" i="2"/>
  <c r="O14" i="2"/>
  <c r="I15" i="2"/>
  <c r="L15" i="2"/>
  <c r="O15" i="2"/>
  <c r="I16" i="2"/>
  <c r="L16" i="2"/>
  <c r="O16" i="2"/>
  <c r="I17" i="2"/>
  <c r="L17" i="2"/>
  <c r="O17" i="2"/>
  <c r="I18" i="2"/>
  <c r="L18" i="2"/>
  <c r="O18" i="2"/>
  <c r="I19" i="2"/>
  <c r="L19" i="2"/>
  <c r="O19" i="2"/>
  <c r="I20" i="2"/>
  <c r="L20" i="2"/>
  <c r="O20" i="2"/>
  <c r="I21" i="2"/>
  <c r="L21" i="2"/>
  <c r="O21" i="2"/>
  <c r="I22" i="2"/>
  <c r="L22" i="2"/>
  <c r="O22" i="2"/>
  <c r="I23" i="2"/>
  <c r="L23" i="2"/>
  <c r="O23" i="2"/>
  <c r="I24" i="2"/>
  <c r="L24" i="2"/>
  <c r="O24" i="2"/>
  <c r="I25" i="2"/>
  <c r="L25" i="2"/>
  <c r="O25" i="2"/>
  <c r="I26" i="2"/>
  <c r="L26" i="2"/>
  <c r="O26" i="2"/>
  <c r="I27" i="2"/>
  <c r="L27" i="2"/>
  <c r="O27" i="2"/>
  <c r="I28" i="2"/>
  <c r="L28" i="2"/>
  <c r="O28" i="2"/>
  <c r="I29" i="2"/>
  <c r="L29" i="2"/>
  <c r="O29" i="2"/>
  <c r="I30" i="2"/>
  <c r="L30" i="2"/>
  <c r="O30" i="2"/>
  <c r="I31" i="2"/>
  <c r="L31" i="2"/>
  <c r="O31" i="2"/>
  <c r="I32" i="2"/>
  <c r="L32" i="2"/>
  <c r="O32" i="2"/>
  <c r="I33" i="2"/>
  <c r="L33" i="2"/>
  <c r="O33" i="2"/>
  <c r="I34" i="2"/>
  <c r="L34" i="2"/>
  <c r="O34" i="2"/>
  <c r="I35" i="2"/>
  <c r="L35" i="2"/>
  <c r="O35" i="2"/>
  <c r="I36" i="2"/>
  <c r="L36" i="2"/>
  <c r="O36" i="2"/>
  <c r="I37" i="2"/>
  <c r="L37" i="2"/>
  <c r="O37" i="2"/>
  <c r="I38" i="2"/>
  <c r="L38" i="2"/>
  <c r="O38" i="2"/>
  <c r="I39" i="2"/>
  <c r="L39" i="2"/>
  <c r="O39" i="2"/>
  <c r="I40" i="2"/>
  <c r="L40" i="2"/>
  <c r="O40" i="2"/>
  <c r="I41" i="2"/>
  <c r="L41" i="2"/>
  <c r="O41" i="2"/>
  <c r="I42" i="2"/>
  <c r="L42" i="2"/>
  <c r="O42" i="2"/>
  <c r="I43" i="2"/>
  <c r="L43" i="2"/>
  <c r="O43" i="2"/>
  <c r="I44" i="2"/>
  <c r="L44" i="2"/>
  <c r="O44" i="2"/>
  <c r="I45" i="2"/>
  <c r="L45" i="2"/>
  <c r="O45" i="2"/>
  <c r="I46" i="2"/>
  <c r="L46" i="2"/>
  <c r="O46" i="2"/>
  <c r="I47" i="2"/>
  <c r="L47" i="2"/>
  <c r="O47" i="2"/>
  <c r="I48" i="2"/>
  <c r="L48" i="2"/>
  <c r="O48" i="2"/>
  <c r="I49" i="2"/>
  <c r="L49" i="2"/>
  <c r="O49" i="2"/>
  <c r="I50" i="2"/>
  <c r="L50" i="2"/>
  <c r="O50" i="2"/>
  <c r="I51" i="2"/>
  <c r="L51" i="2"/>
  <c r="O51" i="2"/>
  <c r="I52" i="2"/>
  <c r="L52" i="2"/>
  <c r="O52" i="2"/>
  <c r="I53" i="2"/>
  <c r="L53" i="2"/>
  <c r="O53" i="2"/>
  <c r="I54" i="2"/>
  <c r="L54" i="2"/>
  <c r="O54" i="2"/>
  <c r="I55" i="2"/>
  <c r="L55" i="2"/>
  <c r="O55" i="2"/>
  <c r="I56" i="2"/>
  <c r="L56" i="2"/>
  <c r="O56" i="2"/>
  <c r="I57" i="2"/>
  <c r="L57" i="2"/>
  <c r="O57" i="2"/>
  <c r="I58" i="2"/>
  <c r="L58" i="2"/>
  <c r="O58" i="2"/>
  <c r="I59" i="2"/>
  <c r="L59" i="2"/>
  <c r="O59" i="2"/>
  <c r="I60" i="2"/>
  <c r="L60" i="2"/>
  <c r="O60" i="2"/>
  <c r="I61" i="2"/>
  <c r="L61" i="2"/>
  <c r="O61" i="2"/>
  <c r="I62" i="2"/>
  <c r="L62" i="2"/>
  <c r="O62" i="2"/>
  <c r="I63" i="2"/>
  <c r="L63" i="2"/>
  <c r="O63" i="2"/>
  <c r="I64" i="2"/>
  <c r="L64" i="2"/>
  <c r="O64" i="2"/>
  <c r="I65" i="2"/>
  <c r="L65" i="2"/>
  <c r="O65" i="2"/>
  <c r="I66" i="2"/>
  <c r="L66" i="2"/>
  <c r="O66" i="2"/>
  <c r="I67" i="2"/>
  <c r="L67" i="2"/>
  <c r="O67" i="2"/>
  <c r="I68" i="2"/>
  <c r="L68" i="2"/>
  <c r="O68" i="2"/>
  <c r="I69" i="2"/>
  <c r="L69" i="2"/>
  <c r="O69" i="2"/>
  <c r="I70" i="2"/>
  <c r="L70" i="2"/>
  <c r="O70" i="2"/>
  <c r="I71" i="2"/>
  <c r="L71" i="2"/>
  <c r="O71" i="2"/>
  <c r="I72" i="2"/>
  <c r="L72" i="2"/>
  <c r="O72" i="2"/>
  <c r="I73" i="2"/>
  <c r="L73" i="2"/>
  <c r="O73" i="2"/>
  <c r="I74" i="2"/>
  <c r="L74" i="2"/>
  <c r="O74" i="2"/>
  <c r="I75" i="2"/>
  <c r="L75" i="2"/>
  <c r="O75" i="2"/>
  <c r="I76" i="2"/>
  <c r="L76" i="2"/>
  <c r="O76" i="2"/>
  <c r="I77" i="2"/>
  <c r="L77" i="2"/>
  <c r="O77" i="2"/>
  <c r="I78" i="2"/>
  <c r="L78" i="2"/>
  <c r="O78" i="2"/>
  <c r="I79" i="2"/>
  <c r="L79" i="2"/>
  <c r="O79" i="2"/>
  <c r="I80" i="2"/>
  <c r="L80" i="2"/>
  <c r="O80" i="2"/>
  <c r="I81" i="2"/>
  <c r="L81" i="2"/>
  <c r="O81" i="2"/>
  <c r="I82" i="2"/>
  <c r="L82" i="2"/>
  <c r="O82" i="2"/>
  <c r="I83" i="2"/>
  <c r="L83" i="2"/>
  <c r="O83" i="2"/>
  <c r="I84" i="2"/>
  <c r="L84" i="2"/>
  <c r="O84" i="2"/>
  <c r="G93" i="2"/>
  <c r="G96" i="2" s="1"/>
  <c r="H93" i="2"/>
  <c r="H96" i="2" s="1"/>
  <c r="J93" i="2"/>
  <c r="J96" i="2" s="1"/>
  <c r="K93" i="2"/>
  <c r="K96" i="2" s="1"/>
  <c r="M93" i="2"/>
  <c r="M96" i="2" s="1"/>
  <c r="N93" i="2"/>
  <c r="N96" i="2" s="1"/>
  <c r="H8" i="1"/>
  <c r="K8" i="1"/>
  <c r="N8" i="1"/>
  <c r="H9" i="1"/>
  <c r="K9" i="1"/>
  <c r="N9" i="1"/>
  <c r="H10" i="1"/>
  <c r="K10" i="1"/>
  <c r="N10" i="1"/>
  <c r="H11" i="1"/>
  <c r="K11" i="1"/>
  <c r="N11" i="1"/>
  <c r="H12" i="1"/>
  <c r="K12" i="1"/>
  <c r="N12" i="1"/>
  <c r="H13" i="1"/>
  <c r="K13" i="1"/>
  <c r="N13" i="1"/>
  <c r="H14" i="1"/>
  <c r="K14" i="1"/>
  <c r="N14" i="1"/>
  <c r="H15" i="1"/>
  <c r="K15" i="1"/>
  <c r="N15" i="1"/>
  <c r="H16" i="1"/>
  <c r="K16" i="1"/>
  <c r="N16" i="1"/>
  <c r="H17" i="1"/>
  <c r="K17" i="1"/>
  <c r="N17" i="1"/>
  <c r="H18" i="1"/>
  <c r="K18" i="1"/>
  <c r="N18" i="1"/>
  <c r="H19" i="1"/>
  <c r="K19" i="1"/>
  <c r="N19" i="1"/>
  <c r="H20" i="1"/>
  <c r="K20" i="1"/>
  <c r="N20" i="1"/>
  <c r="H21" i="1"/>
  <c r="K21" i="1"/>
  <c r="N21" i="1"/>
  <c r="H22" i="1"/>
  <c r="K22" i="1"/>
  <c r="N22" i="1"/>
  <c r="H23" i="1"/>
  <c r="K23" i="1"/>
  <c r="N23" i="1"/>
  <c r="H24" i="1"/>
  <c r="K24" i="1"/>
  <c r="N24" i="1"/>
  <c r="H25" i="1"/>
  <c r="K25" i="1"/>
  <c r="N25" i="1"/>
  <c r="H26" i="1"/>
  <c r="K26" i="1"/>
  <c r="N26" i="1"/>
  <c r="H27" i="1"/>
  <c r="K27" i="1"/>
  <c r="N27" i="1"/>
  <c r="H28" i="1"/>
  <c r="K28" i="1"/>
  <c r="N28" i="1"/>
  <c r="H29" i="1"/>
  <c r="K29" i="1"/>
  <c r="N29" i="1"/>
  <c r="H30" i="1"/>
  <c r="K30" i="1"/>
  <c r="N30" i="1"/>
  <c r="H31" i="1"/>
  <c r="K31" i="1"/>
  <c r="N31" i="1"/>
  <c r="H32" i="1"/>
  <c r="K32" i="1"/>
  <c r="N32" i="1"/>
  <c r="H33" i="1"/>
  <c r="K33" i="1"/>
  <c r="N33" i="1"/>
  <c r="H34" i="1"/>
  <c r="K34" i="1"/>
  <c r="N34" i="1"/>
  <c r="H35" i="1"/>
  <c r="K35" i="1"/>
  <c r="N35" i="1"/>
  <c r="H36" i="1"/>
  <c r="K36" i="1"/>
  <c r="N36" i="1"/>
  <c r="H37" i="1"/>
  <c r="K37" i="1"/>
  <c r="N37" i="1"/>
  <c r="H38" i="1"/>
  <c r="K38" i="1"/>
  <c r="N38" i="1"/>
  <c r="H39" i="1"/>
  <c r="K39" i="1"/>
  <c r="N39" i="1"/>
  <c r="H40" i="1"/>
  <c r="K40" i="1"/>
  <c r="N40" i="1"/>
  <c r="H41" i="1"/>
  <c r="K41" i="1"/>
  <c r="N41" i="1"/>
  <c r="H42" i="1"/>
  <c r="K42" i="1"/>
  <c r="N42" i="1"/>
  <c r="H43" i="1"/>
  <c r="K43" i="1"/>
  <c r="N43" i="1"/>
  <c r="H44" i="1"/>
  <c r="K44" i="1"/>
  <c r="N44" i="1"/>
  <c r="H45" i="1"/>
  <c r="K45" i="1"/>
  <c r="N45" i="1"/>
  <c r="H46" i="1"/>
  <c r="K46" i="1"/>
  <c r="N46" i="1"/>
  <c r="H47" i="1"/>
  <c r="K47" i="1"/>
  <c r="N47" i="1"/>
  <c r="H48" i="1"/>
  <c r="K48" i="1"/>
  <c r="N48" i="1"/>
  <c r="H49" i="1"/>
  <c r="K49" i="1"/>
  <c r="N49" i="1"/>
  <c r="H50" i="1"/>
  <c r="K50" i="1"/>
  <c r="N50" i="1"/>
  <c r="H51" i="1"/>
  <c r="K51" i="1"/>
  <c r="N51" i="1"/>
  <c r="H52" i="1"/>
  <c r="K52" i="1"/>
  <c r="N52" i="1"/>
  <c r="H53" i="1"/>
  <c r="K53" i="1"/>
  <c r="N53" i="1"/>
  <c r="H54" i="1"/>
  <c r="K54" i="1"/>
  <c r="N54" i="1"/>
  <c r="H55" i="1"/>
  <c r="K55" i="1"/>
  <c r="N55" i="1"/>
  <c r="H56" i="1"/>
  <c r="K56" i="1"/>
  <c r="N56" i="1"/>
  <c r="H57" i="1"/>
  <c r="K57" i="1"/>
  <c r="N57" i="1"/>
  <c r="H58" i="1"/>
  <c r="K58" i="1"/>
  <c r="N58" i="1"/>
  <c r="H59" i="1"/>
  <c r="K59" i="1"/>
  <c r="N59" i="1"/>
  <c r="H60" i="1"/>
  <c r="K60" i="1"/>
  <c r="N60" i="1"/>
  <c r="H61" i="1"/>
  <c r="K61" i="1"/>
  <c r="N61" i="1"/>
  <c r="H62" i="1"/>
  <c r="K62" i="1"/>
  <c r="N62" i="1"/>
  <c r="H63" i="1"/>
  <c r="K63" i="1"/>
  <c r="N63" i="1"/>
  <c r="H64" i="1"/>
  <c r="K64" i="1"/>
  <c r="N64" i="1"/>
  <c r="H65" i="1"/>
  <c r="K65" i="1"/>
  <c r="N65" i="1"/>
  <c r="H66" i="1"/>
  <c r="K66" i="1"/>
  <c r="N66" i="1"/>
  <c r="H67" i="1"/>
  <c r="K67" i="1"/>
  <c r="N67" i="1"/>
  <c r="H68" i="1"/>
  <c r="K68" i="1"/>
  <c r="N68" i="1"/>
  <c r="H69" i="1"/>
  <c r="K69" i="1"/>
  <c r="N69" i="1"/>
  <c r="H70" i="1"/>
  <c r="K70" i="1"/>
  <c r="N70" i="1"/>
  <c r="H71" i="1"/>
  <c r="K71" i="1"/>
  <c r="N71" i="1"/>
  <c r="H72" i="1"/>
  <c r="K72" i="1"/>
  <c r="N72" i="1"/>
  <c r="H73" i="1"/>
  <c r="K73" i="1"/>
  <c r="N73" i="1"/>
  <c r="H74" i="1"/>
  <c r="K74" i="1"/>
  <c r="N74" i="1"/>
  <c r="H75" i="1"/>
  <c r="K75" i="1"/>
  <c r="N75" i="1"/>
  <c r="H76" i="1"/>
  <c r="K76" i="1"/>
  <c r="N76" i="1"/>
  <c r="H77" i="1"/>
  <c r="K77" i="1"/>
  <c r="N77" i="1"/>
  <c r="H78" i="1"/>
  <c r="K78" i="1"/>
  <c r="N78" i="1"/>
  <c r="H79" i="1"/>
  <c r="K79" i="1"/>
  <c r="N79" i="1"/>
  <c r="H80" i="1"/>
  <c r="K80" i="1"/>
  <c r="N80" i="1"/>
  <c r="H81" i="1"/>
  <c r="K81" i="1"/>
  <c r="N81" i="1"/>
  <c r="H82" i="1"/>
  <c r="K82" i="1"/>
  <c r="N82" i="1"/>
  <c r="H83" i="1"/>
  <c r="K83" i="1"/>
  <c r="N83" i="1"/>
  <c r="H84" i="1"/>
  <c r="K84" i="1"/>
  <c r="N84" i="1"/>
  <c r="H85" i="1"/>
  <c r="K85" i="1"/>
  <c r="N85" i="1"/>
  <c r="H86" i="1"/>
  <c r="K86" i="1"/>
  <c r="N86" i="1"/>
  <c r="H87" i="1"/>
  <c r="K87" i="1"/>
  <c r="N87" i="1"/>
  <c r="H88" i="1"/>
  <c r="K88" i="1"/>
  <c r="N88" i="1"/>
  <c r="H89" i="1"/>
  <c r="K89" i="1"/>
  <c r="N89" i="1"/>
  <c r="H90" i="1"/>
  <c r="K90" i="1"/>
  <c r="N90" i="1"/>
  <c r="H91" i="1"/>
  <c r="K91" i="1"/>
  <c r="N91" i="1"/>
  <c r="H92" i="1"/>
  <c r="K92" i="1"/>
  <c r="N92" i="1"/>
  <c r="H93" i="1"/>
  <c r="K93" i="1"/>
  <c r="N93" i="1"/>
  <c r="H94" i="1"/>
  <c r="K94" i="1"/>
  <c r="N94" i="1"/>
  <c r="H95" i="1"/>
  <c r="K95" i="1"/>
  <c r="N95" i="1"/>
  <c r="H96" i="1"/>
  <c r="K96" i="1"/>
  <c r="N96" i="1"/>
  <c r="H97" i="1"/>
  <c r="K97" i="1"/>
  <c r="N97" i="1"/>
  <c r="H98" i="1"/>
  <c r="K98" i="1"/>
  <c r="N98" i="1"/>
  <c r="H99" i="1"/>
  <c r="K99" i="1"/>
  <c r="N99" i="1"/>
  <c r="H100" i="1"/>
  <c r="K100" i="1"/>
  <c r="N100" i="1"/>
  <c r="H101" i="1"/>
  <c r="K101" i="1"/>
  <c r="N101" i="1"/>
  <c r="H102" i="1"/>
  <c r="K102" i="1"/>
  <c r="N102" i="1"/>
  <c r="H103" i="1"/>
  <c r="K103" i="1"/>
  <c r="N103" i="1"/>
  <c r="H104" i="1"/>
  <c r="K104" i="1"/>
  <c r="N104" i="1"/>
  <c r="H105" i="1"/>
  <c r="K105" i="1"/>
  <c r="N105" i="1"/>
  <c r="H106" i="1"/>
  <c r="K106" i="1"/>
  <c r="N106" i="1"/>
  <c r="H107" i="1"/>
  <c r="K107" i="1"/>
  <c r="N107" i="1"/>
  <c r="H108" i="1"/>
  <c r="K108" i="1"/>
  <c r="N108" i="1"/>
  <c r="H109" i="1"/>
  <c r="K109" i="1"/>
  <c r="N109" i="1"/>
  <c r="H110" i="1"/>
  <c r="K110" i="1"/>
  <c r="N110" i="1"/>
  <c r="H111" i="1"/>
  <c r="K111" i="1"/>
  <c r="N111" i="1"/>
  <c r="H112" i="1"/>
  <c r="K112" i="1"/>
  <c r="N112" i="1"/>
  <c r="H113" i="1"/>
  <c r="K113" i="1"/>
  <c r="N113" i="1"/>
  <c r="H114" i="1"/>
  <c r="K114" i="1"/>
  <c r="N114" i="1"/>
  <c r="H115" i="1"/>
  <c r="K115" i="1"/>
  <c r="N115" i="1"/>
  <c r="H116" i="1"/>
  <c r="K116" i="1"/>
  <c r="N116" i="1"/>
  <c r="H117" i="1"/>
  <c r="K117" i="1"/>
  <c r="N117" i="1"/>
  <c r="H118" i="1"/>
  <c r="K118" i="1"/>
  <c r="N118" i="1"/>
  <c r="H119" i="1"/>
  <c r="K119" i="1"/>
  <c r="N119" i="1"/>
  <c r="H120" i="1"/>
  <c r="K120" i="1"/>
  <c r="N120" i="1"/>
  <c r="H121" i="1"/>
  <c r="K121" i="1"/>
  <c r="N121" i="1"/>
  <c r="H122" i="1"/>
  <c r="K122" i="1"/>
  <c r="N122" i="1"/>
  <c r="H123" i="1"/>
  <c r="K123" i="1"/>
  <c r="N123" i="1"/>
  <c r="H124" i="1"/>
  <c r="K124" i="1"/>
  <c r="N124" i="1"/>
  <c r="H125" i="1"/>
  <c r="K125" i="1"/>
  <c r="N125" i="1"/>
  <c r="H126" i="1"/>
  <c r="K126" i="1"/>
  <c r="N126" i="1"/>
  <c r="H127" i="1"/>
  <c r="K127" i="1"/>
  <c r="N127" i="1"/>
  <c r="H128" i="1"/>
  <c r="K128" i="1"/>
  <c r="N128" i="1"/>
  <c r="H129" i="1"/>
  <c r="K129" i="1"/>
  <c r="N129" i="1"/>
  <c r="H130" i="1"/>
  <c r="K130" i="1"/>
  <c r="N130" i="1"/>
  <c r="H131" i="1"/>
  <c r="K131" i="1"/>
  <c r="N131" i="1"/>
  <c r="H132" i="1"/>
  <c r="K132" i="1"/>
  <c r="N132" i="1"/>
  <c r="H133" i="1"/>
  <c r="K133" i="1"/>
  <c r="N133" i="1"/>
  <c r="H134" i="1"/>
  <c r="K134" i="1"/>
  <c r="N134" i="1"/>
  <c r="H135" i="1"/>
  <c r="K135" i="1"/>
  <c r="N135" i="1"/>
  <c r="H136" i="1"/>
  <c r="K136" i="1"/>
  <c r="N136" i="1"/>
  <c r="H137" i="1"/>
  <c r="K137" i="1"/>
  <c r="N137" i="1"/>
  <c r="H138" i="1"/>
  <c r="K138" i="1"/>
  <c r="N138" i="1"/>
  <c r="H139" i="1"/>
  <c r="K139" i="1"/>
  <c r="N139" i="1"/>
  <c r="H140" i="1"/>
  <c r="K140" i="1"/>
  <c r="N140" i="1"/>
  <c r="H141" i="1"/>
  <c r="K141" i="1"/>
  <c r="N141" i="1"/>
  <c r="H142" i="1"/>
  <c r="K142" i="1"/>
  <c r="N142" i="1"/>
  <c r="H143" i="1"/>
  <c r="K143" i="1"/>
  <c r="N143" i="1"/>
  <c r="H144" i="1"/>
  <c r="K144" i="1"/>
  <c r="N144" i="1"/>
  <c r="H145" i="1"/>
  <c r="K145" i="1"/>
  <c r="N145" i="1"/>
  <c r="H146" i="1"/>
  <c r="K146" i="1"/>
  <c r="N146" i="1"/>
  <c r="H147" i="1"/>
  <c r="K147" i="1"/>
  <c r="N147" i="1"/>
  <c r="H148" i="1"/>
  <c r="K148" i="1"/>
  <c r="N148" i="1"/>
  <c r="H149" i="1"/>
  <c r="K149" i="1"/>
  <c r="N149" i="1"/>
  <c r="H150" i="1"/>
  <c r="K150" i="1"/>
  <c r="N150" i="1"/>
  <c r="H151" i="1"/>
  <c r="K151" i="1"/>
  <c r="N151" i="1"/>
  <c r="H152" i="1"/>
  <c r="K152" i="1"/>
  <c r="N152" i="1"/>
  <c r="H153" i="1"/>
  <c r="K153" i="1"/>
  <c r="N153" i="1"/>
  <c r="H154" i="1"/>
  <c r="K154" i="1"/>
  <c r="N154" i="1"/>
  <c r="H155" i="1"/>
  <c r="K155" i="1"/>
  <c r="N155" i="1"/>
  <c r="H156" i="1"/>
  <c r="K156" i="1"/>
  <c r="N156" i="1"/>
  <c r="H157" i="1"/>
  <c r="K157" i="1"/>
  <c r="N157" i="1"/>
  <c r="H158" i="1"/>
  <c r="K158" i="1"/>
  <c r="N158" i="1"/>
  <c r="H159" i="1"/>
  <c r="K159" i="1"/>
  <c r="N159" i="1"/>
  <c r="H160" i="1"/>
  <c r="K160" i="1"/>
  <c r="N160" i="1"/>
  <c r="H161" i="1"/>
  <c r="K161" i="1"/>
  <c r="N161" i="1"/>
  <c r="H162" i="1"/>
  <c r="K162" i="1"/>
  <c r="N162" i="1"/>
  <c r="H163" i="1"/>
  <c r="K163" i="1"/>
  <c r="N163" i="1"/>
  <c r="H164" i="1"/>
  <c r="K164" i="1"/>
  <c r="N164" i="1"/>
  <c r="H165" i="1"/>
  <c r="K165" i="1"/>
  <c r="N165" i="1"/>
  <c r="H166" i="1"/>
  <c r="K166" i="1"/>
  <c r="N166" i="1"/>
  <c r="H167" i="1"/>
  <c r="K167" i="1"/>
  <c r="N167" i="1"/>
  <c r="H168" i="1"/>
  <c r="K168" i="1"/>
  <c r="N168" i="1"/>
  <c r="H169" i="1"/>
  <c r="K169" i="1"/>
  <c r="N169" i="1"/>
  <c r="H170" i="1"/>
  <c r="K170" i="1"/>
  <c r="N170" i="1"/>
  <c r="H171" i="1"/>
  <c r="K171" i="1"/>
  <c r="N171" i="1"/>
  <c r="H172" i="1"/>
  <c r="K172" i="1"/>
  <c r="N172" i="1"/>
  <c r="H173" i="1"/>
  <c r="AC173" i="1" s="1"/>
  <c r="K173" i="1"/>
  <c r="N173" i="1"/>
  <c r="H174" i="1"/>
  <c r="K174" i="1"/>
  <c r="N174" i="1"/>
  <c r="F175" i="1"/>
  <c r="F178" i="1" s="1"/>
  <c r="G175" i="1"/>
  <c r="G178" i="1" s="1"/>
  <c r="I175" i="1"/>
  <c r="I178" i="1" s="1"/>
  <c r="J175" i="1"/>
  <c r="J178" i="1" s="1"/>
  <c r="L175" i="1"/>
  <c r="L178" i="1" s="1"/>
  <c r="M175" i="1"/>
  <c r="M178" i="1" s="1"/>
  <c r="J8" i="3"/>
  <c r="M8" i="3"/>
  <c r="P8" i="3"/>
  <c r="J9" i="3"/>
  <c r="M9" i="3"/>
  <c r="P9" i="3"/>
  <c r="J10" i="3"/>
  <c r="M10" i="3"/>
  <c r="P10" i="3"/>
  <c r="J11" i="3"/>
  <c r="M11" i="3"/>
  <c r="P11" i="3"/>
  <c r="J12" i="3"/>
  <c r="M12" i="3"/>
  <c r="P12" i="3"/>
  <c r="J13" i="3"/>
  <c r="M13" i="3"/>
  <c r="P13" i="3"/>
  <c r="J14" i="3"/>
  <c r="M14" i="3"/>
  <c r="P14" i="3"/>
  <c r="J15" i="3"/>
  <c r="M15" i="3"/>
  <c r="P15" i="3"/>
  <c r="J16" i="3"/>
  <c r="M16" i="3"/>
  <c r="P16" i="3"/>
  <c r="J17" i="3"/>
  <c r="M17" i="3"/>
  <c r="P17" i="3"/>
  <c r="J18" i="3"/>
  <c r="M18" i="3"/>
  <c r="P18" i="3"/>
  <c r="J19" i="3"/>
  <c r="M19" i="3"/>
  <c r="P19" i="3"/>
  <c r="J20" i="3"/>
  <c r="M20" i="3"/>
  <c r="P20" i="3"/>
  <c r="J21" i="3"/>
  <c r="M21" i="3"/>
  <c r="P21" i="3"/>
  <c r="J22" i="3"/>
  <c r="M22" i="3"/>
  <c r="P22" i="3"/>
  <c r="J23" i="3"/>
  <c r="M23" i="3"/>
  <c r="P23" i="3"/>
  <c r="J24" i="3"/>
  <c r="M24" i="3"/>
  <c r="P24" i="3"/>
  <c r="J25" i="3"/>
  <c r="M25" i="3"/>
  <c r="P25" i="3"/>
  <c r="J26" i="3"/>
  <c r="M26" i="3"/>
  <c r="P26" i="3"/>
  <c r="J27" i="3"/>
  <c r="M27" i="3"/>
  <c r="P27" i="3"/>
  <c r="J28" i="3"/>
  <c r="M28" i="3"/>
  <c r="P28" i="3"/>
  <c r="J29" i="3"/>
  <c r="M29" i="3"/>
  <c r="P29" i="3"/>
  <c r="J30" i="3"/>
  <c r="M30" i="3"/>
  <c r="P30" i="3"/>
  <c r="J31" i="3"/>
  <c r="M31" i="3"/>
  <c r="P31" i="3"/>
  <c r="J32" i="3"/>
  <c r="M32" i="3"/>
  <c r="P32" i="3"/>
  <c r="J33" i="3"/>
  <c r="M33" i="3"/>
  <c r="P33" i="3"/>
  <c r="J34" i="3"/>
  <c r="M34" i="3"/>
  <c r="P34" i="3"/>
  <c r="J35" i="3"/>
  <c r="M35" i="3"/>
  <c r="P35" i="3"/>
  <c r="J36" i="3"/>
  <c r="M36" i="3"/>
  <c r="P36" i="3"/>
  <c r="J37" i="3"/>
  <c r="M37" i="3"/>
  <c r="P37" i="3"/>
  <c r="J38" i="3"/>
  <c r="M38" i="3"/>
  <c r="P38" i="3"/>
  <c r="J39" i="3"/>
  <c r="M39" i="3"/>
  <c r="P39" i="3"/>
  <c r="J40" i="3"/>
  <c r="M40" i="3"/>
  <c r="P40" i="3"/>
  <c r="J41" i="3"/>
  <c r="M41" i="3"/>
  <c r="P41" i="3"/>
  <c r="J42" i="3"/>
  <c r="M42" i="3"/>
  <c r="P42" i="3"/>
  <c r="J43" i="3"/>
  <c r="M43" i="3"/>
  <c r="P43" i="3"/>
  <c r="J44" i="3"/>
  <c r="M44" i="3"/>
  <c r="P44" i="3"/>
  <c r="J45" i="3"/>
  <c r="M45" i="3"/>
  <c r="P45" i="3"/>
  <c r="J46" i="3"/>
  <c r="M46" i="3"/>
  <c r="P46" i="3"/>
  <c r="J47" i="3"/>
  <c r="M47" i="3"/>
  <c r="P47" i="3"/>
  <c r="J48" i="3"/>
  <c r="M48" i="3"/>
  <c r="P48" i="3"/>
  <c r="J49" i="3"/>
  <c r="M49" i="3"/>
  <c r="P49" i="3"/>
  <c r="J50" i="3"/>
  <c r="M50" i="3"/>
  <c r="P50" i="3"/>
  <c r="J51" i="3"/>
  <c r="M51" i="3"/>
  <c r="P51" i="3"/>
  <c r="J52" i="3"/>
  <c r="M52" i="3"/>
  <c r="P52" i="3"/>
  <c r="J53" i="3"/>
  <c r="M53" i="3"/>
  <c r="P53" i="3"/>
  <c r="J54" i="3"/>
  <c r="M54" i="3"/>
  <c r="P54" i="3"/>
  <c r="J55" i="3"/>
  <c r="M55" i="3"/>
  <c r="P55" i="3"/>
  <c r="J56" i="3"/>
  <c r="M56" i="3"/>
  <c r="P56" i="3"/>
  <c r="J57" i="3"/>
  <c r="M57" i="3"/>
  <c r="P57" i="3"/>
  <c r="J58" i="3"/>
  <c r="M58" i="3"/>
  <c r="P58" i="3"/>
  <c r="J59" i="3"/>
  <c r="M59" i="3"/>
  <c r="P59" i="3"/>
  <c r="J60" i="3"/>
  <c r="M60" i="3"/>
  <c r="P60" i="3"/>
  <c r="J61" i="3"/>
  <c r="M61" i="3"/>
  <c r="P61" i="3"/>
  <c r="J62" i="3"/>
  <c r="M62" i="3"/>
  <c r="P62" i="3"/>
  <c r="J63" i="3"/>
  <c r="M63" i="3"/>
  <c r="P63" i="3"/>
  <c r="J64" i="3"/>
  <c r="M64" i="3"/>
  <c r="P64" i="3"/>
  <c r="J65" i="3"/>
  <c r="M65" i="3"/>
  <c r="P65" i="3"/>
  <c r="J66" i="3"/>
  <c r="M66" i="3"/>
  <c r="P66" i="3"/>
  <c r="J67" i="3"/>
  <c r="M67" i="3"/>
  <c r="P67" i="3"/>
  <c r="J68" i="3"/>
  <c r="M68" i="3"/>
  <c r="P68" i="3"/>
  <c r="J69" i="3"/>
  <c r="M69" i="3"/>
  <c r="P69" i="3"/>
  <c r="J70" i="3"/>
  <c r="M70" i="3"/>
  <c r="P70" i="3"/>
  <c r="J71" i="3"/>
  <c r="M71" i="3"/>
  <c r="P71" i="3"/>
  <c r="J72" i="3"/>
  <c r="M72" i="3"/>
  <c r="P72" i="3"/>
  <c r="J73" i="3"/>
  <c r="M73" i="3"/>
  <c r="P73" i="3"/>
  <c r="J74" i="3"/>
  <c r="M74" i="3"/>
  <c r="P74" i="3"/>
  <c r="J75" i="3"/>
  <c r="M75" i="3"/>
  <c r="P75" i="3"/>
  <c r="J76" i="3"/>
  <c r="M76" i="3"/>
  <c r="P76" i="3"/>
  <c r="J77" i="3"/>
  <c r="M77" i="3"/>
  <c r="P77" i="3"/>
  <c r="J78" i="3"/>
  <c r="M78" i="3"/>
  <c r="P78" i="3"/>
  <c r="J79" i="3"/>
  <c r="M79" i="3"/>
  <c r="P79" i="3"/>
  <c r="J80" i="3"/>
  <c r="M80" i="3"/>
  <c r="P80" i="3"/>
  <c r="J81" i="3"/>
  <c r="M81" i="3"/>
  <c r="P81" i="3"/>
  <c r="J82" i="3"/>
  <c r="M82" i="3"/>
  <c r="P82" i="3"/>
  <c r="J83" i="3"/>
  <c r="M83" i="3"/>
  <c r="P83" i="3"/>
  <c r="J84" i="3"/>
  <c r="M84" i="3"/>
  <c r="P84" i="3"/>
  <c r="J85" i="3"/>
  <c r="M85" i="3"/>
  <c r="P85" i="3"/>
  <c r="J86" i="3"/>
  <c r="M86" i="3"/>
  <c r="P86" i="3"/>
  <c r="J87" i="3"/>
  <c r="M87" i="3"/>
  <c r="P87" i="3"/>
  <c r="J88" i="3"/>
  <c r="M88" i="3"/>
  <c r="P88" i="3"/>
  <c r="J89" i="3"/>
  <c r="M89" i="3"/>
  <c r="P89" i="3"/>
  <c r="J90" i="3"/>
  <c r="M90" i="3"/>
  <c r="P90" i="3"/>
  <c r="J91" i="3"/>
  <c r="M91" i="3"/>
  <c r="P91" i="3"/>
  <c r="J92" i="3"/>
  <c r="M92" i="3"/>
  <c r="P92" i="3"/>
  <c r="J93" i="3"/>
  <c r="M93" i="3"/>
  <c r="P93" i="3"/>
  <c r="J94" i="3"/>
  <c r="M94" i="3"/>
  <c r="P94" i="3"/>
  <c r="J95" i="3"/>
  <c r="M95" i="3"/>
  <c r="P95" i="3"/>
  <c r="J96" i="3"/>
  <c r="M96" i="3"/>
  <c r="P96" i="3"/>
  <c r="J97" i="3"/>
  <c r="M97" i="3"/>
  <c r="P97" i="3"/>
  <c r="J98" i="3"/>
  <c r="M98" i="3"/>
  <c r="P98" i="3"/>
  <c r="H99" i="3"/>
  <c r="I99" i="3"/>
  <c r="K99" i="3"/>
  <c r="L99" i="3"/>
  <c r="N99" i="3"/>
  <c r="O99" i="3"/>
  <c r="P175" i="1"/>
  <c r="P178" i="1" s="1"/>
  <c r="O175" i="1"/>
  <c r="O178" i="1" s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93" i="2"/>
  <c r="Q96" i="2" s="1"/>
  <c r="P93" i="2"/>
  <c r="P96" i="2" s="1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99" i="3"/>
  <c r="Q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Q118" i="4"/>
  <c r="P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AC8" i="4" l="1"/>
  <c r="AP8" i="4"/>
  <c r="AC10" i="4"/>
  <c r="AP10" i="4"/>
  <c r="AS10" i="4" s="1"/>
  <c r="AC12" i="4"/>
  <c r="AP12" i="4"/>
  <c r="AS12" i="4" s="1"/>
  <c r="AC14" i="4"/>
  <c r="AP14" i="4"/>
  <c r="AS14" i="4" s="1"/>
  <c r="AC16" i="4"/>
  <c r="AP16" i="4"/>
  <c r="AS16" i="4" s="1"/>
  <c r="AC18" i="4"/>
  <c r="AP18" i="4"/>
  <c r="AS18" i="4" s="1"/>
  <c r="AC20" i="4"/>
  <c r="AP20" i="4"/>
  <c r="AS20" i="4" s="1"/>
  <c r="AC22" i="4"/>
  <c r="AP22" i="4"/>
  <c r="AS22" i="4" s="1"/>
  <c r="AC24" i="4"/>
  <c r="AP24" i="4"/>
  <c r="AC26" i="4"/>
  <c r="AP26" i="4"/>
  <c r="AS26" i="4" s="1"/>
  <c r="AC28" i="4"/>
  <c r="AP28" i="4"/>
  <c r="AS28" i="4" s="1"/>
  <c r="AC30" i="4"/>
  <c r="AP30" i="4"/>
  <c r="AS30" i="4" s="1"/>
  <c r="AC32" i="4"/>
  <c r="AP32" i="4"/>
  <c r="AS32" i="4" s="1"/>
  <c r="AC34" i="4"/>
  <c r="AP34" i="4"/>
  <c r="AS34" i="4" s="1"/>
  <c r="AC36" i="4"/>
  <c r="AP36" i="4"/>
  <c r="AS36" i="4" s="1"/>
  <c r="AC38" i="4"/>
  <c r="AP38" i="4"/>
  <c r="AS38" i="4" s="1"/>
  <c r="AC40" i="4"/>
  <c r="AP40" i="4"/>
  <c r="AS40" i="4" s="1"/>
  <c r="AC42" i="4"/>
  <c r="AP42" i="4"/>
  <c r="AS42" i="4" s="1"/>
  <c r="AC44" i="4"/>
  <c r="AP44" i="4"/>
  <c r="AS44" i="4" s="1"/>
  <c r="AC46" i="4"/>
  <c r="AP46" i="4"/>
  <c r="AS46" i="4" s="1"/>
  <c r="AC48" i="4"/>
  <c r="AP48" i="4"/>
  <c r="AS48" i="4" s="1"/>
  <c r="AC50" i="4"/>
  <c r="AP50" i="4"/>
  <c r="AS50" i="4" s="1"/>
  <c r="AC52" i="4"/>
  <c r="AP52" i="4"/>
  <c r="AS52" i="4" s="1"/>
  <c r="AC54" i="4"/>
  <c r="AP54" i="4"/>
  <c r="AS54" i="4" s="1"/>
  <c r="AC56" i="4"/>
  <c r="AP56" i="4"/>
  <c r="AS56" i="4" s="1"/>
  <c r="AC58" i="4"/>
  <c r="AP58" i="4"/>
  <c r="AS58" i="4" s="1"/>
  <c r="AC60" i="4"/>
  <c r="AP60" i="4"/>
  <c r="AS60" i="4" s="1"/>
  <c r="AC62" i="4"/>
  <c r="AP62" i="4"/>
  <c r="AS62" i="4" s="1"/>
  <c r="AC64" i="4"/>
  <c r="AP64" i="4"/>
  <c r="AS64" i="4" s="1"/>
  <c r="AC66" i="4"/>
  <c r="AP66" i="4"/>
  <c r="AS66" i="4" s="1"/>
  <c r="AC68" i="4"/>
  <c r="AP68" i="4"/>
  <c r="AS68" i="4" s="1"/>
  <c r="AC70" i="4"/>
  <c r="AP70" i="4"/>
  <c r="AS70" i="4" s="1"/>
  <c r="AC72" i="4"/>
  <c r="AP72" i="4"/>
  <c r="AS72" i="4" s="1"/>
  <c r="AC74" i="4"/>
  <c r="AP74" i="4"/>
  <c r="AS74" i="4" s="1"/>
  <c r="AC76" i="4"/>
  <c r="AP76" i="4"/>
  <c r="AS76" i="4" s="1"/>
  <c r="AC78" i="4"/>
  <c r="AP78" i="4"/>
  <c r="AS78" i="4" s="1"/>
  <c r="AC80" i="4"/>
  <c r="AP80" i="4"/>
  <c r="AS80" i="4" s="1"/>
  <c r="AC82" i="4"/>
  <c r="AP82" i="4"/>
  <c r="AS82" i="4" s="1"/>
  <c r="AC84" i="4"/>
  <c r="AP84" i="4"/>
  <c r="AS84" i="4" s="1"/>
  <c r="AC86" i="4"/>
  <c r="AP86" i="4"/>
  <c r="AS86" i="4" s="1"/>
  <c r="AC88" i="4"/>
  <c r="AP88" i="4"/>
  <c r="AS88" i="4" s="1"/>
  <c r="AC90" i="4"/>
  <c r="AP90" i="4"/>
  <c r="AS90" i="4" s="1"/>
  <c r="AC92" i="4"/>
  <c r="AP92" i="4"/>
  <c r="AS92" i="4" s="1"/>
  <c r="AC94" i="4"/>
  <c r="AP94" i="4"/>
  <c r="AS94" i="4" s="1"/>
  <c r="AC96" i="4"/>
  <c r="AP96" i="4"/>
  <c r="AS96" i="4" s="1"/>
  <c r="AC98" i="4"/>
  <c r="AP98" i="4"/>
  <c r="AS98" i="4" s="1"/>
  <c r="AC100" i="4"/>
  <c r="AP100" i="4"/>
  <c r="AS100" i="4" s="1"/>
  <c r="AC102" i="4"/>
  <c r="AP102" i="4"/>
  <c r="AS102" i="4" s="1"/>
  <c r="AC104" i="4"/>
  <c r="AP104" i="4"/>
  <c r="AS104" i="4" s="1"/>
  <c r="AC106" i="4"/>
  <c r="AP106" i="4"/>
  <c r="AS106" i="4" s="1"/>
  <c r="AC108" i="4"/>
  <c r="AP108" i="4"/>
  <c r="AS108" i="4" s="1"/>
  <c r="AC110" i="4"/>
  <c r="AP110" i="4"/>
  <c r="AS110" i="4" s="1"/>
  <c r="AC112" i="4"/>
  <c r="AP112" i="4"/>
  <c r="AS112" i="4" s="1"/>
  <c r="AC114" i="4"/>
  <c r="AP114" i="4"/>
  <c r="AS114" i="4" s="1"/>
  <c r="AC116" i="4"/>
  <c r="AP116" i="4"/>
  <c r="AS116" i="4" s="1"/>
  <c r="AB8" i="4"/>
  <c r="AO8" i="4"/>
  <c r="AB10" i="4"/>
  <c r="AO10" i="4"/>
  <c r="AR10" i="4" s="1"/>
  <c r="AB12" i="4"/>
  <c r="AO12" i="4"/>
  <c r="AR12" i="4" s="1"/>
  <c r="AB14" i="4"/>
  <c r="AO14" i="4"/>
  <c r="AR14" i="4" s="1"/>
  <c r="AB16" i="4"/>
  <c r="AO16" i="4"/>
  <c r="AR16" i="4" s="1"/>
  <c r="AB18" i="4"/>
  <c r="AO18" i="4"/>
  <c r="AR18" i="4" s="1"/>
  <c r="AB20" i="4"/>
  <c r="AO20" i="4"/>
  <c r="AR20" i="4" s="1"/>
  <c r="AB22" i="4"/>
  <c r="AO22" i="4"/>
  <c r="AR22" i="4" s="1"/>
  <c r="AB24" i="4"/>
  <c r="AO24" i="4"/>
  <c r="AB26" i="4"/>
  <c r="AO26" i="4"/>
  <c r="AR26" i="4" s="1"/>
  <c r="AB28" i="4"/>
  <c r="AO28" i="4"/>
  <c r="AR28" i="4" s="1"/>
  <c r="AB30" i="4"/>
  <c r="AO30" i="4"/>
  <c r="AR30" i="4" s="1"/>
  <c r="AB32" i="4"/>
  <c r="AO32" i="4"/>
  <c r="AR32" i="4" s="1"/>
  <c r="AB34" i="4"/>
  <c r="AO34" i="4"/>
  <c r="AR34" i="4" s="1"/>
  <c r="AB36" i="4"/>
  <c r="AO36" i="4"/>
  <c r="AR36" i="4" s="1"/>
  <c r="AB38" i="4"/>
  <c r="AO38" i="4"/>
  <c r="AR38" i="4" s="1"/>
  <c r="AB40" i="4"/>
  <c r="AO40" i="4"/>
  <c r="AR40" i="4" s="1"/>
  <c r="AB42" i="4"/>
  <c r="AO42" i="4"/>
  <c r="AR42" i="4" s="1"/>
  <c r="AB44" i="4"/>
  <c r="AO44" i="4"/>
  <c r="AR44" i="4" s="1"/>
  <c r="AB46" i="4"/>
  <c r="AO46" i="4"/>
  <c r="AR46" i="4" s="1"/>
  <c r="AB48" i="4"/>
  <c r="AO48" i="4"/>
  <c r="AR48" i="4" s="1"/>
  <c r="AB50" i="4"/>
  <c r="AO50" i="4"/>
  <c r="AR50" i="4" s="1"/>
  <c r="AB52" i="4"/>
  <c r="AO52" i="4"/>
  <c r="AR52" i="4" s="1"/>
  <c r="AB54" i="4"/>
  <c r="AO54" i="4"/>
  <c r="AR54" i="4" s="1"/>
  <c r="AB56" i="4"/>
  <c r="AO56" i="4"/>
  <c r="AR56" i="4" s="1"/>
  <c r="AB58" i="4"/>
  <c r="AO58" i="4"/>
  <c r="AR58" i="4" s="1"/>
  <c r="AB60" i="4"/>
  <c r="AO60" i="4"/>
  <c r="AR60" i="4" s="1"/>
  <c r="AB62" i="4"/>
  <c r="AO62" i="4"/>
  <c r="AR62" i="4" s="1"/>
  <c r="AB64" i="4"/>
  <c r="AO64" i="4"/>
  <c r="AR64" i="4" s="1"/>
  <c r="AB66" i="4"/>
  <c r="AO66" i="4"/>
  <c r="AR66" i="4" s="1"/>
  <c r="AB68" i="4"/>
  <c r="AO68" i="4"/>
  <c r="AR68" i="4" s="1"/>
  <c r="AB70" i="4"/>
  <c r="AO70" i="4"/>
  <c r="AR70" i="4" s="1"/>
  <c r="AB72" i="4"/>
  <c r="AO72" i="4"/>
  <c r="AR72" i="4" s="1"/>
  <c r="AB74" i="4"/>
  <c r="AO74" i="4"/>
  <c r="AR74" i="4" s="1"/>
  <c r="AB76" i="4"/>
  <c r="AO76" i="4"/>
  <c r="AR76" i="4" s="1"/>
  <c r="AB78" i="4"/>
  <c r="AO78" i="4"/>
  <c r="AR78" i="4" s="1"/>
  <c r="AB80" i="4"/>
  <c r="AO80" i="4"/>
  <c r="AR80" i="4" s="1"/>
  <c r="AB82" i="4"/>
  <c r="AO82" i="4"/>
  <c r="AR82" i="4" s="1"/>
  <c r="AB84" i="4"/>
  <c r="AO84" i="4"/>
  <c r="AR84" i="4" s="1"/>
  <c r="AB86" i="4"/>
  <c r="AO86" i="4"/>
  <c r="AR86" i="4" s="1"/>
  <c r="AB88" i="4"/>
  <c r="AO88" i="4"/>
  <c r="AR88" i="4" s="1"/>
  <c r="AB90" i="4"/>
  <c r="AO90" i="4"/>
  <c r="AR90" i="4" s="1"/>
  <c r="AB92" i="4"/>
  <c r="AO92" i="4"/>
  <c r="AR92" i="4" s="1"/>
  <c r="AB94" i="4"/>
  <c r="AO94" i="4"/>
  <c r="AR94" i="4" s="1"/>
  <c r="AB96" i="4"/>
  <c r="AO96" i="4"/>
  <c r="AR96" i="4" s="1"/>
  <c r="AB98" i="4"/>
  <c r="AO98" i="4"/>
  <c r="AR98" i="4" s="1"/>
  <c r="AB100" i="4"/>
  <c r="AO100" i="4"/>
  <c r="AR100" i="4" s="1"/>
  <c r="AB102" i="4"/>
  <c r="AO102" i="4"/>
  <c r="AR102" i="4" s="1"/>
  <c r="AB104" i="4"/>
  <c r="AO104" i="4"/>
  <c r="AR104" i="4" s="1"/>
  <c r="AB106" i="4"/>
  <c r="AO106" i="4"/>
  <c r="AR106" i="4" s="1"/>
  <c r="AB108" i="4"/>
  <c r="AO108" i="4"/>
  <c r="AR108" i="4" s="1"/>
  <c r="AB110" i="4"/>
  <c r="AO110" i="4"/>
  <c r="AR110" i="4" s="1"/>
  <c r="AB112" i="4"/>
  <c r="AO112" i="4"/>
  <c r="AR112" i="4" s="1"/>
  <c r="AB114" i="4"/>
  <c r="AO114" i="4"/>
  <c r="AR114" i="4" s="1"/>
  <c r="AB116" i="4"/>
  <c r="AO116" i="4"/>
  <c r="AR116" i="4" s="1"/>
  <c r="AC9" i="4"/>
  <c r="AP9" i="4"/>
  <c r="AS9" i="4" s="1"/>
  <c r="AC11" i="4"/>
  <c r="AP11" i="4"/>
  <c r="AS11" i="4" s="1"/>
  <c r="AC13" i="4"/>
  <c r="AP13" i="4"/>
  <c r="AS13" i="4" s="1"/>
  <c r="AC15" i="4"/>
  <c r="AP15" i="4"/>
  <c r="AS15" i="4" s="1"/>
  <c r="AC17" i="4"/>
  <c r="AP17" i="4"/>
  <c r="AS17" i="4" s="1"/>
  <c r="AC19" i="4"/>
  <c r="AP19" i="4"/>
  <c r="AS19" i="4" s="1"/>
  <c r="AC21" i="4"/>
  <c r="AP21" i="4"/>
  <c r="AS21" i="4" s="1"/>
  <c r="AC23" i="4"/>
  <c r="AP23" i="4"/>
  <c r="AS23" i="4" s="1"/>
  <c r="AC25" i="4"/>
  <c r="AP25" i="4"/>
  <c r="AS25" i="4" s="1"/>
  <c r="AC27" i="4"/>
  <c r="AP27" i="4"/>
  <c r="AS27" i="4" s="1"/>
  <c r="AC29" i="4"/>
  <c r="AP29" i="4"/>
  <c r="AS29" i="4" s="1"/>
  <c r="AC31" i="4"/>
  <c r="AP31" i="4"/>
  <c r="AS31" i="4" s="1"/>
  <c r="AC33" i="4"/>
  <c r="AP33" i="4"/>
  <c r="AS33" i="4" s="1"/>
  <c r="AC35" i="4"/>
  <c r="AP35" i="4"/>
  <c r="AS35" i="4" s="1"/>
  <c r="AC37" i="4"/>
  <c r="AP37" i="4"/>
  <c r="AS37" i="4" s="1"/>
  <c r="AC39" i="4"/>
  <c r="AP39" i="4"/>
  <c r="AS39" i="4" s="1"/>
  <c r="AC41" i="4"/>
  <c r="AP41" i="4"/>
  <c r="AS41" i="4" s="1"/>
  <c r="AC43" i="4"/>
  <c r="AP43" i="4"/>
  <c r="AS43" i="4" s="1"/>
  <c r="AC45" i="4"/>
  <c r="AP45" i="4"/>
  <c r="AS45" i="4" s="1"/>
  <c r="AC47" i="4"/>
  <c r="AP47" i="4"/>
  <c r="AS47" i="4" s="1"/>
  <c r="AC49" i="4"/>
  <c r="AP49" i="4"/>
  <c r="AS49" i="4" s="1"/>
  <c r="AC51" i="4"/>
  <c r="AP51" i="4"/>
  <c r="AS51" i="4" s="1"/>
  <c r="AC53" i="4"/>
  <c r="AP53" i="4"/>
  <c r="AS53" i="4" s="1"/>
  <c r="AC55" i="4"/>
  <c r="AP55" i="4"/>
  <c r="AS55" i="4" s="1"/>
  <c r="AC57" i="4"/>
  <c r="AP57" i="4"/>
  <c r="AS57" i="4" s="1"/>
  <c r="AC59" i="4"/>
  <c r="AP59" i="4"/>
  <c r="AS59" i="4" s="1"/>
  <c r="AC61" i="4"/>
  <c r="AP61" i="4"/>
  <c r="AS61" i="4" s="1"/>
  <c r="AC63" i="4"/>
  <c r="AP63" i="4"/>
  <c r="AS63" i="4" s="1"/>
  <c r="AC65" i="4"/>
  <c r="AP65" i="4"/>
  <c r="AS65" i="4" s="1"/>
  <c r="AC67" i="4"/>
  <c r="AP67" i="4"/>
  <c r="AS67" i="4" s="1"/>
  <c r="AC69" i="4"/>
  <c r="AP69" i="4"/>
  <c r="AS69" i="4" s="1"/>
  <c r="AC71" i="4"/>
  <c r="AP71" i="4"/>
  <c r="AS71" i="4" s="1"/>
  <c r="AC73" i="4"/>
  <c r="AP73" i="4"/>
  <c r="AS73" i="4" s="1"/>
  <c r="AC75" i="4"/>
  <c r="AP75" i="4"/>
  <c r="AS75" i="4" s="1"/>
  <c r="AC77" i="4"/>
  <c r="AP77" i="4"/>
  <c r="AS77" i="4" s="1"/>
  <c r="AC79" i="4"/>
  <c r="AP79" i="4"/>
  <c r="AS79" i="4" s="1"/>
  <c r="AC81" i="4"/>
  <c r="AP81" i="4"/>
  <c r="AS81" i="4" s="1"/>
  <c r="AC83" i="4"/>
  <c r="AP83" i="4"/>
  <c r="AS83" i="4" s="1"/>
  <c r="AC85" i="4"/>
  <c r="AP85" i="4"/>
  <c r="AS85" i="4" s="1"/>
  <c r="AC87" i="4"/>
  <c r="AP87" i="4"/>
  <c r="AS87" i="4" s="1"/>
  <c r="AC89" i="4"/>
  <c r="AP89" i="4"/>
  <c r="AS89" i="4" s="1"/>
  <c r="AC91" i="4"/>
  <c r="AP91" i="4"/>
  <c r="AS91" i="4" s="1"/>
  <c r="AC93" i="4"/>
  <c r="AP93" i="4"/>
  <c r="AS93" i="4" s="1"/>
  <c r="AC95" i="4"/>
  <c r="AP95" i="4"/>
  <c r="AS95" i="4" s="1"/>
  <c r="AC97" i="4"/>
  <c r="AP97" i="4"/>
  <c r="AS97" i="4" s="1"/>
  <c r="AC99" i="4"/>
  <c r="AP99" i="4"/>
  <c r="AS99" i="4" s="1"/>
  <c r="AC101" i="4"/>
  <c r="AP101" i="4"/>
  <c r="AS101" i="4" s="1"/>
  <c r="AC103" i="4"/>
  <c r="AP103" i="4"/>
  <c r="AS103" i="4" s="1"/>
  <c r="AC105" i="4"/>
  <c r="AP105" i="4"/>
  <c r="AS105" i="4" s="1"/>
  <c r="AC107" i="4"/>
  <c r="AP107" i="4"/>
  <c r="AS107" i="4" s="1"/>
  <c r="AC109" i="4"/>
  <c r="AP109" i="4"/>
  <c r="AS109" i="4" s="1"/>
  <c r="AC111" i="4"/>
  <c r="AP111" i="4"/>
  <c r="AS111" i="4" s="1"/>
  <c r="AC113" i="4"/>
  <c r="AP113" i="4"/>
  <c r="AS113" i="4" s="1"/>
  <c r="AC115" i="4"/>
  <c r="AP115" i="4"/>
  <c r="AS115" i="4" s="1"/>
  <c r="AC117" i="4"/>
  <c r="AP117" i="4"/>
  <c r="AS117" i="4" s="1"/>
  <c r="AB9" i="4"/>
  <c r="AO9" i="4"/>
  <c r="AR9" i="4" s="1"/>
  <c r="AB11" i="4"/>
  <c r="AO11" i="4"/>
  <c r="AR11" i="4" s="1"/>
  <c r="AB13" i="4"/>
  <c r="AO13" i="4"/>
  <c r="AR13" i="4" s="1"/>
  <c r="AB15" i="4"/>
  <c r="AO15" i="4"/>
  <c r="AR15" i="4" s="1"/>
  <c r="AB17" i="4"/>
  <c r="AO17" i="4"/>
  <c r="AR17" i="4" s="1"/>
  <c r="AB19" i="4"/>
  <c r="AO19" i="4"/>
  <c r="AR19" i="4" s="1"/>
  <c r="AB21" i="4"/>
  <c r="AO21" i="4"/>
  <c r="AR21" i="4" s="1"/>
  <c r="AB23" i="4"/>
  <c r="AO23" i="4"/>
  <c r="AR23" i="4" s="1"/>
  <c r="AB25" i="4"/>
  <c r="AO25" i="4"/>
  <c r="AR25" i="4" s="1"/>
  <c r="AB27" i="4"/>
  <c r="AO27" i="4"/>
  <c r="AR27" i="4" s="1"/>
  <c r="AB29" i="4"/>
  <c r="AO29" i="4"/>
  <c r="AR29" i="4" s="1"/>
  <c r="AB31" i="4"/>
  <c r="AO31" i="4"/>
  <c r="AR31" i="4" s="1"/>
  <c r="AB33" i="4"/>
  <c r="AO33" i="4"/>
  <c r="AR33" i="4" s="1"/>
  <c r="AB35" i="4"/>
  <c r="AO35" i="4"/>
  <c r="AR35" i="4" s="1"/>
  <c r="AB37" i="4"/>
  <c r="AO37" i="4"/>
  <c r="AR37" i="4" s="1"/>
  <c r="AB39" i="4"/>
  <c r="AO39" i="4"/>
  <c r="AR39" i="4" s="1"/>
  <c r="AB41" i="4"/>
  <c r="AO41" i="4"/>
  <c r="AR41" i="4" s="1"/>
  <c r="AB43" i="4"/>
  <c r="AO43" i="4"/>
  <c r="AR43" i="4" s="1"/>
  <c r="AB45" i="4"/>
  <c r="AO45" i="4"/>
  <c r="AR45" i="4" s="1"/>
  <c r="AB47" i="4"/>
  <c r="AO47" i="4"/>
  <c r="AR47" i="4" s="1"/>
  <c r="AB49" i="4"/>
  <c r="AO49" i="4"/>
  <c r="AR49" i="4" s="1"/>
  <c r="AB51" i="4"/>
  <c r="AO51" i="4"/>
  <c r="AR51" i="4" s="1"/>
  <c r="AB53" i="4"/>
  <c r="AO53" i="4"/>
  <c r="AR53" i="4" s="1"/>
  <c r="AB55" i="4"/>
  <c r="AO55" i="4"/>
  <c r="AR55" i="4" s="1"/>
  <c r="AB57" i="4"/>
  <c r="AO57" i="4"/>
  <c r="AR57" i="4" s="1"/>
  <c r="AB59" i="4"/>
  <c r="AO59" i="4"/>
  <c r="AR59" i="4" s="1"/>
  <c r="AB61" i="4"/>
  <c r="AO61" i="4"/>
  <c r="AR61" i="4" s="1"/>
  <c r="AB63" i="4"/>
  <c r="AO63" i="4"/>
  <c r="AR63" i="4" s="1"/>
  <c r="AB65" i="4"/>
  <c r="AO65" i="4"/>
  <c r="AR65" i="4" s="1"/>
  <c r="AB67" i="4"/>
  <c r="AO67" i="4"/>
  <c r="AR67" i="4" s="1"/>
  <c r="AB69" i="4"/>
  <c r="AO69" i="4"/>
  <c r="AR69" i="4" s="1"/>
  <c r="AB71" i="4"/>
  <c r="AO71" i="4"/>
  <c r="AR71" i="4" s="1"/>
  <c r="AB73" i="4"/>
  <c r="AO73" i="4"/>
  <c r="AR73" i="4" s="1"/>
  <c r="AB75" i="4"/>
  <c r="AO75" i="4"/>
  <c r="AR75" i="4" s="1"/>
  <c r="AB77" i="4"/>
  <c r="AO77" i="4"/>
  <c r="AR77" i="4" s="1"/>
  <c r="AB79" i="4"/>
  <c r="AO79" i="4"/>
  <c r="AR79" i="4" s="1"/>
  <c r="AB81" i="4"/>
  <c r="AO81" i="4"/>
  <c r="AR81" i="4" s="1"/>
  <c r="AB83" i="4"/>
  <c r="AO83" i="4"/>
  <c r="AR83" i="4" s="1"/>
  <c r="AB85" i="4"/>
  <c r="AO85" i="4"/>
  <c r="AR85" i="4" s="1"/>
  <c r="AB87" i="4"/>
  <c r="AO87" i="4"/>
  <c r="AR87" i="4" s="1"/>
  <c r="AB89" i="4"/>
  <c r="AO89" i="4"/>
  <c r="AR89" i="4" s="1"/>
  <c r="AB91" i="4"/>
  <c r="AO91" i="4"/>
  <c r="AR91" i="4" s="1"/>
  <c r="AB93" i="4"/>
  <c r="AO93" i="4"/>
  <c r="AR93" i="4" s="1"/>
  <c r="AB95" i="4"/>
  <c r="AO95" i="4"/>
  <c r="AR95" i="4" s="1"/>
  <c r="AB97" i="4"/>
  <c r="AO97" i="4"/>
  <c r="AR97" i="4" s="1"/>
  <c r="AB99" i="4"/>
  <c r="AO99" i="4"/>
  <c r="AR99" i="4" s="1"/>
  <c r="AB101" i="4"/>
  <c r="AO101" i="4"/>
  <c r="AR101" i="4" s="1"/>
  <c r="AB103" i="4"/>
  <c r="AO103" i="4"/>
  <c r="AR103" i="4" s="1"/>
  <c r="AB105" i="4"/>
  <c r="AO105" i="4"/>
  <c r="AR105" i="4" s="1"/>
  <c r="AB107" i="4"/>
  <c r="AO107" i="4"/>
  <c r="AR107" i="4" s="1"/>
  <c r="AB109" i="4"/>
  <c r="AO109" i="4"/>
  <c r="AR109" i="4" s="1"/>
  <c r="AB111" i="4"/>
  <c r="AO111" i="4"/>
  <c r="AR111" i="4" s="1"/>
  <c r="AB113" i="4"/>
  <c r="AO113" i="4"/>
  <c r="AR113" i="4" s="1"/>
  <c r="AB115" i="4"/>
  <c r="AO115" i="4"/>
  <c r="AR115" i="4" s="1"/>
  <c r="AB117" i="4"/>
  <c r="AO117" i="4"/>
  <c r="AR117" i="4" s="1"/>
  <c r="AD10" i="3"/>
  <c r="AP10" i="3"/>
  <c r="AS10" i="3" s="1"/>
  <c r="AD16" i="3"/>
  <c r="AP16" i="3"/>
  <c r="AS16" i="3" s="1"/>
  <c r="AD22" i="3"/>
  <c r="AP22" i="3"/>
  <c r="AD26" i="3"/>
  <c r="AP26" i="3"/>
  <c r="AS26" i="3" s="1"/>
  <c r="AD32" i="3"/>
  <c r="AP32" i="3"/>
  <c r="AS32" i="3" s="1"/>
  <c r="AD38" i="3"/>
  <c r="AP38" i="3"/>
  <c r="AS38" i="3" s="1"/>
  <c r="AD44" i="3"/>
  <c r="AP44" i="3"/>
  <c r="AS44" i="3" s="1"/>
  <c r="AD46" i="3"/>
  <c r="AP46" i="3"/>
  <c r="AS46" i="3" s="1"/>
  <c r="AD50" i="3"/>
  <c r="AP50" i="3"/>
  <c r="AS50" i="3" s="1"/>
  <c r="AD54" i="3"/>
  <c r="AP54" i="3"/>
  <c r="AS54" i="3" s="1"/>
  <c r="AD58" i="3"/>
  <c r="AP58" i="3"/>
  <c r="AS58" i="3" s="1"/>
  <c r="AD66" i="3"/>
  <c r="AP66" i="3"/>
  <c r="AS66" i="3" s="1"/>
  <c r="AD68" i="3"/>
  <c r="AP68" i="3"/>
  <c r="AS68" i="3" s="1"/>
  <c r="AD74" i="3"/>
  <c r="AP74" i="3"/>
  <c r="AS74" i="3" s="1"/>
  <c r="AD78" i="3"/>
  <c r="AP78" i="3"/>
  <c r="AS78" i="3" s="1"/>
  <c r="AD84" i="3"/>
  <c r="AP84" i="3"/>
  <c r="AS84" i="3" s="1"/>
  <c r="AD88" i="3"/>
  <c r="AP88" i="3"/>
  <c r="AS88" i="3" s="1"/>
  <c r="AD92" i="3"/>
  <c r="AP92" i="3"/>
  <c r="AS92" i="3" s="1"/>
  <c r="AD96" i="3"/>
  <c r="AP96" i="3"/>
  <c r="AS96" i="3" s="1"/>
  <c r="AC8" i="3"/>
  <c r="AO8" i="3"/>
  <c r="AC10" i="3"/>
  <c r="AO10" i="3"/>
  <c r="AR10" i="3" s="1"/>
  <c r="AC12" i="3"/>
  <c r="AO12" i="3"/>
  <c r="AR12" i="3" s="1"/>
  <c r="AC14" i="3"/>
  <c r="AO14" i="3"/>
  <c r="AR14" i="3" s="1"/>
  <c r="AC16" i="3"/>
  <c r="AO16" i="3"/>
  <c r="AR16" i="3" s="1"/>
  <c r="AC18" i="3"/>
  <c r="AO18" i="3"/>
  <c r="AR18" i="3" s="1"/>
  <c r="AC20" i="3"/>
  <c r="AO20" i="3"/>
  <c r="AR20" i="3" s="1"/>
  <c r="AC22" i="3"/>
  <c r="AO22" i="3"/>
  <c r="AC24" i="3"/>
  <c r="AO24" i="3"/>
  <c r="AR24" i="3" s="1"/>
  <c r="AC26" i="3"/>
  <c r="AO26" i="3"/>
  <c r="AR26" i="3" s="1"/>
  <c r="AC28" i="3"/>
  <c r="AO28" i="3"/>
  <c r="AR28" i="3" s="1"/>
  <c r="AC30" i="3"/>
  <c r="AO30" i="3"/>
  <c r="AR30" i="3" s="1"/>
  <c r="AC32" i="3"/>
  <c r="AO32" i="3"/>
  <c r="AR32" i="3" s="1"/>
  <c r="AC34" i="3"/>
  <c r="AO34" i="3"/>
  <c r="AR34" i="3" s="1"/>
  <c r="AC36" i="3"/>
  <c r="AO36" i="3"/>
  <c r="AR36" i="3" s="1"/>
  <c r="AC38" i="3"/>
  <c r="AO38" i="3"/>
  <c r="AR38" i="3" s="1"/>
  <c r="AC40" i="3"/>
  <c r="AO40" i="3"/>
  <c r="AR40" i="3" s="1"/>
  <c r="AC42" i="3"/>
  <c r="AO42" i="3"/>
  <c r="AR42" i="3" s="1"/>
  <c r="AC44" i="3"/>
  <c r="AO44" i="3"/>
  <c r="AR44" i="3" s="1"/>
  <c r="AC46" i="3"/>
  <c r="AO46" i="3"/>
  <c r="AR46" i="3" s="1"/>
  <c r="AC48" i="3"/>
  <c r="AO48" i="3"/>
  <c r="AR48" i="3" s="1"/>
  <c r="AC50" i="3"/>
  <c r="AO50" i="3"/>
  <c r="AR50" i="3" s="1"/>
  <c r="AC52" i="3"/>
  <c r="AO52" i="3"/>
  <c r="AR52" i="3" s="1"/>
  <c r="AC54" i="3"/>
  <c r="AO54" i="3"/>
  <c r="AR54" i="3" s="1"/>
  <c r="AC56" i="3"/>
  <c r="AO56" i="3"/>
  <c r="AR56" i="3" s="1"/>
  <c r="AC58" i="3"/>
  <c r="AO58" i="3"/>
  <c r="AR58" i="3" s="1"/>
  <c r="AC60" i="3"/>
  <c r="AO60" i="3"/>
  <c r="AR60" i="3" s="1"/>
  <c r="AC62" i="3"/>
  <c r="AO62" i="3"/>
  <c r="AR62" i="3" s="1"/>
  <c r="AC64" i="3"/>
  <c r="AO64" i="3"/>
  <c r="AR64" i="3" s="1"/>
  <c r="AC66" i="3"/>
  <c r="AO66" i="3"/>
  <c r="AR66" i="3" s="1"/>
  <c r="AC68" i="3"/>
  <c r="AO68" i="3"/>
  <c r="AR68" i="3" s="1"/>
  <c r="AC70" i="3"/>
  <c r="AO70" i="3"/>
  <c r="AR70" i="3" s="1"/>
  <c r="AC72" i="3"/>
  <c r="AO72" i="3"/>
  <c r="AR72" i="3" s="1"/>
  <c r="AC74" i="3"/>
  <c r="AO74" i="3"/>
  <c r="AR74" i="3" s="1"/>
  <c r="AC76" i="3"/>
  <c r="AO76" i="3"/>
  <c r="AR76" i="3" s="1"/>
  <c r="AC78" i="3"/>
  <c r="AO78" i="3"/>
  <c r="AR78" i="3" s="1"/>
  <c r="AC80" i="3"/>
  <c r="AO80" i="3"/>
  <c r="AR80" i="3" s="1"/>
  <c r="AC82" i="3"/>
  <c r="AO82" i="3"/>
  <c r="AR82" i="3" s="1"/>
  <c r="AC84" i="3"/>
  <c r="AO84" i="3"/>
  <c r="AR84" i="3" s="1"/>
  <c r="AC86" i="3"/>
  <c r="AO86" i="3"/>
  <c r="AR86" i="3" s="1"/>
  <c r="AC88" i="3"/>
  <c r="AO88" i="3"/>
  <c r="AR88" i="3" s="1"/>
  <c r="AC90" i="3"/>
  <c r="AO90" i="3"/>
  <c r="AR90" i="3" s="1"/>
  <c r="AC92" i="3"/>
  <c r="AO92" i="3"/>
  <c r="AR92" i="3" s="1"/>
  <c r="AC94" i="3"/>
  <c r="AO94" i="3"/>
  <c r="AR94" i="3" s="1"/>
  <c r="AC96" i="3"/>
  <c r="AO96" i="3"/>
  <c r="AR96" i="3" s="1"/>
  <c r="AC98" i="3"/>
  <c r="AO98" i="3"/>
  <c r="AR98" i="3" s="1"/>
  <c r="AD14" i="3"/>
  <c r="AP14" i="3"/>
  <c r="AS14" i="3" s="1"/>
  <c r="AD20" i="3"/>
  <c r="AP20" i="3"/>
  <c r="AS20" i="3" s="1"/>
  <c r="AD30" i="3"/>
  <c r="AP30" i="3"/>
  <c r="AS30" i="3" s="1"/>
  <c r="AD40" i="3"/>
  <c r="AP40" i="3"/>
  <c r="AS40" i="3" s="1"/>
  <c r="AD62" i="3"/>
  <c r="AP62" i="3"/>
  <c r="AS62" i="3" s="1"/>
  <c r="AD9" i="3"/>
  <c r="AP9" i="3"/>
  <c r="AS9" i="3" s="1"/>
  <c r="AD11" i="3"/>
  <c r="AP11" i="3"/>
  <c r="AS11" i="3" s="1"/>
  <c r="AD13" i="3"/>
  <c r="AP13" i="3"/>
  <c r="AS13" i="3" s="1"/>
  <c r="AD15" i="3"/>
  <c r="AP15" i="3"/>
  <c r="AS15" i="3" s="1"/>
  <c r="AD17" i="3"/>
  <c r="AP17" i="3"/>
  <c r="AS17" i="3" s="1"/>
  <c r="AD19" i="3"/>
  <c r="AP19" i="3"/>
  <c r="AS19" i="3" s="1"/>
  <c r="AD21" i="3"/>
  <c r="AP21" i="3"/>
  <c r="AS21" i="3" s="1"/>
  <c r="AD23" i="3"/>
  <c r="AP23" i="3"/>
  <c r="AS23" i="3" s="1"/>
  <c r="AD25" i="3"/>
  <c r="AP25" i="3"/>
  <c r="AS25" i="3" s="1"/>
  <c r="AD27" i="3"/>
  <c r="AP27" i="3"/>
  <c r="AS27" i="3" s="1"/>
  <c r="AD29" i="3"/>
  <c r="AP29" i="3"/>
  <c r="AS29" i="3" s="1"/>
  <c r="AD31" i="3"/>
  <c r="AP31" i="3"/>
  <c r="AS31" i="3" s="1"/>
  <c r="AD33" i="3"/>
  <c r="AP33" i="3"/>
  <c r="AS33" i="3" s="1"/>
  <c r="AD35" i="3"/>
  <c r="AP35" i="3"/>
  <c r="AS35" i="3" s="1"/>
  <c r="AD37" i="3"/>
  <c r="AP37" i="3"/>
  <c r="AS37" i="3" s="1"/>
  <c r="AD39" i="3"/>
  <c r="AP39" i="3"/>
  <c r="AS39" i="3" s="1"/>
  <c r="AD41" i="3"/>
  <c r="AP41" i="3"/>
  <c r="AS41" i="3" s="1"/>
  <c r="AD43" i="3"/>
  <c r="AP43" i="3"/>
  <c r="AS43" i="3" s="1"/>
  <c r="AD45" i="3"/>
  <c r="AP45" i="3"/>
  <c r="AS45" i="3" s="1"/>
  <c r="AD47" i="3"/>
  <c r="AP47" i="3"/>
  <c r="AS47" i="3" s="1"/>
  <c r="AD49" i="3"/>
  <c r="AP49" i="3"/>
  <c r="AS49" i="3" s="1"/>
  <c r="AD51" i="3"/>
  <c r="AP51" i="3"/>
  <c r="AS51" i="3" s="1"/>
  <c r="AD53" i="3"/>
  <c r="AP53" i="3"/>
  <c r="AS53" i="3" s="1"/>
  <c r="AD57" i="3"/>
  <c r="AP57" i="3"/>
  <c r="AS57" i="3" s="1"/>
  <c r="AD59" i="3"/>
  <c r="AP59" i="3"/>
  <c r="AS59" i="3" s="1"/>
  <c r="AD61" i="3"/>
  <c r="AP61" i="3"/>
  <c r="AS61" i="3" s="1"/>
  <c r="AD63" i="3"/>
  <c r="AP63" i="3"/>
  <c r="AS63" i="3" s="1"/>
  <c r="AD65" i="3"/>
  <c r="AP65" i="3"/>
  <c r="AS65" i="3" s="1"/>
  <c r="AD67" i="3"/>
  <c r="AP67" i="3"/>
  <c r="AS67" i="3" s="1"/>
  <c r="AD69" i="3"/>
  <c r="AP69" i="3"/>
  <c r="AS69" i="3" s="1"/>
  <c r="AD71" i="3"/>
  <c r="AP71" i="3"/>
  <c r="AS71" i="3" s="1"/>
  <c r="AD73" i="3"/>
  <c r="AP73" i="3"/>
  <c r="AS73" i="3" s="1"/>
  <c r="AD75" i="3"/>
  <c r="AP75" i="3"/>
  <c r="AS75" i="3" s="1"/>
  <c r="AD77" i="3"/>
  <c r="AP77" i="3"/>
  <c r="AS77" i="3" s="1"/>
  <c r="AD79" i="3"/>
  <c r="AP79" i="3"/>
  <c r="AS79" i="3" s="1"/>
  <c r="AD81" i="3"/>
  <c r="AP81" i="3"/>
  <c r="AS81" i="3" s="1"/>
  <c r="AD83" i="3"/>
  <c r="AP83" i="3"/>
  <c r="AS83" i="3" s="1"/>
  <c r="AD85" i="3"/>
  <c r="AP85" i="3"/>
  <c r="AS85" i="3" s="1"/>
  <c r="AD87" i="3"/>
  <c r="AP87" i="3"/>
  <c r="AS87" i="3" s="1"/>
  <c r="AD89" i="3"/>
  <c r="AP89" i="3"/>
  <c r="AS89" i="3" s="1"/>
  <c r="AD91" i="3"/>
  <c r="AP91" i="3"/>
  <c r="AS91" i="3" s="1"/>
  <c r="AD93" i="3"/>
  <c r="AP93" i="3"/>
  <c r="AS93" i="3" s="1"/>
  <c r="AD95" i="3"/>
  <c r="AP95" i="3"/>
  <c r="AS95" i="3" s="1"/>
  <c r="AD97" i="3"/>
  <c r="AP97" i="3"/>
  <c r="AS97" i="3" s="1"/>
  <c r="AD8" i="3"/>
  <c r="AP8" i="3"/>
  <c r="AD12" i="3"/>
  <c r="AP12" i="3"/>
  <c r="AS12" i="3" s="1"/>
  <c r="AD18" i="3"/>
  <c r="AP18" i="3"/>
  <c r="AS18" i="3" s="1"/>
  <c r="AD24" i="3"/>
  <c r="AP24" i="3"/>
  <c r="AS24" i="3" s="1"/>
  <c r="AD28" i="3"/>
  <c r="AP28" i="3"/>
  <c r="AS28" i="3" s="1"/>
  <c r="AD34" i="3"/>
  <c r="AP34" i="3"/>
  <c r="AS34" i="3" s="1"/>
  <c r="AD36" i="3"/>
  <c r="AP36" i="3"/>
  <c r="AS36" i="3" s="1"/>
  <c r="AD42" i="3"/>
  <c r="AP42" i="3"/>
  <c r="AS42" i="3" s="1"/>
  <c r="AD48" i="3"/>
  <c r="AP48" i="3"/>
  <c r="AS48" i="3" s="1"/>
  <c r="AD52" i="3"/>
  <c r="AP52" i="3"/>
  <c r="AS52" i="3" s="1"/>
  <c r="AD56" i="3"/>
  <c r="AP56" i="3"/>
  <c r="AS56" i="3" s="1"/>
  <c r="AD60" i="3"/>
  <c r="AP60" i="3"/>
  <c r="AS60" i="3" s="1"/>
  <c r="AD64" i="3"/>
  <c r="AP64" i="3"/>
  <c r="AS64" i="3" s="1"/>
  <c r="AD70" i="3"/>
  <c r="AP70" i="3"/>
  <c r="AS70" i="3" s="1"/>
  <c r="AD72" i="3"/>
  <c r="AP72" i="3"/>
  <c r="AS72" i="3" s="1"/>
  <c r="AD76" i="3"/>
  <c r="AP76" i="3"/>
  <c r="AS76" i="3" s="1"/>
  <c r="AD80" i="3"/>
  <c r="AP80" i="3"/>
  <c r="AS80" i="3" s="1"/>
  <c r="AD82" i="3"/>
  <c r="AP82" i="3"/>
  <c r="AS82" i="3" s="1"/>
  <c r="AD86" i="3"/>
  <c r="AP86" i="3"/>
  <c r="AS86" i="3" s="1"/>
  <c r="AD90" i="3"/>
  <c r="AP90" i="3"/>
  <c r="AS90" i="3" s="1"/>
  <c r="AD94" i="3"/>
  <c r="AP94" i="3"/>
  <c r="AS94" i="3" s="1"/>
  <c r="AD98" i="3"/>
  <c r="AP98" i="3"/>
  <c r="AS98" i="3" s="1"/>
  <c r="AD55" i="3"/>
  <c r="AP55" i="3"/>
  <c r="AS55" i="3" s="1"/>
  <c r="AC9" i="3"/>
  <c r="AO9" i="3"/>
  <c r="AR9" i="3" s="1"/>
  <c r="AC11" i="3"/>
  <c r="AO11" i="3"/>
  <c r="AR11" i="3" s="1"/>
  <c r="AC13" i="3"/>
  <c r="AO13" i="3"/>
  <c r="AR13" i="3" s="1"/>
  <c r="AC15" i="3"/>
  <c r="AO15" i="3"/>
  <c r="AR15" i="3" s="1"/>
  <c r="AC17" i="3"/>
  <c r="AO17" i="3"/>
  <c r="AR17" i="3" s="1"/>
  <c r="AC19" i="3"/>
  <c r="AO19" i="3"/>
  <c r="AR19" i="3" s="1"/>
  <c r="AC21" i="3"/>
  <c r="AO21" i="3"/>
  <c r="AR21" i="3" s="1"/>
  <c r="AC23" i="3"/>
  <c r="AO23" i="3"/>
  <c r="AR23" i="3" s="1"/>
  <c r="AC25" i="3"/>
  <c r="AO25" i="3"/>
  <c r="AR25" i="3" s="1"/>
  <c r="AC27" i="3"/>
  <c r="AO27" i="3"/>
  <c r="AR27" i="3" s="1"/>
  <c r="AC29" i="3"/>
  <c r="AO29" i="3"/>
  <c r="AR29" i="3" s="1"/>
  <c r="AC31" i="3"/>
  <c r="AO31" i="3"/>
  <c r="AR31" i="3" s="1"/>
  <c r="AC33" i="3"/>
  <c r="AO33" i="3"/>
  <c r="AR33" i="3" s="1"/>
  <c r="AC35" i="3"/>
  <c r="AO35" i="3"/>
  <c r="AR35" i="3" s="1"/>
  <c r="AC37" i="3"/>
  <c r="AO37" i="3"/>
  <c r="AR37" i="3" s="1"/>
  <c r="AC39" i="3"/>
  <c r="AO39" i="3"/>
  <c r="AR39" i="3" s="1"/>
  <c r="AC41" i="3"/>
  <c r="AO41" i="3"/>
  <c r="AR41" i="3" s="1"/>
  <c r="AC43" i="3"/>
  <c r="AO43" i="3"/>
  <c r="AR43" i="3" s="1"/>
  <c r="AC45" i="3"/>
  <c r="AO45" i="3"/>
  <c r="AR45" i="3" s="1"/>
  <c r="AC47" i="3"/>
  <c r="AO47" i="3"/>
  <c r="AR47" i="3" s="1"/>
  <c r="AC49" i="3"/>
  <c r="AO49" i="3"/>
  <c r="AR49" i="3" s="1"/>
  <c r="AC51" i="3"/>
  <c r="AO51" i="3"/>
  <c r="AR51" i="3" s="1"/>
  <c r="AC53" i="3"/>
  <c r="AO53" i="3"/>
  <c r="AR53" i="3" s="1"/>
  <c r="AC55" i="3"/>
  <c r="AO55" i="3"/>
  <c r="AR55" i="3" s="1"/>
  <c r="AC57" i="3"/>
  <c r="AO57" i="3"/>
  <c r="AR57" i="3" s="1"/>
  <c r="AC59" i="3"/>
  <c r="AO59" i="3"/>
  <c r="AR59" i="3" s="1"/>
  <c r="AC61" i="3"/>
  <c r="AO61" i="3"/>
  <c r="AR61" i="3" s="1"/>
  <c r="AC63" i="3"/>
  <c r="AO63" i="3"/>
  <c r="AR63" i="3" s="1"/>
  <c r="AC65" i="3"/>
  <c r="AO65" i="3"/>
  <c r="AR65" i="3" s="1"/>
  <c r="AC67" i="3"/>
  <c r="AO67" i="3"/>
  <c r="AR67" i="3" s="1"/>
  <c r="AC69" i="3"/>
  <c r="AO69" i="3"/>
  <c r="AR69" i="3" s="1"/>
  <c r="AC71" i="3"/>
  <c r="AO71" i="3"/>
  <c r="AR71" i="3" s="1"/>
  <c r="AC73" i="3"/>
  <c r="AO73" i="3"/>
  <c r="AR73" i="3" s="1"/>
  <c r="AC75" i="3"/>
  <c r="AO75" i="3"/>
  <c r="AR75" i="3" s="1"/>
  <c r="AC77" i="3"/>
  <c r="AO77" i="3"/>
  <c r="AR77" i="3" s="1"/>
  <c r="AC79" i="3"/>
  <c r="AO79" i="3"/>
  <c r="AR79" i="3" s="1"/>
  <c r="AC81" i="3"/>
  <c r="AO81" i="3"/>
  <c r="AR81" i="3" s="1"/>
  <c r="AC83" i="3"/>
  <c r="AO83" i="3"/>
  <c r="AR83" i="3" s="1"/>
  <c r="AC85" i="3"/>
  <c r="AO85" i="3"/>
  <c r="AR85" i="3" s="1"/>
  <c r="AC87" i="3"/>
  <c r="AO87" i="3"/>
  <c r="AR87" i="3" s="1"/>
  <c r="AC89" i="3"/>
  <c r="AO89" i="3"/>
  <c r="AR89" i="3" s="1"/>
  <c r="AC91" i="3"/>
  <c r="AO91" i="3"/>
  <c r="AR91" i="3" s="1"/>
  <c r="AC93" i="3"/>
  <c r="AO93" i="3"/>
  <c r="AR93" i="3" s="1"/>
  <c r="AC95" i="3"/>
  <c r="AO95" i="3"/>
  <c r="AR95" i="3" s="1"/>
  <c r="AC97" i="3"/>
  <c r="AO97" i="3"/>
  <c r="AR97" i="3" s="1"/>
  <c r="AC9" i="2"/>
  <c r="AP9" i="2"/>
  <c r="AS9" i="2" s="1"/>
  <c r="AC11" i="2"/>
  <c r="AP11" i="2"/>
  <c r="AS11" i="2" s="1"/>
  <c r="AC13" i="2"/>
  <c r="AP13" i="2"/>
  <c r="AS13" i="2" s="1"/>
  <c r="AC17" i="2"/>
  <c r="AP17" i="2"/>
  <c r="AS17" i="2" s="1"/>
  <c r="AC19" i="2"/>
  <c r="AP19" i="2"/>
  <c r="AS19" i="2" s="1"/>
  <c r="AC21" i="2"/>
  <c r="AP21" i="2"/>
  <c r="AS21" i="2" s="1"/>
  <c r="AC23" i="2"/>
  <c r="AP23" i="2"/>
  <c r="AS23" i="2" s="1"/>
  <c r="AC25" i="2"/>
  <c r="AP25" i="2"/>
  <c r="AS25" i="2" s="1"/>
  <c r="AC27" i="2"/>
  <c r="AP27" i="2"/>
  <c r="AS27" i="2" s="1"/>
  <c r="AC29" i="2"/>
  <c r="AP29" i="2"/>
  <c r="AS29" i="2" s="1"/>
  <c r="AC35" i="2"/>
  <c r="AP35" i="2"/>
  <c r="AS35" i="2" s="1"/>
  <c r="AC37" i="2"/>
  <c r="AP37" i="2"/>
  <c r="AS37" i="2" s="1"/>
  <c r="AS39" i="2"/>
  <c r="AC41" i="2"/>
  <c r="AP41" i="2"/>
  <c r="AS41" i="2" s="1"/>
  <c r="AC45" i="2"/>
  <c r="AP45" i="2"/>
  <c r="AS45" i="2" s="1"/>
  <c r="AC47" i="2"/>
  <c r="AP47" i="2"/>
  <c r="AS47" i="2" s="1"/>
  <c r="AC49" i="2"/>
  <c r="AP49" i="2"/>
  <c r="AS49" i="2" s="1"/>
  <c r="AC51" i="2"/>
  <c r="AP51" i="2"/>
  <c r="AS51" i="2" s="1"/>
  <c r="AC61" i="2"/>
  <c r="AP61" i="2"/>
  <c r="AS61" i="2" s="1"/>
  <c r="AC63" i="2"/>
  <c r="AP63" i="2"/>
  <c r="AS63" i="2" s="1"/>
  <c r="AC65" i="2"/>
  <c r="AP65" i="2"/>
  <c r="AS65" i="2" s="1"/>
  <c r="AC67" i="2"/>
  <c r="AP67" i="2"/>
  <c r="AS67" i="2" s="1"/>
  <c r="AC69" i="2"/>
  <c r="AP69" i="2"/>
  <c r="AS69" i="2" s="1"/>
  <c r="AC71" i="2"/>
  <c r="AP71" i="2"/>
  <c r="AS71" i="2" s="1"/>
  <c r="AC73" i="2"/>
  <c r="AP73" i="2"/>
  <c r="AS73" i="2" s="1"/>
  <c r="AC75" i="2"/>
  <c r="AP75" i="2"/>
  <c r="AS75" i="2" s="1"/>
  <c r="AC79" i="2"/>
  <c r="AP79" i="2"/>
  <c r="AS79" i="2" s="1"/>
  <c r="AC81" i="2"/>
  <c r="AP81" i="2"/>
  <c r="AS81" i="2" s="1"/>
  <c r="AC83" i="2"/>
  <c r="AP83" i="2"/>
  <c r="AS83" i="2" s="1"/>
  <c r="AB9" i="2"/>
  <c r="AO9" i="2"/>
  <c r="AR9" i="2" s="1"/>
  <c r="AB11" i="2"/>
  <c r="AO11" i="2"/>
  <c r="AR11" i="2" s="1"/>
  <c r="AB13" i="2"/>
  <c r="AO13" i="2"/>
  <c r="AR13" i="2" s="1"/>
  <c r="AB17" i="2"/>
  <c r="AO17" i="2"/>
  <c r="AR17" i="2" s="1"/>
  <c r="AB19" i="2"/>
  <c r="AO19" i="2"/>
  <c r="AR19" i="2" s="1"/>
  <c r="AB21" i="2"/>
  <c r="AO21" i="2"/>
  <c r="AR21" i="2" s="1"/>
  <c r="AB23" i="2"/>
  <c r="AO23" i="2"/>
  <c r="AR23" i="2" s="1"/>
  <c r="AB25" i="2"/>
  <c r="AO25" i="2"/>
  <c r="AR25" i="2" s="1"/>
  <c r="AB27" i="2"/>
  <c r="AO27" i="2"/>
  <c r="AR27" i="2" s="1"/>
  <c r="AB29" i="2"/>
  <c r="AO29" i="2"/>
  <c r="AR29" i="2" s="1"/>
  <c r="AB35" i="2"/>
  <c r="AO35" i="2"/>
  <c r="AR35" i="2" s="1"/>
  <c r="AB37" i="2"/>
  <c r="AO37" i="2"/>
  <c r="AR37" i="2" s="1"/>
  <c r="AR39" i="2"/>
  <c r="AB41" i="2"/>
  <c r="AO41" i="2"/>
  <c r="AR41" i="2" s="1"/>
  <c r="AB45" i="2"/>
  <c r="AO45" i="2"/>
  <c r="AR45" i="2" s="1"/>
  <c r="AB47" i="2"/>
  <c r="AO47" i="2"/>
  <c r="AR47" i="2" s="1"/>
  <c r="AB49" i="2"/>
  <c r="AO49" i="2"/>
  <c r="AR49" i="2" s="1"/>
  <c r="AB51" i="2"/>
  <c r="AO51" i="2"/>
  <c r="AR51" i="2" s="1"/>
  <c r="AB57" i="2"/>
  <c r="AO57" i="2"/>
  <c r="AR57" i="2" s="1"/>
  <c r="AB61" i="2"/>
  <c r="AO61" i="2"/>
  <c r="AR61" i="2" s="1"/>
  <c r="AB63" i="2"/>
  <c r="AO63" i="2"/>
  <c r="AR63" i="2" s="1"/>
  <c r="AB65" i="2"/>
  <c r="AO65" i="2"/>
  <c r="AR65" i="2" s="1"/>
  <c r="AB67" i="2"/>
  <c r="AO67" i="2"/>
  <c r="AR67" i="2" s="1"/>
  <c r="AB69" i="2"/>
  <c r="AO69" i="2"/>
  <c r="AR69" i="2" s="1"/>
  <c r="AB71" i="2"/>
  <c r="AO71" i="2"/>
  <c r="AR71" i="2" s="1"/>
  <c r="AB73" i="2"/>
  <c r="AO73" i="2"/>
  <c r="AR73" i="2" s="1"/>
  <c r="AB75" i="2"/>
  <c r="AO75" i="2"/>
  <c r="AR75" i="2" s="1"/>
  <c r="AB79" i="2"/>
  <c r="AO79" i="2"/>
  <c r="AR79" i="2" s="1"/>
  <c r="AB81" i="2"/>
  <c r="AO81" i="2"/>
  <c r="AR81" i="2" s="1"/>
  <c r="AB83" i="2"/>
  <c r="AO83" i="2"/>
  <c r="AR83" i="2" s="1"/>
  <c r="AC8" i="2"/>
  <c r="AP8" i="2"/>
  <c r="AC10" i="2"/>
  <c r="AP10" i="2"/>
  <c r="AS10" i="2" s="1"/>
  <c r="AC12" i="2"/>
  <c r="AP12" i="2"/>
  <c r="AS12" i="2" s="1"/>
  <c r="AC14" i="2"/>
  <c r="AP14" i="2"/>
  <c r="AS14" i="2" s="1"/>
  <c r="AC18" i="2"/>
  <c r="AP18" i="2"/>
  <c r="AS18" i="2" s="1"/>
  <c r="AC20" i="2"/>
  <c r="AP20" i="2"/>
  <c r="AS20" i="2" s="1"/>
  <c r="AC26" i="2"/>
  <c r="AP26" i="2"/>
  <c r="AS26" i="2" s="1"/>
  <c r="AC28" i="2"/>
  <c r="AP28" i="2"/>
  <c r="AS28" i="2" s="1"/>
  <c r="AC30" i="2"/>
  <c r="AP30" i="2"/>
  <c r="AS30" i="2" s="1"/>
  <c r="AC36" i="2"/>
  <c r="AP36" i="2"/>
  <c r="AS36" i="2" s="1"/>
  <c r="AC38" i="2"/>
  <c r="AP38" i="2"/>
  <c r="AS38" i="2" s="1"/>
  <c r="AC40" i="2"/>
  <c r="AP40" i="2"/>
  <c r="AS40" i="2" s="1"/>
  <c r="AC42" i="2"/>
  <c r="AP42" i="2"/>
  <c r="AS42" i="2" s="1"/>
  <c r="AC46" i="2"/>
  <c r="AP46" i="2"/>
  <c r="AS46" i="2" s="1"/>
  <c r="AC48" i="2"/>
  <c r="AP48" i="2"/>
  <c r="AS48" i="2" s="1"/>
  <c r="AC50" i="2"/>
  <c r="AP50" i="2"/>
  <c r="AS50" i="2" s="1"/>
  <c r="AC52" i="2"/>
  <c r="AP52" i="2"/>
  <c r="AS52" i="2" s="1"/>
  <c r="AC54" i="2"/>
  <c r="AP54" i="2"/>
  <c r="AS54" i="2" s="1"/>
  <c r="AC56" i="2"/>
  <c r="AP56" i="2"/>
  <c r="AS56" i="2" s="1"/>
  <c r="AC58" i="2"/>
  <c r="AP58" i="2"/>
  <c r="AS58" i="2" s="1"/>
  <c r="AC60" i="2"/>
  <c r="AP60" i="2"/>
  <c r="AS60" i="2" s="1"/>
  <c r="AC64" i="2"/>
  <c r="AP64" i="2"/>
  <c r="AS64" i="2" s="1"/>
  <c r="AC66" i="2"/>
  <c r="AP66" i="2"/>
  <c r="AS66" i="2" s="1"/>
  <c r="AC70" i="2"/>
  <c r="AP70" i="2"/>
  <c r="AS70" i="2" s="1"/>
  <c r="AC72" i="2"/>
  <c r="AP72" i="2"/>
  <c r="AS72" i="2" s="1"/>
  <c r="AC74" i="2"/>
  <c r="AP74" i="2"/>
  <c r="AS74" i="2" s="1"/>
  <c r="AC76" i="2"/>
  <c r="AP76" i="2"/>
  <c r="AS76" i="2" s="1"/>
  <c r="AC80" i="2"/>
  <c r="AP80" i="2"/>
  <c r="AS80" i="2" s="1"/>
  <c r="AC82" i="2"/>
  <c r="AP82" i="2"/>
  <c r="AS82" i="2" s="1"/>
  <c r="AC84" i="2"/>
  <c r="AP84" i="2"/>
  <c r="AS84" i="2" s="1"/>
  <c r="AC57" i="2"/>
  <c r="AP57" i="2"/>
  <c r="AS57" i="2" s="1"/>
  <c r="AB8" i="2"/>
  <c r="AO8" i="2"/>
  <c r="AB10" i="2"/>
  <c r="AO10" i="2"/>
  <c r="AR10" i="2" s="1"/>
  <c r="AB12" i="2"/>
  <c r="AO12" i="2"/>
  <c r="AR12" i="2" s="1"/>
  <c r="AB14" i="2"/>
  <c r="AO14" i="2"/>
  <c r="AR14" i="2" s="1"/>
  <c r="AB18" i="2"/>
  <c r="AO18" i="2"/>
  <c r="AR18" i="2" s="1"/>
  <c r="AB20" i="2"/>
  <c r="AO20" i="2"/>
  <c r="AR20" i="2" s="1"/>
  <c r="AB26" i="2"/>
  <c r="AO26" i="2"/>
  <c r="AR26" i="2" s="1"/>
  <c r="AB28" i="2"/>
  <c r="AO28" i="2"/>
  <c r="AR28" i="2" s="1"/>
  <c r="AB30" i="2"/>
  <c r="AO30" i="2"/>
  <c r="AR30" i="2" s="1"/>
  <c r="AB36" i="2"/>
  <c r="AO36" i="2"/>
  <c r="AR36" i="2" s="1"/>
  <c r="AB38" i="2"/>
  <c r="AO38" i="2"/>
  <c r="AR38" i="2" s="1"/>
  <c r="AB40" i="2"/>
  <c r="AO40" i="2"/>
  <c r="AR40" i="2" s="1"/>
  <c r="AB42" i="2"/>
  <c r="AO42" i="2"/>
  <c r="AR42" i="2" s="1"/>
  <c r="AB46" i="2"/>
  <c r="AO46" i="2"/>
  <c r="AR46" i="2" s="1"/>
  <c r="AB48" i="2"/>
  <c r="AO48" i="2"/>
  <c r="AR48" i="2" s="1"/>
  <c r="AB50" i="2"/>
  <c r="AO50" i="2"/>
  <c r="AR50" i="2" s="1"/>
  <c r="AB52" i="2"/>
  <c r="AO52" i="2"/>
  <c r="AR52" i="2" s="1"/>
  <c r="AB54" i="2"/>
  <c r="AO54" i="2"/>
  <c r="AR54" i="2" s="1"/>
  <c r="AB56" i="2"/>
  <c r="AO56" i="2"/>
  <c r="AR56" i="2" s="1"/>
  <c r="AB58" i="2"/>
  <c r="AO58" i="2"/>
  <c r="AR58" i="2" s="1"/>
  <c r="AB60" i="2"/>
  <c r="AO60" i="2"/>
  <c r="AR60" i="2" s="1"/>
  <c r="AB64" i="2"/>
  <c r="AO64" i="2"/>
  <c r="AR64" i="2" s="1"/>
  <c r="AB66" i="2"/>
  <c r="AO66" i="2"/>
  <c r="AR66" i="2" s="1"/>
  <c r="AB70" i="2"/>
  <c r="AO70" i="2"/>
  <c r="AR70" i="2" s="1"/>
  <c r="AB72" i="2"/>
  <c r="AO72" i="2"/>
  <c r="AR72" i="2" s="1"/>
  <c r="AB74" i="2"/>
  <c r="AO74" i="2"/>
  <c r="AR74" i="2" s="1"/>
  <c r="AB76" i="2"/>
  <c r="AO76" i="2"/>
  <c r="AR76" i="2" s="1"/>
  <c r="AB80" i="2"/>
  <c r="AO80" i="2"/>
  <c r="AR80" i="2" s="1"/>
  <c r="AB82" i="2"/>
  <c r="AO82" i="2"/>
  <c r="AR82" i="2" s="1"/>
  <c r="AB84" i="2"/>
  <c r="AO84" i="2"/>
  <c r="AR84" i="2" s="1"/>
  <c r="N178" i="1"/>
  <c r="Q178" i="1"/>
  <c r="AA12" i="1"/>
  <c r="AN12" i="1"/>
  <c r="AQ12" i="1" s="1"/>
  <c r="AA20" i="1"/>
  <c r="AN20" i="1"/>
  <c r="AQ20" i="1" s="1"/>
  <c r="AA26" i="1"/>
  <c r="AN26" i="1"/>
  <c r="AQ26" i="1" s="1"/>
  <c r="AA32" i="1"/>
  <c r="AN32" i="1"/>
  <c r="AQ32" i="1" s="1"/>
  <c r="AA38" i="1"/>
  <c r="AN38" i="1"/>
  <c r="AQ38" i="1" s="1"/>
  <c r="AA44" i="1"/>
  <c r="AN44" i="1"/>
  <c r="AQ44" i="1" s="1"/>
  <c r="AA48" i="1"/>
  <c r="AN48" i="1"/>
  <c r="AQ48" i="1" s="1"/>
  <c r="AA52" i="1"/>
  <c r="AN52" i="1"/>
  <c r="AQ52" i="1" s="1"/>
  <c r="AA60" i="1"/>
  <c r="AN60" i="1"/>
  <c r="AQ60" i="1" s="1"/>
  <c r="AA66" i="1"/>
  <c r="AN66" i="1"/>
  <c r="AQ66" i="1" s="1"/>
  <c r="AA70" i="1"/>
  <c r="AN70" i="1"/>
  <c r="AQ70" i="1" s="1"/>
  <c r="AA76" i="1"/>
  <c r="AN76" i="1"/>
  <c r="AQ76" i="1" s="1"/>
  <c r="AA82" i="1"/>
  <c r="AN82" i="1"/>
  <c r="AQ82" i="1" s="1"/>
  <c r="AA88" i="1"/>
  <c r="AN88" i="1"/>
  <c r="AQ88" i="1" s="1"/>
  <c r="AA96" i="1"/>
  <c r="AN96" i="1"/>
  <c r="AQ96" i="1" s="1"/>
  <c r="AA98" i="1"/>
  <c r="AN98" i="1"/>
  <c r="AQ98" i="1" s="1"/>
  <c r="AA104" i="1"/>
  <c r="AN104" i="1"/>
  <c r="AQ104" i="1" s="1"/>
  <c r="AA110" i="1"/>
  <c r="AN110" i="1"/>
  <c r="AQ110" i="1" s="1"/>
  <c r="AA116" i="1"/>
  <c r="AN116" i="1"/>
  <c r="AQ116" i="1" s="1"/>
  <c r="AA120" i="1"/>
  <c r="AN120" i="1"/>
  <c r="AQ120" i="1" s="1"/>
  <c r="AA126" i="1"/>
  <c r="AN126" i="1"/>
  <c r="AQ126" i="1" s="1"/>
  <c r="AA132" i="1"/>
  <c r="AN132" i="1"/>
  <c r="AQ132" i="1" s="1"/>
  <c r="AA136" i="1"/>
  <c r="AN136" i="1"/>
  <c r="AQ136" i="1" s="1"/>
  <c r="AA140" i="1"/>
  <c r="AN140" i="1"/>
  <c r="AQ140" i="1" s="1"/>
  <c r="AA146" i="1"/>
  <c r="AN146" i="1"/>
  <c r="AQ146" i="1" s="1"/>
  <c r="AA154" i="1"/>
  <c r="AN154" i="1"/>
  <c r="AQ154" i="1" s="1"/>
  <c r="AA160" i="1"/>
  <c r="AN160" i="1"/>
  <c r="AQ160" i="1" s="1"/>
  <c r="AA166" i="1"/>
  <c r="AN166" i="1"/>
  <c r="AQ166" i="1" s="1"/>
  <c r="AA170" i="1"/>
  <c r="AN170" i="1"/>
  <c r="AQ170" i="1" s="1"/>
  <c r="AA172" i="1"/>
  <c r="AN172" i="1"/>
  <c r="AQ172" i="1" s="1"/>
  <c r="AB9" i="1"/>
  <c r="AO9" i="1"/>
  <c r="AR9" i="1" s="1"/>
  <c r="AB11" i="1"/>
  <c r="AO11" i="1"/>
  <c r="AR11" i="1" s="1"/>
  <c r="AB13" i="1"/>
  <c r="AO13" i="1"/>
  <c r="AR13" i="1" s="1"/>
  <c r="AB17" i="1"/>
  <c r="AO17" i="1"/>
  <c r="AR17" i="1" s="1"/>
  <c r="AB19" i="1"/>
  <c r="AO19" i="1"/>
  <c r="AR19" i="1" s="1"/>
  <c r="AB23" i="1"/>
  <c r="AO23" i="1"/>
  <c r="AR23" i="1" s="1"/>
  <c r="AB25" i="1"/>
  <c r="AO25" i="1"/>
  <c r="AR25" i="1" s="1"/>
  <c r="AB27" i="1"/>
  <c r="AO27" i="1"/>
  <c r="AR27" i="1" s="1"/>
  <c r="AB31" i="1"/>
  <c r="AO31" i="1"/>
  <c r="AR31" i="1" s="1"/>
  <c r="AB33" i="1"/>
  <c r="AO33" i="1"/>
  <c r="AR33" i="1" s="1"/>
  <c r="AB35" i="1"/>
  <c r="AO35" i="1"/>
  <c r="AR35" i="1" s="1"/>
  <c r="AB37" i="1"/>
  <c r="AO37" i="1"/>
  <c r="AR37" i="1" s="1"/>
  <c r="AB39" i="1"/>
  <c r="AO39" i="1"/>
  <c r="AR39" i="1" s="1"/>
  <c r="AB43" i="1"/>
  <c r="AO43" i="1"/>
  <c r="AR43" i="1" s="1"/>
  <c r="AB45" i="1"/>
  <c r="AO45" i="1"/>
  <c r="AB47" i="1"/>
  <c r="AO47" i="1"/>
  <c r="AR47" i="1" s="1"/>
  <c r="AB49" i="1"/>
  <c r="AO49" i="1"/>
  <c r="AR49" i="1" s="1"/>
  <c r="AB51" i="1"/>
  <c r="AO51" i="1"/>
  <c r="AR51" i="1" s="1"/>
  <c r="AB53" i="1"/>
  <c r="AO53" i="1"/>
  <c r="AR53" i="1" s="1"/>
  <c r="AB55" i="1"/>
  <c r="AO55" i="1"/>
  <c r="AR55" i="1" s="1"/>
  <c r="AB57" i="1"/>
  <c r="AO57" i="1"/>
  <c r="AR57" i="1" s="1"/>
  <c r="AB59" i="1"/>
  <c r="AO59" i="1"/>
  <c r="AR59" i="1" s="1"/>
  <c r="AB61" i="1"/>
  <c r="AO61" i="1"/>
  <c r="AR61" i="1" s="1"/>
  <c r="AB63" i="1"/>
  <c r="AO63" i="1"/>
  <c r="AR63" i="1" s="1"/>
  <c r="AB65" i="1"/>
  <c r="AO65" i="1"/>
  <c r="AR65" i="1" s="1"/>
  <c r="AB67" i="1"/>
  <c r="AO67" i="1"/>
  <c r="AR67" i="1" s="1"/>
  <c r="AB69" i="1"/>
  <c r="AO69" i="1"/>
  <c r="AR69" i="1" s="1"/>
  <c r="AB71" i="1"/>
  <c r="AO71" i="1"/>
  <c r="AR71" i="1" s="1"/>
  <c r="AB73" i="1"/>
  <c r="AO73" i="1"/>
  <c r="AR73" i="1" s="1"/>
  <c r="AB75" i="1"/>
  <c r="AO75" i="1"/>
  <c r="AR75" i="1" s="1"/>
  <c r="AB77" i="1"/>
  <c r="AO77" i="1"/>
  <c r="AR77" i="1" s="1"/>
  <c r="AB79" i="1"/>
  <c r="AO79" i="1"/>
  <c r="AR79" i="1" s="1"/>
  <c r="AB81" i="1"/>
  <c r="AO81" i="1"/>
  <c r="AR81" i="1" s="1"/>
  <c r="AB83" i="1"/>
  <c r="AO83" i="1"/>
  <c r="AR83" i="1" s="1"/>
  <c r="AB85" i="1"/>
  <c r="AO85" i="1"/>
  <c r="AR85" i="1" s="1"/>
  <c r="AB89" i="1"/>
  <c r="AO89" i="1"/>
  <c r="AR89" i="1" s="1"/>
  <c r="AB91" i="1"/>
  <c r="AO91" i="1"/>
  <c r="AR91" i="1" s="1"/>
  <c r="AB93" i="1"/>
  <c r="AO93" i="1"/>
  <c r="AR93" i="1" s="1"/>
  <c r="AB95" i="1"/>
  <c r="AO95" i="1"/>
  <c r="AR95" i="1" s="1"/>
  <c r="AB97" i="1"/>
  <c r="AO97" i="1"/>
  <c r="AR97" i="1" s="1"/>
  <c r="AB101" i="1"/>
  <c r="AO101" i="1"/>
  <c r="AR101" i="1" s="1"/>
  <c r="AB103" i="1"/>
  <c r="AO103" i="1"/>
  <c r="AR103" i="1" s="1"/>
  <c r="AB105" i="1"/>
  <c r="AO105" i="1"/>
  <c r="AR105" i="1" s="1"/>
  <c r="AB107" i="1"/>
  <c r="AO107" i="1"/>
  <c r="AR107" i="1" s="1"/>
  <c r="AB109" i="1"/>
  <c r="AO109" i="1"/>
  <c r="AR109" i="1" s="1"/>
  <c r="AB111" i="1"/>
  <c r="AO111" i="1"/>
  <c r="AR111" i="1" s="1"/>
  <c r="AB115" i="1"/>
  <c r="AO115" i="1"/>
  <c r="AR115" i="1" s="1"/>
  <c r="AB117" i="1"/>
  <c r="AO117" i="1"/>
  <c r="AR117" i="1" s="1"/>
  <c r="AB119" i="1"/>
  <c r="AO119" i="1"/>
  <c r="AR119" i="1" s="1"/>
  <c r="AB121" i="1"/>
  <c r="AO121" i="1"/>
  <c r="AR121" i="1" s="1"/>
  <c r="AB123" i="1"/>
  <c r="AO123" i="1"/>
  <c r="AR123" i="1" s="1"/>
  <c r="AB125" i="1"/>
  <c r="AO125" i="1"/>
  <c r="AR125" i="1" s="1"/>
  <c r="AB127" i="1"/>
  <c r="AO127" i="1"/>
  <c r="AR127" i="1" s="1"/>
  <c r="AB131" i="1"/>
  <c r="AO131" i="1"/>
  <c r="AR131" i="1" s="1"/>
  <c r="AB133" i="1"/>
  <c r="AO133" i="1"/>
  <c r="AR133" i="1" s="1"/>
  <c r="AB135" i="1"/>
  <c r="AO135" i="1"/>
  <c r="AR135" i="1" s="1"/>
  <c r="AB137" i="1"/>
  <c r="AO137" i="1"/>
  <c r="AR137" i="1" s="1"/>
  <c r="AB139" i="1"/>
  <c r="AO139" i="1"/>
  <c r="AR139" i="1" s="1"/>
  <c r="AB141" i="1"/>
  <c r="AO141" i="1"/>
  <c r="AR141" i="1" s="1"/>
  <c r="AB143" i="1"/>
  <c r="AO143" i="1"/>
  <c r="AR143" i="1" s="1"/>
  <c r="AB145" i="1"/>
  <c r="AO145" i="1"/>
  <c r="AR145" i="1" s="1"/>
  <c r="AB147" i="1"/>
  <c r="AO147" i="1"/>
  <c r="AR147" i="1" s="1"/>
  <c r="AB149" i="1"/>
  <c r="AO149" i="1"/>
  <c r="AR149" i="1" s="1"/>
  <c r="AB151" i="1"/>
  <c r="AO151" i="1"/>
  <c r="AR151" i="1" s="1"/>
  <c r="AB153" i="1"/>
  <c r="AO153" i="1"/>
  <c r="AR153" i="1" s="1"/>
  <c r="AB155" i="1"/>
  <c r="AO155" i="1"/>
  <c r="AR155" i="1" s="1"/>
  <c r="AB157" i="1"/>
  <c r="AO157" i="1"/>
  <c r="AR157" i="1" s="1"/>
  <c r="AB161" i="1"/>
  <c r="AO161" i="1"/>
  <c r="AR161" i="1" s="1"/>
  <c r="AB163" i="1"/>
  <c r="AO163" i="1"/>
  <c r="AR163" i="1" s="1"/>
  <c r="AB165" i="1"/>
  <c r="AO165" i="1"/>
  <c r="AR165" i="1" s="1"/>
  <c r="AB167" i="1"/>
  <c r="AO167" i="1"/>
  <c r="AR167" i="1" s="1"/>
  <c r="AB169" i="1"/>
  <c r="AO169" i="1"/>
  <c r="AR169" i="1" s="1"/>
  <c r="AB171" i="1"/>
  <c r="AO171" i="1"/>
  <c r="AR171" i="1" s="1"/>
  <c r="T178" i="1"/>
  <c r="AA8" i="1"/>
  <c r="AN8" i="1"/>
  <c r="AQ8" i="1" s="1"/>
  <c r="AA10" i="1"/>
  <c r="AN10" i="1"/>
  <c r="AQ10" i="1" s="1"/>
  <c r="AA16" i="1"/>
  <c r="AN16" i="1"/>
  <c r="AQ16" i="1" s="1"/>
  <c r="AA22" i="1"/>
  <c r="AN22" i="1"/>
  <c r="AQ22" i="1" s="1"/>
  <c r="AA28" i="1"/>
  <c r="AN28" i="1"/>
  <c r="AQ28" i="1" s="1"/>
  <c r="AA34" i="1"/>
  <c r="AN34" i="1"/>
  <c r="AQ34" i="1" s="1"/>
  <c r="AA42" i="1"/>
  <c r="AN42" i="1"/>
  <c r="AQ42" i="1" s="1"/>
  <c r="AA50" i="1"/>
  <c r="AN50" i="1"/>
  <c r="AQ50" i="1" s="1"/>
  <c r="AA56" i="1"/>
  <c r="AN56" i="1"/>
  <c r="AQ56" i="1" s="1"/>
  <c r="AA62" i="1"/>
  <c r="AN62" i="1"/>
  <c r="AQ62" i="1" s="1"/>
  <c r="AA74" i="1"/>
  <c r="AN74" i="1"/>
  <c r="AQ74" i="1" s="1"/>
  <c r="AA80" i="1"/>
  <c r="AN80" i="1"/>
  <c r="AQ80" i="1" s="1"/>
  <c r="AA94" i="1"/>
  <c r="AN94" i="1"/>
  <c r="AQ94" i="1" s="1"/>
  <c r="AA102" i="1"/>
  <c r="AN102" i="1"/>
  <c r="AQ102" i="1" s="1"/>
  <c r="AA108" i="1"/>
  <c r="AN108" i="1"/>
  <c r="AQ108" i="1" s="1"/>
  <c r="AA114" i="1"/>
  <c r="AN114" i="1"/>
  <c r="AQ114" i="1" s="1"/>
  <c r="AA122" i="1"/>
  <c r="AN122" i="1"/>
  <c r="AQ122" i="1" s="1"/>
  <c r="AA134" i="1"/>
  <c r="AN134" i="1"/>
  <c r="AQ134" i="1" s="1"/>
  <c r="AA158" i="1"/>
  <c r="AN158" i="1"/>
  <c r="AQ158" i="1" s="1"/>
  <c r="AA9" i="1"/>
  <c r="AN9" i="1"/>
  <c r="AQ9" i="1" s="1"/>
  <c r="AA11" i="1"/>
  <c r="AN11" i="1"/>
  <c r="AQ11" i="1" s="1"/>
  <c r="AA13" i="1"/>
  <c r="AN13" i="1"/>
  <c r="AQ13" i="1" s="1"/>
  <c r="AA17" i="1"/>
  <c r="AN17" i="1"/>
  <c r="AQ17" i="1" s="1"/>
  <c r="AA19" i="1"/>
  <c r="AN19" i="1"/>
  <c r="AQ19" i="1" s="1"/>
  <c r="AA23" i="1"/>
  <c r="AN23" i="1"/>
  <c r="AQ23" i="1" s="1"/>
  <c r="AA25" i="1"/>
  <c r="AN25" i="1"/>
  <c r="AQ25" i="1" s="1"/>
  <c r="AA27" i="1"/>
  <c r="AN27" i="1"/>
  <c r="AQ27" i="1" s="1"/>
  <c r="AA31" i="1"/>
  <c r="AN31" i="1"/>
  <c r="AQ31" i="1" s="1"/>
  <c r="AA33" i="1"/>
  <c r="AN33" i="1"/>
  <c r="AQ33" i="1" s="1"/>
  <c r="AA35" i="1"/>
  <c r="AN35" i="1"/>
  <c r="AQ35" i="1" s="1"/>
  <c r="AA37" i="1"/>
  <c r="AN37" i="1"/>
  <c r="AQ37" i="1" s="1"/>
  <c r="AA39" i="1"/>
  <c r="AN39" i="1"/>
  <c r="AQ39" i="1" s="1"/>
  <c r="AA43" i="1"/>
  <c r="AN43" i="1"/>
  <c r="AQ43" i="1" s="1"/>
  <c r="AA45" i="1"/>
  <c r="AN45" i="1"/>
  <c r="AA47" i="1"/>
  <c r="AN47" i="1"/>
  <c r="AQ47" i="1" s="1"/>
  <c r="AA49" i="1"/>
  <c r="AN49" i="1"/>
  <c r="AQ49" i="1" s="1"/>
  <c r="AA51" i="1"/>
  <c r="AN51" i="1"/>
  <c r="AQ51" i="1" s="1"/>
  <c r="AA53" i="1"/>
  <c r="AN53" i="1"/>
  <c r="AQ53" i="1" s="1"/>
  <c r="AA55" i="1"/>
  <c r="AN55" i="1"/>
  <c r="AQ55" i="1" s="1"/>
  <c r="AA57" i="1"/>
  <c r="AN57" i="1"/>
  <c r="AQ57" i="1" s="1"/>
  <c r="AA59" i="1"/>
  <c r="AN59" i="1"/>
  <c r="AQ59" i="1" s="1"/>
  <c r="AA61" i="1"/>
  <c r="AN61" i="1"/>
  <c r="AQ61" i="1" s="1"/>
  <c r="AA63" i="1"/>
  <c r="AN63" i="1"/>
  <c r="AQ63" i="1" s="1"/>
  <c r="AA65" i="1"/>
  <c r="AN65" i="1"/>
  <c r="AQ65" i="1" s="1"/>
  <c r="AA67" i="1"/>
  <c r="AN67" i="1"/>
  <c r="AQ67" i="1" s="1"/>
  <c r="AA69" i="1"/>
  <c r="AN69" i="1"/>
  <c r="AQ69" i="1" s="1"/>
  <c r="AA71" i="1"/>
  <c r="AN71" i="1"/>
  <c r="AQ71" i="1" s="1"/>
  <c r="AA73" i="1"/>
  <c r="AN73" i="1"/>
  <c r="AQ73" i="1" s="1"/>
  <c r="AA75" i="1"/>
  <c r="AN75" i="1"/>
  <c r="AQ75" i="1" s="1"/>
  <c r="AA77" i="1"/>
  <c r="AN77" i="1"/>
  <c r="AQ77" i="1" s="1"/>
  <c r="AA79" i="1"/>
  <c r="AN79" i="1"/>
  <c r="AQ79" i="1" s="1"/>
  <c r="AA81" i="1"/>
  <c r="AN81" i="1"/>
  <c r="AQ81" i="1" s="1"/>
  <c r="AA83" i="1"/>
  <c r="AN83" i="1"/>
  <c r="AQ83" i="1" s="1"/>
  <c r="AA85" i="1"/>
  <c r="AN85" i="1"/>
  <c r="AQ85" i="1" s="1"/>
  <c r="AA89" i="1"/>
  <c r="AN89" i="1"/>
  <c r="AQ89" i="1" s="1"/>
  <c r="AA91" i="1"/>
  <c r="AN91" i="1"/>
  <c r="AQ91" i="1" s="1"/>
  <c r="AA93" i="1"/>
  <c r="AN93" i="1"/>
  <c r="AQ93" i="1" s="1"/>
  <c r="AA95" i="1"/>
  <c r="AN95" i="1"/>
  <c r="AQ95" i="1" s="1"/>
  <c r="AA97" i="1"/>
  <c r="AN97" i="1"/>
  <c r="AQ97" i="1" s="1"/>
  <c r="AA101" i="1"/>
  <c r="AN101" i="1"/>
  <c r="AQ101" i="1" s="1"/>
  <c r="AA103" i="1"/>
  <c r="AN103" i="1"/>
  <c r="AQ103" i="1" s="1"/>
  <c r="AA105" i="1"/>
  <c r="AN105" i="1"/>
  <c r="AQ105" i="1" s="1"/>
  <c r="AA107" i="1"/>
  <c r="AN107" i="1"/>
  <c r="AQ107" i="1" s="1"/>
  <c r="AA109" i="1"/>
  <c r="AN109" i="1"/>
  <c r="AQ109" i="1" s="1"/>
  <c r="AA111" i="1"/>
  <c r="AN111" i="1"/>
  <c r="AQ111" i="1" s="1"/>
  <c r="AA115" i="1"/>
  <c r="AN115" i="1"/>
  <c r="AQ115" i="1" s="1"/>
  <c r="AA117" i="1"/>
  <c r="AN117" i="1"/>
  <c r="AQ117" i="1" s="1"/>
  <c r="AA119" i="1"/>
  <c r="AN119" i="1"/>
  <c r="AQ119" i="1" s="1"/>
  <c r="AA121" i="1"/>
  <c r="AN121" i="1"/>
  <c r="AQ121" i="1" s="1"/>
  <c r="AA123" i="1"/>
  <c r="AN123" i="1"/>
  <c r="AQ123" i="1" s="1"/>
  <c r="AA125" i="1"/>
  <c r="AN125" i="1"/>
  <c r="AQ125" i="1" s="1"/>
  <c r="AA127" i="1"/>
  <c r="AN127" i="1"/>
  <c r="AQ127" i="1" s="1"/>
  <c r="AA131" i="1"/>
  <c r="AN131" i="1"/>
  <c r="AQ131" i="1" s="1"/>
  <c r="AA133" i="1"/>
  <c r="AN133" i="1"/>
  <c r="AQ133" i="1" s="1"/>
  <c r="AA135" i="1"/>
  <c r="AN135" i="1"/>
  <c r="AQ135" i="1" s="1"/>
  <c r="AA137" i="1"/>
  <c r="AN137" i="1"/>
  <c r="AQ137" i="1" s="1"/>
  <c r="AA139" i="1"/>
  <c r="AN139" i="1"/>
  <c r="AQ139" i="1" s="1"/>
  <c r="AA141" i="1"/>
  <c r="AN141" i="1"/>
  <c r="AQ141" i="1" s="1"/>
  <c r="AA143" i="1"/>
  <c r="AN143" i="1"/>
  <c r="AQ143" i="1" s="1"/>
  <c r="AA145" i="1"/>
  <c r="AN145" i="1"/>
  <c r="AQ145" i="1" s="1"/>
  <c r="AA147" i="1"/>
  <c r="AN147" i="1"/>
  <c r="AQ147" i="1" s="1"/>
  <c r="AA149" i="1"/>
  <c r="AN149" i="1"/>
  <c r="AQ149" i="1" s="1"/>
  <c r="AA151" i="1"/>
  <c r="AN151" i="1"/>
  <c r="AQ151" i="1" s="1"/>
  <c r="AA153" i="1"/>
  <c r="AN153" i="1"/>
  <c r="AQ153" i="1" s="1"/>
  <c r="AA155" i="1"/>
  <c r="AN155" i="1"/>
  <c r="AQ155" i="1" s="1"/>
  <c r="AA157" i="1"/>
  <c r="AN157" i="1"/>
  <c r="AQ157" i="1" s="1"/>
  <c r="AA161" i="1"/>
  <c r="AN161" i="1"/>
  <c r="AQ161" i="1" s="1"/>
  <c r="AA163" i="1"/>
  <c r="AN163" i="1"/>
  <c r="AQ163" i="1" s="1"/>
  <c r="AA165" i="1"/>
  <c r="AN165" i="1"/>
  <c r="AQ165" i="1" s="1"/>
  <c r="AA167" i="1"/>
  <c r="AN167" i="1"/>
  <c r="AQ167" i="1" s="1"/>
  <c r="AA169" i="1"/>
  <c r="AN169" i="1"/>
  <c r="AQ169" i="1" s="1"/>
  <c r="AA171" i="1"/>
  <c r="AN171" i="1"/>
  <c r="AQ171" i="1" s="1"/>
  <c r="AA14" i="1"/>
  <c r="AN14" i="1"/>
  <c r="AQ14" i="1" s="1"/>
  <c r="AA18" i="1"/>
  <c r="AN18" i="1"/>
  <c r="AQ18" i="1" s="1"/>
  <c r="AA24" i="1"/>
  <c r="AN24" i="1"/>
  <c r="AQ24" i="1" s="1"/>
  <c r="AA30" i="1"/>
  <c r="AN30" i="1"/>
  <c r="AQ30" i="1" s="1"/>
  <c r="AA36" i="1"/>
  <c r="AN36" i="1"/>
  <c r="AQ36" i="1" s="1"/>
  <c r="AA40" i="1"/>
  <c r="AN40" i="1"/>
  <c r="AQ40" i="1" s="1"/>
  <c r="AA46" i="1"/>
  <c r="AN46" i="1"/>
  <c r="AQ46" i="1" s="1"/>
  <c r="AA54" i="1"/>
  <c r="AN54" i="1"/>
  <c r="AQ54" i="1" s="1"/>
  <c r="AA58" i="1"/>
  <c r="AN58" i="1"/>
  <c r="AQ58" i="1" s="1"/>
  <c r="AA64" i="1"/>
  <c r="AN64" i="1"/>
  <c r="AQ64" i="1" s="1"/>
  <c r="AA72" i="1"/>
  <c r="AN72" i="1"/>
  <c r="AQ72" i="1" s="1"/>
  <c r="AA78" i="1"/>
  <c r="AN78" i="1"/>
  <c r="AQ78" i="1" s="1"/>
  <c r="AA84" i="1"/>
  <c r="AN84" i="1"/>
  <c r="AQ84" i="1" s="1"/>
  <c r="AA86" i="1"/>
  <c r="AN86" i="1"/>
  <c r="AQ86" i="1" s="1"/>
  <c r="AA92" i="1"/>
  <c r="AN92" i="1"/>
  <c r="AQ92" i="1" s="1"/>
  <c r="AA100" i="1"/>
  <c r="AN100" i="1"/>
  <c r="AQ100" i="1" s="1"/>
  <c r="AA106" i="1"/>
  <c r="AN106" i="1"/>
  <c r="AQ106" i="1" s="1"/>
  <c r="AA112" i="1"/>
  <c r="AN112" i="1"/>
  <c r="AQ112" i="1" s="1"/>
  <c r="AA118" i="1"/>
  <c r="AN118" i="1"/>
  <c r="AQ118" i="1" s="1"/>
  <c r="AA124" i="1"/>
  <c r="AN124" i="1"/>
  <c r="AQ124" i="1" s="1"/>
  <c r="AA130" i="1"/>
  <c r="AN130" i="1"/>
  <c r="AQ130" i="1" s="1"/>
  <c r="AA138" i="1"/>
  <c r="AN138" i="1"/>
  <c r="AQ138" i="1" s="1"/>
  <c r="AA148" i="1"/>
  <c r="AN148" i="1"/>
  <c r="AQ148" i="1" s="1"/>
  <c r="AA152" i="1"/>
  <c r="AN152" i="1"/>
  <c r="AQ152" i="1" s="1"/>
  <c r="AA156" i="1"/>
  <c r="AN156" i="1"/>
  <c r="AQ156" i="1" s="1"/>
  <c r="AA162" i="1"/>
  <c r="AN162" i="1"/>
  <c r="AQ162" i="1" s="1"/>
  <c r="AA164" i="1"/>
  <c r="AN164" i="1"/>
  <c r="AQ164" i="1" s="1"/>
  <c r="AA168" i="1"/>
  <c r="AN168" i="1"/>
  <c r="AQ168" i="1" s="1"/>
  <c r="AB8" i="1"/>
  <c r="AO8" i="1"/>
  <c r="AR8" i="1" s="1"/>
  <c r="AB10" i="1"/>
  <c r="AO10" i="1"/>
  <c r="AR10" i="1" s="1"/>
  <c r="AB12" i="1"/>
  <c r="AO12" i="1"/>
  <c r="AR12" i="1" s="1"/>
  <c r="AB14" i="1"/>
  <c r="AO14" i="1"/>
  <c r="AR14" i="1" s="1"/>
  <c r="AB16" i="1"/>
  <c r="AO16" i="1"/>
  <c r="AR16" i="1" s="1"/>
  <c r="AB18" i="1"/>
  <c r="AO18" i="1"/>
  <c r="AR18" i="1" s="1"/>
  <c r="AB20" i="1"/>
  <c r="AO20" i="1"/>
  <c r="AR20" i="1" s="1"/>
  <c r="AB22" i="1"/>
  <c r="AO22" i="1"/>
  <c r="AR22" i="1" s="1"/>
  <c r="AB24" i="1"/>
  <c r="AO24" i="1"/>
  <c r="AR24" i="1" s="1"/>
  <c r="AB26" i="1"/>
  <c r="AO26" i="1"/>
  <c r="AR26" i="1" s="1"/>
  <c r="AB28" i="1"/>
  <c r="AO28" i="1"/>
  <c r="AR28" i="1" s="1"/>
  <c r="AB30" i="1"/>
  <c r="AO30" i="1"/>
  <c r="AR30" i="1" s="1"/>
  <c r="AB32" i="1"/>
  <c r="AO32" i="1"/>
  <c r="AR32" i="1" s="1"/>
  <c r="AB34" i="1"/>
  <c r="AO34" i="1"/>
  <c r="AR34" i="1" s="1"/>
  <c r="AB36" i="1"/>
  <c r="AO36" i="1"/>
  <c r="AR36" i="1" s="1"/>
  <c r="AB38" i="1"/>
  <c r="AO38" i="1"/>
  <c r="AR38" i="1" s="1"/>
  <c r="AB40" i="1"/>
  <c r="AO40" i="1"/>
  <c r="AR40" i="1" s="1"/>
  <c r="AB42" i="1"/>
  <c r="AO42" i="1"/>
  <c r="AR42" i="1" s="1"/>
  <c r="AB44" i="1"/>
  <c r="AO44" i="1"/>
  <c r="AR44" i="1" s="1"/>
  <c r="AB46" i="1"/>
  <c r="AO46" i="1"/>
  <c r="AR46" i="1" s="1"/>
  <c r="AB48" i="1"/>
  <c r="AO48" i="1"/>
  <c r="AR48" i="1" s="1"/>
  <c r="AB50" i="1"/>
  <c r="AO50" i="1"/>
  <c r="AR50" i="1" s="1"/>
  <c r="AB52" i="1"/>
  <c r="AO52" i="1"/>
  <c r="AR52" i="1" s="1"/>
  <c r="AB54" i="1"/>
  <c r="AO54" i="1"/>
  <c r="AR54" i="1" s="1"/>
  <c r="AB56" i="1"/>
  <c r="AO56" i="1"/>
  <c r="AR56" i="1" s="1"/>
  <c r="AB58" i="1"/>
  <c r="AO58" i="1"/>
  <c r="AR58" i="1" s="1"/>
  <c r="AB60" i="1"/>
  <c r="AO60" i="1"/>
  <c r="AR60" i="1" s="1"/>
  <c r="AB62" i="1"/>
  <c r="AO62" i="1"/>
  <c r="AR62" i="1" s="1"/>
  <c r="AB64" i="1"/>
  <c r="AO64" i="1"/>
  <c r="AR64" i="1" s="1"/>
  <c r="AB66" i="1"/>
  <c r="AO66" i="1"/>
  <c r="AR66" i="1" s="1"/>
  <c r="AB70" i="1"/>
  <c r="AO70" i="1"/>
  <c r="AR70" i="1" s="1"/>
  <c r="AB72" i="1"/>
  <c r="AO72" i="1"/>
  <c r="AR72" i="1" s="1"/>
  <c r="AB74" i="1"/>
  <c r="AO74" i="1"/>
  <c r="AR74" i="1" s="1"/>
  <c r="AB76" i="1"/>
  <c r="AO76" i="1"/>
  <c r="AR76" i="1" s="1"/>
  <c r="AB78" i="1"/>
  <c r="AO78" i="1"/>
  <c r="AR78" i="1" s="1"/>
  <c r="AB80" i="1"/>
  <c r="AO80" i="1"/>
  <c r="AR80" i="1" s="1"/>
  <c r="AB82" i="1"/>
  <c r="AO82" i="1"/>
  <c r="AR82" i="1" s="1"/>
  <c r="AB84" i="1"/>
  <c r="AO84" i="1"/>
  <c r="AR84" i="1" s="1"/>
  <c r="AB86" i="1"/>
  <c r="AO86" i="1"/>
  <c r="AR86" i="1" s="1"/>
  <c r="AB88" i="1"/>
  <c r="AO88" i="1"/>
  <c r="AR88" i="1" s="1"/>
  <c r="AB92" i="1"/>
  <c r="AO92" i="1"/>
  <c r="AR92" i="1" s="1"/>
  <c r="AB94" i="1"/>
  <c r="AO94" i="1"/>
  <c r="AR94" i="1" s="1"/>
  <c r="AB96" i="1"/>
  <c r="AO96" i="1"/>
  <c r="AR96" i="1" s="1"/>
  <c r="AB98" i="1"/>
  <c r="AO98" i="1"/>
  <c r="AR98" i="1" s="1"/>
  <c r="AB100" i="1"/>
  <c r="AO100" i="1"/>
  <c r="AR100" i="1" s="1"/>
  <c r="AB102" i="1"/>
  <c r="AO102" i="1"/>
  <c r="AR102" i="1" s="1"/>
  <c r="AB104" i="1"/>
  <c r="AO104" i="1"/>
  <c r="AR104" i="1" s="1"/>
  <c r="AB106" i="1"/>
  <c r="AO106" i="1"/>
  <c r="AR106" i="1" s="1"/>
  <c r="AB108" i="1"/>
  <c r="AO108" i="1"/>
  <c r="AR108" i="1" s="1"/>
  <c r="AB110" i="1"/>
  <c r="AO110" i="1"/>
  <c r="AR110" i="1" s="1"/>
  <c r="AB112" i="1"/>
  <c r="AO112" i="1"/>
  <c r="AR112" i="1" s="1"/>
  <c r="AB114" i="1"/>
  <c r="AO114" i="1"/>
  <c r="AR114" i="1" s="1"/>
  <c r="AB116" i="1"/>
  <c r="AO116" i="1"/>
  <c r="AR116" i="1" s="1"/>
  <c r="AB118" i="1"/>
  <c r="AO118" i="1"/>
  <c r="AR118" i="1" s="1"/>
  <c r="AB120" i="1"/>
  <c r="AO120" i="1"/>
  <c r="AR120" i="1" s="1"/>
  <c r="AB122" i="1"/>
  <c r="AO122" i="1"/>
  <c r="AR122" i="1" s="1"/>
  <c r="AB124" i="1"/>
  <c r="AO124" i="1"/>
  <c r="AR124" i="1" s="1"/>
  <c r="AB126" i="1"/>
  <c r="AO126" i="1"/>
  <c r="AR126" i="1" s="1"/>
  <c r="AB130" i="1"/>
  <c r="AO130" i="1"/>
  <c r="AR130" i="1" s="1"/>
  <c r="AB132" i="1"/>
  <c r="AO132" i="1"/>
  <c r="AR132" i="1" s="1"/>
  <c r="AB134" i="1"/>
  <c r="AO134" i="1"/>
  <c r="AR134" i="1" s="1"/>
  <c r="AB136" i="1"/>
  <c r="AO136" i="1"/>
  <c r="AR136" i="1" s="1"/>
  <c r="AB138" i="1"/>
  <c r="AO138" i="1"/>
  <c r="AR138" i="1" s="1"/>
  <c r="AB140" i="1"/>
  <c r="AO140" i="1"/>
  <c r="AR140" i="1" s="1"/>
  <c r="AB146" i="1"/>
  <c r="AO146" i="1"/>
  <c r="AR146" i="1" s="1"/>
  <c r="AB148" i="1"/>
  <c r="AO148" i="1"/>
  <c r="AR148" i="1" s="1"/>
  <c r="AB152" i="1"/>
  <c r="AO152" i="1"/>
  <c r="AR152" i="1" s="1"/>
  <c r="AB154" i="1"/>
  <c r="AO154" i="1"/>
  <c r="AR154" i="1" s="1"/>
  <c r="AB156" i="1"/>
  <c r="AO156" i="1"/>
  <c r="AR156" i="1" s="1"/>
  <c r="AB158" i="1"/>
  <c r="AO158" i="1"/>
  <c r="AR158" i="1" s="1"/>
  <c r="AB160" i="1"/>
  <c r="AO160" i="1"/>
  <c r="AR160" i="1" s="1"/>
  <c r="AB162" i="1"/>
  <c r="AO162" i="1"/>
  <c r="AR162" i="1" s="1"/>
  <c r="AB164" i="1"/>
  <c r="AO164" i="1"/>
  <c r="AR164" i="1" s="1"/>
  <c r="AB166" i="1"/>
  <c r="AO166" i="1"/>
  <c r="AR166" i="1" s="1"/>
  <c r="AB168" i="1"/>
  <c r="AO168" i="1"/>
  <c r="AR168" i="1" s="1"/>
  <c r="AB170" i="1"/>
  <c r="AO170" i="1"/>
  <c r="AR170" i="1" s="1"/>
  <c r="AB172" i="1"/>
  <c r="AO172" i="1"/>
  <c r="AR172" i="1" s="1"/>
  <c r="K178" i="1"/>
  <c r="X178" i="1"/>
  <c r="AA178" i="1" s="1"/>
  <c r="H178" i="1"/>
  <c r="AB15" i="1"/>
  <c r="AO15" i="1"/>
  <c r="AA15" i="1"/>
  <c r="AN15" i="1"/>
  <c r="Y178" i="1"/>
  <c r="AB178" i="1" s="1"/>
  <c r="AC39" i="2"/>
  <c r="Z95" i="2"/>
  <c r="AC95" i="2" s="1"/>
  <c r="AB39" i="2"/>
  <c r="Y95" i="2"/>
  <c r="AA91" i="4"/>
  <c r="AA74" i="4"/>
  <c r="AA90" i="4"/>
  <c r="AA98" i="4"/>
  <c r="AA106" i="4"/>
  <c r="AA110" i="4"/>
  <c r="AA49" i="4"/>
  <c r="AA68" i="2"/>
  <c r="AD68" i="2" s="1"/>
  <c r="AA62" i="2"/>
  <c r="AD62" i="2" s="1"/>
  <c r="AA61" i="2"/>
  <c r="AA53" i="2"/>
  <c r="AD53" i="2" s="1"/>
  <c r="AA52" i="2"/>
  <c r="AA48" i="2"/>
  <c r="AA44" i="2"/>
  <c r="AD44" i="2" s="1"/>
  <c r="AA42" i="2"/>
  <c r="AA32" i="2"/>
  <c r="AD32" i="2" s="1"/>
  <c r="AA30" i="2"/>
  <c r="AA25" i="2"/>
  <c r="AA24" i="2"/>
  <c r="AD24" i="2" s="1"/>
  <c r="AA21" i="2"/>
  <c r="AA20" i="2"/>
  <c r="AA16" i="2"/>
  <c r="AD16" i="2" s="1"/>
  <c r="AA10" i="2"/>
  <c r="L93" i="2"/>
  <c r="L96" i="2" s="1"/>
  <c r="L179" i="1"/>
  <c r="L180" i="1"/>
  <c r="M179" i="1"/>
  <c r="M180" i="1"/>
  <c r="O180" i="1"/>
  <c r="O179" i="1"/>
  <c r="I180" i="1"/>
  <c r="I179" i="1"/>
  <c r="F180" i="1"/>
  <c r="F179" i="1"/>
  <c r="R179" i="1"/>
  <c r="R180" i="1"/>
  <c r="P180" i="1"/>
  <c r="P179" i="1"/>
  <c r="G179" i="1"/>
  <c r="G180" i="1"/>
  <c r="J180" i="1"/>
  <c r="J179" i="1"/>
  <c r="S179" i="1"/>
  <c r="S180" i="1"/>
  <c r="P123" i="4"/>
  <c r="P121" i="4"/>
  <c r="P122" i="4" s="1"/>
  <c r="K121" i="4"/>
  <c r="K122" i="4" s="1"/>
  <c r="K123" i="4"/>
  <c r="T123" i="4"/>
  <c r="T121" i="4"/>
  <c r="T122" i="4" s="1"/>
  <c r="W121" i="4"/>
  <c r="W122" i="4" s="1"/>
  <c r="W123" i="4"/>
  <c r="M123" i="4"/>
  <c r="M121" i="4"/>
  <c r="M122" i="4" s="1"/>
  <c r="G123" i="4"/>
  <c r="G121" i="4"/>
  <c r="G122" i="4" s="1"/>
  <c r="S123" i="4"/>
  <c r="S121" i="4"/>
  <c r="S122" i="4" s="1"/>
  <c r="X118" i="4"/>
  <c r="V123" i="4"/>
  <c r="V121" i="4"/>
  <c r="V122" i="4" s="1"/>
  <c r="N123" i="4"/>
  <c r="N121" i="4"/>
  <c r="N122" i="4" s="1"/>
  <c r="H123" i="4"/>
  <c r="H121" i="4"/>
  <c r="H122" i="4" s="1"/>
  <c r="Q121" i="4"/>
  <c r="Q122" i="4" s="1"/>
  <c r="Q123" i="4"/>
  <c r="J123" i="4"/>
  <c r="J121" i="4"/>
  <c r="J122" i="4" s="1"/>
  <c r="AA113" i="4"/>
  <c r="AA77" i="4"/>
  <c r="AA96" i="4"/>
  <c r="AA48" i="4"/>
  <c r="AA95" i="4"/>
  <c r="AA63" i="4"/>
  <c r="AA47" i="4"/>
  <c r="AA27" i="4"/>
  <c r="AA26" i="4"/>
  <c r="AA88" i="4"/>
  <c r="AA84" i="4"/>
  <c r="AA80" i="4"/>
  <c r="AA72" i="4"/>
  <c r="AA68" i="4"/>
  <c r="AA64" i="4"/>
  <c r="AA60" i="4"/>
  <c r="AA56" i="4"/>
  <c r="AA52" i="4"/>
  <c r="AA44" i="4"/>
  <c r="AA40" i="4"/>
  <c r="AA36" i="4"/>
  <c r="AA32" i="4"/>
  <c r="AA16" i="4"/>
  <c r="AA12" i="4"/>
  <c r="AA103" i="4"/>
  <c r="AA99" i="4"/>
  <c r="AA75" i="4"/>
  <c r="AA71" i="4"/>
  <c r="AA67" i="4"/>
  <c r="AA59" i="4"/>
  <c r="AA55" i="4"/>
  <c r="AA51" i="4"/>
  <c r="AA43" i="4"/>
  <c r="AA39" i="4"/>
  <c r="AA35" i="4"/>
  <c r="AA31" i="4"/>
  <c r="AA23" i="4"/>
  <c r="AA15" i="4"/>
  <c r="AA11" i="4"/>
  <c r="AA102" i="4"/>
  <c r="AA82" i="4"/>
  <c r="AA78" i="4"/>
  <c r="AA70" i="4"/>
  <c r="AA66" i="4"/>
  <c r="AA58" i="4"/>
  <c r="AA54" i="4"/>
  <c r="AA50" i="4"/>
  <c r="AA42" i="4"/>
  <c r="AA38" i="4"/>
  <c r="AA34" i="4"/>
  <c r="AA30" i="4"/>
  <c r="AA22" i="4"/>
  <c r="AA14" i="4"/>
  <c r="AA10" i="4"/>
  <c r="AA101" i="4"/>
  <c r="AA89" i="4"/>
  <c r="AA81" i="4"/>
  <c r="AA69" i="4"/>
  <c r="AA65" i="4"/>
  <c r="AA61" i="4"/>
  <c r="AA57" i="4"/>
  <c r="AA53" i="4"/>
  <c r="AA41" i="4"/>
  <c r="AA37" i="4"/>
  <c r="AA33" i="4"/>
  <c r="AA29" i="4"/>
  <c r="AA21" i="4"/>
  <c r="AA17" i="4"/>
  <c r="AA13" i="4"/>
  <c r="AA112" i="4"/>
  <c r="AA85" i="4"/>
  <c r="AA24" i="4"/>
  <c r="AA19" i="4"/>
  <c r="AA79" i="4"/>
  <c r="AA83" i="4"/>
  <c r="AA87" i="4"/>
  <c r="AA111" i="4"/>
  <c r="AA116" i="4"/>
  <c r="AA115" i="4"/>
  <c r="AA107" i="4"/>
  <c r="AA86" i="4"/>
  <c r="AA18" i="4"/>
  <c r="AA46" i="4"/>
  <c r="AA62" i="4"/>
  <c r="AA114" i="4"/>
  <c r="AA94" i="4"/>
  <c r="AA73" i="4"/>
  <c r="AA97" i="4"/>
  <c r="AA109" i="4"/>
  <c r="AA93" i="4"/>
  <c r="AA45" i="4"/>
  <c r="AA20" i="4"/>
  <c r="AA28" i="4"/>
  <c r="AA100" i="4"/>
  <c r="AB66" i="3"/>
  <c r="AB26" i="3"/>
  <c r="AB53" i="3"/>
  <c r="AB25" i="3"/>
  <c r="AB54" i="3"/>
  <c r="AB22" i="3"/>
  <c r="AB11" i="3"/>
  <c r="AB15" i="3"/>
  <c r="AB19" i="3"/>
  <c r="AB23" i="3"/>
  <c r="AB27" i="3"/>
  <c r="AB31" i="3"/>
  <c r="AB35" i="3"/>
  <c r="AB39" i="3"/>
  <c r="AB43" i="3"/>
  <c r="AB47" i="3"/>
  <c r="AB51" i="3"/>
  <c r="AB55" i="3"/>
  <c r="AB59" i="3"/>
  <c r="AB63" i="3"/>
  <c r="AB67" i="3"/>
  <c r="AB71" i="3"/>
  <c r="AB75" i="3"/>
  <c r="AB91" i="3"/>
  <c r="AB93" i="3"/>
  <c r="AB92" i="3"/>
  <c r="AB88" i="3"/>
  <c r="AB85" i="3"/>
  <c r="AB84" i="3"/>
  <c r="AB80" i="3"/>
  <c r="AB76" i="3"/>
  <c r="AB24" i="3"/>
  <c r="AB95" i="3"/>
  <c r="AB87" i="3"/>
  <c r="AB83" i="3"/>
  <c r="AB79" i="3"/>
  <c r="AB74" i="3"/>
  <c r="AB70" i="3"/>
  <c r="AB62" i="3"/>
  <c r="AB58" i="3"/>
  <c r="AB50" i="3"/>
  <c r="AB46" i="3"/>
  <c r="AB42" i="3"/>
  <c r="AB38" i="3"/>
  <c r="AB34" i="3"/>
  <c r="AB30" i="3"/>
  <c r="AB18" i="3"/>
  <c r="AB14" i="3"/>
  <c r="AB10" i="3"/>
  <c r="AB89" i="3"/>
  <c r="AB81" i="3"/>
  <c r="AB77" i="3"/>
  <c r="AB73" i="3"/>
  <c r="AB69" i="3"/>
  <c r="AB65" i="3"/>
  <c r="AB61" i="3"/>
  <c r="AB57" i="3"/>
  <c r="AB49" i="3"/>
  <c r="AB45" i="3"/>
  <c r="AB41" i="3"/>
  <c r="AB37" i="3"/>
  <c r="AB33" i="3"/>
  <c r="AB29" i="3"/>
  <c r="AB21" i="3"/>
  <c r="AB17" i="3"/>
  <c r="AB13" i="3"/>
  <c r="AB9" i="3"/>
  <c r="AB72" i="3"/>
  <c r="AB68" i="3"/>
  <c r="AB64" i="3"/>
  <c r="AB60" i="3"/>
  <c r="AB56" i="3"/>
  <c r="AB52" i="3"/>
  <c r="AB48" i="3"/>
  <c r="AB44" i="3"/>
  <c r="AB40" i="3"/>
  <c r="AB36" i="3"/>
  <c r="AB32" i="3"/>
  <c r="AB28" i="3"/>
  <c r="AB20" i="3"/>
  <c r="AB16" i="3"/>
  <c r="AB12" i="3"/>
  <c r="Q102" i="3"/>
  <c r="Q103" i="3" s="1"/>
  <c r="Q104" i="3"/>
  <c r="T104" i="3"/>
  <c r="T102" i="3"/>
  <c r="T103" i="3" s="1"/>
  <c r="N104" i="3"/>
  <c r="N102" i="3"/>
  <c r="N103" i="3" s="1"/>
  <c r="H104" i="3"/>
  <c r="H102" i="3"/>
  <c r="H103" i="3" s="1"/>
  <c r="Y102" i="3"/>
  <c r="Y103" i="3" s="1"/>
  <c r="Y104" i="3"/>
  <c r="L104" i="3"/>
  <c r="L102" i="3"/>
  <c r="L103" i="3" s="1"/>
  <c r="O102" i="3"/>
  <c r="O103" i="3" s="1"/>
  <c r="O104" i="3"/>
  <c r="I102" i="3"/>
  <c r="I103" i="3" s="1"/>
  <c r="I104" i="3"/>
  <c r="AB78" i="3"/>
  <c r="AB82" i="3"/>
  <c r="AB86" i="3"/>
  <c r="AB90" i="3"/>
  <c r="AB94" i="3"/>
  <c r="R104" i="3"/>
  <c r="R102" i="3"/>
  <c r="R103" i="3" s="1"/>
  <c r="K102" i="3"/>
  <c r="K103" i="3" s="1"/>
  <c r="K104" i="3"/>
  <c r="U102" i="3"/>
  <c r="U103" i="3" s="1"/>
  <c r="U104" i="3"/>
  <c r="AA63" i="2"/>
  <c r="AA59" i="2"/>
  <c r="AD59" i="2" s="1"/>
  <c r="AA55" i="2"/>
  <c r="AD55" i="2" s="1"/>
  <c r="AA51" i="2"/>
  <c r="AA35" i="2"/>
  <c r="AA27" i="2"/>
  <c r="AA23" i="2"/>
  <c r="AA11" i="2"/>
  <c r="AA78" i="2"/>
  <c r="AD78" i="2" s="1"/>
  <c r="AA54" i="2"/>
  <c r="AA50" i="2"/>
  <c r="AA46" i="2"/>
  <c r="AA38" i="2"/>
  <c r="AA34" i="2"/>
  <c r="AD34" i="2" s="1"/>
  <c r="AA26" i="2"/>
  <c r="AA22" i="2"/>
  <c r="AD22" i="2" s="1"/>
  <c r="AA18" i="2"/>
  <c r="AA14" i="2"/>
  <c r="I93" i="2"/>
  <c r="I98" i="2" s="1"/>
  <c r="AA71" i="2"/>
  <c r="AA43" i="2"/>
  <c r="AD43" i="2" s="1"/>
  <c r="AA19" i="2"/>
  <c r="AA15" i="2"/>
  <c r="AD15" i="2" s="1"/>
  <c r="AA28" i="2"/>
  <c r="AA56" i="2"/>
  <c r="AA60" i="2"/>
  <c r="AA77" i="2"/>
  <c r="AD77" i="2" s="1"/>
  <c r="AA69" i="2"/>
  <c r="AA57" i="2"/>
  <c r="AA37" i="2"/>
  <c r="AA33" i="2"/>
  <c r="AD33" i="2" s="1"/>
  <c r="AA29" i="2"/>
  <c r="AA17" i="2"/>
  <c r="AA9" i="2"/>
  <c r="AA31" i="2"/>
  <c r="AD31" i="2" s="1"/>
  <c r="AA39" i="2"/>
  <c r="AA47" i="2"/>
  <c r="AA67" i="2"/>
  <c r="AA79" i="2"/>
  <c r="H98" i="2"/>
  <c r="H97" i="2"/>
  <c r="M98" i="2"/>
  <c r="M97" i="2"/>
  <c r="T98" i="2"/>
  <c r="T97" i="2"/>
  <c r="W98" i="2"/>
  <c r="W97" i="2"/>
  <c r="AA75" i="2"/>
  <c r="AA65" i="2"/>
  <c r="AA49" i="2"/>
  <c r="AA45" i="2"/>
  <c r="AA41" i="2"/>
  <c r="AA13" i="2"/>
  <c r="X97" i="2"/>
  <c r="X98" i="2"/>
  <c r="Q98" i="2"/>
  <c r="Q97" i="2"/>
  <c r="N98" i="2"/>
  <c r="N97" i="2"/>
  <c r="J98" i="2"/>
  <c r="J97" i="2"/>
  <c r="S98" i="2"/>
  <c r="S97" i="2"/>
  <c r="V98" i="2"/>
  <c r="V97" i="2"/>
  <c r="AA58" i="2"/>
  <c r="AA82" i="2"/>
  <c r="AA40" i="2"/>
  <c r="AA36" i="2"/>
  <c r="AA12" i="2"/>
  <c r="AA8" i="2"/>
  <c r="L97" i="2"/>
  <c r="P98" i="2"/>
  <c r="P97" i="2"/>
  <c r="K98" i="2"/>
  <c r="K97" i="2"/>
  <c r="G98" i="2"/>
  <c r="G97" i="2"/>
  <c r="AA84" i="2"/>
  <c r="AA73" i="2"/>
  <c r="AA81" i="2"/>
  <c r="AA83" i="2"/>
  <c r="AA64" i="2"/>
  <c r="Z165" i="1"/>
  <c r="Z161" i="1"/>
  <c r="Z157" i="1"/>
  <c r="Z153" i="1"/>
  <c r="Z149" i="1"/>
  <c r="Z145" i="1"/>
  <c r="Z141" i="1"/>
  <c r="Z137" i="1"/>
  <c r="Z133" i="1"/>
  <c r="Z129" i="1"/>
  <c r="AC129" i="1" s="1"/>
  <c r="Z125" i="1"/>
  <c r="Z121" i="1"/>
  <c r="Z117" i="1"/>
  <c r="Z113" i="1"/>
  <c r="AC113" i="1" s="1"/>
  <c r="Z109" i="1"/>
  <c r="Z105" i="1"/>
  <c r="Z101" i="1"/>
  <c r="Z97" i="1"/>
  <c r="Z93" i="1"/>
  <c r="Z89" i="1"/>
  <c r="Z85" i="1"/>
  <c r="Z81" i="1"/>
  <c r="Z77" i="1"/>
  <c r="Z73" i="1"/>
  <c r="Z69" i="1"/>
  <c r="Z65" i="1"/>
  <c r="Z61" i="1"/>
  <c r="Z57" i="1"/>
  <c r="Z53" i="1"/>
  <c r="Z49" i="1"/>
  <c r="Z45" i="1"/>
  <c r="Z41" i="1"/>
  <c r="AC41" i="1" s="1"/>
  <c r="Z37" i="1"/>
  <c r="Z33" i="1"/>
  <c r="Z29" i="1"/>
  <c r="AC29" i="1" s="1"/>
  <c r="Z25" i="1"/>
  <c r="Z21" i="1"/>
  <c r="AC21" i="1" s="1"/>
  <c r="Z17" i="1"/>
  <c r="Z13" i="1"/>
  <c r="Z9" i="1"/>
  <c r="AA9" i="4"/>
  <c r="AA8" i="4"/>
  <c r="AA105" i="4"/>
  <c r="AA76" i="4"/>
  <c r="AA108" i="4"/>
  <c r="AA25" i="4"/>
  <c r="AA104" i="4"/>
  <c r="AA117" i="4"/>
  <c r="AA92" i="4"/>
  <c r="Y118" i="4"/>
  <c r="Z118" i="4"/>
  <c r="I118" i="4"/>
  <c r="AB97" i="3"/>
  <c r="AA99" i="3"/>
  <c r="AB98" i="3"/>
  <c r="J99" i="3"/>
  <c r="AB96" i="3"/>
  <c r="M99" i="3"/>
  <c r="Z99" i="3"/>
  <c r="AA76" i="2"/>
  <c r="AA80" i="2"/>
  <c r="AA66" i="2"/>
  <c r="AA72" i="2"/>
  <c r="AA70" i="2"/>
  <c r="AA74" i="2"/>
  <c r="Z93" i="2"/>
  <c r="O93" i="2"/>
  <c r="O96" i="2" s="1"/>
  <c r="Y93" i="2"/>
  <c r="Z172" i="1"/>
  <c r="Z160" i="1"/>
  <c r="Z148" i="1"/>
  <c r="Z144" i="1"/>
  <c r="AC144" i="1" s="1"/>
  <c r="Z140" i="1"/>
  <c r="Z136" i="1"/>
  <c r="Z132" i="1"/>
  <c r="Z128" i="1"/>
  <c r="AC128" i="1" s="1"/>
  <c r="Z124" i="1"/>
  <c r="Z120" i="1"/>
  <c r="Z116" i="1"/>
  <c r="Z112" i="1"/>
  <c r="Z108" i="1"/>
  <c r="Z104" i="1"/>
  <c r="Z100" i="1"/>
  <c r="Z96" i="1"/>
  <c r="Z92" i="1"/>
  <c r="Z88" i="1"/>
  <c r="Z84" i="1"/>
  <c r="Z80" i="1"/>
  <c r="Z76" i="1"/>
  <c r="Z72" i="1"/>
  <c r="Z68" i="1"/>
  <c r="AC68" i="1" s="1"/>
  <c r="Z64" i="1"/>
  <c r="Z60" i="1"/>
  <c r="Z56" i="1"/>
  <c r="Z52" i="1"/>
  <c r="Z48" i="1"/>
  <c r="Z44" i="1"/>
  <c r="Z40" i="1"/>
  <c r="Z36" i="1"/>
  <c r="Z32" i="1"/>
  <c r="Z28" i="1"/>
  <c r="Z24" i="1"/>
  <c r="Z20" i="1"/>
  <c r="Z16" i="1"/>
  <c r="Z12" i="1"/>
  <c r="Z8" i="1"/>
  <c r="Z159" i="1"/>
  <c r="AC159" i="1" s="1"/>
  <c r="Z147" i="1"/>
  <c r="Z143" i="1"/>
  <c r="Z139" i="1"/>
  <c r="Z135" i="1"/>
  <c r="Z131" i="1"/>
  <c r="Z123" i="1"/>
  <c r="Z119" i="1"/>
  <c r="Z115" i="1"/>
  <c r="Z111" i="1"/>
  <c r="Z107" i="1"/>
  <c r="Z103" i="1"/>
  <c r="Z99" i="1"/>
  <c r="AC99" i="1" s="1"/>
  <c r="Z95" i="1"/>
  <c r="Z91" i="1"/>
  <c r="Z87" i="1"/>
  <c r="AC87" i="1" s="1"/>
  <c r="Z83" i="1"/>
  <c r="Z79" i="1"/>
  <c r="Z75" i="1"/>
  <c r="Z71" i="1"/>
  <c r="Z67" i="1"/>
  <c r="Z63" i="1"/>
  <c r="Z59" i="1"/>
  <c r="Z55" i="1"/>
  <c r="Z51" i="1"/>
  <c r="Z47" i="1"/>
  <c r="Z39" i="1"/>
  <c r="Z35" i="1"/>
  <c r="Z31" i="1"/>
  <c r="Z27" i="1"/>
  <c r="Z23" i="1"/>
  <c r="Z19" i="1"/>
  <c r="Z15" i="1"/>
  <c r="Z11" i="1"/>
  <c r="H175" i="1"/>
  <c r="Z174" i="1"/>
  <c r="AC174" i="1" s="1"/>
  <c r="Z170" i="1"/>
  <c r="Z162" i="1"/>
  <c r="Z158" i="1"/>
  <c r="Z154" i="1"/>
  <c r="Z150" i="1"/>
  <c r="AC150" i="1" s="1"/>
  <c r="Z146" i="1"/>
  <c r="Z142" i="1"/>
  <c r="AC142" i="1" s="1"/>
  <c r="Z138" i="1"/>
  <c r="Z134" i="1"/>
  <c r="Z130" i="1"/>
  <c r="Z126" i="1"/>
  <c r="Z122" i="1"/>
  <c r="Z118" i="1"/>
  <c r="Z114" i="1"/>
  <c r="Z110" i="1"/>
  <c r="Z106" i="1"/>
  <c r="Z102" i="1"/>
  <c r="Z98" i="1"/>
  <c r="Z90" i="1"/>
  <c r="AC90" i="1" s="1"/>
  <c r="Z86" i="1"/>
  <c r="Z82" i="1"/>
  <c r="Z78" i="1"/>
  <c r="Z74" i="1"/>
  <c r="Z70" i="1"/>
  <c r="Z66" i="1"/>
  <c r="Z62" i="1"/>
  <c r="Z58" i="1"/>
  <c r="Z54" i="1"/>
  <c r="Z50" i="1"/>
  <c r="Z42" i="1"/>
  <c r="Z34" i="1"/>
  <c r="Z30" i="1"/>
  <c r="Z26" i="1"/>
  <c r="Z22" i="1"/>
  <c r="Z18" i="1"/>
  <c r="Z14" i="1"/>
  <c r="Z10" i="1"/>
  <c r="Z156" i="1"/>
  <c r="Z166" i="1"/>
  <c r="Z163" i="1"/>
  <c r="Z171" i="1"/>
  <c r="Z38" i="1"/>
  <c r="Z43" i="1"/>
  <c r="Z152" i="1"/>
  <c r="Z155" i="1"/>
  <c r="Z164" i="1"/>
  <c r="Z169" i="1"/>
  <c r="Z168" i="1"/>
  <c r="Z167" i="1"/>
  <c r="N175" i="1"/>
  <c r="K175" i="1"/>
  <c r="Z151" i="1"/>
  <c r="Z127" i="1"/>
  <c r="Z94" i="1"/>
  <c r="X175" i="1"/>
  <c r="Z46" i="1"/>
  <c r="Y175" i="1"/>
  <c r="AB8" i="3"/>
  <c r="V99" i="3"/>
  <c r="L118" i="4"/>
  <c r="O118" i="4"/>
  <c r="T175" i="1"/>
  <c r="P99" i="3"/>
  <c r="U93" i="2"/>
  <c r="U96" i="2" s="1"/>
  <c r="U118" i="4"/>
  <c r="R93" i="2"/>
  <c r="R96" i="2" s="1"/>
  <c r="Q175" i="1"/>
  <c r="R118" i="4"/>
  <c r="S99" i="3"/>
  <c r="AD76" i="4" l="1"/>
  <c r="AQ76" i="4"/>
  <c r="AT76" i="4" s="1"/>
  <c r="AD92" i="4"/>
  <c r="AQ92" i="4"/>
  <c r="AT92" i="4" s="1"/>
  <c r="AD108" i="4"/>
  <c r="AQ108" i="4"/>
  <c r="AT108" i="4" s="1"/>
  <c r="AD9" i="4"/>
  <c r="AQ9" i="4"/>
  <c r="AT9" i="4" s="1"/>
  <c r="AD45" i="4"/>
  <c r="AQ45" i="4"/>
  <c r="AT45" i="4" s="1"/>
  <c r="AD73" i="4"/>
  <c r="AQ73" i="4"/>
  <c r="AT73" i="4" s="1"/>
  <c r="AD46" i="4"/>
  <c r="AQ46" i="4"/>
  <c r="AT46" i="4" s="1"/>
  <c r="AD115" i="4"/>
  <c r="AQ115" i="4"/>
  <c r="AT115" i="4" s="1"/>
  <c r="AD83" i="4"/>
  <c r="AQ83" i="4"/>
  <c r="AT83" i="4" s="1"/>
  <c r="AD85" i="4"/>
  <c r="AQ85" i="4"/>
  <c r="AT85" i="4" s="1"/>
  <c r="AD21" i="4"/>
  <c r="AQ21" i="4"/>
  <c r="AT21" i="4" s="1"/>
  <c r="AD41" i="4"/>
  <c r="AQ41" i="4"/>
  <c r="AT41" i="4" s="1"/>
  <c r="AD65" i="4"/>
  <c r="AQ65" i="4"/>
  <c r="AT65" i="4" s="1"/>
  <c r="AD101" i="4"/>
  <c r="AQ101" i="4"/>
  <c r="AT101" i="4" s="1"/>
  <c r="AD30" i="4"/>
  <c r="AQ30" i="4"/>
  <c r="AT30" i="4" s="1"/>
  <c r="AD50" i="4"/>
  <c r="AQ50" i="4"/>
  <c r="AT50" i="4" s="1"/>
  <c r="AD70" i="4"/>
  <c r="AQ70" i="4"/>
  <c r="AT70" i="4" s="1"/>
  <c r="AD11" i="4"/>
  <c r="AQ11" i="4"/>
  <c r="AT11" i="4" s="1"/>
  <c r="AD35" i="4"/>
  <c r="AQ35" i="4"/>
  <c r="AT35" i="4" s="1"/>
  <c r="AD55" i="4"/>
  <c r="AQ55" i="4"/>
  <c r="AT55" i="4" s="1"/>
  <c r="AD75" i="4"/>
  <c r="AQ75" i="4"/>
  <c r="AT75" i="4" s="1"/>
  <c r="AD16" i="4"/>
  <c r="AQ16" i="4"/>
  <c r="AT16" i="4" s="1"/>
  <c r="AD44" i="4"/>
  <c r="AQ44" i="4"/>
  <c r="AT44" i="4" s="1"/>
  <c r="AD64" i="4"/>
  <c r="AQ64" i="4"/>
  <c r="AT64" i="4" s="1"/>
  <c r="AD84" i="4"/>
  <c r="AQ84" i="4"/>
  <c r="AT84" i="4" s="1"/>
  <c r="AD47" i="4"/>
  <c r="AQ47" i="4"/>
  <c r="AT47" i="4" s="1"/>
  <c r="AD96" i="4"/>
  <c r="AQ96" i="4"/>
  <c r="AT96" i="4" s="1"/>
  <c r="AD98" i="4"/>
  <c r="AQ98" i="4"/>
  <c r="AT98" i="4" s="1"/>
  <c r="AD8" i="4"/>
  <c r="AQ8" i="4"/>
  <c r="AT8" i="4" s="1"/>
  <c r="AD20" i="4"/>
  <c r="AQ20" i="4"/>
  <c r="AT20" i="4" s="1"/>
  <c r="AD97" i="4"/>
  <c r="AQ97" i="4"/>
  <c r="AT97" i="4" s="1"/>
  <c r="AD62" i="4"/>
  <c r="AQ62" i="4"/>
  <c r="AT62" i="4" s="1"/>
  <c r="AD107" i="4"/>
  <c r="AQ107" i="4"/>
  <c r="AT107" i="4" s="1"/>
  <c r="AD87" i="4"/>
  <c r="AQ87" i="4"/>
  <c r="AT87" i="4" s="1"/>
  <c r="AD24" i="4"/>
  <c r="AQ24" i="4"/>
  <c r="AT24" i="4" s="1"/>
  <c r="AD17" i="4"/>
  <c r="AQ17" i="4"/>
  <c r="AT17" i="4" s="1"/>
  <c r="AD37" i="4"/>
  <c r="AQ37" i="4"/>
  <c r="AT37" i="4" s="1"/>
  <c r="AD61" i="4"/>
  <c r="AQ61" i="4"/>
  <c r="AT61" i="4" s="1"/>
  <c r="AD89" i="4"/>
  <c r="AQ89" i="4"/>
  <c r="AT89" i="4" s="1"/>
  <c r="AD22" i="4"/>
  <c r="AQ22" i="4"/>
  <c r="AT22" i="4" s="1"/>
  <c r="AD42" i="4"/>
  <c r="AQ42" i="4"/>
  <c r="AT42" i="4" s="1"/>
  <c r="AD66" i="4"/>
  <c r="AQ66" i="4"/>
  <c r="AT66" i="4" s="1"/>
  <c r="AD102" i="4"/>
  <c r="AQ102" i="4"/>
  <c r="AT102" i="4" s="1"/>
  <c r="AD31" i="4"/>
  <c r="AQ31" i="4"/>
  <c r="AT31" i="4" s="1"/>
  <c r="AD51" i="4"/>
  <c r="AQ51" i="4"/>
  <c r="AT51" i="4" s="1"/>
  <c r="AD71" i="4"/>
  <c r="AQ71" i="4"/>
  <c r="AT71" i="4" s="1"/>
  <c r="AD12" i="4"/>
  <c r="AQ12" i="4"/>
  <c r="AT12" i="4" s="1"/>
  <c r="AD40" i="4"/>
  <c r="AQ40" i="4"/>
  <c r="AT40" i="4" s="1"/>
  <c r="AD60" i="4"/>
  <c r="AQ60" i="4"/>
  <c r="AT60" i="4" s="1"/>
  <c r="AD80" i="4"/>
  <c r="AQ80" i="4"/>
  <c r="AT80" i="4" s="1"/>
  <c r="AD27" i="4"/>
  <c r="AQ27" i="4"/>
  <c r="AT27" i="4" s="1"/>
  <c r="AD48" i="4"/>
  <c r="AQ48" i="4"/>
  <c r="AT48" i="4" s="1"/>
  <c r="AD106" i="4"/>
  <c r="AQ106" i="4"/>
  <c r="AT106" i="4" s="1"/>
  <c r="AD91" i="4"/>
  <c r="AQ91" i="4"/>
  <c r="AT91" i="4" s="1"/>
  <c r="AS24" i="4"/>
  <c r="AS120" i="4" s="1"/>
  <c r="AP120" i="4"/>
  <c r="AS8" i="4"/>
  <c r="AP118" i="4"/>
  <c r="AD25" i="4"/>
  <c r="AQ25" i="4"/>
  <c r="AT25" i="4" s="1"/>
  <c r="AD104" i="4"/>
  <c r="AQ104" i="4"/>
  <c r="AT104" i="4" s="1"/>
  <c r="AD105" i="4"/>
  <c r="AQ105" i="4"/>
  <c r="AT105" i="4" s="1"/>
  <c r="AD28" i="4"/>
  <c r="AQ28" i="4"/>
  <c r="AT28" i="4" s="1"/>
  <c r="AD109" i="4"/>
  <c r="AQ109" i="4"/>
  <c r="AT109" i="4" s="1"/>
  <c r="AD114" i="4"/>
  <c r="AQ114" i="4"/>
  <c r="AT114" i="4" s="1"/>
  <c r="AD86" i="4"/>
  <c r="AQ86" i="4"/>
  <c r="AT86" i="4" s="1"/>
  <c r="AD111" i="4"/>
  <c r="AQ111" i="4"/>
  <c r="AT111" i="4" s="1"/>
  <c r="AD19" i="4"/>
  <c r="AQ19" i="4"/>
  <c r="AT19" i="4" s="1"/>
  <c r="AD13" i="4"/>
  <c r="AQ13" i="4"/>
  <c r="AT13" i="4" s="1"/>
  <c r="AD33" i="4"/>
  <c r="AQ33" i="4"/>
  <c r="AT33" i="4" s="1"/>
  <c r="AD57" i="4"/>
  <c r="AQ57" i="4"/>
  <c r="AT57" i="4" s="1"/>
  <c r="AD81" i="4"/>
  <c r="AQ81" i="4"/>
  <c r="AT81" i="4" s="1"/>
  <c r="AD14" i="4"/>
  <c r="AQ14" i="4"/>
  <c r="AT14" i="4" s="1"/>
  <c r="AD38" i="4"/>
  <c r="AQ38" i="4"/>
  <c r="AT38" i="4" s="1"/>
  <c r="AD58" i="4"/>
  <c r="AQ58" i="4"/>
  <c r="AT58" i="4" s="1"/>
  <c r="AD82" i="4"/>
  <c r="AQ82" i="4"/>
  <c r="AT82" i="4" s="1"/>
  <c r="AD23" i="4"/>
  <c r="AQ23" i="4"/>
  <c r="AT23" i="4" s="1"/>
  <c r="AD43" i="4"/>
  <c r="AQ43" i="4"/>
  <c r="AT43" i="4" s="1"/>
  <c r="AD67" i="4"/>
  <c r="AQ67" i="4"/>
  <c r="AT67" i="4" s="1"/>
  <c r="AD103" i="4"/>
  <c r="AQ103" i="4"/>
  <c r="AT103" i="4" s="1"/>
  <c r="AD36" i="4"/>
  <c r="AQ36" i="4"/>
  <c r="AT36" i="4" s="1"/>
  <c r="AD56" i="4"/>
  <c r="AQ56" i="4"/>
  <c r="AT56" i="4" s="1"/>
  <c r="AD72" i="4"/>
  <c r="AQ72" i="4"/>
  <c r="AT72" i="4" s="1"/>
  <c r="AD26" i="4"/>
  <c r="AQ26" i="4"/>
  <c r="AT26" i="4" s="1"/>
  <c r="AD95" i="4"/>
  <c r="AQ95" i="4"/>
  <c r="AT95" i="4" s="1"/>
  <c r="AD113" i="4"/>
  <c r="AQ113" i="4"/>
  <c r="AT113" i="4" s="1"/>
  <c r="AD110" i="4"/>
  <c r="AQ110" i="4"/>
  <c r="AT110" i="4" s="1"/>
  <c r="AD74" i="4"/>
  <c r="AQ74" i="4"/>
  <c r="AT74" i="4" s="1"/>
  <c r="AD117" i="4"/>
  <c r="AQ117" i="4"/>
  <c r="AT117" i="4" s="1"/>
  <c r="AD100" i="4"/>
  <c r="AQ100" i="4"/>
  <c r="AT100" i="4" s="1"/>
  <c r="AD93" i="4"/>
  <c r="AQ93" i="4"/>
  <c r="AT93" i="4" s="1"/>
  <c r="AD94" i="4"/>
  <c r="AQ94" i="4"/>
  <c r="AT94" i="4" s="1"/>
  <c r="AD18" i="4"/>
  <c r="AQ18" i="4"/>
  <c r="AT18" i="4" s="1"/>
  <c r="AD116" i="4"/>
  <c r="AQ116" i="4"/>
  <c r="AT116" i="4" s="1"/>
  <c r="AD79" i="4"/>
  <c r="AQ79" i="4"/>
  <c r="AT79" i="4" s="1"/>
  <c r="AD112" i="4"/>
  <c r="AQ112" i="4"/>
  <c r="AT112" i="4" s="1"/>
  <c r="AD29" i="4"/>
  <c r="AQ29" i="4"/>
  <c r="AT29" i="4" s="1"/>
  <c r="AD53" i="4"/>
  <c r="AQ53" i="4"/>
  <c r="AT53" i="4" s="1"/>
  <c r="AD69" i="4"/>
  <c r="AQ69" i="4"/>
  <c r="AT69" i="4" s="1"/>
  <c r="AD10" i="4"/>
  <c r="AQ10" i="4"/>
  <c r="AT10" i="4" s="1"/>
  <c r="AD34" i="4"/>
  <c r="AQ34" i="4"/>
  <c r="AT34" i="4" s="1"/>
  <c r="AD54" i="4"/>
  <c r="AQ54" i="4"/>
  <c r="AT54" i="4" s="1"/>
  <c r="AD78" i="4"/>
  <c r="AQ78" i="4"/>
  <c r="AT78" i="4" s="1"/>
  <c r="AD15" i="4"/>
  <c r="AQ15" i="4"/>
  <c r="AT15" i="4" s="1"/>
  <c r="AD39" i="4"/>
  <c r="AQ39" i="4"/>
  <c r="AT39" i="4" s="1"/>
  <c r="AD59" i="4"/>
  <c r="AQ59" i="4"/>
  <c r="AT59" i="4" s="1"/>
  <c r="AD99" i="4"/>
  <c r="AQ99" i="4"/>
  <c r="AT99" i="4" s="1"/>
  <c r="AD32" i="4"/>
  <c r="AQ32" i="4"/>
  <c r="AT32" i="4" s="1"/>
  <c r="AD52" i="4"/>
  <c r="AQ52" i="4"/>
  <c r="AT52" i="4" s="1"/>
  <c r="AD68" i="4"/>
  <c r="AQ68" i="4"/>
  <c r="AT68" i="4" s="1"/>
  <c r="AD88" i="4"/>
  <c r="AQ88" i="4"/>
  <c r="AT88" i="4" s="1"/>
  <c r="AD63" i="4"/>
  <c r="AQ63" i="4"/>
  <c r="AT63" i="4" s="1"/>
  <c r="AD77" i="4"/>
  <c r="AQ77" i="4"/>
  <c r="AT77" i="4" s="1"/>
  <c r="AD49" i="4"/>
  <c r="AQ49" i="4"/>
  <c r="AT49" i="4" s="1"/>
  <c r="AD90" i="4"/>
  <c r="AQ90" i="4"/>
  <c r="AT90" i="4" s="1"/>
  <c r="AR24" i="4"/>
  <c r="AR120" i="4" s="1"/>
  <c r="AO120" i="4"/>
  <c r="AR8" i="4"/>
  <c r="AO118" i="4"/>
  <c r="AE52" i="3"/>
  <c r="AQ52" i="3"/>
  <c r="AT52" i="3" s="1"/>
  <c r="AE57" i="3"/>
  <c r="AQ57" i="3"/>
  <c r="AT57" i="3" s="1"/>
  <c r="AE34" i="3"/>
  <c r="AQ34" i="3"/>
  <c r="AT34" i="3" s="1"/>
  <c r="AE93" i="3"/>
  <c r="AQ93" i="3"/>
  <c r="AT93" i="3" s="1"/>
  <c r="AE66" i="3"/>
  <c r="AQ66" i="3"/>
  <c r="AT66" i="3" s="1"/>
  <c r="AE90" i="3"/>
  <c r="AQ90" i="3"/>
  <c r="AT90" i="3" s="1"/>
  <c r="AE12" i="3"/>
  <c r="AQ12" i="3"/>
  <c r="AT12" i="3" s="1"/>
  <c r="AE32" i="3"/>
  <c r="AQ32" i="3"/>
  <c r="AT32" i="3" s="1"/>
  <c r="AE48" i="3"/>
  <c r="AQ48" i="3"/>
  <c r="AT48" i="3" s="1"/>
  <c r="AE64" i="3"/>
  <c r="AQ64" i="3"/>
  <c r="AT64" i="3" s="1"/>
  <c r="AE13" i="3"/>
  <c r="AQ13" i="3"/>
  <c r="AT13" i="3" s="1"/>
  <c r="AE33" i="3"/>
  <c r="AQ33" i="3"/>
  <c r="AT33" i="3" s="1"/>
  <c r="AE49" i="3"/>
  <c r="AQ49" i="3"/>
  <c r="AT49" i="3" s="1"/>
  <c r="AE69" i="3"/>
  <c r="AQ69" i="3"/>
  <c r="AT69" i="3" s="1"/>
  <c r="AE89" i="3"/>
  <c r="AQ89" i="3"/>
  <c r="AT89" i="3" s="1"/>
  <c r="AE30" i="3"/>
  <c r="AQ30" i="3"/>
  <c r="AT30" i="3" s="1"/>
  <c r="AE46" i="3"/>
  <c r="AQ46" i="3"/>
  <c r="AT46" i="3" s="1"/>
  <c r="AE70" i="3"/>
  <c r="AQ70" i="3"/>
  <c r="AT70" i="3" s="1"/>
  <c r="AE87" i="3"/>
  <c r="AQ87" i="3"/>
  <c r="AT87" i="3" s="1"/>
  <c r="AE80" i="3"/>
  <c r="AQ80" i="3"/>
  <c r="AT80" i="3" s="1"/>
  <c r="AE92" i="3"/>
  <c r="AQ92" i="3"/>
  <c r="AT92" i="3" s="1"/>
  <c r="AE71" i="3"/>
  <c r="AQ71" i="3"/>
  <c r="AT71" i="3" s="1"/>
  <c r="AE55" i="3"/>
  <c r="AQ55" i="3"/>
  <c r="AT55" i="3" s="1"/>
  <c r="AE39" i="3"/>
  <c r="AQ39" i="3"/>
  <c r="AT39" i="3" s="1"/>
  <c r="AE23" i="3"/>
  <c r="AQ23" i="3"/>
  <c r="AT23" i="3" s="1"/>
  <c r="AE22" i="3"/>
  <c r="AQ22" i="3"/>
  <c r="AT22" i="3" s="1"/>
  <c r="AE26" i="3"/>
  <c r="AQ26" i="3"/>
  <c r="AT26" i="3" s="1"/>
  <c r="AS8" i="3"/>
  <c r="AP99" i="3"/>
  <c r="AR22" i="3"/>
  <c r="AR101" i="3" s="1"/>
  <c r="AO101" i="3"/>
  <c r="AS22" i="3"/>
  <c r="AS101" i="3" s="1"/>
  <c r="AP101" i="3"/>
  <c r="AP104" i="3" s="1"/>
  <c r="AE96" i="3"/>
  <c r="AQ96" i="3"/>
  <c r="AT96" i="3" s="1"/>
  <c r="AE86" i="3"/>
  <c r="AQ86" i="3"/>
  <c r="AT86" i="3" s="1"/>
  <c r="AE16" i="3"/>
  <c r="AQ16" i="3"/>
  <c r="AT16" i="3" s="1"/>
  <c r="AE68" i="3"/>
  <c r="AQ68" i="3"/>
  <c r="AT68" i="3" s="1"/>
  <c r="AE37" i="3"/>
  <c r="AQ37" i="3"/>
  <c r="AT37" i="3" s="1"/>
  <c r="AE10" i="3"/>
  <c r="AQ10" i="3"/>
  <c r="AT10" i="3" s="1"/>
  <c r="AE50" i="3"/>
  <c r="AQ50" i="3"/>
  <c r="AT50" i="3" s="1"/>
  <c r="AE95" i="3"/>
  <c r="AQ95" i="3"/>
  <c r="AT95" i="3" s="1"/>
  <c r="AE67" i="3"/>
  <c r="AQ67" i="3"/>
  <c r="AT67" i="3" s="1"/>
  <c r="AE51" i="3"/>
  <c r="AQ51" i="3"/>
  <c r="AT51" i="3" s="1"/>
  <c r="AE19" i="3"/>
  <c r="AQ19" i="3"/>
  <c r="AT19" i="3" s="1"/>
  <c r="AE98" i="3"/>
  <c r="AQ98" i="3"/>
  <c r="AT98" i="3" s="1"/>
  <c r="AE94" i="3"/>
  <c r="AQ94" i="3"/>
  <c r="AT94" i="3" s="1"/>
  <c r="AE78" i="3"/>
  <c r="AQ78" i="3"/>
  <c r="AT78" i="3" s="1"/>
  <c r="AE28" i="3"/>
  <c r="AQ28" i="3"/>
  <c r="AT28" i="3" s="1"/>
  <c r="AE44" i="3"/>
  <c r="AQ44" i="3"/>
  <c r="AT44" i="3" s="1"/>
  <c r="AE60" i="3"/>
  <c r="AQ60" i="3"/>
  <c r="AT60" i="3" s="1"/>
  <c r="AE9" i="3"/>
  <c r="AQ9" i="3"/>
  <c r="AT9" i="3" s="1"/>
  <c r="AE29" i="3"/>
  <c r="AQ29" i="3"/>
  <c r="AT29" i="3" s="1"/>
  <c r="AE45" i="3"/>
  <c r="AQ45" i="3"/>
  <c r="AT45" i="3" s="1"/>
  <c r="AE65" i="3"/>
  <c r="AQ65" i="3"/>
  <c r="AT65" i="3" s="1"/>
  <c r="AE81" i="3"/>
  <c r="AQ81" i="3"/>
  <c r="AT81" i="3" s="1"/>
  <c r="AE18" i="3"/>
  <c r="AQ18" i="3"/>
  <c r="AT18" i="3" s="1"/>
  <c r="AE42" i="3"/>
  <c r="AQ42" i="3"/>
  <c r="AT42" i="3" s="1"/>
  <c r="AE62" i="3"/>
  <c r="AQ62" i="3"/>
  <c r="AT62" i="3" s="1"/>
  <c r="AE83" i="3"/>
  <c r="AQ83" i="3"/>
  <c r="AT83" i="3" s="1"/>
  <c r="AE76" i="3"/>
  <c r="AQ76" i="3"/>
  <c r="AT76" i="3" s="1"/>
  <c r="AE88" i="3"/>
  <c r="AQ88" i="3"/>
  <c r="AT88" i="3" s="1"/>
  <c r="AE75" i="3"/>
  <c r="AQ75" i="3"/>
  <c r="AT75" i="3" s="1"/>
  <c r="AE59" i="3"/>
  <c r="AQ59" i="3"/>
  <c r="AT59" i="3" s="1"/>
  <c r="AE43" i="3"/>
  <c r="AQ43" i="3"/>
  <c r="AT43" i="3" s="1"/>
  <c r="AE27" i="3"/>
  <c r="AQ27" i="3"/>
  <c r="AT27" i="3" s="1"/>
  <c r="AE11" i="3"/>
  <c r="AQ11" i="3"/>
  <c r="AT11" i="3" s="1"/>
  <c r="AE53" i="3"/>
  <c r="AQ53" i="3"/>
  <c r="AT53" i="3" s="1"/>
  <c r="AE97" i="3"/>
  <c r="AQ97" i="3"/>
  <c r="AT97" i="3" s="1"/>
  <c r="AE36" i="3"/>
  <c r="AQ36" i="3"/>
  <c r="AT36" i="3" s="1"/>
  <c r="AE17" i="3"/>
  <c r="AQ17" i="3"/>
  <c r="AT17" i="3" s="1"/>
  <c r="AE73" i="3"/>
  <c r="AQ73" i="3"/>
  <c r="AT73" i="3" s="1"/>
  <c r="AE74" i="3"/>
  <c r="AQ74" i="3"/>
  <c r="AT74" i="3" s="1"/>
  <c r="AE84" i="3"/>
  <c r="AQ84" i="3"/>
  <c r="AT84" i="3" s="1"/>
  <c r="AE35" i="3"/>
  <c r="AQ35" i="3"/>
  <c r="AT35" i="3" s="1"/>
  <c r="AE54" i="3"/>
  <c r="AQ54" i="3"/>
  <c r="AT54" i="3" s="1"/>
  <c r="AE8" i="3"/>
  <c r="AQ8" i="3"/>
  <c r="AT8" i="3" s="1"/>
  <c r="AE82" i="3"/>
  <c r="AQ82" i="3"/>
  <c r="AT82" i="3" s="1"/>
  <c r="AE20" i="3"/>
  <c r="AQ20" i="3"/>
  <c r="AT20" i="3" s="1"/>
  <c r="AE40" i="3"/>
  <c r="AQ40" i="3"/>
  <c r="AT40" i="3" s="1"/>
  <c r="AE56" i="3"/>
  <c r="AQ56" i="3"/>
  <c r="AT56" i="3" s="1"/>
  <c r="AE72" i="3"/>
  <c r="AQ72" i="3"/>
  <c r="AT72" i="3" s="1"/>
  <c r="AE21" i="3"/>
  <c r="AQ21" i="3"/>
  <c r="AT21" i="3" s="1"/>
  <c r="AE41" i="3"/>
  <c r="AQ41" i="3"/>
  <c r="AT41" i="3" s="1"/>
  <c r="AE61" i="3"/>
  <c r="AQ61" i="3"/>
  <c r="AT61" i="3" s="1"/>
  <c r="AE77" i="3"/>
  <c r="AQ77" i="3"/>
  <c r="AT77" i="3" s="1"/>
  <c r="AE14" i="3"/>
  <c r="AQ14" i="3"/>
  <c r="AT14" i="3" s="1"/>
  <c r="AE38" i="3"/>
  <c r="AQ38" i="3"/>
  <c r="AT38" i="3" s="1"/>
  <c r="AE58" i="3"/>
  <c r="AQ58" i="3"/>
  <c r="AT58" i="3" s="1"/>
  <c r="AE79" i="3"/>
  <c r="AQ79" i="3"/>
  <c r="AT79" i="3" s="1"/>
  <c r="AE24" i="3"/>
  <c r="AQ24" i="3"/>
  <c r="AT24" i="3" s="1"/>
  <c r="AE85" i="3"/>
  <c r="AQ85" i="3"/>
  <c r="AT85" i="3" s="1"/>
  <c r="AE91" i="3"/>
  <c r="AQ91" i="3"/>
  <c r="AT91" i="3" s="1"/>
  <c r="AE63" i="3"/>
  <c r="AQ63" i="3"/>
  <c r="AT63" i="3" s="1"/>
  <c r="AE47" i="3"/>
  <c r="AQ47" i="3"/>
  <c r="AT47" i="3" s="1"/>
  <c r="AE31" i="3"/>
  <c r="AQ31" i="3"/>
  <c r="AT31" i="3" s="1"/>
  <c r="AE15" i="3"/>
  <c r="AQ15" i="3"/>
  <c r="AT15" i="3" s="1"/>
  <c r="AE25" i="3"/>
  <c r="AQ25" i="3"/>
  <c r="AT25" i="3" s="1"/>
  <c r="AR8" i="3"/>
  <c r="AR99" i="3" s="1"/>
  <c r="AO99" i="3"/>
  <c r="AS95" i="2"/>
  <c r="Y96" i="2"/>
  <c r="Y97" i="2" s="1"/>
  <c r="AD19" i="2"/>
  <c r="AQ19" i="2"/>
  <c r="AT19" i="2" s="1"/>
  <c r="AR8" i="2"/>
  <c r="AR93" i="2" s="1"/>
  <c r="AO93" i="2"/>
  <c r="AP95" i="2"/>
  <c r="AD83" i="2"/>
  <c r="AQ83" i="2"/>
  <c r="AT83" i="2" s="1"/>
  <c r="AD12" i="2"/>
  <c r="AQ12" i="2"/>
  <c r="AT12" i="2" s="1"/>
  <c r="AD9" i="2"/>
  <c r="AQ9" i="2"/>
  <c r="AT9" i="2" s="1"/>
  <c r="AD60" i="2"/>
  <c r="AQ60" i="2"/>
  <c r="AT60" i="2" s="1"/>
  <c r="AD76" i="2"/>
  <c r="AQ76" i="2"/>
  <c r="AT76" i="2" s="1"/>
  <c r="AD64" i="2"/>
  <c r="AQ64" i="2"/>
  <c r="AT64" i="2" s="1"/>
  <c r="AD82" i="2"/>
  <c r="AQ82" i="2"/>
  <c r="AT82" i="2" s="1"/>
  <c r="AD79" i="2"/>
  <c r="AQ79" i="2"/>
  <c r="AT79" i="2" s="1"/>
  <c r="AD50" i="2"/>
  <c r="AQ50" i="2"/>
  <c r="AT50" i="2" s="1"/>
  <c r="AD23" i="2"/>
  <c r="AQ23" i="2"/>
  <c r="AT23" i="2" s="1"/>
  <c r="AD42" i="2"/>
  <c r="AQ42" i="2"/>
  <c r="AT42" i="2" s="1"/>
  <c r="AD74" i="2"/>
  <c r="AQ74" i="2"/>
  <c r="AT74" i="2" s="1"/>
  <c r="AD80" i="2"/>
  <c r="AQ80" i="2"/>
  <c r="AT80" i="2" s="1"/>
  <c r="AD73" i="2"/>
  <c r="AQ73" i="2"/>
  <c r="AT73" i="2" s="1"/>
  <c r="AD40" i="2"/>
  <c r="AQ40" i="2"/>
  <c r="AT40" i="2" s="1"/>
  <c r="AD41" i="2"/>
  <c r="AQ41" i="2"/>
  <c r="AT41" i="2" s="1"/>
  <c r="AD75" i="2"/>
  <c r="AQ75" i="2"/>
  <c r="AT75" i="2" s="1"/>
  <c r="AD39" i="2"/>
  <c r="AQ39" i="2"/>
  <c r="AT39" i="2" s="1"/>
  <c r="AD29" i="2"/>
  <c r="AQ29" i="2"/>
  <c r="AT29" i="2" s="1"/>
  <c r="AD69" i="2"/>
  <c r="AQ69" i="2"/>
  <c r="AT69" i="2" s="1"/>
  <c r="AD28" i="2"/>
  <c r="AQ28" i="2"/>
  <c r="AT28" i="2" s="1"/>
  <c r="AD71" i="2"/>
  <c r="AQ71" i="2"/>
  <c r="AT71" i="2" s="1"/>
  <c r="AD46" i="2"/>
  <c r="AQ46" i="2"/>
  <c r="AT46" i="2" s="1"/>
  <c r="AD11" i="2"/>
  <c r="AQ11" i="2"/>
  <c r="AT11" i="2" s="1"/>
  <c r="AD51" i="2"/>
  <c r="AQ51" i="2"/>
  <c r="AT51" i="2" s="1"/>
  <c r="AD21" i="2"/>
  <c r="AQ21" i="2"/>
  <c r="AT21" i="2" s="1"/>
  <c r="AD52" i="2"/>
  <c r="AQ52" i="2"/>
  <c r="AT52" i="2" s="1"/>
  <c r="AR95" i="2"/>
  <c r="AD72" i="2"/>
  <c r="AQ72" i="2"/>
  <c r="AT72" i="2" s="1"/>
  <c r="AD58" i="2"/>
  <c r="AQ58" i="2"/>
  <c r="AT58" i="2" s="1"/>
  <c r="AD49" i="2"/>
  <c r="AQ49" i="2"/>
  <c r="AT49" i="2" s="1"/>
  <c r="AD67" i="2"/>
  <c r="AQ67" i="2"/>
  <c r="AT67" i="2" s="1"/>
  <c r="AD37" i="2"/>
  <c r="AQ37" i="2"/>
  <c r="AT37" i="2" s="1"/>
  <c r="AD14" i="2"/>
  <c r="AQ14" i="2"/>
  <c r="AT14" i="2" s="1"/>
  <c r="AD54" i="2"/>
  <c r="AQ54" i="2"/>
  <c r="AT54" i="2" s="1"/>
  <c r="AD27" i="2"/>
  <c r="AQ27" i="2"/>
  <c r="AT27" i="2" s="1"/>
  <c r="AD25" i="2"/>
  <c r="AQ25" i="2"/>
  <c r="AT25" i="2" s="1"/>
  <c r="AD61" i="2"/>
  <c r="AQ61" i="2"/>
  <c r="AT61" i="2" s="1"/>
  <c r="AD70" i="2"/>
  <c r="AQ70" i="2"/>
  <c r="AT70" i="2" s="1"/>
  <c r="AD84" i="2"/>
  <c r="AQ84" i="2"/>
  <c r="AT84" i="2" s="1"/>
  <c r="AD8" i="2"/>
  <c r="AQ8" i="2"/>
  <c r="AD45" i="2"/>
  <c r="AQ45" i="2"/>
  <c r="AT45" i="2" s="1"/>
  <c r="AD26" i="2"/>
  <c r="AQ26" i="2"/>
  <c r="AT26" i="2" s="1"/>
  <c r="AD10" i="2"/>
  <c r="AQ10" i="2"/>
  <c r="AT10" i="2" s="1"/>
  <c r="AD66" i="2"/>
  <c r="AQ66" i="2"/>
  <c r="AT66" i="2" s="1"/>
  <c r="AD81" i="2"/>
  <c r="AQ81" i="2"/>
  <c r="AT81" i="2" s="1"/>
  <c r="AD36" i="2"/>
  <c r="AQ36" i="2"/>
  <c r="AT36" i="2" s="1"/>
  <c r="AD13" i="2"/>
  <c r="AQ13" i="2"/>
  <c r="AT13" i="2" s="1"/>
  <c r="AD65" i="2"/>
  <c r="AQ65" i="2"/>
  <c r="AT65" i="2" s="1"/>
  <c r="AD47" i="2"/>
  <c r="AQ47" i="2"/>
  <c r="AT47" i="2" s="1"/>
  <c r="AD17" i="2"/>
  <c r="AQ17" i="2"/>
  <c r="AT17" i="2" s="1"/>
  <c r="AD57" i="2"/>
  <c r="AQ57" i="2"/>
  <c r="AT57" i="2" s="1"/>
  <c r="AD56" i="2"/>
  <c r="AQ56" i="2"/>
  <c r="AT56" i="2" s="1"/>
  <c r="AD18" i="2"/>
  <c r="AQ18" i="2"/>
  <c r="AT18" i="2" s="1"/>
  <c r="AD38" i="2"/>
  <c r="AQ38" i="2"/>
  <c r="AT38" i="2" s="1"/>
  <c r="AD35" i="2"/>
  <c r="AQ35" i="2"/>
  <c r="AT35" i="2" s="1"/>
  <c r="AD63" i="2"/>
  <c r="AQ63" i="2"/>
  <c r="AT63" i="2" s="1"/>
  <c r="AD20" i="2"/>
  <c r="AQ20" i="2"/>
  <c r="AT20" i="2" s="1"/>
  <c r="AD30" i="2"/>
  <c r="AQ30" i="2"/>
  <c r="AT30" i="2" s="1"/>
  <c r="AD48" i="2"/>
  <c r="AQ48" i="2"/>
  <c r="AT48" i="2" s="1"/>
  <c r="AS8" i="2"/>
  <c r="AS93" i="2" s="1"/>
  <c r="AP93" i="2"/>
  <c r="Z96" i="2"/>
  <c r="AO95" i="2"/>
  <c r="AC18" i="1"/>
  <c r="AP18" i="1"/>
  <c r="AS18" i="1" s="1"/>
  <c r="AC58" i="1"/>
  <c r="AP58" i="1"/>
  <c r="AS58" i="1" s="1"/>
  <c r="AC74" i="1"/>
  <c r="AP74" i="1"/>
  <c r="AS74" i="1" s="1"/>
  <c r="AC110" i="1"/>
  <c r="AP110" i="1"/>
  <c r="AS110" i="1" s="1"/>
  <c r="AC126" i="1"/>
  <c r="AP126" i="1"/>
  <c r="AS126" i="1" s="1"/>
  <c r="AC158" i="1"/>
  <c r="AP158" i="1"/>
  <c r="AS158" i="1" s="1"/>
  <c r="AC23" i="1"/>
  <c r="AP23" i="1"/>
  <c r="AS23" i="1" s="1"/>
  <c r="AC39" i="1"/>
  <c r="AP39" i="1"/>
  <c r="AS39" i="1" s="1"/>
  <c r="AC59" i="1"/>
  <c r="AP59" i="1"/>
  <c r="AS59" i="1" s="1"/>
  <c r="AC75" i="1"/>
  <c r="AP75" i="1"/>
  <c r="AS75" i="1" s="1"/>
  <c r="AC91" i="1"/>
  <c r="AP91" i="1"/>
  <c r="AS91" i="1" s="1"/>
  <c r="AC107" i="1"/>
  <c r="AP107" i="1"/>
  <c r="AS107" i="1" s="1"/>
  <c r="AC123" i="1"/>
  <c r="AP123" i="1"/>
  <c r="AS123" i="1" s="1"/>
  <c r="AC143" i="1"/>
  <c r="AP143" i="1"/>
  <c r="AS143" i="1" s="1"/>
  <c r="AC12" i="1"/>
  <c r="AP12" i="1"/>
  <c r="AS12" i="1" s="1"/>
  <c r="AC28" i="1"/>
  <c r="AP28" i="1"/>
  <c r="AS28" i="1" s="1"/>
  <c r="AC44" i="1"/>
  <c r="AP44" i="1"/>
  <c r="AS44" i="1" s="1"/>
  <c r="AC60" i="1"/>
  <c r="AP60" i="1"/>
  <c r="AS60" i="1" s="1"/>
  <c r="AC76" i="1"/>
  <c r="AP76" i="1"/>
  <c r="AS76" i="1" s="1"/>
  <c r="AC92" i="1"/>
  <c r="AP92" i="1"/>
  <c r="AS92" i="1" s="1"/>
  <c r="AC108" i="1"/>
  <c r="AP108" i="1"/>
  <c r="AS108" i="1" s="1"/>
  <c r="AC124" i="1"/>
  <c r="AP124" i="1"/>
  <c r="AS124" i="1" s="1"/>
  <c r="AC140" i="1"/>
  <c r="AP140" i="1"/>
  <c r="AS140" i="1" s="1"/>
  <c r="AC172" i="1"/>
  <c r="AP172" i="1"/>
  <c r="AS172" i="1" s="1"/>
  <c r="AC37" i="1"/>
  <c r="AP37" i="1"/>
  <c r="AS37" i="1" s="1"/>
  <c r="AC53" i="1"/>
  <c r="AP53" i="1"/>
  <c r="AS53" i="1" s="1"/>
  <c r="AC69" i="1"/>
  <c r="AP69" i="1"/>
  <c r="AS69" i="1" s="1"/>
  <c r="AC85" i="1"/>
  <c r="AP85" i="1"/>
  <c r="AS85" i="1" s="1"/>
  <c r="AC101" i="1"/>
  <c r="AP101" i="1"/>
  <c r="AS101" i="1" s="1"/>
  <c r="AC117" i="1"/>
  <c r="AP117" i="1"/>
  <c r="AS117" i="1" s="1"/>
  <c r="AC133" i="1"/>
  <c r="AP133" i="1"/>
  <c r="AS133" i="1" s="1"/>
  <c r="AC149" i="1"/>
  <c r="AP149" i="1"/>
  <c r="AS149" i="1" s="1"/>
  <c r="AC165" i="1"/>
  <c r="AP165" i="1"/>
  <c r="AS165" i="1" s="1"/>
  <c r="AC43" i="1"/>
  <c r="AP43" i="1"/>
  <c r="AS43" i="1" s="1"/>
  <c r="AC151" i="1"/>
  <c r="AP151" i="1"/>
  <c r="AS151" i="1" s="1"/>
  <c r="AC163" i="1"/>
  <c r="AP163" i="1"/>
  <c r="AS163" i="1" s="1"/>
  <c r="AC14" i="1"/>
  <c r="AP14" i="1"/>
  <c r="AS14" i="1" s="1"/>
  <c r="AC30" i="1"/>
  <c r="AP30" i="1"/>
  <c r="AS30" i="1" s="1"/>
  <c r="AC54" i="1"/>
  <c r="AP54" i="1"/>
  <c r="AS54" i="1" s="1"/>
  <c r="AC70" i="1"/>
  <c r="AP70" i="1"/>
  <c r="AS70" i="1" s="1"/>
  <c r="AC86" i="1"/>
  <c r="AP86" i="1"/>
  <c r="AS86" i="1" s="1"/>
  <c r="AC106" i="1"/>
  <c r="AP106" i="1"/>
  <c r="AS106" i="1" s="1"/>
  <c r="AC122" i="1"/>
  <c r="AP122" i="1"/>
  <c r="AS122" i="1" s="1"/>
  <c r="AC138" i="1"/>
  <c r="AP138" i="1"/>
  <c r="AS138" i="1" s="1"/>
  <c r="AC154" i="1"/>
  <c r="AP154" i="1"/>
  <c r="AS154" i="1" s="1"/>
  <c r="AC19" i="1"/>
  <c r="AP19" i="1"/>
  <c r="AS19" i="1" s="1"/>
  <c r="AC35" i="1"/>
  <c r="AP35" i="1"/>
  <c r="AS35" i="1" s="1"/>
  <c r="AC55" i="1"/>
  <c r="AP55" i="1"/>
  <c r="AS55" i="1" s="1"/>
  <c r="AC71" i="1"/>
  <c r="AP71" i="1"/>
  <c r="AS71" i="1" s="1"/>
  <c r="AC103" i="1"/>
  <c r="AP103" i="1"/>
  <c r="AS103" i="1" s="1"/>
  <c r="AC119" i="1"/>
  <c r="AP119" i="1"/>
  <c r="AS119" i="1" s="1"/>
  <c r="AC139" i="1"/>
  <c r="AP139" i="1"/>
  <c r="AS139" i="1" s="1"/>
  <c r="AC8" i="1"/>
  <c r="AP8" i="1"/>
  <c r="AS8" i="1" s="1"/>
  <c r="AC24" i="1"/>
  <c r="AP24" i="1"/>
  <c r="AS24" i="1" s="1"/>
  <c r="AC40" i="1"/>
  <c r="AP40" i="1"/>
  <c r="AS40" i="1" s="1"/>
  <c r="AC56" i="1"/>
  <c r="AP56" i="1"/>
  <c r="AS56" i="1" s="1"/>
  <c r="AC72" i="1"/>
  <c r="AP72" i="1"/>
  <c r="AS72" i="1" s="1"/>
  <c r="AC88" i="1"/>
  <c r="AP88" i="1"/>
  <c r="AS88" i="1" s="1"/>
  <c r="AC104" i="1"/>
  <c r="AP104" i="1"/>
  <c r="AS104" i="1" s="1"/>
  <c r="AC120" i="1"/>
  <c r="AP120" i="1"/>
  <c r="AS120" i="1" s="1"/>
  <c r="AC136" i="1"/>
  <c r="AP136" i="1"/>
  <c r="AS136" i="1" s="1"/>
  <c r="AC160" i="1"/>
  <c r="AP160" i="1"/>
  <c r="AS160" i="1" s="1"/>
  <c r="AC17" i="1"/>
  <c r="AP17" i="1"/>
  <c r="AS17" i="1" s="1"/>
  <c r="AC33" i="1"/>
  <c r="AP33" i="1"/>
  <c r="AS33" i="1" s="1"/>
  <c r="AC49" i="1"/>
  <c r="AP49" i="1"/>
  <c r="AS49" i="1" s="1"/>
  <c r="AC65" i="1"/>
  <c r="AP65" i="1"/>
  <c r="AS65" i="1" s="1"/>
  <c r="AC81" i="1"/>
  <c r="AP81" i="1"/>
  <c r="AS81" i="1" s="1"/>
  <c r="AC97" i="1"/>
  <c r="AP97" i="1"/>
  <c r="AS97" i="1" s="1"/>
  <c r="AC145" i="1"/>
  <c r="AP145" i="1"/>
  <c r="AS145" i="1" s="1"/>
  <c r="AC161" i="1"/>
  <c r="AP161" i="1"/>
  <c r="AS161" i="1" s="1"/>
  <c r="AR45" i="1"/>
  <c r="AR177" i="1" s="1"/>
  <c r="AO177" i="1"/>
  <c r="AC166" i="1"/>
  <c r="AP166" i="1"/>
  <c r="AS166" i="1" s="1"/>
  <c r="AC46" i="1"/>
  <c r="AP46" i="1"/>
  <c r="AS46" i="1" s="1"/>
  <c r="AC152" i="1"/>
  <c r="AP152" i="1"/>
  <c r="AS152" i="1" s="1"/>
  <c r="AC127" i="1"/>
  <c r="AP127" i="1"/>
  <c r="AS127" i="1" s="1"/>
  <c r="AC167" i="1"/>
  <c r="AP167" i="1"/>
  <c r="AS167" i="1" s="1"/>
  <c r="AC155" i="1"/>
  <c r="AP155" i="1"/>
  <c r="AS155" i="1" s="1"/>
  <c r="AC171" i="1"/>
  <c r="AP171" i="1"/>
  <c r="AS171" i="1" s="1"/>
  <c r="AC10" i="1"/>
  <c r="AP10" i="1"/>
  <c r="AS10" i="1" s="1"/>
  <c r="AC26" i="1"/>
  <c r="AP26" i="1"/>
  <c r="AS26" i="1" s="1"/>
  <c r="AC50" i="1"/>
  <c r="AP50" i="1"/>
  <c r="AS50" i="1" s="1"/>
  <c r="AC66" i="1"/>
  <c r="AP66" i="1"/>
  <c r="AS66" i="1" s="1"/>
  <c r="AC82" i="1"/>
  <c r="AP82" i="1"/>
  <c r="AS82" i="1" s="1"/>
  <c r="AC102" i="1"/>
  <c r="AP102" i="1"/>
  <c r="AS102" i="1" s="1"/>
  <c r="AC118" i="1"/>
  <c r="AP118" i="1"/>
  <c r="AS118" i="1" s="1"/>
  <c r="AC134" i="1"/>
  <c r="AP134" i="1"/>
  <c r="AS134" i="1" s="1"/>
  <c r="AC170" i="1"/>
  <c r="AP170" i="1"/>
  <c r="AS170" i="1" s="1"/>
  <c r="AC31" i="1"/>
  <c r="AP31" i="1"/>
  <c r="AS31" i="1" s="1"/>
  <c r="AC51" i="1"/>
  <c r="AP51" i="1"/>
  <c r="AS51" i="1" s="1"/>
  <c r="AC67" i="1"/>
  <c r="AP67" i="1"/>
  <c r="AS67" i="1" s="1"/>
  <c r="AC83" i="1"/>
  <c r="AP83" i="1"/>
  <c r="AS83" i="1" s="1"/>
  <c r="AC115" i="1"/>
  <c r="AP115" i="1"/>
  <c r="AS115" i="1" s="1"/>
  <c r="AC135" i="1"/>
  <c r="AP135" i="1"/>
  <c r="AS135" i="1" s="1"/>
  <c r="AC20" i="1"/>
  <c r="AP20" i="1"/>
  <c r="AS20" i="1" s="1"/>
  <c r="AC36" i="1"/>
  <c r="AP36" i="1"/>
  <c r="AS36" i="1" s="1"/>
  <c r="AC52" i="1"/>
  <c r="AP52" i="1"/>
  <c r="AS52" i="1" s="1"/>
  <c r="AC84" i="1"/>
  <c r="AP84" i="1"/>
  <c r="AS84" i="1" s="1"/>
  <c r="AC100" i="1"/>
  <c r="AP100" i="1"/>
  <c r="AS100" i="1" s="1"/>
  <c r="AC116" i="1"/>
  <c r="AP116" i="1"/>
  <c r="AS116" i="1" s="1"/>
  <c r="AC132" i="1"/>
  <c r="AP132" i="1"/>
  <c r="AS132" i="1" s="1"/>
  <c r="AC148" i="1"/>
  <c r="AP148" i="1"/>
  <c r="AS148" i="1" s="1"/>
  <c r="AC13" i="1"/>
  <c r="AP13" i="1"/>
  <c r="AS13" i="1" s="1"/>
  <c r="AC45" i="1"/>
  <c r="AP45" i="1"/>
  <c r="AS45" i="1" s="1"/>
  <c r="AC61" i="1"/>
  <c r="AP61" i="1"/>
  <c r="AS61" i="1" s="1"/>
  <c r="AC77" i="1"/>
  <c r="AP77" i="1"/>
  <c r="AS77" i="1" s="1"/>
  <c r="AC93" i="1"/>
  <c r="AP93" i="1"/>
  <c r="AS93" i="1" s="1"/>
  <c r="AC109" i="1"/>
  <c r="AP109" i="1"/>
  <c r="AS109" i="1" s="1"/>
  <c r="AC125" i="1"/>
  <c r="AP125" i="1"/>
  <c r="AS125" i="1" s="1"/>
  <c r="AC141" i="1"/>
  <c r="AP141" i="1"/>
  <c r="AS141" i="1" s="1"/>
  <c r="AC157" i="1"/>
  <c r="AP157" i="1"/>
  <c r="AS157" i="1" s="1"/>
  <c r="AQ45" i="1"/>
  <c r="AQ177" i="1" s="1"/>
  <c r="AS177" i="1" s="1"/>
  <c r="AN177" i="1"/>
  <c r="AP177" i="1" s="1"/>
  <c r="AC169" i="1"/>
  <c r="AP169" i="1"/>
  <c r="AS169" i="1" s="1"/>
  <c r="AC34" i="1"/>
  <c r="AP34" i="1"/>
  <c r="AS34" i="1" s="1"/>
  <c r="AC168" i="1"/>
  <c r="AP168" i="1"/>
  <c r="AS168" i="1" s="1"/>
  <c r="AC94" i="1"/>
  <c r="AP94" i="1"/>
  <c r="AS94" i="1" s="1"/>
  <c r="AC164" i="1"/>
  <c r="AP164" i="1"/>
  <c r="AS164" i="1" s="1"/>
  <c r="AC38" i="1"/>
  <c r="AP38" i="1"/>
  <c r="AS38" i="1" s="1"/>
  <c r="AC156" i="1"/>
  <c r="AP156" i="1"/>
  <c r="AS156" i="1" s="1"/>
  <c r="AC22" i="1"/>
  <c r="AP22" i="1"/>
  <c r="AS22" i="1" s="1"/>
  <c r="AC42" i="1"/>
  <c r="AP42" i="1"/>
  <c r="AS42" i="1" s="1"/>
  <c r="AC62" i="1"/>
  <c r="AP62" i="1"/>
  <c r="AS62" i="1" s="1"/>
  <c r="AC78" i="1"/>
  <c r="AP78" i="1"/>
  <c r="AS78" i="1" s="1"/>
  <c r="AC98" i="1"/>
  <c r="AP98" i="1"/>
  <c r="AS98" i="1" s="1"/>
  <c r="AC114" i="1"/>
  <c r="AP114" i="1"/>
  <c r="AS114" i="1" s="1"/>
  <c r="AC130" i="1"/>
  <c r="AP130" i="1"/>
  <c r="AS130" i="1" s="1"/>
  <c r="AC146" i="1"/>
  <c r="AP146" i="1"/>
  <c r="AS146" i="1" s="1"/>
  <c r="AC162" i="1"/>
  <c r="AP162" i="1"/>
  <c r="AS162" i="1" s="1"/>
  <c r="AC11" i="1"/>
  <c r="AP11" i="1"/>
  <c r="AS11" i="1" s="1"/>
  <c r="AC27" i="1"/>
  <c r="AP27" i="1"/>
  <c r="AS27" i="1" s="1"/>
  <c r="AC47" i="1"/>
  <c r="AP47" i="1"/>
  <c r="AS47" i="1" s="1"/>
  <c r="AC63" i="1"/>
  <c r="AP63" i="1"/>
  <c r="AS63" i="1" s="1"/>
  <c r="AC79" i="1"/>
  <c r="AP79" i="1"/>
  <c r="AS79" i="1" s="1"/>
  <c r="AC95" i="1"/>
  <c r="AP95" i="1"/>
  <c r="AS95" i="1" s="1"/>
  <c r="AC111" i="1"/>
  <c r="AP111" i="1"/>
  <c r="AS111" i="1" s="1"/>
  <c r="AC131" i="1"/>
  <c r="AP131" i="1"/>
  <c r="AS131" i="1" s="1"/>
  <c r="AC147" i="1"/>
  <c r="AP147" i="1"/>
  <c r="AS147" i="1" s="1"/>
  <c r="AC16" i="1"/>
  <c r="AP16" i="1"/>
  <c r="AS16" i="1" s="1"/>
  <c r="AC32" i="1"/>
  <c r="AP32" i="1"/>
  <c r="AS32" i="1" s="1"/>
  <c r="AC48" i="1"/>
  <c r="AP48" i="1"/>
  <c r="AS48" i="1" s="1"/>
  <c r="AC64" i="1"/>
  <c r="AP64" i="1"/>
  <c r="AS64" i="1" s="1"/>
  <c r="AC80" i="1"/>
  <c r="AP80" i="1"/>
  <c r="AS80" i="1" s="1"/>
  <c r="AC96" i="1"/>
  <c r="AP96" i="1"/>
  <c r="AS96" i="1" s="1"/>
  <c r="AC112" i="1"/>
  <c r="AP112" i="1"/>
  <c r="AS112" i="1" s="1"/>
  <c r="AC9" i="1"/>
  <c r="AP9" i="1"/>
  <c r="AS9" i="1" s="1"/>
  <c r="AC25" i="1"/>
  <c r="AP25" i="1"/>
  <c r="AS25" i="1" s="1"/>
  <c r="AC57" i="1"/>
  <c r="AP57" i="1"/>
  <c r="AS57" i="1" s="1"/>
  <c r="AC73" i="1"/>
  <c r="AP73" i="1"/>
  <c r="AS73" i="1" s="1"/>
  <c r="AC89" i="1"/>
  <c r="AP89" i="1"/>
  <c r="AS89" i="1" s="1"/>
  <c r="AC105" i="1"/>
  <c r="AP105" i="1"/>
  <c r="AS105" i="1" s="1"/>
  <c r="AC121" i="1"/>
  <c r="AP121" i="1"/>
  <c r="AS121" i="1" s="1"/>
  <c r="AC137" i="1"/>
  <c r="AP137" i="1"/>
  <c r="AS137" i="1" s="1"/>
  <c r="AC153" i="1"/>
  <c r="AP153" i="1"/>
  <c r="AS153" i="1" s="1"/>
  <c r="Z178" i="1"/>
  <c r="AC178" i="1" s="1"/>
  <c r="AC15" i="1"/>
  <c r="AP15" i="1"/>
  <c r="AS15" i="1" s="1"/>
  <c r="AQ15" i="1"/>
  <c r="AN175" i="1"/>
  <c r="AR15" i="1"/>
  <c r="AO175" i="1"/>
  <c r="AB95" i="2"/>
  <c r="AA95" i="2"/>
  <c r="AD95" i="2" s="1"/>
  <c r="L98" i="2"/>
  <c r="I96" i="2"/>
  <c r="I97" i="2" s="1"/>
  <c r="T180" i="1"/>
  <c r="T179" i="1"/>
  <c r="Q179" i="1"/>
  <c r="Q180" i="1"/>
  <c r="K179" i="1"/>
  <c r="K180" i="1"/>
  <c r="H180" i="1"/>
  <c r="H179" i="1"/>
  <c r="N180" i="1"/>
  <c r="N179" i="1"/>
  <c r="AB175" i="1"/>
  <c r="AF182" i="1" s="1"/>
  <c r="Y179" i="1"/>
  <c r="Y180" i="1"/>
  <c r="O121" i="4"/>
  <c r="O122" i="4" s="1"/>
  <c r="O123" i="4"/>
  <c r="AC118" i="4"/>
  <c r="AC123" i="4" s="1"/>
  <c r="Z123" i="4"/>
  <c r="Z121" i="4"/>
  <c r="I123" i="4"/>
  <c r="I121" i="4"/>
  <c r="I122" i="4" s="1"/>
  <c r="R121" i="4"/>
  <c r="R122" i="4" s="1"/>
  <c r="R123" i="4"/>
  <c r="L121" i="4"/>
  <c r="L122" i="4" s="1"/>
  <c r="L123" i="4"/>
  <c r="AB118" i="4"/>
  <c r="AB123" i="4" s="1"/>
  <c r="Y123" i="4"/>
  <c r="Y121" i="4"/>
  <c r="X123" i="4"/>
  <c r="X121" i="4"/>
  <c r="X122" i="4" s="1"/>
  <c r="U123" i="4"/>
  <c r="U121" i="4"/>
  <c r="U122" i="4" s="1"/>
  <c r="AA175" i="1"/>
  <c r="AE182" i="1" s="1"/>
  <c r="X180" i="1"/>
  <c r="X179" i="1"/>
  <c r="P104" i="3"/>
  <c r="P102" i="3"/>
  <c r="P103" i="3" s="1"/>
  <c r="M102" i="3"/>
  <c r="M103" i="3" s="1"/>
  <c r="M104" i="3"/>
  <c r="AD99" i="3"/>
  <c r="AG106" i="3" s="1"/>
  <c r="AA102" i="3"/>
  <c r="AA103" i="3" s="1"/>
  <c r="AA104" i="3"/>
  <c r="S102" i="3"/>
  <c r="S103" i="3" s="1"/>
  <c r="S104" i="3"/>
  <c r="AC99" i="3"/>
  <c r="AF106" i="3" s="1"/>
  <c r="Z104" i="3"/>
  <c r="Z102" i="3"/>
  <c r="Z103" i="3" s="1"/>
  <c r="V102" i="3"/>
  <c r="V103" i="3" s="1"/>
  <c r="V104" i="3"/>
  <c r="J104" i="3"/>
  <c r="J102" i="3"/>
  <c r="J103" i="3" s="1"/>
  <c r="R97" i="2"/>
  <c r="R98" i="2"/>
  <c r="U97" i="2"/>
  <c r="U98" i="2"/>
  <c r="AC93" i="2"/>
  <c r="Z97" i="2"/>
  <c r="Z98" i="2"/>
  <c r="O97" i="2"/>
  <c r="O98" i="2"/>
  <c r="AB93" i="2"/>
  <c r="Y98" i="2"/>
  <c r="AA118" i="4"/>
  <c r="AB99" i="3"/>
  <c r="AA93" i="2"/>
  <c r="Z175" i="1"/>
  <c r="F118" i="4"/>
  <c r="F121" i="4" s="1"/>
  <c r="G99" i="3"/>
  <c r="G102" i="3" s="1"/>
  <c r="F93" i="2"/>
  <c r="E177" i="1"/>
  <c r="E175" i="1"/>
  <c r="AA96" i="2" l="1"/>
  <c r="AR118" i="4"/>
  <c r="AR123" i="4" s="1"/>
  <c r="AS118" i="4"/>
  <c r="AS121" i="4" s="1"/>
  <c r="AS122" i="4" s="1"/>
  <c r="AT120" i="4"/>
  <c r="AQ120" i="4"/>
  <c r="AO123" i="4"/>
  <c r="AQ118" i="4"/>
  <c r="AO121" i="4"/>
  <c r="AO122" i="4" s="1"/>
  <c r="AP123" i="4"/>
  <c r="AP121" i="4"/>
  <c r="AP122" i="4" s="1"/>
  <c r="AQ99" i="3"/>
  <c r="AO102" i="3"/>
  <c r="AO103" i="3" s="1"/>
  <c r="AQ101" i="3"/>
  <c r="AO104" i="3"/>
  <c r="AS99" i="3"/>
  <c r="AS104" i="3" s="1"/>
  <c r="AR102" i="3"/>
  <c r="AR103" i="3" s="1"/>
  <c r="AT101" i="3"/>
  <c r="AR104" i="3"/>
  <c r="AP102" i="3"/>
  <c r="AP103" i="3" s="1"/>
  <c r="AS96" i="2"/>
  <c r="AS97" i="2" s="1"/>
  <c r="AP98" i="2"/>
  <c r="AT8" i="2"/>
  <c r="AT93" i="2" s="1"/>
  <c r="AQ93" i="2"/>
  <c r="AP96" i="2"/>
  <c r="AP97" i="2" s="1"/>
  <c r="AQ95" i="2"/>
  <c r="AO98" i="2"/>
  <c r="AS98" i="2"/>
  <c r="AR96" i="2"/>
  <c r="AR97" i="2" s="1"/>
  <c r="AT95" i="2"/>
  <c r="AR98" i="2"/>
  <c r="AO96" i="2"/>
  <c r="AO97" i="2" s="1"/>
  <c r="AR175" i="1"/>
  <c r="AR180" i="1" s="1"/>
  <c r="AQ175" i="1"/>
  <c r="AQ180" i="1" s="1"/>
  <c r="AO178" i="1"/>
  <c r="AO179" i="1" s="1"/>
  <c r="AO180" i="1"/>
  <c r="AP175" i="1"/>
  <c r="AP180" i="1" s="1"/>
  <c r="AN178" i="1"/>
  <c r="AN180" i="1"/>
  <c r="AB96" i="2"/>
  <c r="AB97" i="2" s="1"/>
  <c r="AF100" i="2"/>
  <c r="AC96" i="2"/>
  <c r="AC97" i="2" s="1"/>
  <c r="AG100" i="2"/>
  <c r="E178" i="1"/>
  <c r="E179" i="1" s="1"/>
  <c r="AB179" i="1"/>
  <c r="AB180" i="1"/>
  <c r="E180" i="1"/>
  <c r="Z122" i="4"/>
  <c r="AC121" i="4"/>
  <c r="AC122" i="4" s="1"/>
  <c r="AD118" i="4"/>
  <c r="AD123" i="4" s="1"/>
  <c r="AA121" i="4"/>
  <c r="AA123" i="4"/>
  <c r="Y122" i="4"/>
  <c r="AB121" i="4"/>
  <c r="AB122" i="4" s="1"/>
  <c r="AA180" i="1"/>
  <c r="AA179" i="1"/>
  <c r="AC175" i="1"/>
  <c r="AG182" i="1" s="1"/>
  <c r="Z180" i="1"/>
  <c r="Z179" i="1"/>
  <c r="F122" i="4"/>
  <c r="F123" i="4"/>
  <c r="G104" i="3"/>
  <c r="G103" i="3"/>
  <c r="AE99" i="3"/>
  <c r="AH106" i="3" s="1"/>
  <c r="AB104" i="3"/>
  <c r="AB102" i="3"/>
  <c r="AB103" i="3" s="1"/>
  <c r="AC104" i="3"/>
  <c r="AC102" i="3"/>
  <c r="AC103" i="3" s="1"/>
  <c r="AD102" i="3"/>
  <c r="AD103" i="3" s="1"/>
  <c r="AD104" i="3"/>
  <c r="F98" i="2"/>
  <c r="F96" i="2"/>
  <c r="F97" i="2" s="1"/>
  <c r="AD93" i="2"/>
  <c r="AA97" i="2"/>
  <c r="AA98" i="2"/>
  <c r="AC98" i="2"/>
  <c r="AB98" i="2"/>
  <c r="AS123" i="4" l="1"/>
  <c r="AT118" i="4"/>
  <c r="AT121" i="4" s="1"/>
  <c r="AT122" i="4" s="1"/>
  <c r="AR121" i="4"/>
  <c r="AR122" i="4" s="1"/>
  <c r="AQ123" i="4"/>
  <c r="AQ121" i="4"/>
  <c r="AQ122" i="4" s="1"/>
  <c r="AS102" i="3"/>
  <c r="AS103" i="3" s="1"/>
  <c r="AT99" i="3"/>
  <c r="AQ102" i="3"/>
  <c r="AQ103" i="3" s="1"/>
  <c r="AQ104" i="3"/>
  <c r="AT102" i="3"/>
  <c r="AT103" i="3" s="1"/>
  <c r="AT104" i="3"/>
  <c r="AQ96" i="2"/>
  <c r="AQ97" i="2" s="1"/>
  <c r="AT96" i="2"/>
  <c r="AT97" i="2" s="1"/>
  <c r="AT98" i="2"/>
  <c r="AQ98" i="2"/>
  <c r="AQ178" i="1"/>
  <c r="AQ179" i="1" s="1"/>
  <c r="AS175" i="1"/>
  <c r="AS180" i="1" s="1"/>
  <c r="AR178" i="1"/>
  <c r="AR179" i="1" s="1"/>
  <c r="AN179" i="1"/>
  <c r="AP178" i="1"/>
  <c r="AP179" i="1" s="1"/>
  <c r="AD96" i="2"/>
  <c r="AD97" i="2" s="1"/>
  <c r="AH100" i="2"/>
  <c r="AA122" i="4"/>
  <c r="AD121" i="4"/>
  <c r="AD122" i="4" s="1"/>
  <c r="AC180" i="1"/>
  <c r="AC179" i="1"/>
  <c r="AE102" i="3"/>
  <c r="AE103" i="3" s="1"/>
  <c r="AE104" i="3"/>
  <c r="AD98" i="2"/>
  <c r="AT123" i="4" l="1"/>
  <c r="AS178" i="1"/>
  <c r="AS179" i="1" s="1"/>
</calcChain>
</file>

<file path=xl/sharedStrings.xml><?xml version="1.0" encoding="utf-8"?>
<sst xmlns="http://schemas.openxmlformats.org/spreadsheetml/2006/main" count="8615" uniqueCount="3356">
  <si>
    <t xml:space="preserve">DISTRIBUTOR : MAKKA MARKETING  </t>
  </si>
  <si>
    <t>TSA NAME  : AMIR AHMED</t>
  </si>
  <si>
    <t>CREDIT TERMS</t>
  </si>
  <si>
    <t>AVG 2023</t>
  </si>
  <si>
    <t>FILLER</t>
  </si>
  <si>
    <t>S#</t>
  </si>
  <si>
    <t xml:space="preserve">SHOPS NAME  </t>
  </si>
  <si>
    <t xml:space="preserve">AREA  </t>
  </si>
  <si>
    <t xml:space="preserve">CODE </t>
  </si>
  <si>
    <t>CANOLA</t>
  </si>
  <si>
    <t xml:space="preserve">CORN  </t>
  </si>
  <si>
    <t xml:space="preserve">TOTAL  </t>
  </si>
  <si>
    <t>NOOR STORE</t>
  </si>
  <si>
    <t>T.ROAD/ B.AB AD</t>
  </si>
  <si>
    <t>MKT 001</t>
  </si>
  <si>
    <t>NO</t>
  </si>
  <si>
    <t>M.O PROFESSIONAL</t>
  </si>
  <si>
    <t>MKT 002</t>
  </si>
  <si>
    <t>YES</t>
  </si>
  <si>
    <t>AZEEM ATTA CHAKKI</t>
  </si>
  <si>
    <t>MKT 003</t>
  </si>
  <si>
    <t>DAWOOD STORE</t>
  </si>
  <si>
    <t>MKT 004</t>
  </si>
  <si>
    <t>CHAUDRY STORE</t>
  </si>
  <si>
    <t>MKT 005</t>
  </si>
  <si>
    <t>AL- FALAH STORE</t>
  </si>
  <si>
    <t>MKT 006</t>
  </si>
  <si>
    <t>MKT 007</t>
  </si>
  <si>
    <t>JAAN BROTHER</t>
  </si>
  <si>
    <t>MKT 008</t>
  </si>
  <si>
    <t>AL-MADINA AZAD</t>
  </si>
  <si>
    <t>MKT 009</t>
  </si>
  <si>
    <t>ABDUL HAKEEM AATA</t>
  </si>
  <si>
    <t>MKT 010</t>
  </si>
  <si>
    <t>THIR MASALA</t>
  </si>
  <si>
    <t>MKT 011</t>
  </si>
  <si>
    <t>CHEAP FOOD</t>
  </si>
  <si>
    <t>MKT 012</t>
  </si>
  <si>
    <t>MURTAZVI STORE</t>
  </si>
  <si>
    <t>MKT 013</t>
  </si>
  <si>
    <t>MKT 014</t>
  </si>
  <si>
    <t>KHALID STORE</t>
  </si>
  <si>
    <t>MKT 015</t>
  </si>
  <si>
    <t>RIAZ STORE</t>
  </si>
  <si>
    <t>MKT 016</t>
  </si>
  <si>
    <t>HASSAN STORE</t>
  </si>
  <si>
    <t>MKT 017</t>
  </si>
  <si>
    <t>PRINCE STORE</t>
  </si>
  <si>
    <t>MKT 018</t>
  </si>
  <si>
    <t>RAFIQ STORE</t>
  </si>
  <si>
    <t>MKT 019</t>
  </si>
  <si>
    <t>NOORANI STORE</t>
  </si>
  <si>
    <t>MKT 020</t>
  </si>
  <si>
    <t>HUMZA STORE</t>
  </si>
  <si>
    <t>MKT 021</t>
  </si>
  <si>
    <t>ARIF STORE</t>
  </si>
  <si>
    <t>MKT 022</t>
  </si>
  <si>
    <t>SALIM STORE</t>
  </si>
  <si>
    <t>MKT 023</t>
  </si>
  <si>
    <t>MEMON STORE</t>
  </si>
  <si>
    <t>MKT 024</t>
  </si>
  <si>
    <t>USMANIYA STORE</t>
  </si>
  <si>
    <t>MKT 025</t>
  </si>
  <si>
    <t>MUHAMMAI STORE</t>
  </si>
  <si>
    <t>MKT 026</t>
  </si>
  <si>
    <t>MKT 027</t>
  </si>
  <si>
    <t>SHAHID STORE</t>
  </si>
  <si>
    <t>MKT 028</t>
  </si>
  <si>
    <t>SAILKOT STORE</t>
  </si>
  <si>
    <t>MKT 029</t>
  </si>
  <si>
    <t>WELCOME STORE</t>
  </si>
  <si>
    <t>MKT 030</t>
  </si>
  <si>
    <t>PAK STORE</t>
  </si>
  <si>
    <t>MKT 031</t>
  </si>
  <si>
    <t>MKT 032</t>
  </si>
  <si>
    <t>UNITED RETAIL</t>
  </si>
  <si>
    <t>MKT 033</t>
  </si>
  <si>
    <t>MKT 034</t>
  </si>
  <si>
    <t>KABEER STORE</t>
  </si>
  <si>
    <t>MKT 035</t>
  </si>
  <si>
    <t>AL REHMAN STORE</t>
  </si>
  <si>
    <t>MKT 036</t>
  </si>
  <si>
    <t>SOCIETY CIGRATE</t>
  </si>
  <si>
    <t>MKT 037</t>
  </si>
  <si>
    <t>SALEH BHAI STORE - (150)</t>
  </si>
  <si>
    <t>MKT 038</t>
  </si>
  <si>
    <t>REHMAN Medical  - (150)</t>
  </si>
  <si>
    <t>MKT 039</t>
  </si>
  <si>
    <t>TIME MEDICO</t>
  </si>
  <si>
    <t>DHORAJI/ M.ALI</t>
  </si>
  <si>
    <t>MKT 040</t>
  </si>
  <si>
    <t>NOOR MASALA</t>
  </si>
  <si>
    <t>MKT 041</t>
  </si>
  <si>
    <t>HADIYA WALA</t>
  </si>
  <si>
    <t>MKT 042</t>
  </si>
  <si>
    <t>A/QAYYUM STORE</t>
  </si>
  <si>
    <t>MKT 043</t>
  </si>
  <si>
    <t>DHORAJI OIL</t>
  </si>
  <si>
    <t>MKT 044</t>
  </si>
  <si>
    <t>MKT 045</t>
  </si>
  <si>
    <t>GREEN RICE</t>
  </si>
  <si>
    <t>MKT 046</t>
  </si>
  <si>
    <t>QADRI MEDICALE</t>
  </si>
  <si>
    <t>MKT 047</t>
  </si>
  <si>
    <t>S.M. RICE</t>
  </si>
  <si>
    <t>MKT 048</t>
  </si>
  <si>
    <t>MAIRAJ STORE</t>
  </si>
  <si>
    <t>MKT 049</t>
  </si>
  <si>
    <t>KHAN STORE</t>
  </si>
  <si>
    <t>MKT 050</t>
  </si>
  <si>
    <t>AMIN AYUB</t>
  </si>
  <si>
    <t>MKT 051</t>
  </si>
  <si>
    <t>NEW MUAHMMADI</t>
  </si>
  <si>
    <t>MKT 052</t>
  </si>
  <si>
    <t>JAN JAMIL</t>
  </si>
  <si>
    <t>MKT 053</t>
  </si>
  <si>
    <t>JUMBO MEDICAL</t>
  </si>
  <si>
    <t>MKT 054</t>
  </si>
  <si>
    <t>YES.</t>
  </si>
  <si>
    <t>HUZAIFA STORE</t>
  </si>
  <si>
    <t>MKT 055</t>
  </si>
  <si>
    <t>TOP CHICE</t>
  </si>
  <si>
    <t>MKT 056</t>
  </si>
  <si>
    <t>ROYAL MEDICO</t>
  </si>
  <si>
    <t>MKT 057</t>
  </si>
  <si>
    <t>PAK MEDICO</t>
  </si>
  <si>
    <t>MKT 058</t>
  </si>
  <si>
    <t>SHAEEN MART</t>
  </si>
  <si>
    <t>BLOCH COLONY</t>
  </si>
  <si>
    <t>MKT 059</t>
  </si>
  <si>
    <t>MILK BAR</t>
  </si>
  <si>
    <t>MKT 060</t>
  </si>
  <si>
    <t>MKT 061</t>
  </si>
  <si>
    <t>MAKKAH STORE</t>
  </si>
  <si>
    <t>MKT 062</t>
  </si>
  <si>
    <t>S.B STORE</t>
  </si>
  <si>
    <t>MKT 063</t>
  </si>
  <si>
    <t>RAO STORE</t>
  </si>
  <si>
    <t>MKT 064</t>
  </si>
  <si>
    <t>A.WAHID STORE</t>
  </si>
  <si>
    <t>MKT 065</t>
  </si>
  <si>
    <t>NEW SARHAD STORE</t>
  </si>
  <si>
    <t>MKT 066</t>
  </si>
  <si>
    <t>SUFI STORE</t>
  </si>
  <si>
    <t>MKT 067</t>
  </si>
  <si>
    <t>NEW QUETA STORE</t>
  </si>
  <si>
    <t>MKT 068</t>
  </si>
  <si>
    <t>NEW MUHAMMDI ST</t>
  </si>
  <si>
    <t>MKT 069</t>
  </si>
  <si>
    <t>UNIOQUE STORE</t>
  </si>
  <si>
    <t>MKT 070</t>
  </si>
  <si>
    <t>V.S.P STORE</t>
  </si>
  <si>
    <t>MKT 071</t>
  </si>
  <si>
    <t>ZING MART</t>
  </si>
  <si>
    <t>MKT 072</t>
  </si>
  <si>
    <t>Ahmed Store</t>
  </si>
  <si>
    <t>MKT 073</t>
  </si>
  <si>
    <t>Ideal Store</t>
  </si>
  <si>
    <t>MKT 074</t>
  </si>
  <si>
    <t>Lajawab Atta</t>
  </si>
  <si>
    <t>MKT 075</t>
  </si>
  <si>
    <t>Qadri Atta</t>
  </si>
  <si>
    <t>MKT 076</t>
  </si>
  <si>
    <t>Rehmania Store</t>
  </si>
  <si>
    <t>MKT 077</t>
  </si>
  <si>
    <t>Cheniot Store</t>
  </si>
  <si>
    <t>MKT 078</t>
  </si>
  <si>
    <t>United Store</t>
  </si>
  <si>
    <t>MKT 079</t>
  </si>
  <si>
    <t>MKT 080</t>
  </si>
  <si>
    <t>QDS Medical</t>
  </si>
  <si>
    <t>MKT 081</t>
  </si>
  <si>
    <t>Bhaijan Store</t>
  </si>
  <si>
    <t>MKT 082</t>
  </si>
  <si>
    <t>B.S STORE</t>
  </si>
  <si>
    <t>MKT 083</t>
  </si>
  <si>
    <t>Shel Select</t>
  </si>
  <si>
    <t>MKT 084</t>
  </si>
  <si>
    <t>NASEEM AATA - (150)</t>
  </si>
  <si>
    <t>MKT 085</t>
  </si>
  <si>
    <t>Pak Paradise - (150)</t>
  </si>
  <si>
    <t>MKT 086</t>
  </si>
  <si>
    <t>BIN AHMED MART -(150)</t>
  </si>
  <si>
    <t>MKT 087</t>
  </si>
  <si>
    <t>SAFDAR STORE</t>
  </si>
  <si>
    <t>BET UL MUKARRAM</t>
  </si>
  <si>
    <t>MKT 088</t>
  </si>
  <si>
    <t>SUBHANAALAH STORE</t>
  </si>
  <si>
    <t>MKT 089</t>
  </si>
  <si>
    <t>BISMILLAH BAKERY</t>
  </si>
  <si>
    <t>MKT 090</t>
  </si>
  <si>
    <t>JAMAL AATA</t>
  </si>
  <si>
    <t>MKT 091</t>
  </si>
  <si>
    <t>MKT 092</t>
  </si>
  <si>
    <t>SOHAIL STORE</t>
  </si>
  <si>
    <t>MKT 093</t>
  </si>
  <si>
    <t>SHADANI STORE</t>
  </si>
  <si>
    <t>MKT 094</t>
  </si>
  <si>
    <t>COUSE WAY</t>
  </si>
  <si>
    <t>MKT 095</t>
  </si>
  <si>
    <t>MKT 096</t>
  </si>
  <si>
    <t>AL AMEEN</t>
  </si>
  <si>
    <t>MKT 097</t>
  </si>
  <si>
    <t>SUPER ROYAL</t>
  </si>
  <si>
    <t>MKT 098</t>
  </si>
  <si>
    <t>MADINA JIBRAN</t>
  </si>
  <si>
    <t>MKT 099</t>
  </si>
  <si>
    <t>WARSI STORE</t>
  </si>
  <si>
    <t>MKT 100</t>
  </si>
  <si>
    <t>FAISAL STORE</t>
  </si>
  <si>
    <t>MKT 101</t>
  </si>
  <si>
    <t>JAMAL COLD</t>
  </si>
  <si>
    <t>MKT 102</t>
  </si>
  <si>
    <t>NOMAN STORE</t>
  </si>
  <si>
    <t>MKT 103</t>
  </si>
  <si>
    <t>MEHRAN STORE</t>
  </si>
  <si>
    <t>MKT 104</t>
  </si>
  <si>
    <t>SUNNY MEDICAL</t>
  </si>
  <si>
    <t>MKT 105</t>
  </si>
  <si>
    <t>MKT 106</t>
  </si>
  <si>
    <t>GILYAT STORE</t>
  </si>
  <si>
    <t>MKT 107</t>
  </si>
  <si>
    <t>NORANI SUPER</t>
  </si>
  <si>
    <t>MKT 108</t>
  </si>
  <si>
    <t xml:space="preserve">WING &amp; LINKS </t>
  </si>
  <si>
    <t>MKT 109</t>
  </si>
  <si>
    <t>SAIM STORE</t>
  </si>
  <si>
    <t>MKT 110</t>
  </si>
  <si>
    <t>AL MADINA</t>
  </si>
  <si>
    <t>MKT 111</t>
  </si>
  <si>
    <t>IMRAN STORE</t>
  </si>
  <si>
    <t>MKT 112</t>
  </si>
  <si>
    <t>QADRI STORE</t>
  </si>
  <si>
    <t>MKT 113</t>
  </si>
  <si>
    <t>MADINA OIL</t>
  </si>
  <si>
    <t>MKT 114</t>
  </si>
  <si>
    <t>PLATENIM STORE</t>
  </si>
  <si>
    <t>MKT 115</t>
  </si>
  <si>
    <t>ANCHOR MART</t>
  </si>
  <si>
    <t>MKT 116</t>
  </si>
  <si>
    <t>K &amp; SONS (NEW)</t>
  </si>
  <si>
    <t>every day mart</t>
  </si>
  <si>
    <t>MKT 117</t>
  </si>
  <si>
    <t>NEEDS SUPER - (150)</t>
  </si>
  <si>
    <t>MKT 118</t>
  </si>
  <si>
    <t>SHAZZ SUPER  - (150)</t>
  </si>
  <si>
    <t>MKT 119</t>
  </si>
  <si>
    <t>GULSHAN 13D</t>
  </si>
  <si>
    <t>MKT 120</t>
  </si>
  <si>
    <t>THE 4M MART</t>
  </si>
  <si>
    <t>MKT 121</t>
  </si>
  <si>
    <t>MAHNOOR STORE</t>
  </si>
  <si>
    <t>MKT 122</t>
  </si>
  <si>
    <t>TAWAKAL STORE</t>
  </si>
  <si>
    <t>MKT 123</t>
  </si>
  <si>
    <t xml:space="preserve">FAZ LE RABBI </t>
  </si>
  <si>
    <t>MKT 124</t>
  </si>
  <si>
    <t>SAVE WAY</t>
  </si>
  <si>
    <t>MKT 125</t>
  </si>
  <si>
    <t>NIGAH-E- KARMI</t>
  </si>
  <si>
    <t>MKT 126</t>
  </si>
  <si>
    <t>N.B.S STORE</t>
  </si>
  <si>
    <t>MKT 127</t>
  </si>
  <si>
    <t>ASFAQ STORE</t>
  </si>
  <si>
    <t>MKT 128</t>
  </si>
  <si>
    <t>FAMILY MEDICAL</t>
  </si>
  <si>
    <t>MKT 129</t>
  </si>
  <si>
    <t>MAX MART</t>
  </si>
  <si>
    <t>MKT 130</t>
  </si>
  <si>
    <t>ANUSHA STORE</t>
  </si>
  <si>
    <t>MKT 131</t>
  </si>
  <si>
    <t>GOLDEN STORE</t>
  </si>
  <si>
    <t>MKT 132</t>
  </si>
  <si>
    <t>AL BADDAR STORE</t>
  </si>
  <si>
    <t>MKT 133</t>
  </si>
  <si>
    <t>MKT 134</t>
  </si>
  <si>
    <t>MKT 135</t>
  </si>
  <si>
    <t>MKT 136</t>
  </si>
  <si>
    <t>REHMAN STORE</t>
  </si>
  <si>
    <t>MKT 137</t>
  </si>
  <si>
    <t>QULATIY STORE</t>
  </si>
  <si>
    <t>MKT 138</t>
  </si>
  <si>
    <t>NAGORI STORE</t>
  </si>
  <si>
    <t>MKT 139</t>
  </si>
  <si>
    <t>Rite Medical</t>
  </si>
  <si>
    <t>MKT 140</t>
  </si>
  <si>
    <t>YRS</t>
  </si>
  <si>
    <t>Momin Rice</t>
  </si>
  <si>
    <t>MKT 141</t>
  </si>
  <si>
    <t>.YES</t>
  </si>
  <si>
    <t>GULSHAN SUPER - (150)</t>
  </si>
  <si>
    <t>MKT 142</t>
  </si>
  <si>
    <t>DISCOUNT STORE</t>
  </si>
  <si>
    <t>GULSHAN MOTI MAHAL</t>
  </si>
  <si>
    <t>MKT 143</t>
  </si>
  <si>
    <t>SUPER G/STORE</t>
  </si>
  <si>
    <t>MKT 144</t>
  </si>
  <si>
    <t>SHALIMAR</t>
  </si>
  <si>
    <t>MKT 145</t>
  </si>
  <si>
    <t>GULSHAN STORE</t>
  </si>
  <si>
    <t>MKT 146</t>
  </si>
  <si>
    <t>HIMANI FOOD</t>
  </si>
  <si>
    <t>MKT 147</t>
  </si>
  <si>
    <t>A.R MART</t>
  </si>
  <si>
    <t>MKT 148</t>
  </si>
  <si>
    <t>KHURAM ATT</t>
  </si>
  <si>
    <t>MKT 149</t>
  </si>
  <si>
    <t>MKT 150</t>
  </si>
  <si>
    <t>IQBAL STORE</t>
  </si>
  <si>
    <t>MKT 151</t>
  </si>
  <si>
    <t>LIBERTY STORE</t>
  </si>
  <si>
    <t>MKT 152</t>
  </si>
  <si>
    <t>AL-KARIM AATA</t>
  </si>
  <si>
    <t>MKT 153</t>
  </si>
  <si>
    <t>AAHAD STORE</t>
  </si>
  <si>
    <t>MKT 154</t>
  </si>
  <si>
    <t>BISMILLAH STORE</t>
  </si>
  <si>
    <t>MKT 155</t>
  </si>
  <si>
    <t>MADIAN SUPER</t>
  </si>
  <si>
    <t>MKT 156</t>
  </si>
  <si>
    <t>SHEIKH STORE</t>
  </si>
  <si>
    <t>MKT 157</t>
  </si>
  <si>
    <t>PAPPO STORE</t>
  </si>
  <si>
    <t>MKT 158</t>
  </si>
  <si>
    <t>ALI G/S STORE</t>
  </si>
  <si>
    <t>MKT 159</t>
  </si>
  <si>
    <t>FAIZAN BEKRY</t>
  </si>
  <si>
    <t>MKT 160</t>
  </si>
  <si>
    <t>KAREEM EVERSHINE</t>
  </si>
  <si>
    <t>MKT 161</t>
  </si>
  <si>
    <t>Warsi Store</t>
  </si>
  <si>
    <t>MKT 162</t>
  </si>
  <si>
    <t>M.S Amna</t>
  </si>
  <si>
    <t>MKT 163</t>
  </si>
  <si>
    <t>professsional traders</t>
  </si>
  <si>
    <t>tariaq road</t>
  </si>
  <si>
    <t>REHAN</t>
  </si>
  <si>
    <t>MKT 164</t>
  </si>
  <si>
    <t xml:space="preserve">TOP 150 SHOP SALE  </t>
  </si>
  <si>
    <t xml:space="preserve">NET G.T SALE  </t>
  </si>
  <si>
    <t>G.T CONTRIBUTION %</t>
  </si>
  <si>
    <t>TOP 150 CONTRIBUTIO  %</t>
  </si>
  <si>
    <t>GULSHAN SHOP LIST 1-1-2025</t>
  </si>
  <si>
    <t>DSF NAME  : RIZWAN</t>
  </si>
  <si>
    <t>Azeem Super</t>
  </si>
  <si>
    <t>BLK-N,M N.NAZIMABAD</t>
  </si>
  <si>
    <t>MKT 165</t>
  </si>
  <si>
    <t>30 DAYS</t>
  </si>
  <si>
    <t>Y</t>
  </si>
  <si>
    <t>Waseem</t>
  </si>
  <si>
    <t>MKT 166</t>
  </si>
  <si>
    <t>25 DAYS</t>
  </si>
  <si>
    <t>N</t>
  </si>
  <si>
    <t>Rizwan</t>
  </si>
  <si>
    <t>MKT 167</t>
  </si>
  <si>
    <t>CASH</t>
  </si>
  <si>
    <t>Masha Allah</t>
  </si>
  <si>
    <t>MKT 168</t>
  </si>
  <si>
    <t>Bismillah</t>
  </si>
  <si>
    <t>MKT 169</t>
  </si>
  <si>
    <t>Pakeeza</t>
  </si>
  <si>
    <t>MKT 170</t>
  </si>
  <si>
    <t>Al-Karam Store</t>
  </si>
  <si>
    <t>MKT 171</t>
  </si>
  <si>
    <t>35 DAYS</t>
  </si>
  <si>
    <t>Al Hamad Rice</t>
  </si>
  <si>
    <t>MKT 172</t>
  </si>
  <si>
    <t>Noble Store</t>
  </si>
  <si>
    <t>MKT 173</t>
  </si>
  <si>
    <t>Jannat</t>
  </si>
  <si>
    <t>MKT 174</t>
  </si>
  <si>
    <t>Hunain Store</t>
  </si>
  <si>
    <t>MKT 175</t>
  </si>
  <si>
    <t>Shan Super</t>
  </si>
  <si>
    <t>MKT 176</t>
  </si>
  <si>
    <t>Shamsi Super</t>
  </si>
  <si>
    <t>MKT 177</t>
  </si>
  <si>
    <t>New Al hamrah</t>
  </si>
  <si>
    <t>MKT 178</t>
  </si>
  <si>
    <t>30DAYS</t>
  </si>
  <si>
    <t>MKT 179</t>
  </si>
  <si>
    <t>45DAYS</t>
  </si>
  <si>
    <t>Masha Allah Store</t>
  </si>
  <si>
    <t>MKT 180</t>
  </si>
  <si>
    <t>MKT 181</t>
  </si>
  <si>
    <t>Jindani Store</t>
  </si>
  <si>
    <t>MKT 182</t>
  </si>
  <si>
    <t>Shahzad Store</t>
  </si>
  <si>
    <t>MKT 183</t>
  </si>
  <si>
    <t>40 DAYS</t>
  </si>
  <si>
    <t>Shahab Store</t>
  </si>
  <si>
    <t>MKT 184</t>
  </si>
  <si>
    <t>Ashraf Store</t>
  </si>
  <si>
    <t>MKT 185</t>
  </si>
  <si>
    <t>40DAYS</t>
  </si>
  <si>
    <t>Hassan Store</t>
  </si>
  <si>
    <t>MKT 186</t>
  </si>
  <si>
    <t>Madina Mart</t>
  </si>
  <si>
    <t>MKT 187</t>
  </si>
  <si>
    <t>MKT 188</t>
  </si>
  <si>
    <t>Maryam Store</t>
  </si>
  <si>
    <t>MKT 189</t>
  </si>
  <si>
    <t>MKT 190</t>
  </si>
  <si>
    <t>35DAYS</t>
  </si>
  <si>
    <t>Noshahi Store</t>
  </si>
  <si>
    <t>MKT 191</t>
  </si>
  <si>
    <t>Iqbal Store</t>
  </si>
  <si>
    <t>MKT 192</t>
  </si>
  <si>
    <t>Arif Store</t>
  </si>
  <si>
    <t>MKT 193</t>
  </si>
  <si>
    <t>Nowrooz Store</t>
  </si>
  <si>
    <t>MKT 194</t>
  </si>
  <si>
    <t>25DAYS</t>
  </si>
  <si>
    <t>Souda Grocery Shop</t>
  </si>
  <si>
    <t>MKT 195</t>
  </si>
  <si>
    <t>Anis Super - (150)</t>
  </si>
  <si>
    <t>MKT 196</t>
  </si>
  <si>
    <t>Shafiqe Sons - (150)</t>
  </si>
  <si>
    <t>MKT 197</t>
  </si>
  <si>
    <t>Central Store - (150)</t>
  </si>
  <si>
    <t>MKT 198</t>
  </si>
  <si>
    <t>Al Makkah Oil - (150)</t>
  </si>
  <si>
    <t>MKT 199</t>
  </si>
  <si>
    <t>45 DAYS</t>
  </si>
  <si>
    <t>A.Razzaq</t>
  </si>
  <si>
    <t>NAZIMABAD</t>
  </si>
  <si>
    <t>MKT 200</t>
  </si>
  <si>
    <t>Qasim</t>
  </si>
  <si>
    <t>MKT 201</t>
  </si>
  <si>
    <t>B.S Shokat</t>
  </si>
  <si>
    <t>MKT 202</t>
  </si>
  <si>
    <t>Khalid</t>
  </si>
  <si>
    <t>MKT 203</t>
  </si>
  <si>
    <t>Al Madina Milk</t>
  </si>
  <si>
    <t>MKT 204</t>
  </si>
  <si>
    <t>Smart Mart</t>
  </si>
  <si>
    <t>MKT 205</t>
  </si>
  <si>
    <t>Altaf Store</t>
  </si>
  <si>
    <t>MKT 206</t>
  </si>
  <si>
    <t>Sabir Store-C</t>
  </si>
  <si>
    <t>MKT 207</t>
  </si>
  <si>
    <t>riaz store</t>
  </si>
  <si>
    <t>MKT 208</t>
  </si>
  <si>
    <t>M.A Ashraf</t>
  </si>
  <si>
    <t>MKT 209</t>
  </si>
  <si>
    <t>Noor</t>
  </si>
  <si>
    <t>MKT 210</t>
  </si>
  <si>
    <t>Shahab</t>
  </si>
  <si>
    <t>MKT 211</t>
  </si>
  <si>
    <t>MKT 212</t>
  </si>
  <si>
    <t>Al hamra</t>
  </si>
  <si>
    <t>MKT 213</t>
  </si>
  <si>
    <t>Hafiz</t>
  </si>
  <si>
    <t>MKT 214</t>
  </si>
  <si>
    <t>pay &amp; carry</t>
  </si>
  <si>
    <t>MKT 215</t>
  </si>
  <si>
    <t>MKT 216</t>
  </si>
  <si>
    <t xml:space="preserve">Noor Khulu </t>
  </si>
  <si>
    <t>MKT 217</t>
  </si>
  <si>
    <t>ahsaan-st(new)</t>
  </si>
  <si>
    <t>MADRSA TALEEM</t>
  </si>
  <si>
    <t>MKT 218</t>
  </si>
  <si>
    <t>Anwar Oil - (150)</t>
  </si>
  <si>
    <t>MKT 219</t>
  </si>
  <si>
    <t>Abbasi cash Carry - (150)</t>
  </si>
  <si>
    <t>MKT 220</t>
  </si>
  <si>
    <t>Imran - (150)</t>
  </si>
  <si>
    <t>MKT 221</t>
  </si>
  <si>
    <t>50  DAYS</t>
  </si>
  <si>
    <t>Kifaya Mart - (150)</t>
  </si>
  <si>
    <t>MKT 222</t>
  </si>
  <si>
    <t>Yaseen oil - (150)</t>
  </si>
  <si>
    <t>MKT 223</t>
  </si>
  <si>
    <t>New Super Mart</t>
  </si>
  <si>
    <t>BLK-J,K,E N.NAZIMABAD</t>
  </si>
  <si>
    <t>MKT 224</t>
  </si>
  <si>
    <t>memon atta</t>
  </si>
  <si>
    <t>MKT 225</t>
  </si>
  <si>
    <t>30  DAYS</t>
  </si>
  <si>
    <t>Zain Store</t>
  </si>
  <si>
    <t>MKT 226</t>
  </si>
  <si>
    <t>MKT 227</t>
  </si>
  <si>
    <t>Ghousia St</t>
  </si>
  <si>
    <t>MKT 228</t>
  </si>
  <si>
    <t>Naaz St</t>
  </si>
  <si>
    <t>MKT 229</t>
  </si>
  <si>
    <t>Taimuriya st</t>
  </si>
  <si>
    <t>MKT 230</t>
  </si>
  <si>
    <t>Hammad st</t>
  </si>
  <si>
    <t>MKT 231</t>
  </si>
  <si>
    <t>ali baba</t>
  </si>
  <si>
    <t>MKT 232</t>
  </si>
  <si>
    <t>MKT 233</t>
  </si>
  <si>
    <t>MKT 234</t>
  </si>
  <si>
    <t>Al Kareem super mart-(150)</t>
  </si>
  <si>
    <t>MKT 235</t>
  </si>
  <si>
    <t>Jalal Mart - (150)</t>
  </si>
  <si>
    <t>MKT 236</t>
  </si>
  <si>
    <t>Rainbow Mart - (150)</t>
  </si>
  <si>
    <t>MKT 237</t>
  </si>
  <si>
    <t>Hussaini Mart - (75)</t>
  </si>
  <si>
    <t>MKT 238</t>
  </si>
  <si>
    <t>Ghosia Store-C</t>
  </si>
  <si>
    <t>ORNAGI 6 NO.</t>
  </si>
  <si>
    <t>MKT 239</t>
  </si>
  <si>
    <t>Shokat Store</t>
  </si>
  <si>
    <t>ORANGI KHALIL MARKT</t>
  </si>
  <si>
    <t>MKT 240</t>
  </si>
  <si>
    <t>N.NAZIMABAD SHOP LIST 1-1-2025</t>
  </si>
  <si>
    <t>DSF NAME  : WASEEM</t>
  </si>
  <si>
    <t>N.KARACHI 11A,11B,11C</t>
  </si>
  <si>
    <t>MKT 241</t>
  </si>
  <si>
    <t>Seven Star Store</t>
  </si>
  <si>
    <t>MKT 243</t>
  </si>
  <si>
    <t>Merhaba Store</t>
  </si>
  <si>
    <t>MKT 245</t>
  </si>
  <si>
    <t>MKT 247</t>
  </si>
  <si>
    <t>Mohsin Store</t>
  </si>
  <si>
    <t>MKT 249</t>
  </si>
  <si>
    <t>Suman Store</t>
  </si>
  <si>
    <t>MKT 251</t>
  </si>
  <si>
    <t>FINE SUPER MART</t>
  </si>
  <si>
    <t>MKT 253</t>
  </si>
  <si>
    <t>Ansari Store</t>
  </si>
  <si>
    <t>MKT 255</t>
  </si>
  <si>
    <t>Muddassir Store</t>
  </si>
  <si>
    <t>MKT 257</t>
  </si>
  <si>
    <t>Zubi Store</t>
  </si>
  <si>
    <t>MKT 259</t>
  </si>
  <si>
    <t>MKT 261</t>
  </si>
  <si>
    <t>786 Store (NEW)</t>
  </si>
  <si>
    <t>MKT 263</t>
  </si>
  <si>
    <t>WAFA-ST (NEW)</t>
  </si>
  <si>
    <t>khalil-store</t>
  </si>
  <si>
    <t>Super Fine Mart-150</t>
  </si>
  <si>
    <t>MKT 265</t>
  </si>
  <si>
    <t>BILAL MART - (150)</t>
  </si>
  <si>
    <t>MKT 267</t>
  </si>
  <si>
    <t>New Variety Store - (150)</t>
  </si>
  <si>
    <t>MKT 269</t>
  </si>
  <si>
    <t>MUQADDAS ATTA - (150)</t>
  </si>
  <si>
    <t>MKT 271</t>
  </si>
  <si>
    <t>Aziz Oil - (150)</t>
  </si>
  <si>
    <t>MKT 273</t>
  </si>
  <si>
    <t>HAMID-ST(NEW)</t>
  </si>
  <si>
    <t>N.KARACHI, SURJANI</t>
  </si>
  <si>
    <t>MKT 275</t>
  </si>
  <si>
    <t>BS SAMIR</t>
  </si>
  <si>
    <t>MKT 277</t>
  </si>
  <si>
    <t>MKT 279</t>
  </si>
  <si>
    <t>MKT 281</t>
  </si>
  <si>
    <t>MKT 283</t>
  </si>
  <si>
    <t>HABIB STORE (NEW)</t>
  </si>
  <si>
    <t>MKT 285</t>
  </si>
  <si>
    <t>city st (new)</t>
  </si>
  <si>
    <t>SHARIQ-ST (NEW)</t>
  </si>
  <si>
    <t>AL AHMED-ST</t>
  </si>
  <si>
    <t>Saving Home</t>
  </si>
  <si>
    <t>MKT 287</t>
  </si>
  <si>
    <t>Chase Dept.- (150)</t>
  </si>
  <si>
    <t>MKT 289</t>
  </si>
  <si>
    <t>AL REHMAN</t>
  </si>
  <si>
    <t>BUFFER ZONE, SHADMAN</t>
  </si>
  <si>
    <t>MKT 291</t>
  </si>
  <si>
    <t>Al Makkah</t>
  </si>
  <si>
    <t>MKT 293</t>
  </si>
  <si>
    <t>MKT 295</t>
  </si>
  <si>
    <t>B.S Family Mart</t>
  </si>
  <si>
    <t>MKT 297</t>
  </si>
  <si>
    <t>SHAMSI</t>
  </si>
  <si>
    <t>MKT 299</t>
  </si>
  <si>
    <t>Bilal Store</t>
  </si>
  <si>
    <t>MKT 301</t>
  </si>
  <si>
    <t>Marvi Store</t>
  </si>
  <si>
    <t>MKT 303</t>
  </si>
  <si>
    <t>ZAM ZAM (NEW)</t>
  </si>
  <si>
    <t>MKT 305</t>
  </si>
  <si>
    <t>Shadman Atta</t>
  </si>
  <si>
    <t>MKT 307</t>
  </si>
  <si>
    <t>PATEL OIL (NEW)</t>
  </si>
  <si>
    <t>MKT 309</t>
  </si>
  <si>
    <t>ANEES ST</t>
  </si>
  <si>
    <t>MKT 311</t>
  </si>
  <si>
    <t>FARIA-ST</t>
  </si>
  <si>
    <t>ayan rice (new)</t>
  </si>
  <si>
    <t>M.D oil-150</t>
  </si>
  <si>
    <t>MKT 313</t>
  </si>
  <si>
    <t>Bilal oil - (150)</t>
  </si>
  <si>
    <t>MKT 315</t>
  </si>
  <si>
    <t>Super Anakarali</t>
  </si>
  <si>
    <t>U.P, N.KARACHI</t>
  </si>
  <si>
    <t>MKT 317</t>
  </si>
  <si>
    <t>SHAHID-ST(NEW)</t>
  </si>
  <si>
    <t>MKT 319</t>
  </si>
  <si>
    <t>Royal Store</t>
  </si>
  <si>
    <t>MKT 321</t>
  </si>
  <si>
    <t>MKT 323</t>
  </si>
  <si>
    <t>Dua Oil</t>
  </si>
  <si>
    <t>MKT 325</t>
  </si>
  <si>
    <t>AL-REHMAN-ST(NEW)</t>
  </si>
  <si>
    <t>MKT 327</t>
  </si>
  <si>
    <t>Mohammadi Store</t>
  </si>
  <si>
    <t>MKT 331</t>
  </si>
  <si>
    <t>Qaseem Store</t>
  </si>
  <si>
    <t>MKT 333</t>
  </si>
  <si>
    <t>BHAI BHAI (NEW)</t>
  </si>
  <si>
    <t>MKT 335</t>
  </si>
  <si>
    <t>Al Hamd Oil</t>
  </si>
  <si>
    <t>MKT 337</t>
  </si>
  <si>
    <t>faizan e mustafa</t>
  </si>
  <si>
    <t>Saba Oil - (150)</t>
  </si>
  <si>
    <t>MKT 339</t>
  </si>
  <si>
    <t>UP Oil - (150)</t>
  </si>
  <si>
    <t>MKT 341</t>
  </si>
  <si>
    <t>NUSRAT BHUTTO</t>
  </si>
  <si>
    <t>MKT 343</t>
  </si>
  <si>
    <t>Sadat Khatak</t>
  </si>
  <si>
    <t>MKT 345</t>
  </si>
  <si>
    <t>A one Fine</t>
  </si>
  <si>
    <t>MKT 347</t>
  </si>
  <si>
    <t>Qadri st</t>
  </si>
  <si>
    <t>MKT 349</t>
  </si>
  <si>
    <t>Asif st</t>
  </si>
  <si>
    <t>MKT 351</t>
  </si>
  <si>
    <t>Al Amna Oil</t>
  </si>
  <si>
    <t>MKT 353</t>
  </si>
  <si>
    <t>Adnan G/S</t>
  </si>
  <si>
    <t>MKT 355</t>
  </si>
  <si>
    <t>Ghayas G/S</t>
  </si>
  <si>
    <t>MKT 357</t>
  </si>
  <si>
    <t>MEHBOOB STORE (NEW)</t>
  </si>
  <si>
    <t>MKT 359</t>
  </si>
  <si>
    <t>M.S CHAKKI (NEW)</t>
  </si>
  <si>
    <t>MKT 361</t>
  </si>
  <si>
    <t>ABDUL RAUF (NEW)</t>
  </si>
  <si>
    <t>ELABAD-ST(NEW)</t>
  </si>
  <si>
    <t>KASHMIR STORE (NEW)</t>
  </si>
  <si>
    <t>MKT 363</t>
  </si>
  <si>
    <t>Wellcome ST</t>
  </si>
  <si>
    <t>MAYMAR</t>
  </si>
  <si>
    <t>MKT 365</t>
  </si>
  <si>
    <t>MKT 367</t>
  </si>
  <si>
    <t>Manosalwa ST</t>
  </si>
  <si>
    <t>MKT 369</t>
  </si>
  <si>
    <t>Marhaba Super</t>
  </si>
  <si>
    <t>MKT 371</t>
  </si>
  <si>
    <t>Ayan Mart</t>
  </si>
  <si>
    <t>MKT 373</t>
  </si>
  <si>
    <t>Masha Allah G/S</t>
  </si>
  <si>
    <t>MKT 375</t>
  </si>
  <si>
    <t>jorya bazar</t>
  </si>
  <si>
    <t>MKT 377</t>
  </si>
  <si>
    <t>Bilal Atta</t>
  </si>
  <si>
    <t>MKT 379</t>
  </si>
  <si>
    <t>Al Saudia Mart</t>
  </si>
  <si>
    <t>MKT 381</t>
  </si>
  <si>
    <t>A.H. mart</t>
  </si>
  <si>
    <t>MKT 383</t>
  </si>
  <si>
    <t>Mia Chunnu ST</t>
  </si>
  <si>
    <t>MKT 385</t>
  </si>
  <si>
    <t>Habib Trader (NEW)</t>
  </si>
  <si>
    <t>MKT 387</t>
  </si>
  <si>
    <t>B.S TRADER (NEW)</t>
  </si>
  <si>
    <t>MKT 389</t>
  </si>
  <si>
    <t>HAMZA STORE (NEW)</t>
  </si>
  <si>
    <t>MKT 391</t>
  </si>
  <si>
    <t>BAHRIA</t>
  </si>
  <si>
    <t>MKT 393</t>
  </si>
  <si>
    <t>Dream Mart</t>
  </si>
  <si>
    <t>MKT 395</t>
  </si>
  <si>
    <t>faisal mart (new)</t>
  </si>
  <si>
    <t>Marhaba Mart</t>
  </si>
  <si>
    <t>MKT 397</t>
  </si>
  <si>
    <t>DSF NAME  : SHOAIB</t>
  </si>
  <si>
    <t>Hakeen Rice</t>
  </si>
  <si>
    <t>SAMANABAD/ ANCOLI</t>
  </si>
  <si>
    <t>MKT 398</t>
  </si>
  <si>
    <t>Anwar Store</t>
  </si>
  <si>
    <t>MKT 399</t>
  </si>
  <si>
    <t>Z.N Store</t>
  </si>
  <si>
    <t>MKT 400</t>
  </si>
  <si>
    <t>Piyara Bilal</t>
  </si>
  <si>
    <t>MKT 401</t>
  </si>
  <si>
    <t>SIDDIQ ATTA</t>
  </si>
  <si>
    <t>MKT 402</t>
  </si>
  <si>
    <t>Muhammadi Oil</t>
  </si>
  <si>
    <t>MKT 403</t>
  </si>
  <si>
    <t>Madina Bilal</t>
  </si>
  <si>
    <t>MKT 404</t>
  </si>
  <si>
    <t>MKT 405</t>
  </si>
  <si>
    <t>Waheed Store</t>
  </si>
  <si>
    <t>MKT 406</t>
  </si>
  <si>
    <t>20 DAYS</t>
  </si>
  <si>
    <t>Ashfaq Store</t>
  </si>
  <si>
    <t>MKT 407</t>
  </si>
  <si>
    <t>15 DAYS</t>
  </si>
  <si>
    <t>Faisal Store</t>
  </si>
  <si>
    <t>MKT 408</t>
  </si>
  <si>
    <t>Imran Store</t>
  </si>
  <si>
    <t>MKT 409</t>
  </si>
  <si>
    <t>Chambeli Atta</t>
  </si>
  <si>
    <t>MKT 410</t>
  </si>
  <si>
    <t>MKT 411</t>
  </si>
  <si>
    <t>MKT 412</t>
  </si>
  <si>
    <t>Al wahid store</t>
  </si>
  <si>
    <t>MKT 413</t>
  </si>
  <si>
    <t>Ikram Food - (150)</t>
  </si>
  <si>
    <t>MKT 414</t>
  </si>
  <si>
    <t>Madina Oil - (150)</t>
  </si>
  <si>
    <t>MKT 415</t>
  </si>
  <si>
    <t>Super 26 - (150)</t>
  </si>
  <si>
    <t>MKT 416</t>
  </si>
  <si>
    <t>Madini Store - (150)</t>
  </si>
  <si>
    <t>MKT 417</t>
  </si>
  <si>
    <t>Ahmed Traders - (150)</t>
  </si>
  <si>
    <t>MKT 418</t>
  </si>
  <si>
    <t>Bin Ali</t>
  </si>
  <si>
    <t>LIAQATABAD/ RAUF MKT</t>
  </si>
  <si>
    <t>MKT 419</t>
  </si>
  <si>
    <t>Siraj Store</t>
  </si>
  <si>
    <t>MKT 420</t>
  </si>
  <si>
    <t>Shamim Oil</t>
  </si>
  <si>
    <t>MKT 421</t>
  </si>
  <si>
    <t>Madni Oil</t>
  </si>
  <si>
    <t>MKT 422</t>
  </si>
  <si>
    <t>MKT 423</t>
  </si>
  <si>
    <t>MKT 424</t>
  </si>
  <si>
    <t>MKT 425</t>
  </si>
  <si>
    <t>MKT 426</t>
  </si>
  <si>
    <t>MKT 427</t>
  </si>
  <si>
    <t>Ghosia Faheem</t>
  </si>
  <si>
    <t>MKT 428</t>
  </si>
  <si>
    <t>MKT 429</t>
  </si>
  <si>
    <t>MKT 430</t>
  </si>
  <si>
    <t>Jidran Mart</t>
  </si>
  <si>
    <t>MKT 431</t>
  </si>
  <si>
    <t xml:space="preserve">Madini oil </t>
  </si>
  <si>
    <t>MKT 432</t>
  </si>
  <si>
    <t>TARIQ BROTHERS (NEW)</t>
  </si>
  <si>
    <t>MKT 433</t>
  </si>
  <si>
    <t>AL HAMD (NEW)</t>
  </si>
  <si>
    <t>MKT 434</t>
  </si>
  <si>
    <t>Chand Oil - (150)</t>
  </si>
  <si>
    <t>MKT 435</t>
  </si>
  <si>
    <t>Zam Zam Oil - (150)</t>
  </si>
  <si>
    <t>MKT 436</t>
  </si>
  <si>
    <t>Al Jannat  (150)</t>
  </si>
  <si>
    <t>MKT 437</t>
  </si>
  <si>
    <t>Shareef Oil - (150)</t>
  </si>
  <si>
    <t>MKT 438</t>
  </si>
  <si>
    <t>Bismillah Rice</t>
  </si>
  <si>
    <t>GULBERG</t>
  </si>
  <si>
    <t>MKT 439</t>
  </si>
  <si>
    <t>Rashid Store</t>
  </si>
  <si>
    <t>MKT 440</t>
  </si>
  <si>
    <t>Abid Store</t>
  </si>
  <si>
    <t>MKT 441</t>
  </si>
  <si>
    <t>Bhai Bhai</t>
  </si>
  <si>
    <t>MKT 442</t>
  </si>
  <si>
    <t>Super Saeed</t>
  </si>
  <si>
    <t>MKT 443</t>
  </si>
  <si>
    <t>50 DAYS</t>
  </si>
  <si>
    <t>Madina Milk</t>
  </si>
  <si>
    <t>MKT 444</t>
  </si>
  <si>
    <t>MKT 445</t>
  </si>
  <si>
    <t>MKT 446</t>
  </si>
  <si>
    <t>MKT 447</t>
  </si>
  <si>
    <t>K.K Store</t>
  </si>
  <si>
    <t>MKT 448</t>
  </si>
  <si>
    <t>Qadeer Medical</t>
  </si>
  <si>
    <t>MKT 449</t>
  </si>
  <si>
    <t>Prime Medico</t>
  </si>
  <si>
    <t>MKT 450</t>
  </si>
  <si>
    <t>B.s Shoaib</t>
  </si>
  <si>
    <t>MKT 451</t>
  </si>
  <si>
    <t>K.K Mart - (150)</t>
  </si>
  <si>
    <t>MKT 452</t>
  </si>
  <si>
    <t>Wahid Store - (150)</t>
  </si>
  <si>
    <t>MKT 453</t>
  </si>
  <si>
    <t>Hasan Ali</t>
  </si>
  <si>
    <t>AYSHAMANZIL/ BLK-14</t>
  </si>
  <si>
    <t>MKT 454</t>
  </si>
  <si>
    <t xml:space="preserve">Masha Allah </t>
  </si>
  <si>
    <t>MKT 455</t>
  </si>
  <si>
    <t>Al salam Store</t>
  </si>
  <si>
    <t>MKT 456</t>
  </si>
  <si>
    <t>MKT 457</t>
  </si>
  <si>
    <t>Sharetan Store</t>
  </si>
  <si>
    <t>MKT 458</t>
  </si>
  <si>
    <t>Muhammadi Aata</t>
  </si>
  <si>
    <t>MKT 459</t>
  </si>
  <si>
    <t>MKT 460</t>
  </si>
  <si>
    <t>Noor Confessnor</t>
  </si>
  <si>
    <t>MKT 461</t>
  </si>
  <si>
    <t>ALI Store</t>
  </si>
  <si>
    <t>MKT 462</t>
  </si>
  <si>
    <t>Saad Store</t>
  </si>
  <si>
    <t>MKT 463</t>
  </si>
  <si>
    <t>SULTANI ST. (NEW)</t>
  </si>
  <si>
    <t>MKT 464</t>
  </si>
  <si>
    <t>MKT 465</t>
  </si>
  <si>
    <t>Punjab Rice - (150)</t>
  </si>
  <si>
    <t>MKT 466</t>
  </si>
  <si>
    <t>Waheed Jumma-150</t>
  </si>
  <si>
    <t>MKT 467</t>
  </si>
  <si>
    <t>KARIMABAD/ HUSSAINABAD</t>
  </si>
  <si>
    <t>MKT 468</t>
  </si>
  <si>
    <t>MKT 469</t>
  </si>
  <si>
    <t>MKT 470</t>
  </si>
  <si>
    <t>Subhan Allah</t>
  </si>
  <si>
    <t>MKT 471</t>
  </si>
  <si>
    <t>Abdul Rehman</t>
  </si>
  <si>
    <t>MKT 472</t>
  </si>
  <si>
    <t>G.K Oil</t>
  </si>
  <si>
    <t>MKT 473</t>
  </si>
  <si>
    <t>MKT 474</t>
  </si>
  <si>
    <t>Abrar St</t>
  </si>
  <si>
    <t>MKT 475</t>
  </si>
  <si>
    <t>MKT 476</t>
  </si>
  <si>
    <t>AL Habib OIL</t>
  </si>
  <si>
    <t>MKT 477</t>
  </si>
  <si>
    <t>60 DAYS</t>
  </si>
  <si>
    <t>Al Makka Rice</t>
  </si>
  <si>
    <t>MKT 478</t>
  </si>
  <si>
    <t>qadri oil</t>
  </si>
  <si>
    <t>MKT 479</t>
  </si>
  <si>
    <t>Ahmed Rice</t>
  </si>
  <si>
    <t>MKT 480</t>
  </si>
  <si>
    <t>Memon Store - (150)</t>
  </si>
  <si>
    <t>MKT 481</t>
  </si>
  <si>
    <t>Tayyabi Mart - (150)</t>
  </si>
  <si>
    <t>MKT 482</t>
  </si>
  <si>
    <t>Anmool Rice - (150)</t>
  </si>
  <si>
    <t>MKT 483</t>
  </si>
  <si>
    <t>maryam - (150)</t>
  </si>
  <si>
    <t>MKT 484</t>
  </si>
  <si>
    <t>M S oil  dipot - (150)</t>
  </si>
  <si>
    <t>MKT 485</t>
  </si>
  <si>
    <t>Afzal oil - (150)</t>
  </si>
  <si>
    <t>MKT 486</t>
  </si>
  <si>
    <t xml:space="preserve">Al Kausar  oil- (150)  </t>
  </si>
  <si>
    <t>MKT 487</t>
  </si>
  <si>
    <t>Kurji Trader</t>
  </si>
  <si>
    <t>WATER PUMP/ P.I.B</t>
  </si>
  <si>
    <t>MKT 488</t>
  </si>
  <si>
    <t>Mehboob Modern</t>
  </si>
  <si>
    <t>MKT 489</t>
  </si>
  <si>
    <t>Al Kausar Store</t>
  </si>
  <si>
    <t>MKT 490</t>
  </si>
  <si>
    <t>MKT 491</t>
  </si>
  <si>
    <t>Al-Kareem Store</t>
  </si>
  <si>
    <t>MKT 492</t>
  </si>
  <si>
    <t>A.R Store</t>
  </si>
  <si>
    <t>MKT 493</t>
  </si>
  <si>
    <t>Osama Traders</t>
  </si>
  <si>
    <t>MKT 494</t>
  </si>
  <si>
    <t>Al Madina Oil</t>
  </si>
  <si>
    <t>MKT 495</t>
  </si>
  <si>
    <t>A.S Rice</t>
  </si>
  <si>
    <t>MKT 496</t>
  </si>
  <si>
    <t>FAMILY WHOLE SALE (NEW)</t>
  </si>
  <si>
    <t>MKT 497</t>
  </si>
  <si>
    <t>FARHAN STORE (NEW)</t>
  </si>
  <si>
    <t>MKT 498</t>
  </si>
  <si>
    <t>AL RAZZAQ STORE</t>
  </si>
  <si>
    <t>MKT 499</t>
  </si>
  <si>
    <t>Ittefaq Traders - (150)</t>
  </si>
  <si>
    <t>MKT 500</t>
  </si>
  <si>
    <t>Daji Traders - (150)</t>
  </si>
  <si>
    <t>MKT 501</t>
  </si>
  <si>
    <t>OSAMA/ BILAL OIL  - (150)</t>
  </si>
  <si>
    <t>MKT 502</t>
  </si>
  <si>
    <t xml:space="preserve">Bismillah Imran - (150) CLOSED FEB 2024 </t>
  </si>
  <si>
    <t>MKT 503</t>
  </si>
  <si>
    <t>Al Rehman oil - (150)</t>
  </si>
  <si>
    <t>MKT 504</t>
  </si>
  <si>
    <t>Noman Oil - (75)</t>
  </si>
  <si>
    <t>MKT 505</t>
  </si>
  <si>
    <t>Tawakal  Mart - (150)</t>
  </si>
  <si>
    <t>MKT 506</t>
  </si>
  <si>
    <t xml:space="preserve">   SALE  MONTH: JAN- 2025 </t>
  </si>
  <si>
    <t xml:space="preserve">    SALE MONTH:JAN 2025</t>
  </si>
  <si>
    <t xml:space="preserve">     SALE MONTH: JAN-2025</t>
  </si>
  <si>
    <t>SALE MONTH: JAN.2025</t>
  </si>
  <si>
    <t>N.NAZIMABAD SHOP LIST  1-1-2025</t>
  </si>
  <si>
    <t>NAGINA ST</t>
  </si>
  <si>
    <t>Madina Oil -YAMEEN (NEW)</t>
  </si>
  <si>
    <t>NORANI ATTA (NEW)</t>
  </si>
  <si>
    <t xml:space="preserve">    SALE MONTH:FAB 2025</t>
  </si>
  <si>
    <t>SALE MONTH: FAB.2025</t>
  </si>
  <si>
    <t xml:space="preserve">     SALE MONTH: FAB-2025</t>
  </si>
  <si>
    <t xml:space="preserve">   SALE  MONTH: FAB- 2025 </t>
  </si>
  <si>
    <t>Saving Point Adil</t>
  </si>
  <si>
    <t>Masha Allah Wahab (razaq)</t>
  </si>
  <si>
    <t>Zia Store-2 (papolar )</t>
  </si>
  <si>
    <t>SALE MONTH: march.2025</t>
  </si>
  <si>
    <t>SALE MONTH: april.2025</t>
  </si>
  <si>
    <t>SALE MONTH: may.2025</t>
  </si>
  <si>
    <t>SALE MONTH: JUNE.2025</t>
  </si>
  <si>
    <t>SALE MONTH: MAY.2025</t>
  </si>
  <si>
    <t>SALE MONTH: APRIL.2025</t>
  </si>
  <si>
    <t>SALE MONTH:JAN TO JUNE. TOTAL SALE 2025</t>
  </si>
  <si>
    <t>SALE MONTH:JAN TO JUNE. TOTAL AVG SALE 2025</t>
  </si>
  <si>
    <t>FAILER</t>
  </si>
  <si>
    <t>CANOLA CORN</t>
  </si>
  <si>
    <t>YES/NO</t>
  </si>
  <si>
    <t>WAQAR MART</t>
  </si>
  <si>
    <t>AHI GULZAR E HIJRI</t>
  </si>
  <si>
    <t xml:space="preserve">FMA 1201 </t>
  </si>
  <si>
    <t>yes</t>
  </si>
  <si>
    <t xml:space="preserve">AMIR STORE </t>
  </si>
  <si>
    <t>FMA 1202</t>
  </si>
  <si>
    <t>JOURNALIST STORE</t>
  </si>
  <si>
    <t>FMA 1203</t>
  </si>
  <si>
    <t>AL-KAREEM STORE</t>
  </si>
  <si>
    <t>FMA 1204</t>
  </si>
  <si>
    <t>AL-MASOOD MART</t>
  </si>
  <si>
    <t>FMA 1205</t>
  </si>
  <si>
    <t>MUHAMMDAI RICE</t>
  </si>
  <si>
    <t>FMA 1206</t>
  </si>
  <si>
    <t>ASIF STORE</t>
  </si>
  <si>
    <t>FMA 1207</t>
  </si>
  <si>
    <t>SAVING HOME</t>
  </si>
  <si>
    <t>FMA 1208</t>
  </si>
  <si>
    <t>SUPER RICE</t>
  </si>
  <si>
    <t>MASKAN</t>
  </si>
  <si>
    <t>FMA 1209</t>
  </si>
  <si>
    <t>DISCOUNT</t>
  </si>
  <si>
    <t>FMA 1210</t>
  </si>
  <si>
    <t>HOME NEEDZ</t>
  </si>
  <si>
    <t>FMA 1211</t>
  </si>
  <si>
    <t>AMBER STORE</t>
  </si>
  <si>
    <t>FMA 1212</t>
  </si>
  <si>
    <t>AL TAMURIYA</t>
  </si>
  <si>
    <t>FMA 1213</t>
  </si>
  <si>
    <t>RAHAT STORE</t>
  </si>
  <si>
    <t>FMA 1214</t>
  </si>
  <si>
    <t>SHAH KARIM STORE</t>
  </si>
  <si>
    <t>FMA 1215</t>
  </si>
  <si>
    <t>HAMEED STORE</t>
  </si>
  <si>
    <t>FMA 1216</t>
  </si>
  <si>
    <t>GOOD LUCK</t>
  </si>
  <si>
    <t>FMA 1217</t>
  </si>
  <si>
    <t>MUSLIM STORE</t>
  </si>
  <si>
    <t>FMA 1218</t>
  </si>
  <si>
    <t>BILAWAL STORE</t>
  </si>
  <si>
    <t>FMA 1219</t>
  </si>
  <si>
    <t>BILAL STORE</t>
  </si>
  <si>
    <t>FMA 1220</t>
  </si>
  <si>
    <t>ZEESHAN STORE</t>
  </si>
  <si>
    <t>FMA 1221</t>
  </si>
  <si>
    <t>MA SHA ALLAH STORE</t>
  </si>
  <si>
    <t>FMA 1222</t>
  </si>
  <si>
    <t>AL ADNAN STORE</t>
  </si>
  <si>
    <t>FMA 1223</t>
  </si>
  <si>
    <t>AL KARIM STORE</t>
  </si>
  <si>
    <t>FMA 1224</t>
  </si>
  <si>
    <t>AMEER STORE</t>
  </si>
  <si>
    <t>FMA 1225</t>
  </si>
  <si>
    <t>MS KAMRAN</t>
  </si>
  <si>
    <t>UNIVERSTY ROAD</t>
  </si>
  <si>
    <t>FMA 1226</t>
  </si>
  <si>
    <t>FARHAN STORE</t>
  </si>
  <si>
    <t>FMA 1227</t>
  </si>
  <si>
    <t>AL KAREEM STORE</t>
  </si>
  <si>
    <t>FMA 1228</t>
  </si>
  <si>
    <t>NOMAN OIL</t>
  </si>
  <si>
    <t>FMA 1229</t>
  </si>
  <si>
    <t xml:space="preserve">KARACHI OIL </t>
  </si>
  <si>
    <t>FMA 1230</t>
  </si>
  <si>
    <t>LARKANA STORE</t>
  </si>
  <si>
    <t>FMA 1231</t>
  </si>
  <si>
    <t>MALIK STORE</t>
  </si>
  <si>
    <t>FMA 1232</t>
  </si>
  <si>
    <t>ALI AATA CHAKKI</t>
  </si>
  <si>
    <t>FMA 1233</t>
  </si>
  <si>
    <t>ABDULLAH STORE</t>
  </si>
  <si>
    <t>FMA 1234</t>
  </si>
  <si>
    <t>ZABI ULLAH STORE</t>
  </si>
  <si>
    <t>FMA 1235</t>
  </si>
  <si>
    <t>FMA 1236</t>
  </si>
  <si>
    <t>DASTAGIR STORE</t>
  </si>
  <si>
    <t>FMA 1237</t>
  </si>
  <si>
    <t>RAZZAQIYA STORE</t>
  </si>
  <si>
    <t>FMA 1238</t>
  </si>
  <si>
    <t>AL RAHEEM MED</t>
  </si>
  <si>
    <t>FMA 1239</t>
  </si>
  <si>
    <t>FMA 1240</t>
  </si>
  <si>
    <t>SB STORE</t>
  </si>
  <si>
    <t>FMA 1241</t>
  </si>
  <si>
    <t>NIMRA STORE</t>
  </si>
  <si>
    <t>FMA 1242</t>
  </si>
  <si>
    <t>MUHAMMAD STORE</t>
  </si>
  <si>
    <t>FMA 1243</t>
  </si>
  <si>
    <t>SAEED STORE</t>
  </si>
  <si>
    <t>JOHAR 14,15,02</t>
  </si>
  <si>
    <t>FMA 1244</t>
  </si>
  <si>
    <t>S.S SUPER MART</t>
  </si>
  <si>
    <t>FMA 1245</t>
  </si>
  <si>
    <t>UNIVERSAL STORE</t>
  </si>
  <si>
    <t>FMA 1246</t>
  </si>
  <si>
    <t>BHARE MADINA</t>
  </si>
  <si>
    <t>FMA 1247</t>
  </si>
  <si>
    <t>YASIR STORE</t>
  </si>
  <si>
    <t>FMA 1248</t>
  </si>
  <si>
    <t>NASEEM MEDICAL</t>
  </si>
  <si>
    <t>FMA 1249</t>
  </si>
  <si>
    <t>FMA 1250</t>
  </si>
  <si>
    <t>KARACHI STORE</t>
  </si>
  <si>
    <t>FMA 1251</t>
  </si>
  <si>
    <t>D.S STORE</t>
  </si>
  <si>
    <t>FMA 1252</t>
  </si>
  <si>
    <t>FMA 1253</t>
  </si>
  <si>
    <t>SUBHANALLAH ST</t>
  </si>
  <si>
    <t>FMA 1254</t>
  </si>
  <si>
    <t>FMA 1255</t>
  </si>
  <si>
    <t>ZUBAIDA EXPRESS</t>
  </si>
  <si>
    <t>FMA 1256</t>
  </si>
  <si>
    <t>TOP &amp; CHOICE</t>
  </si>
  <si>
    <t>FMA 1257</t>
  </si>
  <si>
    <t>AHMED RICE</t>
  </si>
  <si>
    <t>FMA 1258</t>
  </si>
  <si>
    <t>KARACHI KING RICE</t>
  </si>
  <si>
    <t>FMA 1259</t>
  </si>
  <si>
    <t>FMA 1260</t>
  </si>
  <si>
    <t>HAFIZ RICE</t>
  </si>
  <si>
    <t>FMA 1261</t>
  </si>
  <si>
    <t>FMA 1262</t>
  </si>
  <si>
    <t>MUZEEF STORE</t>
  </si>
  <si>
    <t>FMA 1263</t>
  </si>
  <si>
    <t>GULSHAN KIRYANA</t>
  </si>
  <si>
    <t xml:space="preserve">NEW DHORAJI </t>
  </si>
  <si>
    <t>FMA 1264</t>
  </si>
  <si>
    <t>FMA 1265</t>
  </si>
  <si>
    <t>ABDULLAH OIL</t>
  </si>
  <si>
    <t>FMA 1266</t>
  </si>
  <si>
    <t>GUJRAT OIL</t>
  </si>
  <si>
    <t>FMA 1267</t>
  </si>
  <si>
    <t>OSAMA RICE</t>
  </si>
  <si>
    <t>FMA 1268</t>
  </si>
  <si>
    <t>AL-MAKKAH MART</t>
  </si>
  <si>
    <t>FMA 1269</t>
  </si>
  <si>
    <t>SONIYAL SOTRE</t>
  </si>
  <si>
    <t>FMA 1270</t>
  </si>
  <si>
    <t>MA MADRASS STORE</t>
  </si>
  <si>
    <t>FMA 1271</t>
  </si>
  <si>
    <t>AL HABIB STORE</t>
  </si>
  <si>
    <t>FMA 1272</t>
  </si>
  <si>
    <t>SHAH STORE</t>
  </si>
  <si>
    <t>FMA 1273</t>
  </si>
  <si>
    <t>FMA 1274</t>
  </si>
  <si>
    <t>MA BACHAT STORE</t>
  </si>
  <si>
    <t>FMA 1275</t>
  </si>
  <si>
    <t>BIN HASHIM JOHAR</t>
  </si>
  <si>
    <t xml:space="preserve">JOHAR </t>
  </si>
  <si>
    <t>FMA 1276</t>
  </si>
  <si>
    <t>BIN HASHIM SAF</t>
  </si>
  <si>
    <t>FMA 1277</t>
  </si>
  <si>
    <t>BIN HASHIM FB</t>
  </si>
  <si>
    <t>FB AREA</t>
  </si>
  <si>
    <t>FMA 1278</t>
  </si>
  <si>
    <t>CHASE PLUS SAF</t>
  </si>
  <si>
    <t>FMA 1279</t>
  </si>
  <si>
    <t>ZUBAIR RICE</t>
  </si>
  <si>
    <t>JOHAR</t>
  </si>
  <si>
    <t>FMA 1280</t>
  </si>
  <si>
    <t>ZAINAB MART</t>
  </si>
  <si>
    <t>FMA 1281</t>
  </si>
  <si>
    <t>BIN SAFEER JOHAR</t>
  </si>
  <si>
    <t>FMA 1282</t>
  </si>
  <si>
    <t xml:space="preserve">BIG BUY </t>
  </si>
  <si>
    <t xml:space="preserve">AHI </t>
  </si>
  <si>
    <t>FMA 1283</t>
  </si>
  <si>
    <t>MARVI TRADERS</t>
  </si>
  <si>
    <t>SCHEME 33</t>
  </si>
  <si>
    <t>FMA 1284</t>
  </si>
  <si>
    <t>KRAVE MART</t>
  </si>
  <si>
    <t>SALE  MONTH: JAN 25</t>
  </si>
  <si>
    <t>SALE  MONTH: FEB 25</t>
  </si>
  <si>
    <t>SALE  MONTH: MAR 25</t>
  </si>
  <si>
    <t>SALE  MONTH: APRIL 25</t>
  </si>
  <si>
    <t>SALE  MONTH: MAY 25</t>
  </si>
  <si>
    <t>SALE  MONTH: JUNE 25</t>
  </si>
  <si>
    <t>DISTRIBUTOR : MA TRADERS</t>
  </si>
  <si>
    <t xml:space="preserve">NO SHOP </t>
  </si>
  <si>
    <t>T.S.A NAME  :SYED FARZAN</t>
  </si>
  <si>
    <t xml:space="preserve">KARACHI SHOP LIST  10.06.2024 </t>
  </si>
  <si>
    <t>1401 TO 1700</t>
  </si>
  <si>
    <t>NO 02</t>
  </si>
  <si>
    <t>D.S.F NAME  : RAMEEZ</t>
  </si>
  <si>
    <t>AL-SAFA STORE</t>
  </si>
  <si>
    <t>JOHAR RADO</t>
  </si>
  <si>
    <t>RMA 1401</t>
  </si>
  <si>
    <t>RADO RICE</t>
  </si>
  <si>
    <t>RMA 1402</t>
  </si>
  <si>
    <t>MEHMOOD STORE</t>
  </si>
  <si>
    <t>RMA 1403</t>
  </si>
  <si>
    <t>AL-REHMAN STORE</t>
  </si>
  <si>
    <t>RMA 1404</t>
  </si>
  <si>
    <t>B.S ATAA</t>
  </si>
  <si>
    <t>RMA 1405</t>
  </si>
  <si>
    <t>NAQIBIYA STORE</t>
  </si>
  <si>
    <t>RMA 1406</t>
  </si>
  <si>
    <t>PAKEEZA STORE</t>
  </si>
  <si>
    <t>RMA 1407</t>
  </si>
  <si>
    <t>DANISH STORE</t>
  </si>
  <si>
    <t>RMA 1408</t>
  </si>
  <si>
    <t>RAHIMA STORE 1</t>
  </si>
  <si>
    <t>RMA 1409</t>
  </si>
  <si>
    <t>RMA 1410</t>
  </si>
  <si>
    <t>MADINA STORE</t>
  </si>
  <si>
    <t>RMA 1411</t>
  </si>
  <si>
    <t>MOONA STORE</t>
  </si>
  <si>
    <t>RMA 1412</t>
  </si>
  <si>
    <t>KHIZAR MART</t>
  </si>
  <si>
    <t>RMA 1413</t>
  </si>
  <si>
    <t>M.S STORE</t>
  </si>
  <si>
    <t>RMA 1414</t>
  </si>
  <si>
    <t>HOME PLUS MART</t>
  </si>
  <si>
    <t>MASCAN</t>
  </si>
  <si>
    <t>RMA 1415</t>
  </si>
  <si>
    <t>ZAIQA MASALA</t>
  </si>
  <si>
    <t>RMA 1416</t>
  </si>
  <si>
    <t>GULISTAN ATTA</t>
  </si>
  <si>
    <t>RMA 1417</t>
  </si>
  <si>
    <t>DHORAJI KIRYANA</t>
  </si>
  <si>
    <t>RMA 1418</t>
  </si>
  <si>
    <t>AJ-JADEED MART</t>
  </si>
  <si>
    <t>RMA 1419</t>
  </si>
  <si>
    <t>PEHLWAN GOTH</t>
  </si>
  <si>
    <t>RMA 1420</t>
  </si>
  <si>
    <t>P.Z MART</t>
  </si>
  <si>
    <t>RMA 1421</t>
  </si>
  <si>
    <t>BS COMMUNICATION</t>
  </si>
  <si>
    <t>RMA 1422</t>
  </si>
  <si>
    <t>RMA 1423</t>
  </si>
  <si>
    <t>AKRAM STORE</t>
  </si>
  <si>
    <t>RMA 1424</t>
  </si>
  <si>
    <t>ABBASIA STORE</t>
  </si>
  <si>
    <t>RMA 1425</t>
  </si>
  <si>
    <t>PAKISTAN RICE</t>
  </si>
  <si>
    <t>RMA 1426</t>
  </si>
  <si>
    <t>DIGITAL MART</t>
  </si>
  <si>
    <t>RMA 1427</t>
  </si>
  <si>
    <t>RMA 1428</t>
  </si>
  <si>
    <t>RMA 1429</t>
  </si>
  <si>
    <t>RMA 1430</t>
  </si>
  <si>
    <t>RMA 1431</t>
  </si>
  <si>
    <t>AIMAN STORE</t>
  </si>
  <si>
    <t>RMA 1432</t>
  </si>
  <si>
    <t>SHHAH MINI MART</t>
  </si>
  <si>
    <t>RMA 1433</t>
  </si>
  <si>
    <t>RMA 1434</t>
  </si>
  <si>
    <t>RMA 1435</t>
  </si>
  <si>
    <t>RMA 1436</t>
  </si>
  <si>
    <t xml:space="preserve">ZAIQA MASALA </t>
  </si>
  <si>
    <t>RMA 1437</t>
  </si>
  <si>
    <t>RMA 1438</t>
  </si>
  <si>
    <t>RMA 1439</t>
  </si>
  <si>
    <t>RMA 1440</t>
  </si>
  <si>
    <t>RMA 1441</t>
  </si>
  <si>
    <t>PERFUAM CHOK</t>
  </si>
  <si>
    <t>RMA 1442</t>
  </si>
  <si>
    <t>RMA 1443</t>
  </si>
  <si>
    <t>RMA 1444</t>
  </si>
  <si>
    <t>RMA 1445</t>
  </si>
  <si>
    <t>RMA 1446</t>
  </si>
  <si>
    <t>RMA 1447</t>
  </si>
  <si>
    <t>RMA 1448</t>
  </si>
  <si>
    <t>RMA 1449</t>
  </si>
  <si>
    <t>RMA 1450</t>
  </si>
  <si>
    <t>AL-MADINA STORE</t>
  </si>
  <si>
    <t>RMA 1451</t>
  </si>
  <si>
    <t>RMA 1452</t>
  </si>
  <si>
    <t>HAFIZ STORE</t>
  </si>
  <si>
    <t>RMA 1453</t>
  </si>
  <si>
    <t>RMA 1454</t>
  </si>
  <si>
    <t>MASHALLAH KAMRAN</t>
  </si>
  <si>
    <t>RMA 1455</t>
  </si>
  <si>
    <t>MUZMAIL STORE</t>
  </si>
  <si>
    <t>RMA 1456</t>
  </si>
  <si>
    <t>AL-ASIF STORE</t>
  </si>
  <si>
    <t>RMA 1457</t>
  </si>
  <si>
    <t>REHMAN SUPER</t>
  </si>
  <si>
    <t>RMA 1458</t>
  </si>
  <si>
    <t>MUDASSIR STORE</t>
  </si>
  <si>
    <t>RMA 1459</t>
  </si>
  <si>
    <t>MAAZ STORE</t>
  </si>
  <si>
    <t>RMA 1460</t>
  </si>
  <si>
    <t>RMA 1461</t>
  </si>
  <si>
    <t>ARSHI BAKERY</t>
  </si>
  <si>
    <t>JOHAR 16, 17</t>
  </si>
  <si>
    <t>RMA 1462</t>
  </si>
  <si>
    <t>RMA 1463</t>
  </si>
  <si>
    <t>SUBHANALLAH STORE</t>
  </si>
  <si>
    <t>RMA 1464</t>
  </si>
  <si>
    <t>MR. WHITE</t>
  </si>
  <si>
    <t>RMA 1465</t>
  </si>
  <si>
    <t>RMA 1466</t>
  </si>
  <si>
    <t>MARHABA STORE</t>
  </si>
  <si>
    <t>RMA 1467</t>
  </si>
  <si>
    <t>RAJA SUPER</t>
  </si>
  <si>
    <t>RMA 1468</t>
  </si>
  <si>
    <t>SSD COMMUNICATION</t>
  </si>
  <si>
    <t>RMA 1469</t>
  </si>
  <si>
    <t>BIN ABID STORE</t>
  </si>
  <si>
    <t>RMA 1470</t>
  </si>
  <si>
    <t>JAVEED SUPER</t>
  </si>
  <si>
    <t>RMA 1471</t>
  </si>
  <si>
    <t>TAYYAB STOR</t>
  </si>
  <si>
    <t>RMA 1472</t>
  </si>
  <si>
    <t>RMA 1473</t>
  </si>
  <si>
    <t>786 G/STORE</t>
  </si>
  <si>
    <t>RMA 1474</t>
  </si>
  <si>
    <t>MUBARAK STORE</t>
  </si>
  <si>
    <t>RMA 1475</t>
  </si>
  <si>
    <t>SYED MINI MART</t>
  </si>
  <si>
    <t>RMA 1476</t>
  </si>
  <si>
    <t>SUKHI STORE</t>
  </si>
  <si>
    <t>RMA 1477</t>
  </si>
  <si>
    <t>PIONEER STORE</t>
  </si>
  <si>
    <t>RMA 1478</t>
  </si>
  <si>
    <t>IQRA STORE</t>
  </si>
  <si>
    <t>RMA 1479</t>
  </si>
  <si>
    <t>FINE STORE</t>
  </si>
  <si>
    <t>RMA 1480</t>
  </si>
  <si>
    <t>MUHAMMADI ST</t>
  </si>
  <si>
    <t>RMA 1481</t>
  </si>
  <si>
    <t>RMA 1482</t>
  </si>
  <si>
    <t>SHAH-E-MADINA</t>
  </si>
  <si>
    <t>RASHID MINHAS</t>
  </si>
  <si>
    <t>RMA 1483</t>
  </si>
  <si>
    <t>I AM MART</t>
  </si>
  <si>
    <t>RMA 1484</t>
  </si>
  <si>
    <t>BAKHTIYAR STORE</t>
  </si>
  <si>
    <t>RMA 1485</t>
  </si>
  <si>
    <t>STAR STORE</t>
  </si>
  <si>
    <t>RMA 1486</t>
  </si>
  <si>
    <t>MASHALLAH STORE</t>
  </si>
  <si>
    <t>RMA 1487</t>
  </si>
  <si>
    <t>UNITED STORE</t>
  </si>
  <si>
    <t>RMA 1488</t>
  </si>
  <si>
    <t>MOOSA SUPER</t>
  </si>
  <si>
    <t>RMA 1489</t>
  </si>
  <si>
    <t>B.S SAKEENA</t>
  </si>
  <si>
    <t>RMA 1490</t>
  </si>
  <si>
    <t>MUHAMMADI STORE</t>
  </si>
  <si>
    <t>RMA 1491</t>
  </si>
  <si>
    <t>RMA 1492</t>
  </si>
  <si>
    <t>AHMED OIL DEPO</t>
  </si>
  <si>
    <t>RMA 1493</t>
  </si>
  <si>
    <t>METHA MADINA</t>
  </si>
  <si>
    <t>RMA 1494</t>
  </si>
  <si>
    <t>FAREED STORE</t>
  </si>
  <si>
    <t>RMA 1495</t>
  </si>
  <si>
    <t>GHANI OIL</t>
  </si>
  <si>
    <t>RMA 1496</t>
  </si>
  <si>
    <t>MUSAVER STORE</t>
  </si>
  <si>
    <t>RMA 1497</t>
  </si>
  <si>
    <t>RMA 1498</t>
  </si>
  <si>
    <t>MALIK MADNI</t>
  </si>
  <si>
    <t>RMA 1499</t>
  </si>
  <si>
    <t>SINGAPORE MEDICAL</t>
  </si>
  <si>
    <t>RMA 1500</t>
  </si>
  <si>
    <t>RMA 1501</t>
  </si>
  <si>
    <t>NEW RAZA STORE</t>
  </si>
  <si>
    <t>AHI</t>
  </si>
  <si>
    <t>RMA 1502</t>
  </si>
  <si>
    <t>PARK &amp; SHOP</t>
  </si>
  <si>
    <t>RMA 1503</t>
  </si>
  <si>
    <t>NOOR MART</t>
  </si>
  <si>
    <t>RMA 1504</t>
  </si>
  <si>
    <t>PZ MART 2</t>
  </si>
  <si>
    <t>RMA 1505</t>
  </si>
  <si>
    <t>MA DAIRY</t>
  </si>
  <si>
    <t>RMA 1506</t>
  </si>
  <si>
    <t>EJAZ STORE</t>
  </si>
  <si>
    <t>RMA 1507</t>
  </si>
  <si>
    <t xml:space="preserve">NEW AJMER </t>
  </si>
  <si>
    <t>RMA 1508</t>
  </si>
  <si>
    <t>B,S JAWEED</t>
  </si>
  <si>
    <t>RMA 1509</t>
  </si>
  <si>
    <t>RMA 1510</t>
  </si>
  <si>
    <t>MADINA FAIR</t>
  </si>
  <si>
    <t>RMA 1511</t>
  </si>
  <si>
    <t>LUCKY MART</t>
  </si>
  <si>
    <t>RMA 1512</t>
  </si>
  <si>
    <t>SULTAN MART</t>
  </si>
  <si>
    <t>RMA 1513</t>
  </si>
  <si>
    <t>B.S MINI MART</t>
  </si>
  <si>
    <t>RMA 1514</t>
  </si>
  <si>
    <t>ILYAS STORE</t>
  </si>
  <si>
    <t>RMA 1515</t>
  </si>
  <si>
    <t>NAYAB STORE</t>
  </si>
  <si>
    <t>RMA 1516</t>
  </si>
  <si>
    <t>BISMA STORE</t>
  </si>
  <si>
    <t>RMA 1517</t>
  </si>
  <si>
    <t>RMA 1518</t>
  </si>
  <si>
    <t>HARMAIN STORE</t>
  </si>
  <si>
    <t>RMA 1519</t>
  </si>
  <si>
    <t>RMA 1520</t>
  </si>
  <si>
    <t>NEW</t>
  </si>
  <si>
    <t>ANWAR APPEX</t>
  </si>
  <si>
    <t>GULZAIR E HIJRI</t>
  </si>
  <si>
    <t>RMA 1521</t>
  </si>
  <si>
    <t>RMA 1528</t>
  </si>
  <si>
    <t>RMA 1529</t>
  </si>
  <si>
    <t xml:space="preserve">SALE  MONTH: JAN 25 </t>
  </si>
  <si>
    <t>DISTRIBUTOR : SHAH ENTERPRISES</t>
  </si>
  <si>
    <t>601 TO 900</t>
  </si>
  <si>
    <t>NO 05</t>
  </si>
  <si>
    <t>T.S.A NAME  :IQBAL HUSSAIN</t>
  </si>
  <si>
    <t>WASSEM STORE</t>
  </si>
  <si>
    <t>SOUDABAD,SHAHLATIF</t>
  </si>
  <si>
    <t>IQSE 601</t>
  </si>
  <si>
    <t>KAUSARMART</t>
  </si>
  <si>
    <t>IQSE 602</t>
  </si>
  <si>
    <t>IQSE 603</t>
  </si>
  <si>
    <t>ADNAN STORE</t>
  </si>
  <si>
    <t>IQSE 604</t>
  </si>
  <si>
    <t>AYAN TRADER</t>
  </si>
  <si>
    <t>IQSE 605</t>
  </si>
  <si>
    <t>AISHA STORE</t>
  </si>
  <si>
    <t>IQSE 606</t>
  </si>
  <si>
    <t>AL HAMD STORE</t>
  </si>
  <si>
    <t>IQSE 607</t>
  </si>
  <si>
    <t>TOUFIQUE STORE</t>
  </si>
  <si>
    <t>IQSE 608</t>
  </si>
  <si>
    <t>SAEED BROTHER</t>
  </si>
  <si>
    <t>IQSE 609</t>
  </si>
  <si>
    <t>MAKKI SUPER STORE</t>
  </si>
  <si>
    <t>IQSE 610</t>
  </si>
  <si>
    <t>SHEZAD STORE</t>
  </si>
  <si>
    <t>IQSE 611</t>
  </si>
  <si>
    <t>GOODKUCK STORE</t>
  </si>
  <si>
    <t>IQSE 612</t>
  </si>
  <si>
    <t>MUSTAFA STORE</t>
  </si>
  <si>
    <t>IQSE 613</t>
  </si>
  <si>
    <t>QADEER STORE</t>
  </si>
  <si>
    <t>IQSE 614</t>
  </si>
  <si>
    <t>IQSE 615</t>
  </si>
  <si>
    <t>IQSE 616</t>
  </si>
  <si>
    <t>A TO Z MART</t>
  </si>
  <si>
    <t>IQSE 617</t>
  </si>
  <si>
    <t>AL FAIZ MART</t>
  </si>
  <si>
    <t>IQSE 618</t>
  </si>
  <si>
    <t>QASIM MART</t>
  </si>
  <si>
    <t>IQSE 619</t>
  </si>
  <si>
    <t>MAKKA MART</t>
  </si>
  <si>
    <t>IQSE 620</t>
  </si>
  <si>
    <t>HAJI ABDUL BAQI</t>
  </si>
  <si>
    <t>IQSE 621</t>
  </si>
  <si>
    <t>KHAN MART</t>
  </si>
  <si>
    <t>IQSE 622</t>
  </si>
  <si>
    <t>NEW SHAJI STORE</t>
  </si>
  <si>
    <t>IQSE 623</t>
  </si>
  <si>
    <t>SAAD STORE</t>
  </si>
  <si>
    <t>IQSE 624</t>
  </si>
  <si>
    <t>BISMILLAH G STORE</t>
  </si>
  <si>
    <t>IQSE 625</t>
  </si>
  <si>
    <t>IQSE 626</t>
  </si>
  <si>
    <t>AL FA IZ MART 2</t>
  </si>
  <si>
    <t>IQSE 627</t>
  </si>
  <si>
    <t>AIJAZ STORE</t>
  </si>
  <si>
    <t>IQSE 628</t>
  </si>
  <si>
    <t>SHAH LATIF G STORE</t>
  </si>
  <si>
    <t>IQSE 629</t>
  </si>
  <si>
    <t>AL MADINA SUPER STORE</t>
  </si>
  <si>
    <t>IQSE 630</t>
  </si>
  <si>
    <t>JUNAID STORE</t>
  </si>
  <si>
    <t xml:space="preserve">LANDHI </t>
  </si>
  <si>
    <t>IQSE 631</t>
  </si>
  <si>
    <t>ALEEM STORE</t>
  </si>
  <si>
    <t>IQSE 632</t>
  </si>
  <si>
    <t>ASIM OIL</t>
  </si>
  <si>
    <t>IQSE 633</t>
  </si>
  <si>
    <t>ZAK MART</t>
  </si>
  <si>
    <t>IQSE 634</t>
  </si>
  <si>
    <t>NAEEM STORE</t>
  </si>
  <si>
    <t>IQSE 635</t>
  </si>
  <si>
    <t>UMER KIRYANA</t>
  </si>
  <si>
    <t>IQSE 636</t>
  </si>
  <si>
    <t>SALEEM ALADIN</t>
  </si>
  <si>
    <t>IQSE 637</t>
  </si>
  <si>
    <t>ADNAN OIL</t>
  </si>
  <si>
    <t>IQSE 638</t>
  </si>
  <si>
    <t>MUSTAFA OIL</t>
  </si>
  <si>
    <t>IQSE 639</t>
  </si>
  <si>
    <t>HASEEB STORE</t>
  </si>
  <si>
    <t>IQSE 640</t>
  </si>
  <si>
    <t>WAQAR STORE</t>
  </si>
  <si>
    <t>IQSE 641</t>
  </si>
  <si>
    <t xml:space="preserve">AFZAL OIL </t>
  </si>
  <si>
    <t>IQSE 642</t>
  </si>
  <si>
    <t>AMAN STORE</t>
  </si>
  <si>
    <t>IQSE 643</t>
  </si>
  <si>
    <t xml:space="preserve">SABIR STORE </t>
  </si>
  <si>
    <t>IQSE 644</t>
  </si>
  <si>
    <t>AMIR OIL</t>
  </si>
  <si>
    <t>IQSE 645</t>
  </si>
  <si>
    <t>IQBAL DRYFOOD</t>
  </si>
  <si>
    <t>IQSE 646</t>
  </si>
  <si>
    <t>ALI RAZA STORE</t>
  </si>
  <si>
    <t>IQSE 647</t>
  </si>
  <si>
    <t>PAPPO OIL</t>
  </si>
  <si>
    <t>IQSE 648</t>
  </si>
  <si>
    <t>AL HARAM OIL</t>
  </si>
  <si>
    <t>IQSE 649</t>
  </si>
  <si>
    <t>IMRAN CHAKKI</t>
  </si>
  <si>
    <t>IQSE 650</t>
  </si>
  <si>
    <t>PASHA TEA</t>
  </si>
  <si>
    <t>IQSE 651</t>
  </si>
  <si>
    <t>GHOUSIA STORE</t>
  </si>
  <si>
    <t>IQSE 652</t>
  </si>
  <si>
    <t>IQSE 653</t>
  </si>
  <si>
    <t>HIDAYAT STORE</t>
  </si>
  <si>
    <t>IQSE 654</t>
  </si>
  <si>
    <t>SHAHAB STORE</t>
  </si>
  <si>
    <t>IQSE 655</t>
  </si>
  <si>
    <t>ASIF PLASTIC</t>
  </si>
  <si>
    <t>IQSE 656</t>
  </si>
  <si>
    <t>SALEEM OIL</t>
  </si>
  <si>
    <t>IQSE 657</t>
  </si>
  <si>
    <t>IMRAN OIL</t>
  </si>
  <si>
    <t>IQSE 658</t>
  </si>
  <si>
    <t>IRFAN MASALA</t>
  </si>
  <si>
    <t>IQSE 659</t>
  </si>
  <si>
    <t>SUFI OIL</t>
  </si>
  <si>
    <t>IQSE 660</t>
  </si>
  <si>
    <t>NOOR G STORE</t>
  </si>
  <si>
    <t>RAFFA E AAM,SHAFAISL</t>
  </si>
  <si>
    <t>IQSE 661</t>
  </si>
  <si>
    <t>MEHBOB STORE</t>
  </si>
  <si>
    <t>IQSE 662</t>
  </si>
  <si>
    <t>REHAN STORE</t>
  </si>
  <si>
    <t>IQSE 663</t>
  </si>
  <si>
    <t>PAK RICE</t>
  </si>
  <si>
    <t>IQSE 664</t>
  </si>
  <si>
    <t>AL NOOR RICR</t>
  </si>
  <si>
    <t>IQSE 665</t>
  </si>
  <si>
    <t>INSTA MART</t>
  </si>
  <si>
    <t>IQSE 666</t>
  </si>
  <si>
    <t>HUMZA HOLESALE</t>
  </si>
  <si>
    <t>IQSE 667</t>
  </si>
  <si>
    <t>CHACHA OIL</t>
  </si>
  <si>
    <t>IQSE 668</t>
  </si>
  <si>
    <t>MUFEED STORE</t>
  </si>
  <si>
    <t>IQSE 669</t>
  </si>
  <si>
    <t>TOUHEED STORE</t>
  </si>
  <si>
    <t>IQSE 670</t>
  </si>
  <si>
    <t>ADIL CHAKKI</t>
  </si>
  <si>
    <t>IQSE 671</t>
  </si>
  <si>
    <t>KHUWAJA STORE</t>
  </si>
  <si>
    <t>IQSE 672</t>
  </si>
  <si>
    <t>HANIF STORE</t>
  </si>
  <si>
    <t>IQSE 673</t>
  </si>
  <si>
    <t>QAMAR STORE</t>
  </si>
  <si>
    <t>IQSE 674</t>
  </si>
  <si>
    <t>ALEEM CATER</t>
  </si>
  <si>
    <t>IQSE 675</t>
  </si>
  <si>
    <t>FAMILY MART</t>
  </si>
  <si>
    <t>IQSE 676</t>
  </si>
  <si>
    <t>IQSE 677</t>
  </si>
  <si>
    <t>USMAN BROTHER</t>
  </si>
  <si>
    <t>IQSE 678</t>
  </si>
  <si>
    <t>MAZHAR STORE</t>
  </si>
  <si>
    <t>IQSE 679</t>
  </si>
  <si>
    <t>GHORI MART</t>
  </si>
  <si>
    <t>IQSE 680</t>
  </si>
  <si>
    <t>M YOUSUF STORE</t>
  </si>
  <si>
    <t>IQSE 681</t>
  </si>
  <si>
    <t>IQSE 682</t>
  </si>
  <si>
    <t>HASSAN CHAKKI</t>
  </si>
  <si>
    <t>IQSE 683</t>
  </si>
  <si>
    <t>IQSE 684</t>
  </si>
  <si>
    <t>AMEER ZAIB</t>
  </si>
  <si>
    <t>IQSE 685</t>
  </si>
  <si>
    <t>JAWED BROTHER</t>
  </si>
  <si>
    <t>IQSE 686</t>
  </si>
  <si>
    <t>GHANI STORE</t>
  </si>
  <si>
    <t>IQSE 687</t>
  </si>
  <si>
    <t>AJMAL CHAKKI</t>
  </si>
  <si>
    <t>IQSE 688</t>
  </si>
  <si>
    <t>AR STORE</t>
  </si>
  <si>
    <t>IQSE 689</t>
  </si>
  <si>
    <t>SALMAN BROTHER</t>
  </si>
  <si>
    <t>IQSE 690</t>
  </si>
  <si>
    <t>RAJA STORE</t>
  </si>
  <si>
    <t>TANKI,LIAQUAT MRKET</t>
  </si>
  <si>
    <t>IQSE 691</t>
  </si>
  <si>
    <t>OSAMA STORE</t>
  </si>
  <si>
    <t>IQSE 692</t>
  </si>
  <si>
    <t>GHAZALI RICE</t>
  </si>
  <si>
    <t>IQSE 693</t>
  </si>
  <si>
    <t>IQSE 694</t>
  </si>
  <si>
    <t>NIZAM STORE</t>
  </si>
  <si>
    <t>IQSE 695</t>
  </si>
  <si>
    <t>AL KAREEM CHAKKI</t>
  </si>
  <si>
    <t>IQSE 696</t>
  </si>
  <si>
    <t xml:space="preserve">BS KIRYANA </t>
  </si>
  <si>
    <t>IQSE 697</t>
  </si>
  <si>
    <t>IQSE 698</t>
  </si>
  <si>
    <t>IQSE 699</t>
  </si>
  <si>
    <t>AJMERI MART</t>
  </si>
  <si>
    <t>IQSE 700</t>
  </si>
  <si>
    <t>FARAZ STORE</t>
  </si>
  <si>
    <t>IQSE 701</t>
  </si>
  <si>
    <t>ABAS OIL</t>
  </si>
  <si>
    <t>IQSE 702</t>
  </si>
  <si>
    <t>SHERAZ OIL</t>
  </si>
  <si>
    <t>IQSE 703</t>
  </si>
  <si>
    <t>SHAMIM BHORA</t>
  </si>
  <si>
    <t>IQSE 704</t>
  </si>
  <si>
    <t>SOUDIA OIL</t>
  </si>
  <si>
    <t>IQSE 705</t>
  </si>
  <si>
    <t>KHALID OIL</t>
  </si>
  <si>
    <t>IQSE 706</t>
  </si>
  <si>
    <t>RIZWAN BROTHER</t>
  </si>
  <si>
    <t>IQSE 707</t>
  </si>
  <si>
    <t>BILAL OIL</t>
  </si>
  <si>
    <t>IQSE 708</t>
  </si>
  <si>
    <t>RAZA OIL</t>
  </si>
  <si>
    <t>IQSE 709</t>
  </si>
  <si>
    <t>SAEED SUPER STORE</t>
  </si>
  <si>
    <t xml:space="preserve">GULSHAN E HADEED </t>
  </si>
  <si>
    <t>IQSE 710</t>
  </si>
  <si>
    <t>PEER ZADA</t>
  </si>
  <si>
    <t>IQSE 711</t>
  </si>
  <si>
    <t>ATTACK STORE</t>
  </si>
  <si>
    <t>IQSE 712</t>
  </si>
  <si>
    <t>IQSE 713</t>
  </si>
  <si>
    <t>ALIS MART</t>
  </si>
  <si>
    <t>IQSE 714</t>
  </si>
  <si>
    <t>MEMON MART</t>
  </si>
  <si>
    <t>IQSE 715</t>
  </si>
  <si>
    <t>KHYBER STORE</t>
  </si>
  <si>
    <t>IQSE 716</t>
  </si>
  <si>
    <t>MK STORE</t>
  </si>
  <si>
    <t>IQSE 717</t>
  </si>
  <si>
    <t>FAIR PRICR</t>
  </si>
  <si>
    <t>IQSE 718</t>
  </si>
  <si>
    <t>BABA STORE</t>
  </si>
  <si>
    <t>IQSE 719</t>
  </si>
  <si>
    <t>AL BAKHTAWAR STORE</t>
  </si>
  <si>
    <t>IQSE 720</t>
  </si>
  <si>
    <t>ILYAS CHAKKI</t>
  </si>
  <si>
    <t>IQSE 721</t>
  </si>
  <si>
    <t>KASHIF STORE</t>
  </si>
  <si>
    <t>IQSE 722</t>
  </si>
  <si>
    <t>AL SATARI STORE</t>
  </si>
  <si>
    <t>IQSE 723</t>
  </si>
  <si>
    <t>IQSE 724</t>
  </si>
  <si>
    <t>IDEAL MART 1</t>
  </si>
  <si>
    <t>IQSE 725</t>
  </si>
  <si>
    <t>IDEAL MART 2</t>
  </si>
  <si>
    <t>IQSE 726</t>
  </si>
  <si>
    <t>KASHIF MART</t>
  </si>
  <si>
    <t>IQSE 727</t>
  </si>
  <si>
    <t>JP MART</t>
  </si>
  <si>
    <t>MALIR CANTT</t>
  </si>
  <si>
    <t>IQSE 728</t>
  </si>
  <si>
    <t>ADEEL MART</t>
  </si>
  <si>
    <t>IQSE 729</t>
  </si>
  <si>
    <t>TIPO STORE</t>
  </si>
  <si>
    <t>IQSE 730</t>
  </si>
  <si>
    <t>PRINCE BAKERI</t>
  </si>
  <si>
    <t>IQSE 731</t>
  </si>
  <si>
    <t>IQSE 732</t>
  </si>
  <si>
    <t>ARK MART</t>
  </si>
  <si>
    <t>IQSE 733</t>
  </si>
  <si>
    <t>FALCON MART</t>
  </si>
  <si>
    <t>IQSE 734</t>
  </si>
  <si>
    <t>ADEEL SUPER STORE</t>
  </si>
  <si>
    <t>IQSE 735</t>
  </si>
  <si>
    <t>CH RAMZAN STORE</t>
  </si>
  <si>
    <t>IQSE 736</t>
  </si>
  <si>
    <t>IMRAN G STORE</t>
  </si>
  <si>
    <t>IQSE 737</t>
  </si>
  <si>
    <t>M KIRYANA STORE</t>
  </si>
  <si>
    <t>IQSE 738</t>
  </si>
  <si>
    <t>SARFARAZ STORE</t>
  </si>
  <si>
    <t>IQSE 739</t>
  </si>
  <si>
    <t>SAMS STORE</t>
  </si>
  <si>
    <t>IQSE 740</t>
  </si>
  <si>
    <t>ROYAL MART</t>
  </si>
  <si>
    <t>IQSE 741</t>
  </si>
  <si>
    <t>NAN AND SPICE</t>
  </si>
  <si>
    <t>IQSE 742</t>
  </si>
  <si>
    <t>KHUSBAKH MART</t>
  </si>
  <si>
    <t>IQSE 743</t>
  </si>
  <si>
    <t xml:space="preserve">ARSHAD SABZI </t>
  </si>
  <si>
    <t>IQSE 744</t>
  </si>
  <si>
    <t>IQSE 745</t>
  </si>
  <si>
    <t>SMART MART</t>
  </si>
  <si>
    <t>IQSE 746</t>
  </si>
  <si>
    <t>AWAN HOTEL</t>
  </si>
  <si>
    <t>IQSE 747</t>
  </si>
  <si>
    <t>IMTIAZ STORE</t>
  </si>
  <si>
    <t>IQSE 748</t>
  </si>
  <si>
    <t>S MART</t>
  </si>
  <si>
    <t>IQSE 749</t>
  </si>
  <si>
    <t>IQSE 750</t>
  </si>
  <si>
    <t>BS STORE</t>
  </si>
  <si>
    <t>IQSE 751</t>
  </si>
  <si>
    <t>HAS MART 1</t>
  </si>
  <si>
    <t>IQSE 752</t>
  </si>
  <si>
    <t>BILAL RESTURENT</t>
  </si>
  <si>
    <t>IQSE 753</t>
  </si>
  <si>
    <t>HUMZA MEER STORE</t>
  </si>
  <si>
    <t>IQSE 754</t>
  </si>
  <si>
    <t>FAIZ MAMA STORE</t>
  </si>
  <si>
    <t>IQSE 755</t>
  </si>
  <si>
    <t>SAIMA TUC SHOP</t>
  </si>
  <si>
    <t>IQSE 756</t>
  </si>
  <si>
    <t xml:space="preserve">NISAR TRADER </t>
  </si>
  <si>
    <t>IQSE 757</t>
  </si>
  <si>
    <t>RAJPUT TRADER</t>
  </si>
  <si>
    <t>IQSE 758</t>
  </si>
  <si>
    <t>MW STORE</t>
  </si>
  <si>
    <t>IQSE 759</t>
  </si>
  <si>
    <t xml:space="preserve">HASH MART </t>
  </si>
  <si>
    <t>IQSE 760</t>
  </si>
  <si>
    <t>BABA OIL</t>
  </si>
  <si>
    <t>IQSE 761</t>
  </si>
  <si>
    <t>IFTIKHAR STORE</t>
  </si>
  <si>
    <t>MANZIL PUMP</t>
  </si>
  <si>
    <t>IQSE 762</t>
  </si>
  <si>
    <t>RIZWAN STORE</t>
  </si>
  <si>
    <t>QUADABAD</t>
  </si>
  <si>
    <t>IQSE 763</t>
  </si>
  <si>
    <t>IQSE 764</t>
  </si>
  <si>
    <t>IQSE 780</t>
  </si>
  <si>
    <t xml:space="preserve">SALE  MONTH: FEB 25 </t>
  </si>
  <si>
    <t xml:space="preserve">SALE  MONTH: MARCH 25 </t>
  </si>
  <si>
    <t xml:space="preserve">SALE  MONTH: APRIL 25 </t>
  </si>
  <si>
    <t xml:space="preserve">SALE  MONTH: MAY 25 </t>
  </si>
  <si>
    <t xml:space="preserve">SALE  MONTH: JUNE 25 </t>
  </si>
  <si>
    <t>901 TO 1200</t>
  </si>
  <si>
    <t>NO 06</t>
  </si>
  <si>
    <t>D.S.F NAME  :MUZEEF KHAN</t>
  </si>
  <si>
    <t>MS NAEEM</t>
  </si>
  <si>
    <t>MALIR CITY</t>
  </si>
  <si>
    <t xml:space="preserve">MZSE 901 </t>
  </si>
  <si>
    <t>ABDUL SALAAM</t>
  </si>
  <si>
    <t>MZSE 902</t>
  </si>
  <si>
    <t>ALI OIL DEPOT</t>
  </si>
  <si>
    <t>MZSE 903</t>
  </si>
  <si>
    <t>AL REHMAN OIL</t>
  </si>
  <si>
    <t>MZSE 904</t>
  </si>
  <si>
    <t>MOOSA ST</t>
  </si>
  <si>
    <t>MZSE 905</t>
  </si>
  <si>
    <t>SALEEM SUPER ST</t>
  </si>
  <si>
    <t>MZSE 906</t>
  </si>
  <si>
    <t>ZAMEER ST</t>
  </si>
  <si>
    <t>MZSE 907</t>
  </si>
  <si>
    <t xml:space="preserve">WAHJAHAT ST </t>
  </si>
  <si>
    <t>MZSE 908</t>
  </si>
  <si>
    <t>AL JANNAT ST</t>
  </si>
  <si>
    <t>MZSE 909</t>
  </si>
  <si>
    <t>AL KAREEM ST</t>
  </si>
  <si>
    <t>MZSE 910</t>
  </si>
  <si>
    <t>NATIONAL TRADER</t>
  </si>
  <si>
    <t>MZSE 911</t>
  </si>
  <si>
    <t>SHAHZAD ST</t>
  </si>
  <si>
    <t>MZSE 912</t>
  </si>
  <si>
    <t>ZEESHAAN ST</t>
  </si>
  <si>
    <t>MZSE 913</t>
  </si>
  <si>
    <t>TUFAIL ST</t>
  </si>
  <si>
    <t>MZSE 914</t>
  </si>
  <si>
    <t>AHAD ST</t>
  </si>
  <si>
    <t>MZSE 915</t>
  </si>
  <si>
    <t>ASAD UMER ST</t>
  </si>
  <si>
    <t>MZSE 916</t>
  </si>
  <si>
    <t>SAEED ST</t>
  </si>
  <si>
    <t>MZSE 917</t>
  </si>
  <si>
    <t>AHMED ST</t>
  </si>
  <si>
    <t>MZSE 918</t>
  </si>
  <si>
    <t>HAMZA ST</t>
  </si>
  <si>
    <t>MZSE 919</t>
  </si>
  <si>
    <t>NAGORI KIRYANA</t>
  </si>
  <si>
    <t>MZSE 920</t>
  </si>
  <si>
    <t>NAGORI SUPER ST</t>
  </si>
  <si>
    <t>MZSE 921</t>
  </si>
  <si>
    <t>NAGORI GST</t>
  </si>
  <si>
    <t>MZSE 922</t>
  </si>
  <si>
    <t>JAMEEL GST</t>
  </si>
  <si>
    <t>MZSE 923</t>
  </si>
  <si>
    <t>MUSTAFA ST</t>
  </si>
  <si>
    <t>MZSE 924</t>
  </si>
  <si>
    <t>SHAHENSHAH  ST</t>
  </si>
  <si>
    <t>MZSE 925</t>
  </si>
  <si>
    <t>GHAZI  ST</t>
  </si>
  <si>
    <t>MZSE 926</t>
  </si>
  <si>
    <t>RAB ST</t>
  </si>
  <si>
    <t>MZSE 927</t>
  </si>
  <si>
    <t>ASMA MART</t>
  </si>
  <si>
    <t>MZSE 928</t>
  </si>
  <si>
    <t>QADIR BUX ST</t>
  </si>
  <si>
    <t>MZSE 929</t>
  </si>
  <si>
    <t>SALAMAT ST</t>
  </si>
  <si>
    <t>MZSE 930</t>
  </si>
  <si>
    <t>RAO MART</t>
  </si>
  <si>
    <t>MODEL COLONY</t>
  </si>
  <si>
    <t>MZSE 931</t>
  </si>
  <si>
    <t>TOUHEED ST</t>
  </si>
  <si>
    <t>MZSE 932</t>
  </si>
  <si>
    <t>AL HAMD ST</t>
  </si>
  <si>
    <t>MZSE 933</t>
  </si>
  <si>
    <t>UMAIR ST</t>
  </si>
  <si>
    <t>MZSE 934</t>
  </si>
  <si>
    <t>BABLOO ST</t>
  </si>
  <si>
    <t>MZSE 935</t>
  </si>
  <si>
    <t>USAMA ST</t>
  </si>
  <si>
    <t>MZSE 936</t>
  </si>
  <si>
    <t>BS ST</t>
  </si>
  <si>
    <t>MZSE 937</t>
  </si>
  <si>
    <t>ISLAMI ST</t>
  </si>
  <si>
    <t>MZSE 938</t>
  </si>
  <si>
    <t>MZSE 939</t>
  </si>
  <si>
    <t>RAZA ST</t>
  </si>
  <si>
    <t>MZSE 940</t>
  </si>
  <si>
    <t>AL MAKKAH ST</t>
  </si>
  <si>
    <t>MZSE 941</t>
  </si>
  <si>
    <t>AL MADINA ST</t>
  </si>
  <si>
    <t>MZSE 942</t>
  </si>
  <si>
    <t>AHMAD ST</t>
  </si>
  <si>
    <t>MZSE 943</t>
  </si>
  <si>
    <t>BABER ST</t>
  </si>
  <si>
    <t>MZSE 944</t>
  </si>
  <si>
    <t>DUA RICE</t>
  </si>
  <si>
    <t>MZSE 945</t>
  </si>
  <si>
    <t>KHYBER ST</t>
  </si>
  <si>
    <t>MZSE 946</t>
  </si>
  <si>
    <t>BIN YOUSUF MART</t>
  </si>
  <si>
    <t>MZSE 947</t>
  </si>
  <si>
    <t>AL AMEER BAKERY</t>
  </si>
  <si>
    <t>MZSE 948</t>
  </si>
  <si>
    <t>BS AMJAD</t>
  </si>
  <si>
    <t>MZSE 949</t>
  </si>
  <si>
    <t xml:space="preserve">JHULAY LAL </t>
  </si>
  <si>
    <t>MZSE 950</t>
  </si>
  <si>
    <t>SAVERZ MART (150)</t>
  </si>
  <si>
    <t>MZSE 951</t>
  </si>
  <si>
    <t>AL HAMD ST  (150)</t>
  </si>
  <si>
    <t>MZSE 952</t>
  </si>
  <si>
    <t>SOHAIL KIRYANA</t>
  </si>
  <si>
    <t>KORANGI 2</t>
  </si>
  <si>
    <t>MZSE 953</t>
  </si>
  <si>
    <t>SUKKER ST</t>
  </si>
  <si>
    <t>MZSE 954</t>
  </si>
  <si>
    <t>HAJI HAMEED</t>
  </si>
  <si>
    <t>MZSE 955</t>
  </si>
  <si>
    <t>RANA BROTHER</t>
  </si>
  <si>
    <t>MZSE 956</t>
  </si>
  <si>
    <t xml:space="preserve">M MART </t>
  </si>
  <si>
    <t>MZSE 957</t>
  </si>
  <si>
    <t>KHURRAM ST</t>
  </si>
  <si>
    <t>MZSE 958</t>
  </si>
  <si>
    <t>MOMIN ST</t>
  </si>
  <si>
    <t>MZSE 959</t>
  </si>
  <si>
    <t>GEO SUPER ST</t>
  </si>
  <si>
    <t>MZSE 960</t>
  </si>
  <si>
    <t>NEW LASANI ST</t>
  </si>
  <si>
    <t>MZSE 961</t>
  </si>
  <si>
    <t>YOUR MART</t>
  </si>
  <si>
    <t>MZSE 962</t>
  </si>
  <si>
    <t xml:space="preserve">SHAH BHATTAI ST </t>
  </si>
  <si>
    <t>MZSE 963</t>
  </si>
  <si>
    <t>SHARJHA ST</t>
  </si>
  <si>
    <t>MZSE 964</t>
  </si>
  <si>
    <t>HAZRAT ST</t>
  </si>
  <si>
    <t>MZSE 965</t>
  </si>
  <si>
    <t>BABU PHARMACY</t>
  </si>
  <si>
    <t>MZSE 966</t>
  </si>
  <si>
    <t>SULTAN ARFIN ST</t>
  </si>
  <si>
    <t>MZSE 967</t>
  </si>
  <si>
    <t>TAWAKAL ST</t>
  </si>
  <si>
    <t>MZSE 968</t>
  </si>
  <si>
    <t>MOON SALEEM ST</t>
  </si>
  <si>
    <t>MZSE 969</t>
  </si>
  <si>
    <t>SALMAN PAKWAN</t>
  </si>
  <si>
    <t>MZSE 970</t>
  </si>
  <si>
    <t>NEW IQBAL ST</t>
  </si>
  <si>
    <t>MZSE 971</t>
  </si>
  <si>
    <t>MADINA ATA CHAKI</t>
  </si>
  <si>
    <t>MZSE 972</t>
  </si>
  <si>
    <t>KABIR ST</t>
  </si>
  <si>
    <t>MZSE 973</t>
  </si>
  <si>
    <t>YOUNIS ST</t>
  </si>
  <si>
    <t>MZSE 974</t>
  </si>
  <si>
    <t>JABBAR ST</t>
  </si>
  <si>
    <t>MZSE 975</t>
  </si>
  <si>
    <t>ALPINE GETELO</t>
  </si>
  <si>
    <t>MZSE 976</t>
  </si>
  <si>
    <t>AL MADINA OIL(150)</t>
  </si>
  <si>
    <t>MZSE 977</t>
  </si>
  <si>
    <t>QAMER OIL  (150)</t>
  </si>
  <si>
    <t>MZSE 978</t>
  </si>
  <si>
    <t>IQRA ST</t>
  </si>
  <si>
    <t>KORANGI 6</t>
  </si>
  <si>
    <t>MZSE 979</t>
  </si>
  <si>
    <t xml:space="preserve">BS RICE </t>
  </si>
  <si>
    <t>MZSE 980</t>
  </si>
  <si>
    <t>DANISH OIL</t>
  </si>
  <si>
    <t>MZSE 981</t>
  </si>
  <si>
    <t>SHIRAZ ST</t>
  </si>
  <si>
    <t>MZSE 982</t>
  </si>
  <si>
    <t>REHAN OIL</t>
  </si>
  <si>
    <t>MZSE 983</t>
  </si>
  <si>
    <t>SHAH ASHABI</t>
  </si>
  <si>
    <t>MZSE 984</t>
  </si>
  <si>
    <t>AHMED LARKANA</t>
  </si>
  <si>
    <t>MZSE 985</t>
  </si>
  <si>
    <t>AHMED TRADER</t>
  </si>
  <si>
    <t>MZSE 986</t>
  </si>
  <si>
    <t>ABDUL SATAR MEMON</t>
  </si>
  <si>
    <t>MZSE 987</t>
  </si>
  <si>
    <t>Bilal trader</t>
  </si>
  <si>
    <t>MZSE 988</t>
  </si>
  <si>
    <t>SUBHAN OIL</t>
  </si>
  <si>
    <t>MZSE 989</t>
  </si>
  <si>
    <t xml:space="preserve">ANSARI ST </t>
  </si>
  <si>
    <t>MZSE 990</t>
  </si>
  <si>
    <t xml:space="preserve">AMJAD ANSARI </t>
  </si>
  <si>
    <t>MZSE 991</t>
  </si>
  <si>
    <t xml:space="preserve">IQBAL KIRYANA ST </t>
  </si>
  <si>
    <t>MZSE 992</t>
  </si>
  <si>
    <t>MZSE 993</t>
  </si>
  <si>
    <t>Hashim oil(150)</t>
  </si>
  <si>
    <t>MZSE 994</t>
  </si>
  <si>
    <t>AHSAN BROTHER(150)</t>
  </si>
  <si>
    <t>MZSE 995</t>
  </si>
  <si>
    <t>NADEEM LARKANA (150)</t>
  </si>
  <si>
    <t>MZSE 996</t>
  </si>
  <si>
    <t>GRACE MART (150)</t>
  </si>
  <si>
    <t>SHAH FAISAL</t>
  </si>
  <si>
    <t>MZSE 997</t>
  </si>
  <si>
    <t>SHAHID BROTHER</t>
  </si>
  <si>
    <t>MZSE 998</t>
  </si>
  <si>
    <t>SAEED OIL</t>
  </si>
  <si>
    <t>MZSE 999</t>
  </si>
  <si>
    <t xml:space="preserve">DEHLI FAMOUS </t>
  </si>
  <si>
    <t>MZSE 1000</t>
  </si>
  <si>
    <t>RIZWAN SWEET</t>
  </si>
  <si>
    <t>MZSE 1001</t>
  </si>
  <si>
    <t>ZIA ST</t>
  </si>
  <si>
    <t>MZSE 1002</t>
  </si>
  <si>
    <t>SAJJAD ST</t>
  </si>
  <si>
    <t>MZSE 1003</t>
  </si>
  <si>
    <t>SHAHNAWAZ ST</t>
  </si>
  <si>
    <t>MZSE 1004</t>
  </si>
  <si>
    <t>MADINA KADSHIF ST</t>
  </si>
  <si>
    <t>MZSE 1005</t>
  </si>
  <si>
    <t>MADINA FAHAD ST</t>
  </si>
  <si>
    <t>MZSE 1006</t>
  </si>
  <si>
    <t>GOUSIYA ST</t>
  </si>
  <si>
    <t>MZSE 1007</t>
  </si>
  <si>
    <t>SARWAR ST</t>
  </si>
  <si>
    <t>MZSE 1008</t>
  </si>
  <si>
    <t>TAHIR ST</t>
  </si>
  <si>
    <t>MZSE 1009</t>
  </si>
  <si>
    <t>LAHORE BAKERY</t>
  </si>
  <si>
    <t>MZSE 1010</t>
  </si>
  <si>
    <t>HAFIZ TRADER</t>
  </si>
  <si>
    <t>MZSE 1011</t>
  </si>
  <si>
    <t>BS BAKERY</t>
  </si>
  <si>
    <t>MZSE 1012</t>
  </si>
  <si>
    <t>KHALIL ST</t>
  </si>
  <si>
    <t>MZSE 1013</t>
  </si>
  <si>
    <t>BILAL ST</t>
  </si>
  <si>
    <t>MZSE 1014</t>
  </si>
  <si>
    <t>MZSE 1015</t>
  </si>
  <si>
    <t>AYAS SUPER ST</t>
  </si>
  <si>
    <t>MZSE 1016</t>
  </si>
  <si>
    <t>MZSE 1017</t>
  </si>
  <si>
    <t>BIN AHSAN ATA CHAKI</t>
  </si>
  <si>
    <t>MZSE 1018</t>
  </si>
  <si>
    <t>VIMPY BAKERY</t>
  </si>
  <si>
    <t>MZSE 1019</t>
  </si>
  <si>
    <t>KARACHI BAKERY</t>
  </si>
  <si>
    <t>MZSE 1020</t>
  </si>
  <si>
    <t>WASEEM PAN</t>
  </si>
  <si>
    <t>MZSE 1021</t>
  </si>
  <si>
    <t>ZAIQA PAKWAN</t>
  </si>
  <si>
    <t>MZSE 1022</t>
  </si>
  <si>
    <t>MALIK ST</t>
  </si>
  <si>
    <t>MZSE 1023</t>
  </si>
  <si>
    <t>REMANIA GST</t>
  </si>
  <si>
    <t>MZSE 1024</t>
  </si>
  <si>
    <t>AMEEN  TRADER</t>
  </si>
  <si>
    <t>MZSE 1025</t>
  </si>
  <si>
    <t>MUCH BETTER MART</t>
  </si>
  <si>
    <t>MZSE 1026</t>
  </si>
  <si>
    <t xml:space="preserve">BS ABDULLAH </t>
  </si>
  <si>
    <t>MZSE 1027</t>
  </si>
  <si>
    <t>AL MUSTAFA TRADER</t>
  </si>
  <si>
    <t>MZSE 1028</t>
  </si>
  <si>
    <t xml:space="preserve">KALKATA ST </t>
  </si>
  <si>
    <t>MZSE 1029</t>
  </si>
  <si>
    <t>BHAI JAN ST</t>
  </si>
  <si>
    <t>MZSE 1030</t>
  </si>
  <si>
    <t>MZSE 1031</t>
  </si>
  <si>
    <t>MAJEED AND SONS</t>
  </si>
  <si>
    <t>MZSE 1032</t>
  </si>
  <si>
    <t>MZSE 1033</t>
  </si>
  <si>
    <t>QASIM ST</t>
  </si>
  <si>
    <t>MZSE 1034</t>
  </si>
  <si>
    <t xml:space="preserve">HASAN CHAKI </t>
  </si>
  <si>
    <t>MZSE 1035</t>
  </si>
  <si>
    <t>SAVE PLUS MART</t>
  </si>
  <si>
    <t>jamia e milya</t>
  </si>
  <si>
    <t>MZSE 1036</t>
  </si>
  <si>
    <t>QADRI STORE ( 150 )</t>
  </si>
  <si>
    <t>MZSE 1037</t>
  </si>
  <si>
    <t>MADINA RICE</t>
  </si>
  <si>
    <t>MZSE 1038</t>
  </si>
  <si>
    <t>MINTAKA MART</t>
  </si>
  <si>
    <t>MZSE 1039</t>
  </si>
  <si>
    <t>HEATH LINK</t>
  </si>
  <si>
    <t>MZSE 1040</t>
  </si>
  <si>
    <t xml:space="preserve">ANNAR KALI </t>
  </si>
  <si>
    <t>MZSE 1041</t>
  </si>
  <si>
    <t xml:space="preserve">MADINA TEA </t>
  </si>
  <si>
    <t>MZSE 1042</t>
  </si>
  <si>
    <t>TALHA ST</t>
  </si>
  <si>
    <t>MZSE 1043</t>
  </si>
  <si>
    <t>MAKKI ST</t>
  </si>
  <si>
    <t>MZSE 1044</t>
  </si>
  <si>
    <t>GULSHAN ST</t>
  </si>
  <si>
    <t>MZSE 1045</t>
  </si>
  <si>
    <t>RAJPUT GST</t>
  </si>
  <si>
    <t>MZSE 1046</t>
  </si>
  <si>
    <t>MZSE 1047</t>
  </si>
  <si>
    <t>MADNI ST</t>
  </si>
  <si>
    <t>MZSE 1048</t>
  </si>
  <si>
    <t>SAVING ST</t>
  </si>
  <si>
    <t>MZSE 1049</t>
  </si>
  <si>
    <t xml:space="preserve">SHAHID RASHON </t>
  </si>
  <si>
    <t>MZSE 1050</t>
  </si>
  <si>
    <t>KAMRAN ST</t>
  </si>
  <si>
    <t>MZSE 1051</t>
  </si>
  <si>
    <t>GHAFOOR ST</t>
  </si>
  <si>
    <t>MZSE 1052</t>
  </si>
  <si>
    <t>REHMAINA ST</t>
  </si>
  <si>
    <t>MZSE 1053</t>
  </si>
  <si>
    <t>CHOUDRI MILK</t>
  </si>
  <si>
    <t>MZSE 1054</t>
  </si>
  <si>
    <t>CHOUDRI G ST</t>
  </si>
  <si>
    <t>MZSE 1055</t>
  </si>
  <si>
    <t>MAQSOOD RICE</t>
  </si>
  <si>
    <t>MZSE 1056</t>
  </si>
  <si>
    <t>star super  mart</t>
  </si>
  <si>
    <t>MZSE 1057</t>
  </si>
  <si>
    <t>hussain mart</t>
  </si>
  <si>
    <t>MZSE 1058</t>
  </si>
  <si>
    <t>M yousuf st</t>
  </si>
  <si>
    <t>MZSE 1059</t>
  </si>
  <si>
    <t>MZSE 1060</t>
  </si>
  <si>
    <t>MZSE 1081</t>
  </si>
  <si>
    <t xml:space="preserve">SALE  MONTH: MAR 25 </t>
  </si>
  <si>
    <t xml:space="preserve">SALE  MONTH: APR 25 </t>
  </si>
  <si>
    <t>bazar .com</t>
  </si>
  <si>
    <t>08 SHOP</t>
  </si>
  <si>
    <t>159 SHOP</t>
  </si>
  <si>
    <t xml:space="preserve">KARACHI SHOP LIST  30.11.2024 </t>
  </si>
  <si>
    <t>DISTRIBUTOR :   SALES MOVER</t>
  </si>
  <si>
    <t>NO 01</t>
  </si>
  <si>
    <t>T.S.A NAME  :KASHIF KHAN</t>
  </si>
  <si>
    <t xml:space="preserve">SALE  MONTH: JAN  25 </t>
  </si>
  <si>
    <t xml:space="preserve">SALE  MONTH: FEB  25 </t>
  </si>
  <si>
    <t xml:space="preserve">SALE  MONTH: MAR  25 </t>
  </si>
  <si>
    <t xml:space="preserve">SALE  MONTH: APR  25 </t>
  </si>
  <si>
    <t xml:space="preserve">SALE  MONTH: MAY  25 </t>
  </si>
  <si>
    <t xml:space="preserve">SALE  MONTH: JUNE  25 </t>
  </si>
  <si>
    <t>FILER</t>
  </si>
  <si>
    <t>New shining</t>
  </si>
  <si>
    <t>clifton</t>
  </si>
  <si>
    <t xml:space="preserve">KSM 301 </t>
  </si>
  <si>
    <t>Dawood mart</t>
  </si>
  <si>
    <t xml:space="preserve">KSM 302 </t>
  </si>
  <si>
    <t>fammy store</t>
  </si>
  <si>
    <t>KSM 303</t>
  </si>
  <si>
    <t>kehkashan store</t>
  </si>
  <si>
    <t>KSM 304</t>
  </si>
  <si>
    <t>shaheen mart</t>
  </si>
  <si>
    <t>KSM 305</t>
  </si>
  <si>
    <t>fareed store</t>
  </si>
  <si>
    <t>KSM 306</t>
  </si>
  <si>
    <t>Q.salaudin</t>
  </si>
  <si>
    <t>KSM 307</t>
  </si>
  <si>
    <t>soni store</t>
  </si>
  <si>
    <t>KSM 308</t>
  </si>
  <si>
    <t>abu zaid</t>
  </si>
  <si>
    <t>KSM 309</t>
  </si>
  <si>
    <t>Zabi &amp; Khalil</t>
  </si>
  <si>
    <t>KSM 310</t>
  </si>
  <si>
    <t>khushboo st.</t>
  </si>
  <si>
    <t>KSM 311</t>
  </si>
  <si>
    <t>canns mart</t>
  </si>
  <si>
    <t>KSM 312</t>
  </si>
  <si>
    <t xml:space="preserve">S.S.D medical </t>
  </si>
  <si>
    <t>KSM 313</t>
  </si>
  <si>
    <t>Prince med</t>
  </si>
  <si>
    <t>KSM 314</t>
  </si>
  <si>
    <t xml:space="preserve">king medical </t>
  </si>
  <si>
    <t>KSM 315</t>
  </si>
  <si>
    <t>all in one</t>
  </si>
  <si>
    <t>KSM 316</t>
  </si>
  <si>
    <t>KSM 317</t>
  </si>
  <si>
    <t>yellow and green</t>
  </si>
  <si>
    <t>KSM 318</t>
  </si>
  <si>
    <t>shahniz store</t>
  </si>
  <si>
    <t>KSM 319</t>
  </si>
  <si>
    <t>cool way</t>
  </si>
  <si>
    <t>KSM 320</t>
  </si>
  <si>
    <t>move in mart</t>
  </si>
  <si>
    <t>KSM 321</t>
  </si>
  <si>
    <t>nadir sawati</t>
  </si>
  <si>
    <t>KSM 322</t>
  </si>
  <si>
    <t>amjid bajori</t>
  </si>
  <si>
    <t>KSM 323</t>
  </si>
  <si>
    <t>jameel store</t>
  </si>
  <si>
    <t>KSM 324</t>
  </si>
  <si>
    <t>Mottas store</t>
  </si>
  <si>
    <t>KSM 325</t>
  </si>
  <si>
    <t>shop &amp; Go</t>
  </si>
  <si>
    <t>KSM 326</t>
  </si>
  <si>
    <t xml:space="preserve">New paradise </t>
  </si>
  <si>
    <t>KSM 327</t>
  </si>
  <si>
    <t>Azeem mart</t>
  </si>
  <si>
    <t>KSM 328</t>
  </si>
  <si>
    <t>EBCO MART</t>
  </si>
  <si>
    <t>KSM 329</t>
  </si>
  <si>
    <t>waseem store</t>
  </si>
  <si>
    <t>nishat comm</t>
  </si>
  <si>
    <t>KSM 330</t>
  </si>
  <si>
    <t>ittehad mart</t>
  </si>
  <si>
    <t>KSM 331</t>
  </si>
  <si>
    <t>sabir store</t>
  </si>
  <si>
    <t>KSM 332</t>
  </si>
  <si>
    <t>gilyat store</t>
  </si>
  <si>
    <t>KSM 333</t>
  </si>
  <si>
    <t>Leo mart</t>
  </si>
  <si>
    <t>KSM 334</t>
  </si>
  <si>
    <t>shan med</t>
  </si>
  <si>
    <t>bukhari comm</t>
  </si>
  <si>
    <t>KSM 335</t>
  </si>
  <si>
    <t>Galaxy store</t>
  </si>
  <si>
    <t>KSM 336</t>
  </si>
  <si>
    <t>Q.darwaish</t>
  </si>
  <si>
    <t>KSM 337</t>
  </si>
  <si>
    <t>al wakeel</t>
  </si>
  <si>
    <t>KSM 338</t>
  </si>
  <si>
    <t>agha store</t>
  </si>
  <si>
    <t>KSM 339</t>
  </si>
  <si>
    <t>shiraz store</t>
  </si>
  <si>
    <t>KSM 340</t>
  </si>
  <si>
    <t>b.s store</t>
  </si>
  <si>
    <t>KSM 341</t>
  </si>
  <si>
    <t>M.A Kinza</t>
  </si>
  <si>
    <t>KSM 342</t>
  </si>
  <si>
    <t>shehbaz comm</t>
  </si>
  <si>
    <t>KSM 343</t>
  </si>
  <si>
    <t>khalid pan</t>
  </si>
  <si>
    <t>KSM 344</t>
  </si>
  <si>
    <t>B.S faisal</t>
  </si>
  <si>
    <t>KSM 345</t>
  </si>
  <si>
    <t>Al Asim</t>
  </si>
  <si>
    <t>KSM 346</t>
  </si>
  <si>
    <t>B.S azam</t>
  </si>
  <si>
    <t>KSM 347</t>
  </si>
  <si>
    <t>master store</t>
  </si>
  <si>
    <t>KSM 348</t>
  </si>
  <si>
    <t>D.mart</t>
  </si>
  <si>
    <t>KSM 349</t>
  </si>
  <si>
    <t>ittehed Grocer</t>
  </si>
  <si>
    <t>KSM 350</t>
  </si>
  <si>
    <t>sameer bonjor</t>
  </si>
  <si>
    <t>ph 8</t>
  </si>
  <si>
    <t>KSM 351</t>
  </si>
  <si>
    <t>Creek mart</t>
  </si>
  <si>
    <t>KSM 352</t>
  </si>
  <si>
    <t>Creek vista</t>
  </si>
  <si>
    <t>KSM 353</t>
  </si>
  <si>
    <t>Tee eem mart</t>
  </si>
  <si>
    <t>KSM 354</t>
  </si>
  <si>
    <t>The mart</t>
  </si>
  <si>
    <t>KSM 355</t>
  </si>
  <si>
    <t>yES</t>
  </si>
  <si>
    <t>NICE MART</t>
  </si>
  <si>
    <t>SEHAR COMM</t>
  </si>
  <si>
    <t>KSM 356</t>
  </si>
  <si>
    <t>STEP IN STORE</t>
  </si>
  <si>
    <t>bukhari  comm</t>
  </si>
  <si>
    <t>KSM 357</t>
  </si>
  <si>
    <t>badar comm</t>
  </si>
  <si>
    <t>KSM 358</t>
  </si>
  <si>
    <t>suchal store</t>
  </si>
  <si>
    <t>KSM 359</t>
  </si>
  <si>
    <t>Al Rehman milk</t>
  </si>
  <si>
    <t>KSM 360</t>
  </si>
  <si>
    <t>marhaba store</t>
  </si>
  <si>
    <t>KSM 361</t>
  </si>
  <si>
    <t>b.s mini mart</t>
  </si>
  <si>
    <t>KSM 362</t>
  </si>
  <si>
    <t>seven star</t>
  </si>
  <si>
    <t>KSM 363</t>
  </si>
  <si>
    <t>Q.kkhyber</t>
  </si>
  <si>
    <t>KSM 364</t>
  </si>
  <si>
    <t>al muneer</t>
  </si>
  <si>
    <t>KSM 365</t>
  </si>
  <si>
    <t>q. dilawar</t>
  </si>
  <si>
    <t>KSM 366</t>
  </si>
  <si>
    <t>hashmi store</t>
  </si>
  <si>
    <t>KSM 367</t>
  </si>
  <si>
    <t>Q.makka store</t>
  </si>
  <si>
    <t>KSM 368</t>
  </si>
  <si>
    <t>M.S MILK</t>
  </si>
  <si>
    <t>KSM 369</t>
  </si>
  <si>
    <t>Subhan store</t>
  </si>
  <si>
    <t>KSM 370</t>
  </si>
  <si>
    <t>whole sale</t>
  </si>
  <si>
    <t>KSM 371</t>
  </si>
  <si>
    <t>s.m whole sale</t>
  </si>
  <si>
    <t>KSM 372</t>
  </si>
  <si>
    <t>m.m whole sale</t>
  </si>
  <si>
    <t>KSM 373</t>
  </si>
  <si>
    <t>super marvi</t>
  </si>
  <si>
    <t>KSM 374</t>
  </si>
  <si>
    <t>imran store</t>
  </si>
  <si>
    <t>KSM 375</t>
  </si>
  <si>
    <t>shadab med</t>
  </si>
  <si>
    <t>KSM 376</t>
  </si>
  <si>
    <t>Arain med</t>
  </si>
  <si>
    <t>KSM 377</t>
  </si>
  <si>
    <t>Tariq khatak</t>
  </si>
  <si>
    <t>KSM 378</t>
  </si>
  <si>
    <t>chinar store</t>
  </si>
  <si>
    <t>KSM 379</t>
  </si>
  <si>
    <t>dilshad store</t>
  </si>
  <si>
    <t>KSM 380</t>
  </si>
  <si>
    <t>clifton store</t>
  </si>
  <si>
    <t>KSM 381</t>
  </si>
  <si>
    <t xml:space="preserve">bhai bhai </t>
  </si>
  <si>
    <t>KSM 382</t>
  </si>
  <si>
    <t>jaffer store</t>
  </si>
  <si>
    <t>KSM 383</t>
  </si>
  <si>
    <t>HAJIS SUPER MART</t>
  </si>
  <si>
    <t>KSM 384</t>
  </si>
  <si>
    <t>OCEAN MART</t>
  </si>
  <si>
    <t>KSM 385</t>
  </si>
  <si>
    <t>PEPIS STORE</t>
  </si>
  <si>
    <t>KSM 386</t>
  </si>
  <si>
    <t xml:space="preserve">M GEES MOTAS </t>
  </si>
  <si>
    <t>SHABAZ COMM</t>
  </si>
  <si>
    <t>KSM 387</t>
  </si>
  <si>
    <t>TESCO MART</t>
  </si>
  <si>
    <t>KSM 388</t>
  </si>
  <si>
    <t>pine wood</t>
  </si>
  <si>
    <t>Dehli colony</t>
  </si>
  <si>
    <t>KSM 389</t>
  </si>
  <si>
    <t>pak regale</t>
  </si>
  <si>
    <t>KSM 390</t>
  </si>
  <si>
    <t>M.S store</t>
  </si>
  <si>
    <t>KSM 391</t>
  </si>
  <si>
    <t>KSM 392</t>
  </si>
  <si>
    <t>classic store</t>
  </si>
  <si>
    <t>KSM 393</t>
  </si>
  <si>
    <t>hafiz store</t>
  </si>
  <si>
    <t>KSM 394</t>
  </si>
  <si>
    <t>quality store</t>
  </si>
  <si>
    <t>KSM 395</t>
  </si>
  <si>
    <t>junadi mart</t>
  </si>
  <si>
    <t>KSM 396</t>
  </si>
  <si>
    <t>batla store</t>
  </si>
  <si>
    <t>KSM 397</t>
  </si>
  <si>
    <t>makkah store</t>
  </si>
  <si>
    <t>KSM 398</t>
  </si>
  <si>
    <t>murshid store</t>
  </si>
  <si>
    <t>KSM 399</t>
  </si>
  <si>
    <t>Asif store</t>
  </si>
  <si>
    <t>KSM 400</t>
  </si>
  <si>
    <t>nawaz store</t>
  </si>
  <si>
    <t>KSM 401</t>
  </si>
  <si>
    <t>ghaffar store</t>
  </si>
  <si>
    <t>KSM 402</t>
  </si>
  <si>
    <t>nisar store</t>
  </si>
  <si>
    <t>KSM 403</t>
  </si>
  <si>
    <t>m.s ambala</t>
  </si>
  <si>
    <t>KSM 404</t>
  </si>
  <si>
    <t>new ambala</t>
  </si>
  <si>
    <t>KSM 405</t>
  </si>
  <si>
    <t>Rehmaina chaki</t>
  </si>
  <si>
    <t>KSM 406</t>
  </si>
  <si>
    <t>zaki store</t>
  </si>
  <si>
    <t>KSM 407</t>
  </si>
  <si>
    <t>Qadri cannt</t>
  </si>
  <si>
    <t>KSM 408</t>
  </si>
  <si>
    <t>A.one qadri</t>
  </si>
  <si>
    <t>Dha ph 2</t>
  </si>
  <si>
    <t>KSM 409</t>
  </si>
  <si>
    <t>shaikh store</t>
  </si>
  <si>
    <t>KSM 410</t>
  </si>
  <si>
    <t>qadri store</t>
  </si>
  <si>
    <t>KSM 411</t>
  </si>
  <si>
    <t>Grocer store</t>
  </si>
  <si>
    <t>KSM 412</t>
  </si>
  <si>
    <t>Ghosia store</t>
  </si>
  <si>
    <t>KSM 413</t>
  </si>
  <si>
    <t>Ashraf store</t>
  </si>
  <si>
    <t>KSM 414</t>
  </si>
  <si>
    <t>Shop and save</t>
  </si>
  <si>
    <t>KSM 415</t>
  </si>
  <si>
    <t>KSM 416</t>
  </si>
  <si>
    <t>mashallah store</t>
  </si>
  <si>
    <t>KSM 417</t>
  </si>
  <si>
    <t>al haseeb</t>
  </si>
  <si>
    <t>KSM 418</t>
  </si>
  <si>
    <t>Nadir batla</t>
  </si>
  <si>
    <t>KSM 419</t>
  </si>
  <si>
    <t>pak quetta</t>
  </si>
  <si>
    <t>KSM 420</t>
  </si>
  <si>
    <t>KSM 421</t>
  </si>
  <si>
    <t>al madina</t>
  </si>
  <si>
    <t>KSM 422</t>
  </si>
  <si>
    <t>mubarak store</t>
  </si>
  <si>
    <t>KSM 423</t>
  </si>
  <si>
    <t>sunny bhai</t>
  </si>
  <si>
    <t>KSM 424</t>
  </si>
  <si>
    <t>stepin store</t>
  </si>
  <si>
    <t>KSM 425</t>
  </si>
  <si>
    <t>Al mujtaba</t>
  </si>
  <si>
    <t>KSM 426</t>
  </si>
  <si>
    <t>madni pan</t>
  </si>
  <si>
    <t>KSM 427</t>
  </si>
  <si>
    <t>Defence store</t>
  </si>
  <si>
    <t>KSM 428</t>
  </si>
  <si>
    <t>Nawaz store</t>
  </si>
  <si>
    <t>KSM 429</t>
  </si>
  <si>
    <t xml:space="preserve">Grocery and more </t>
  </si>
  <si>
    <t>KSM 430</t>
  </si>
  <si>
    <t>sagheer store</t>
  </si>
  <si>
    <t>KSM 431</t>
  </si>
  <si>
    <t>khan store</t>
  </si>
  <si>
    <t>tuheed comm</t>
  </si>
  <si>
    <t>KSM 432</t>
  </si>
  <si>
    <t>j.s mini mart</t>
  </si>
  <si>
    <t>KSM 433</t>
  </si>
  <si>
    <t>usman store</t>
  </si>
  <si>
    <t>KSM 434</t>
  </si>
  <si>
    <t>Ameer store</t>
  </si>
  <si>
    <t>KSM 435</t>
  </si>
  <si>
    <t>iqbal store</t>
  </si>
  <si>
    <t>KSM 436</t>
  </si>
  <si>
    <t>tanvir store</t>
  </si>
  <si>
    <t>KSM 437</t>
  </si>
  <si>
    <t>friendship mart</t>
  </si>
  <si>
    <t>KSM 438</t>
  </si>
  <si>
    <t>taj mart</t>
  </si>
  <si>
    <t>KSM 439</t>
  </si>
  <si>
    <t>Abdul razzaq</t>
  </si>
  <si>
    <t>KSM 440</t>
  </si>
  <si>
    <t>Muhib store</t>
  </si>
  <si>
    <t>KSM 441</t>
  </si>
  <si>
    <t>KSM 442</t>
  </si>
  <si>
    <t>Q.Ghazi</t>
  </si>
  <si>
    <t>KSM 443</t>
  </si>
  <si>
    <t>mideast med</t>
  </si>
  <si>
    <t>KSM 444</t>
  </si>
  <si>
    <t>My Ghazi mart</t>
  </si>
  <si>
    <t>KSM 445</t>
  </si>
  <si>
    <t>mehran store</t>
  </si>
  <si>
    <t>KSM 446</t>
  </si>
  <si>
    <t>m.mart</t>
  </si>
  <si>
    <t>KSM 447</t>
  </si>
  <si>
    <t xml:space="preserve">Naheed Super Market  </t>
  </si>
  <si>
    <t>TRAIQ ROAD</t>
  </si>
  <si>
    <t>KSM 448</t>
  </si>
  <si>
    <t xml:space="preserve">Kamal  baker  </t>
  </si>
  <si>
    <t xml:space="preserve">Badar commercial  </t>
  </si>
  <si>
    <t>KSM 449</t>
  </si>
  <si>
    <t>Abdul Rasheed/ Galaxy mart</t>
  </si>
  <si>
    <t>DHA PHSAE 04</t>
  </si>
  <si>
    <t>QSM 060</t>
  </si>
  <si>
    <t>A.ONE SUPER (150)</t>
  </si>
  <si>
    <t>QSM 062</t>
  </si>
  <si>
    <t>WALEED  STORE (150)</t>
  </si>
  <si>
    <t>QSM 063</t>
  </si>
  <si>
    <t>DISTRIBUTOR : SALES MOVER</t>
  </si>
  <si>
    <t>D.S.F NAME  : QAMAR AMEEN</t>
  </si>
  <si>
    <t>SALE  MONTH: APR 25</t>
  </si>
  <si>
    <t>SONY PAN</t>
  </si>
  <si>
    <t>BILAWAL HOUSE</t>
  </si>
  <si>
    <t>QSM 001</t>
  </si>
  <si>
    <t>SONIA STORE</t>
  </si>
  <si>
    <t>QSM 002</t>
  </si>
  <si>
    <t>CORNISH STORE</t>
  </si>
  <si>
    <t>QSM 003</t>
  </si>
  <si>
    <t>KHAN G STORE / SAYYAM ST.</t>
  </si>
  <si>
    <t>QSM 004</t>
  </si>
  <si>
    <t>HUSSANI MART</t>
  </si>
  <si>
    <t>QSM 005</t>
  </si>
  <si>
    <t>ARAYANA SHAHEEN</t>
  </si>
  <si>
    <t>QSM 006</t>
  </si>
  <si>
    <t>STOP AND SHOP</t>
  </si>
  <si>
    <t>QSM 007</t>
  </si>
  <si>
    <t>QSM 008</t>
  </si>
  <si>
    <t xml:space="preserve">AL REHMAN </t>
  </si>
  <si>
    <t>QSM 009</t>
  </si>
  <si>
    <t>MAHVEER MEDICALE</t>
  </si>
  <si>
    <t>QSM 010</t>
  </si>
  <si>
    <t>SAMAD MINI MART</t>
  </si>
  <si>
    <t>QSM 011</t>
  </si>
  <si>
    <t>AL HAFIZ STORE</t>
  </si>
  <si>
    <t>QSM 012</t>
  </si>
  <si>
    <t>QUETTA STORE</t>
  </si>
  <si>
    <t>QSM 013</t>
  </si>
  <si>
    <t>AHMED STORE</t>
  </si>
  <si>
    <t>QSM 014</t>
  </si>
  <si>
    <t>MEHREEN STORE</t>
  </si>
  <si>
    <t>QSM 015</t>
  </si>
  <si>
    <t>SHAHEEN STORE</t>
  </si>
  <si>
    <t>QSM 016</t>
  </si>
  <si>
    <t>CLIFTON MINI MART</t>
  </si>
  <si>
    <t>QSM 017</t>
  </si>
  <si>
    <t>AL BAQI STORE</t>
  </si>
  <si>
    <t>QSM 018</t>
  </si>
  <si>
    <t>SINDH PERADISE</t>
  </si>
  <si>
    <t>QSM 019</t>
  </si>
  <si>
    <t xml:space="preserve">DANISHS STORE </t>
  </si>
  <si>
    <t>QSM 020</t>
  </si>
  <si>
    <t>MURSHID STORE</t>
  </si>
  <si>
    <t>QSM 021</t>
  </si>
  <si>
    <t>AGHA MINI MART</t>
  </si>
  <si>
    <t>QSM 022</t>
  </si>
  <si>
    <t>PRIME BURGER</t>
  </si>
  <si>
    <t>QSM 023</t>
  </si>
  <si>
    <t>SHOP AND SAVE (150)</t>
  </si>
  <si>
    <t>QSM 024</t>
  </si>
  <si>
    <t>SPRING SUPER MART (150 )</t>
  </si>
  <si>
    <t>QSM 025</t>
  </si>
  <si>
    <t>Z&amp;Z STORE</t>
  </si>
  <si>
    <t>QSM 026</t>
  </si>
  <si>
    <t>TAYABA MART</t>
  </si>
  <si>
    <t>QSM 027</t>
  </si>
  <si>
    <t>QUETTA WALI</t>
  </si>
  <si>
    <t>QSM 028</t>
  </si>
  <si>
    <t>HASMI STORE</t>
  </si>
  <si>
    <t>QSM 029</t>
  </si>
  <si>
    <t>HUMAZ MEDICALE</t>
  </si>
  <si>
    <t>QSM 030</t>
  </si>
  <si>
    <t>AGHA STORE</t>
  </si>
  <si>
    <t>QSM 031</t>
  </si>
  <si>
    <t>BASHIR STORE</t>
  </si>
  <si>
    <t>QSM 032</t>
  </si>
  <si>
    <t>QUETTA RAZZAQ</t>
  </si>
  <si>
    <t>QSM 033</t>
  </si>
  <si>
    <t>NEW FRANCH</t>
  </si>
  <si>
    <t>QSM 034</t>
  </si>
  <si>
    <t>AMEEN MEDICALE</t>
  </si>
  <si>
    <t>QSM 035</t>
  </si>
  <si>
    <t>QUETTA SHAN</t>
  </si>
  <si>
    <t>QSM 036</t>
  </si>
  <si>
    <t xml:space="preserve">ALLAH KI REHMAT </t>
  </si>
  <si>
    <t>QSM 037</t>
  </si>
  <si>
    <t>QSM 038</t>
  </si>
  <si>
    <t>Q.B.S STORE</t>
  </si>
  <si>
    <t>QSM 039</t>
  </si>
  <si>
    <t>SYED SAIF ULLAH</t>
  </si>
  <si>
    <t>QSM 040</t>
  </si>
  <si>
    <t>NOORANI IJAZ</t>
  </si>
  <si>
    <t>QSM 041</t>
  </si>
  <si>
    <t>AJWA MART</t>
  </si>
  <si>
    <t>QSM 042</t>
  </si>
  <si>
    <t>QSM 043</t>
  </si>
  <si>
    <t>QSM 044</t>
  </si>
  <si>
    <t>QSM 045</t>
  </si>
  <si>
    <t>APNA STORE</t>
  </si>
  <si>
    <t>QSM 046</t>
  </si>
  <si>
    <t>RAJU PAN</t>
  </si>
  <si>
    <t>QSM 047</t>
  </si>
  <si>
    <t>TAIBA STORE</t>
  </si>
  <si>
    <t>QSM 048</t>
  </si>
  <si>
    <t>AGHA JAN</t>
  </si>
  <si>
    <t>QSM 049</t>
  </si>
  <si>
    <t>ARBAZ STORE</t>
  </si>
  <si>
    <t>QSM 050</t>
  </si>
  <si>
    <t>TANVEER STORE</t>
  </si>
  <si>
    <t>QSM 051</t>
  </si>
  <si>
    <t>3 STAR PAN</t>
  </si>
  <si>
    <t>QSM 052</t>
  </si>
  <si>
    <t xml:space="preserve">B.S MILK </t>
  </si>
  <si>
    <t>QSM 053</t>
  </si>
  <si>
    <t>QSM 054</t>
  </si>
  <si>
    <t>B.S STORE RAHAT</t>
  </si>
  <si>
    <t>QSM 055</t>
  </si>
  <si>
    <t>AL SAYYAF STORE</t>
  </si>
  <si>
    <t>QSM 056</t>
  </si>
  <si>
    <t>S.S MART</t>
  </si>
  <si>
    <t>QSM 057</t>
  </si>
  <si>
    <t>CVS PHARMACY (150)</t>
  </si>
  <si>
    <t>QSM 058</t>
  </si>
  <si>
    <t>HAFIZ FOOD (150)</t>
  </si>
  <si>
    <t>QSM 059</t>
  </si>
  <si>
    <t>AL KARAM (150)</t>
  </si>
  <si>
    <t>QSM 061</t>
  </si>
  <si>
    <t>NEW WAY  (150)</t>
  </si>
  <si>
    <t>QSM 064</t>
  </si>
  <si>
    <t>JELLANI STORE</t>
  </si>
  <si>
    <t>SHAHBAZ COMM</t>
  </si>
  <si>
    <t>QSM 065</t>
  </si>
  <si>
    <t>SHAH JEE</t>
  </si>
  <si>
    <t>QSM 066</t>
  </si>
  <si>
    <t>M.A GRAND</t>
  </si>
  <si>
    <t>QSM 067</t>
  </si>
  <si>
    <t>MUNWER ATTA</t>
  </si>
  <si>
    <t>QSM 068</t>
  </si>
  <si>
    <t>PHARMACY POINT</t>
  </si>
  <si>
    <t>QSM 069</t>
  </si>
  <si>
    <t>NISHAT INYAT</t>
  </si>
  <si>
    <t>QSM 070</t>
  </si>
  <si>
    <t>MINTAKA</t>
  </si>
  <si>
    <t>QSM 071</t>
  </si>
  <si>
    <t>SHAH LATIF</t>
  </si>
  <si>
    <t>QSM 072</t>
  </si>
  <si>
    <t>QSM 073</t>
  </si>
  <si>
    <t>PHARMACY GROCERY</t>
  </si>
  <si>
    <t>QSM 074</t>
  </si>
  <si>
    <t>RANA STORE</t>
  </si>
  <si>
    <t>QSM 075</t>
  </si>
  <si>
    <t xml:space="preserve">Q. BOLAN </t>
  </si>
  <si>
    <t>QSM 076</t>
  </si>
  <si>
    <t>SHAZZ MART</t>
  </si>
  <si>
    <t>QSM 077</t>
  </si>
  <si>
    <t>HASHMI STORE</t>
  </si>
  <si>
    <t>QSM 078</t>
  </si>
  <si>
    <t>MARK X</t>
  </si>
  <si>
    <t>QSM 079</t>
  </si>
  <si>
    <t>QSM 080</t>
  </si>
  <si>
    <t>MURSHID MART</t>
  </si>
  <si>
    <t>QSM 081</t>
  </si>
  <si>
    <t>KHATAK STORE (150)</t>
  </si>
  <si>
    <t>QSM 082</t>
  </si>
  <si>
    <t>MY M.GEES (150)</t>
  </si>
  <si>
    <t>QSM 083</t>
  </si>
  <si>
    <t>QSM 084</t>
  </si>
  <si>
    <t>UMER MART</t>
  </si>
  <si>
    <t>CANT GAZRI</t>
  </si>
  <si>
    <t>QSM 085</t>
  </si>
  <si>
    <t>K.K STORE</t>
  </si>
  <si>
    <t>QSM 086</t>
  </si>
  <si>
    <t>QSM 087</t>
  </si>
  <si>
    <t>SAIN DAWOOD</t>
  </si>
  <si>
    <t>QSM 088</t>
  </si>
  <si>
    <t>QSM 089</t>
  </si>
  <si>
    <t>BLOOM MART</t>
  </si>
  <si>
    <t>QSM 090</t>
  </si>
  <si>
    <t>SUALEH BHAI</t>
  </si>
  <si>
    <t>QSM 091</t>
  </si>
  <si>
    <t>SHOP AND SAVE</t>
  </si>
  <si>
    <t>QSM 092</t>
  </si>
  <si>
    <t>CANNT MART</t>
  </si>
  <si>
    <t>QSM 093</t>
  </si>
  <si>
    <t>AZIZ STORE</t>
  </si>
  <si>
    <t>QSM 094</t>
  </si>
  <si>
    <t>MEHRAN CHAKKI</t>
  </si>
  <si>
    <t>QSM 095</t>
  </si>
  <si>
    <t>QSM 096</t>
  </si>
  <si>
    <t>AHMED GIZRI</t>
  </si>
  <si>
    <t>QSM 097</t>
  </si>
  <si>
    <t>QSM 098</t>
  </si>
  <si>
    <t>WALI MUHMAAD</t>
  </si>
  <si>
    <t>QSM 099</t>
  </si>
  <si>
    <t>KAMAL BAKER</t>
  </si>
  <si>
    <t>QSM 100</t>
  </si>
  <si>
    <t>MANZOOR STORE</t>
  </si>
  <si>
    <t>QSM 101</t>
  </si>
  <si>
    <t>AKBER STORE</t>
  </si>
  <si>
    <t>QSM 102</t>
  </si>
  <si>
    <t>QSM 103</t>
  </si>
  <si>
    <t>SUPER SUNO</t>
  </si>
  <si>
    <t>QSM 104</t>
  </si>
  <si>
    <t>POINEER STORE</t>
  </si>
  <si>
    <t>QSM 105</t>
  </si>
  <si>
    <t>ANAYA STORE</t>
  </si>
  <si>
    <t>QSM 106</t>
  </si>
  <si>
    <t>QSM 107</t>
  </si>
  <si>
    <t>HEER STORE</t>
  </si>
  <si>
    <t>QSM 108</t>
  </si>
  <si>
    <t>QSM 109</t>
  </si>
  <si>
    <t>S.S.D</t>
  </si>
  <si>
    <t>QSM 110</t>
  </si>
  <si>
    <t>YOUNUS STORE</t>
  </si>
  <si>
    <t>QSM 111</t>
  </si>
  <si>
    <t>JHULAY LAL</t>
  </si>
  <si>
    <t>QSM 112</t>
  </si>
  <si>
    <t>SUBHAN STORE</t>
  </si>
  <si>
    <t>QSM 113</t>
  </si>
  <si>
    <t>AMIR STORE</t>
  </si>
  <si>
    <t>QSM 114</t>
  </si>
  <si>
    <t>RABIA STORE</t>
  </si>
  <si>
    <t>QSM 115</t>
  </si>
  <si>
    <t>BEST PRICE</t>
  </si>
  <si>
    <t>QSM 116</t>
  </si>
  <si>
    <t>DHA PHASE 02</t>
  </si>
  <si>
    <t>QSM 117</t>
  </si>
  <si>
    <t>QSM 118</t>
  </si>
  <si>
    <t>LUCKY STORE</t>
  </si>
  <si>
    <t>QSM 119</t>
  </si>
  <si>
    <t xml:space="preserve">WALI KIRYANA </t>
  </si>
  <si>
    <t>QSM 120</t>
  </si>
  <si>
    <t>ABDUL HAKEEM</t>
  </si>
  <si>
    <t>QSM 121</t>
  </si>
  <si>
    <t>USAMA OIL</t>
  </si>
  <si>
    <t>QSM 122</t>
  </si>
  <si>
    <t>AZIZ UR REHMAN</t>
  </si>
  <si>
    <t>QSM 123</t>
  </si>
  <si>
    <t>RASHON SHOP</t>
  </si>
  <si>
    <t>QSM 124</t>
  </si>
  <si>
    <t>SHAIKH TARIQ</t>
  </si>
  <si>
    <t>QSM 125</t>
  </si>
  <si>
    <t>M.S GEN STORE</t>
  </si>
  <si>
    <t>QSM 126</t>
  </si>
  <si>
    <t>QURESHI STORE</t>
  </si>
  <si>
    <t>QSM 127</t>
  </si>
  <si>
    <t>QUALITY STORE</t>
  </si>
  <si>
    <t>QSM 128</t>
  </si>
  <si>
    <t>QSM 129</t>
  </si>
  <si>
    <t>SAHIL STORE</t>
  </si>
  <si>
    <t>QSM 130</t>
  </si>
  <si>
    <t xml:space="preserve">ALI MED </t>
  </si>
  <si>
    <t>QSM 131</t>
  </si>
  <si>
    <t>CLASSIC STORE</t>
  </si>
  <si>
    <t>QSM 132</t>
  </si>
  <si>
    <t>B.S HADI</t>
  </si>
  <si>
    <t>QSM 133</t>
  </si>
  <si>
    <t>HAMMAD STORE</t>
  </si>
  <si>
    <t>QSM 134</t>
  </si>
  <si>
    <t>ZUBAIR STORE</t>
  </si>
  <si>
    <t>QSM 135</t>
  </si>
  <si>
    <t>NEW KHAN</t>
  </si>
  <si>
    <t>QSM 136</t>
  </si>
  <si>
    <t>SUNNY MED</t>
  </si>
  <si>
    <t>QSM 137</t>
  </si>
  <si>
    <t>FRANCH BAKERY</t>
  </si>
  <si>
    <t>KHADDA MKT</t>
  </si>
  <si>
    <t>QSM 138</t>
  </si>
  <si>
    <t>DANISH PAN</t>
  </si>
  <si>
    <t>QSM 139</t>
  </si>
  <si>
    <t>AIMEN ATORE</t>
  </si>
  <si>
    <t>QSM 140</t>
  </si>
  <si>
    <t>SANZAR STORE</t>
  </si>
  <si>
    <t>QSM 141</t>
  </si>
  <si>
    <t>CANNAS MART</t>
  </si>
  <si>
    <t>QSM 142</t>
  </si>
  <si>
    <t>OWAIS STORE</t>
  </si>
  <si>
    <t>QSM 143</t>
  </si>
  <si>
    <t>YASEEN STORE</t>
  </si>
  <si>
    <t>QSM 144</t>
  </si>
  <si>
    <t>OBAID STORE</t>
  </si>
  <si>
    <t>QSM 145</t>
  </si>
  <si>
    <t>ALI GEN STORE</t>
  </si>
  <si>
    <t>QSM 146</t>
  </si>
  <si>
    <t>CLASSIC MED</t>
  </si>
  <si>
    <t>QSM 147</t>
  </si>
  <si>
    <t>SHAIKH STORE</t>
  </si>
  <si>
    <t>QSM 148</t>
  </si>
  <si>
    <t>LIFE CARE</t>
  </si>
  <si>
    <t>QSM 149</t>
  </si>
  <si>
    <t>AMIS SUPER</t>
  </si>
  <si>
    <t>QSM 150</t>
  </si>
  <si>
    <t>INAYET STORE</t>
  </si>
  <si>
    <t>QSM 151</t>
  </si>
  <si>
    <t xml:space="preserve">OLD CITY SHOP LIST  31.08.2024 </t>
  </si>
  <si>
    <t xml:space="preserve">DISTRIBUTOR : AL NOOR TRADERS </t>
  </si>
  <si>
    <t>DSF NAME  : AQEEL</t>
  </si>
  <si>
    <t>AVG 2024</t>
  </si>
  <si>
    <t>Malik wala oil</t>
  </si>
  <si>
    <t>Joria bazar</t>
  </si>
  <si>
    <t>ALN-001</t>
  </si>
  <si>
    <t>Al Karam Oil</t>
  </si>
  <si>
    <t>ALN-002</t>
  </si>
  <si>
    <t>Nasir oil</t>
  </si>
  <si>
    <t>ALN-003</t>
  </si>
  <si>
    <t>Al Saeed New 21.11.24</t>
  </si>
  <si>
    <t>ALN-074</t>
  </si>
  <si>
    <t>s Abbas New 30.01.25</t>
  </si>
  <si>
    <t>Khajoor Bazar</t>
  </si>
  <si>
    <t>ALN-075</t>
  </si>
  <si>
    <t>F</t>
  </si>
  <si>
    <t>Ali Baba New 19.11.24</t>
  </si>
  <si>
    <t>ALN-076</t>
  </si>
  <si>
    <t>FARHAN LUCKY NEW 19.06.25</t>
  </si>
  <si>
    <t>Saleem St. 21.11.24</t>
  </si>
  <si>
    <t>ALN-004</t>
  </si>
  <si>
    <t>Makkah oil(150)</t>
  </si>
  <si>
    <t>ALN-005</t>
  </si>
  <si>
    <t>Imran oil (150)</t>
  </si>
  <si>
    <t>ALN-006</t>
  </si>
  <si>
    <t>Sabir st</t>
  </si>
  <si>
    <t>Empress Market</t>
  </si>
  <si>
    <t>ALN-007</t>
  </si>
  <si>
    <t>Zafar Sha</t>
  </si>
  <si>
    <t>ALN-008</t>
  </si>
  <si>
    <t>PARADISE STORE</t>
  </si>
  <si>
    <t>ALN-009</t>
  </si>
  <si>
    <t>Ahamad Aman</t>
  </si>
  <si>
    <t>ALN-010</t>
  </si>
  <si>
    <t>Ghafoor qasim st</t>
  </si>
  <si>
    <t>ALN-077</t>
  </si>
  <si>
    <t>MARYAM OIL</t>
  </si>
  <si>
    <t>ALN-078</t>
  </si>
  <si>
    <t>Liaquat st</t>
  </si>
  <si>
    <t>ALN-079</t>
  </si>
  <si>
    <t>B.D sithna</t>
  </si>
  <si>
    <t>ALN-011</t>
  </si>
  <si>
    <t>Maroof St. New Oct-2024</t>
  </si>
  <si>
    <t>ALN-012</t>
  </si>
  <si>
    <t>Ameen St. New 16.11.2024</t>
  </si>
  <si>
    <t>ALN-080</t>
  </si>
  <si>
    <t>Kamal st. New 02.12.2024</t>
  </si>
  <si>
    <t>ALN-081</t>
  </si>
  <si>
    <t>AL MEHRAN STORE</t>
  </si>
  <si>
    <t>sadar</t>
  </si>
  <si>
    <t>ALN-082</t>
  </si>
  <si>
    <t>Shahbuddin</t>
  </si>
  <si>
    <t>ALN-013</t>
  </si>
  <si>
    <t>Al kausar St. New 16.11.24</t>
  </si>
  <si>
    <t>ALN-014</t>
  </si>
  <si>
    <t>Sindh St. New 16.11.24</t>
  </si>
  <si>
    <t>ALN-015</t>
  </si>
  <si>
    <t>Anwar St. New 18.11.24</t>
  </si>
  <si>
    <t>ALN-016</t>
  </si>
  <si>
    <t>Bin ghafoor st</t>
  </si>
  <si>
    <t>ALN-017</t>
  </si>
  <si>
    <t>Amir masala</t>
  </si>
  <si>
    <t>ALN-018</t>
  </si>
  <si>
    <t>TARIQ STORE</t>
  </si>
  <si>
    <t>ALN-083</t>
  </si>
  <si>
    <t>Mansoor oil</t>
  </si>
  <si>
    <t>ALN-084</t>
  </si>
  <si>
    <t>Asim oil</t>
  </si>
  <si>
    <t>ALN-019</t>
  </si>
  <si>
    <t xml:space="preserve">Salman st </t>
  </si>
  <si>
    <t>ALN-020</t>
  </si>
  <si>
    <t>Saeed Store New 16.11.24</t>
  </si>
  <si>
    <t>ALN-021</t>
  </si>
  <si>
    <t>Shabbir Store 30.11.2024</t>
  </si>
  <si>
    <t>ALN-022</t>
  </si>
  <si>
    <t>Jamal st(150)</t>
  </si>
  <si>
    <t>ALN-023</t>
  </si>
  <si>
    <t>Anwer st(150)</t>
  </si>
  <si>
    <t>ALN-024</t>
  </si>
  <si>
    <t>Siddique oil(150)</t>
  </si>
  <si>
    <t>ALN-025</t>
  </si>
  <si>
    <t>Yaqoob st (150)</t>
  </si>
  <si>
    <t>ALN-026</t>
  </si>
  <si>
    <t>Harish st</t>
  </si>
  <si>
    <t>ALN-027</t>
  </si>
  <si>
    <t>Rehman suleman</t>
  </si>
  <si>
    <t>ALN-028</t>
  </si>
  <si>
    <t>AR Mart</t>
  </si>
  <si>
    <t>Soldier Bazar</t>
  </si>
  <si>
    <t>ALN-029</t>
  </si>
  <si>
    <t>ALI HOLSELL</t>
  </si>
  <si>
    <t>ALN-030</t>
  </si>
  <si>
    <t>DARWISH STORE</t>
  </si>
  <si>
    <t>ALN-031</t>
  </si>
  <si>
    <t>super masala</t>
  </si>
  <si>
    <t>ALN-032</t>
  </si>
  <si>
    <t>B.S st</t>
  </si>
  <si>
    <t>ALN-033</t>
  </si>
  <si>
    <t>Jiye Shah st</t>
  </si>
  <si>
    <t>ALN-086</t>
  </si>
  <si>
    <t>Rajput st</t>
  </si>
  <si>
    <t>ALN-087</t>
  </si>
  <si>
    <t>Garden Ata Chakki</t>
  </si>
  <si>
    <t>ALN-088</t>
  </si>
  <si>
    <t>PAKIZA ST 07.01.25</t>
  </si>
  <si>
    <t>ALN-089</t>
  </si>
  <si>
    <t>raja mini mart</t>
  </si>
  <si>
    <t>ALN-034</t>
  </si>
  <si>
    <t>Zam Zam St. New 18.11.24</t>
  </si>
  <si>
    <t>ALN-090</t>
  </si>
  <si>
    <t>Al Abbas New 18.11.24</t>
  </si>
  <si>
    <t>ALN-091</t>
  </si>
  <si>
    <t>Al Barkat New 25.11.24</t>
  </si>
  <si>
    <t>ALN-035</t>
  </si>
  <si>
    <t>A.T St. New 25.11.24</t>
  </si>
  <si>
    <t>ALN-036</t>
  </si>
  <si>
    <t>Adnan St. New 25.11.24</t>
  </si>
  <si>
    <t>ALN-037</t>
  </si>
  <si>
    <t>Ghaffar Mart(150)</t>
  </si>
  <si>
    <t>ALN-038</t>
  </si>
  <si>
    <t>Good Luck New 19.11.24</t>
  </si>
  <si>
    <t>Garden west</t>
  </si>
  <si>
    <t>ALN-039</t>
  </si>
  <si>
    <t>M.Afroz New 25.11.24</t>
  </si>
  <si>
    <t>ALN-040</t>
  </si>
  <si>
    <t>Madni oil</t>
  </si>
  <si>
    <t>ALN-067</t>
  </si>
  <si>
    <t>Abid ali st</t>
  </si>
  <si>
    <t>ALN-068</t>
  </si>
  <si>
    <t>Nasir St</t>
  </si>
  <si>
    <t>ALN-041</t>
  </si>
  <si>
    <t>n</t>
  </si>
  <si>
    <t>BS Aziz st</t>
  </si>
  <si>
    <t>Ranchorline</t>
  </si>
  <si>
    <t>ALN-042</t>
  </si>
  <si>
    <t>Ali super 30.01.25</t>
  </si>
  <si>
    <t>ALN-043</t>
  </si>
  <si>
    <t>Akber st</t>
  </si>
  <si>
    <t>ALN-044</t>
  </si>
  <si>
    <t>GARDEN MART</t>
  </si>
  <si>
    <t>ALN-046</t>
  </si>
  <si>
    <t>Madina st</t>
  </si>
  <si>
    <t>ALN-047</t>
  </si>
  <si>
    <t xml:space="preserve">Aslam st (150) </t>
  </si>
  <si>
    <t>ALN-048</t>
  </si>
  <si>
    <t>Akhlaq st(150) CLOSED APR-25</t>
  </si>
  <si>
    <t>ALN-049</t>
  </si>
  <si>
    <t>Dubai mart</t>
  </si>
  <si>
    <t>UNCLE SARYA</t>
  </si>
  <si>
    <t>ALN-050</t>
  </si>
  <si>
    <t xml:space="preserve">Raheem oil </t>
  </si>
  <si>
    <t>ALN-051</t>
  </si>
  <si>
    <t xml:space="preserve">Qadri oil </t>
  </si>
  <si>
    <t>ALN-052</t>
  </si>
  <si>
    <t>Muhammadi oil</t>
  </si>
  <si>
    <t>ALN-053</t>
  </si>
  <si>
    <t>Ghanchi st</t>
  </si>
  <si>
    <t>ALN-054</t>
  </si>
  <si>
    <t>Raza st</t>
  </si>
  <si>
    <t>ALN-055</t>
  </si>
  <si>
    <t>Kamran oil</t>
  </si>
  <si>
    <t>ALN-056</t>
  </si>
  <si>
    <t>Jelani st</t>
  </si>
  <si>
    <t>Kharadar</t>
  </si>
  <si>
    <t>ALN-057</t>
  </si>
  <si>
    <t>Hussain st</t>
  </si>
  <si>
    <t>ALN-058</t>
  </si>
  <si>
    <t>SALEEM oil</t>
  </si>
  <si>
    <t>MOOSA LANE</t>
  </si>
  <si>
    <t>ALN-059</t>
  </si>
  <si>
    <t>Babu masala</t>
  </si>
  <si>
    <t>ALN-060</t>
  </si>
  <si>
    <t xml:space="preserve">Ghosia st </t>
  </si>
  <si>
    <t>ALN-061</t>
  </si>
  <si>
    <t>Iqbal st</t>
  </si>
  <si>
    <t>ALN-064</t>
  </si>
  <si>
    <t>Sualleh MUHAMMAD</t>
  </si>
  <si>
    <t>ALN-066</t>
  </si>
  <si>
    <t>ALN-092</t>
  </si>
  <si>
    <t>Al Hamd st</t>
  </si>
  <si>
    <t>ALN-093</t>
  </si>
  <si>
    <t>Saad St. New 20.11.24</t>
  </si>
  <si>
    <t>NADEEM STORE NEW 13.12.24</t>
  </si>
  <si>
    <t>BURNS ROAD</t>
  </si>
  <si>
    <t>Bukhari</t>
  </si>
  <si>
    <t>Polani oil</t>
  </si>
  <si>
    <t>ALN-069</t>
  </si>
  <si>
    <t>Mini Rashan shop</t>
  </si>
  <si>
    <t>ALN-070</t>
  </si>
  <si>
    <t>IB mart</t>
  </si>
  <si>
    <t>ALN-071</t>
  </si>
  <si>
    <t xml:space="preserve"> Noor oil</t>
  </si>
  <si>
    <t>ALN-072</t>
  </si>
  <si>
    <t>Afreen oil</t>
  </si>
  <si>
    <t>ALN-073</t>
  </si>
  <si>
    <t>Pak st</t>
  </si>
  <si>
    <t>kharadar</t>
  </si>
  <si>
    <t xml:space="preserve"> </t>
  </si>
  <si>
    <t>AREA</t>
  </si>
  <si>
    <t xml:space="preserve">PARTY NAME </t>
  </si>
  <si>
    <t>SR NO</t>
  </si>
  <si>
    <t xml:space="preserve">NAME </t>
  </si>
  <si>
    <t>AMIR</t>
  </si>
  <si>
    <t>RAMEEZ</t>
  </si>
  <si>
    <t>RIZWAN</t>
  </si>
  <si>
    <t>SHOAIB</t>
  </si>
  <si>
    <t>TOTAL</t>
  </si>
  <si>
    <t>FARZAN</t>
  </si>
  <si>
    <t>TAHA</t>
  </si>
  <si>
    <t>GRAND TOTAL</t>
  </si>
  <si>
    <t>IQBAL</t>
  </si>
  <si>
    <t>MUZEEF</t>
  </si>
  <si>
    <t>KASHIS</t>
  </si>
  <si>
    <t>TOTAL'</t>
  </si>
  <si>
    <t>QAMAR</t>
  </si>
  <si>
    <t>KASHIF</t>
  </si>
  <si>
    <t xml:space="preserve">AQEEL </t>
  </si>
  <si>
    <t xml:space="preserve"> COUNTER SHOP SALES PLAN  MONTH JULAY TO SEP 2025</t>
  </si>
  <si>
    <t>CORN</t>
  </si>
  <si>
    <t>EXPACTED JULY 2025</t>
  </si>
  <si>
    <t>Noman Oil /EHTESHAM - (75)</t>
  </si>
  <si>
    <t>MADINA GHANI (150 )</t>
  </si>
  <si>
    <t>KHURJI Traders - (150)</t>
  </si>
  <si>
    <t>DATE</t>
  </si>
  <si>
    <t>18.07.2025</t>
  </si>
  <si>
    <t xml:space="preserve"> AVG SALE                               JAN TO JUNE 2025</t>
  </si>
  <si>
    <t>ALL KARACHI DISTRIBUTORS SALES PLAN SEMMARY JULY TO AUGUST 2025</t>
  </si>
  <si>
    <t>DISTRIBUTOR NAME</t>
  </si>
  <si>
    <t>50 TO 100</t>
  </si>
  <si>
    <t>101 TO 200</t>
  </si>
  <si>
    <t>201 TO 500</t>
  </si>
  <si>
    <t>501 TO 1000</t>
  </si>
  <si>
    <t>NO SHOP</t>
  </si>
  <si>
    <t>MAKKA MARKETING</t>
  </si>
  <si>
    <t>CANOLA AVG 2025</t>
  </si>
  <si>
    <t>CORN AVG 2025</t>
  </si>
  <si>
    <t>TOTAL AVG 2025</t>
  </si>
  <si>
    <t>CANOLA EXPACTED 2025</t>
  </si>
  <si>
    <t>CORN EXPACTED 2025</t>
  </si>
  <si>
    <t>TOTAL EXPACTED 2025</t>
  </si>
  <si>
    <t xml:space="preserve">CATAGORY </t>
  </si>
  <si>
    <t>M.A TRADERS</t>
  </si>
  <si>
    <t>SHAH ENTERPRISES</t>
  </si>
  <si>
    <t>SALES MOVERS</t>
  </si>
  <si>
    <t>AL NOOR TRADERS</t>
  </si>
  <si>
    <t>ALL DISTIBUTORS KARACHI</t>
  </si>
  <si>
    <t>50 T0 1000</t>
  </si>
  <si>
    <t xml:space="preserve">DATE : </t>
  </si>
  <si>
    <t>Waheed Jumma/ SAAD RICE-150</t>
  </si>
  <si>
    <t>Qadeer Store</t>
  </si>
  <si>
    <t>Gulberg</t>
  </si>
  <si>
    <t>Sigma store   closed</t>
  </si>
  <si>
    <t>M.S Naveed (sundrop)</t>
  </si>
  <si>
    <t>Seher Kiryana (oil &amp; ghee Segment finished)</t>
  </si>
  <si>
    <t>Sadaqat Store (sundrop)</t>
  </si>
  <si>
    <t>Memona Store (sundrop)</t>
  </si>
  <si>
    <t>Subhan (sundrop)</t>
  </si>
  <si>
    <t>Saleem Store Closed</t>
  </si>
  <si>
    <t>Abbasi Store (oil &amp; ghee Segment finished)</t>
  </si>
  <si>
    <t>Barkat Atta ( Rates Issue as compare Eva)</t>
  </si>
  <si>
    <t>Noor Kohlu (Payment Issue) 26-07-25</t>
  </si>
  <si>
    <t>Amna Pan 11-07-25</t>
  </si>
  <si>
    <t>Ahmed oil 11-07-25</t>
  </si>
  <si>
    <t>Tawakkal Store 11-07-25</t>
  </si>
  <si>
    <t>Noor Oil 07-07-25</t>
  </si>
  <si>
    <t>M S oil  dipot - (150) 17-07-25</t>
  </si>
  <si>
    <t>M.S.Adnan 17-07-25</t>
  </si>
  <si>
    <t>Madini Store - (150) 07-07-25</t>
  </si>
  <si>
    <t>no</t>
  </si>
  <si>
    <t>shop closed</t>
  </si>
  <si>
    <t>KUIKER SUPER MART closed</t>
  </si>
  <si>
    <t>Yasir Store closed</t>
  </si>
  <si>
    <t>BILAL MART/ faizan Mustafa - (150)</t>
  </si>
  <si>
    <t>saleem st closed</t>
  </si>
  <si>
    <t>alam store (new) closed</t>
  </si>
  <si>
    <t>NOSHEEN (Payment issue)</t>
  </si>
  <si>
    <t>JUNAID-ST (Payment issue)</t>
  </si>
  <si>
    <t>Chase Dept.- (150) Payment issue</t>
  </si>
  <si>
    <t>Salahuddin Store</t>
  </si>
  <si>
    <t>Silky Rice (Closed)</t>
  </si>
  <si>
    <t>7 D N.KARACHI</t>
  </si>
  <si>
    <t>Madina Mart CLOSED</t>
  </si>
  <si>
    <t>SAVE &amp; SAFE (NEW)) PAYMENT ISSUE</t>
  </si>
  <si>
    <t>Ishrat CLOSED</t>
  </si>
  <si>
    <t>2 WS Midecal CLOSED</t>
  </si>
  <si>
    <t>New Saka CLOSED</t>
  </si>
  <si>
    <t>Al Nameer (PAYMENT ISSUE)</t>
  </si>
  <si>
    <t>Ejaz CLOSED</t>
  </si>
  <si>
    <t>Faisal Jumma PAYMENT ISSUE</t>
  </si>
  <si>
    <t>vearity st CLOSED</t>
  </si>
  <si>
    <t>abbas mart CLOSED</t>
  </si>
  <si>
    <t>ARIF STORE PAYMENT ISSUE</t>
  </si>
  <si>
    <t>NOORANI GRAIN DEFAULTER</t>
  </si>
  <si>
    <t>NEW CHAMAN STORE CREDIT ISSUE</t>
  </si>
  <si>
    <t>HADI BAKERY CLOSED</t>
  </si>
  <si>
    <t>Fair Way Mart CLOSED</t>
  </si>
  <si>
    <t>DASTAGER STORE CLOSED</t>
  </si>
  <si>
    <t>B.S STORE CLOSED PAYMENT ISSUE</t>
  </si>
  <si>
    <t>ASHRAF STORE(OIL &amp; GHEE SEGMENT FINISHED)</t>
  </si>
  <si>
    <t>JILANI STORE CREDIT ISSUE</t>
  </si>
  <si>
    <t>B,S STORE PAYMENT ISSUE</t>
  </si>
  <si>
    <t>SALEEM STORE (OIL &amp; GHEE SEGMENT FINISHED)</t>
  </si>
  <si>
    <t>AWAMI STORE (SUNDROP)</t>
  </si>
  <si>
    <t>HILL SIDE STORE CLOSING</t>
  </si>
  <si>
    <t>YOUSAF STORE ISSUE</t>
  </si>
  <si>
    <t xml:space="preserve">HYDERABAD SHOP LIST 01.12.2024 </t>
  </si>
  <si>
    <t xml:space="preserve">DISTRIBUTOR : SAJID TRADERS  </t>
  </si>
  <si>
    <t>D.S.F NAME  : Shabaz Qureshi</t>
  </si>
  <si>
    <t xml:space="preserve">LIMIT  </t>
  </si>
  <si>
    <t>Credit Terms</t>
  </si>
  <si>
    <t>Avg 2023</t>
  </si>
  <si>
    <t xml:space="preserve">FILER </t>
  </si>
  <si>
    <t xml:space="preserve">SALE  MONTH: January 24  </t>
  </si>
  <si>
    <t xml:space="preserve">SALE  MONTH: Febuary 24  </t>
  </si>
  <si>
    <t xml:space="preserve">SALE  MONTH:MARCH 24  </t>
  </si>
  <si>
    <t xml:space="preserve">SALE  MONTH: APRIL 24 </t>
  </si>
  <si>
    <t xml:space="preserve">SALE  MONTH: MAY 24 </t>
  </si>
  <si>
    <t xml:space="preserve">SALE  MONTH: JUNE  24 </t>
  </si>
  <si>
    <t xml:space="preserve">SALE  MONTH: JULY  24 </t>
  </si>
  <si>
    <t xml:space="preserve">SALE  MONTH: AUG 24 </t>
  </si>
  <si>
    <t xml:space="preserve">SALE  MONTH: Sep 24 </t>
  </si>
  <si>
    <t xml:space="preserve">TOTAL  SALE JAN TO DEC 24 </t>
  </si>
  <si>
    <t xml:space="preserve">CANOLA  LIMIT  </t>
  </si>
  <si>
    <t xml:space="preserve">CORN LIMIT  </t>
  </si>
  <si>
    <t xml:space="preserve">TOTAL </t>
  </si>
  <si>
    <t xml:space="preserve">SALE  MONTH: Feb 25 </t>
  </si>
  <si>
    <t xml:space="preserve">SALE  MONTH: Mar 25 </t>
  </si>
  <si>
    <t xml:space="preserve">CANOLA  </t>
  </si>
  <si>
    <t>OWAIS K/S Qlia</t>
  </si>
  <si>
    <t xml:space="preserve">HYD 301 </t>
  </si>
  <si>
    <t>30 days</t>
  </si>
  <si>
    <t xml:space="preserve">DAWOOD MART </t>
  </si>
  <si>
    <t xml:space="preserve">HYD 302 </t>
  </si>
  <si>
    <t xml:space="preserve">NISHAT CHEMICALE </t>
  </si>
  <si>
    <t>HYD 303</t>
  </si>
  <si>
    <t>IQBAL G/S</t>
  </si>
  <si>
    <t>HYD 306</t>
  </si>
  <si>
    <t>ENAYAT K/S</t>
  </si>
  <si>
    <t>HYD 307</t>
  </si>
  <si>
    <t xml:space="preserve">AMEER SONS </t>
  </si>
  <si>
    <t>HYD 326</t>
  </si>
  <si>
    <t xml:space="preserve">FAIMLY MART </t>
  </si>
  <si>
    <t>HYD 327</t>
  </si>
  <si>
    <t xml:space="preserve">AB MAJEED </t>
  </si>
  <si>
    <t>HYD 328</t>
  </si>
  <si>
    <t xml:space="preserve">NIGAH -E- MADINA </t>
  </si>
  <si>
    <t>HYD 332</t>
  </si>
  <si>
    <t>ZAIN STOR</t>
  </si>
  <si>
    <t>HYD 335</t>
  </si>
  <si>
    <t xml:space="preserve">KAKA BEAKERS </t>
  </si>
  <si>
    <t>HYD 336</t>
  </si>
  <si>
    <t xml:space="preserve">AB GHANI SADDAR G/S </t>
  </si>
  <si>
    <t>HYD 337</t>
  </si>
  <si>
    <t>BIG BACHAT MART</t>
  </si>
  <si>
    <t>HYD 341</t>
  </si>
  <si>
    <t xml:space="preserve">NATIONAL MART </t>
  </si>
  <si>
    <t>HYD 342</t>
  </si>
  <si>
    <t>SHABAZ K/S</t>
  </si>
  <si>
    <t>HYD 343</t>
  </si>
  <si>
    <t>TOWER TEA</t>
  </si>
  <si>
    <t>HYD 344</t>
  </si>
  <si>
    <t xml:space="preserve">PAK OIL </t>
  </si>
  <si>
    <t>HYD 346</t>
  </si>
  <si>
    <t xml:space="preserve">SHOUAIB TRADERS </t>
  </si>
  <si>
    <t>HYD 348</t>
  </si>
  <si>
    <t xml:space="preserve">SATRAM TRADERS </t>
  </si>
  <si>
    <t>HYD 349</t>
  </si>
  <si>
    <t xml:space="preserve">FARHAN TRADERS </t>
  </si>
  <si>
    <t>HYD 350</t>
  </si>
  <si>
    <t>FAISAL TRADERS</t>
  </si>
  <si>
    <t>HYD 351</t>
  </si>
  <si>
    <t>GOSIA G/S</t>
  </si>
  <si>
    <t>HYD 352</t>
  </si>
  <si>
    <t>AB QALAM G/S</t>
  </si>
  <si>
    <t>HYD 353</t>
  </si>
  <si>
    <t>M. FAROOQ G/S</t>
  </si>
  <si>
    <t>HYD 355</t>
  </si>
  <si>
    <t xml:space="preserve">UMAR EDU </t>
  </si>
  <si>
    <t>HYD 356</t>
  </si>
  <si>
    <t>QAZI K/S</t>
  </si>
  <si>
    <t>HYD 357</t>
  </si>
  <si>
    <t xml:space="preserve">SUPER KARACHI </t>
  </si>
  <si>
    <t>HYD 360</t>
  </si>
  <si>
    <t>MADINA OIL TRADES</t>
  </si>
  <si>
    <t>HYD 361</t>
  </si>
  <si>
    <t>AL MADAD</t>
  </si>
  <si>
    <t>HYD 364</t>
  </si>
  <si>
    <t xml:space="preserve">Aleem Ud Din </t>
  </si>
  <si>
    <t>HYD 371</t>
  </si>
  <si>
    <t>New Ali Tower M</t>
  </si>
  <si>
    <t>HYD 374</t>
  </si>
  <si>
    <t xml:space="preserve">Zam Zam K/s Salawat </t>
  </si>
  <si>
    <t>HYD 375</t>
  </si>
  <si>
    <t>Din mohammad ( new shop ) JULY 2024</t>
  </si>
  <si>
    <t>HYD 396</t>
  </si>
  <si>
    <t>Hanif k/s Tower ( new shop aug24)</t>
  </si>
  <si>
    <t>HYD 397</t>
  </si>
  <si>
    <t>Mohamadi tower</t>
  </si>
  <si>
    <t>HYD 398</t>
  </si>
  <si>
    <t>Wahid sons( Aug 24)</t>
  </si>
  <si>
    <t>HYD 399</t>
  </si>
  <si>
    <t>Farhan Ghani Afandi</t>
  </si>
  <si>
    <t>HYD 400</t>
  </si>
  <si>
    <t>Al humd Afandi</t>
  </si>
  <si>
    <t>HYD 401</t>
  </si>
  <si>
    <t>Haji Ismail Pinjra Pool</t>
  </si>
  <si>
    <t>HYD 402</t>
  </si>
  <si>
    <t>Madina Pinjra Pool</t>
  </si>
  <si>
    <t>HYD 403</t>
  </si>
  <si>
    <t>Hajii BABA Sabzi Mandi</t>
  </si>
  <si>
    <t>HYD 404</t>
  </si>
  <si>
    <t>Owais Liyaqat colony</t>
  </si>
  <si>
    <t>HYD 405</t>
  </si>
  <si>
    <t>Salman Hali road</t>
  </si>
  <si>
    <t>HYD 406</t>
  </si>
  <si>
    <t>SaLMAN LAJPUT ROAD</t>
  </si>
  <si>
    <t>HYD 407</t>
  </si>
  <si>
    <t>M.H K/s Sabzi Mandi</t>
  </si>
  <si>
    <t>HYD 408</t>
  </si>
  <si>
    <t xml:space="preserve"> NO</t>
  </si>
  <si>
    <t>BABA Traders Tower</t>
  </si>
  <si>
    <t>HYD 409</t>
  </si>
  <si>
    <t>Masood Phulali</t>
  </si>
  <si>
    <t>HYD 410</t>
  </si>
  <si>
    <t>Ab Rehman Noaabad gali</t>
  </si>
  <si>
    <t>HYD 411</t>
  </si>
  <si>
    <t>Afsar Siraj F.Ka.Pir</t>
  </si>
  <si>
    <t>HYD 412</t>
  </si>
  <si>
    <t>Maqsood Phulali</t>
  </si>
  <si>
    <t>HYD 413</t>
  </si>
  <si>
    <t>Maa jee Store Pinjra Pool</t>
  </si>
  <si>
    <t>HYD 414</t>
  </si>
  <si>
    <t>Al madina hirabad</t>
  </si>
  <si>
    <t>HYD 415</t>
  </si>
  <si>
    <t>kuwaja pjulali</t>
  </si>
  <si>
    <t>HYD 416</t>
  </si>
  <si>
    <t>Asghar f.k. pir</t>
  </si>
  <si>
    <t>HYD 417</t>
  </si>
  <si>
    <t>B.S hirabad</t>
  </si>
  <si>
    <t>HYD 418</t>
  </si>
  <si>
    <t>B.S Tower Market</t>
  </si>
  <si>
    <t>HYD 419</t>
  </si>
  <si>
    <t>Amir k/s sabzi M 27 -10-24</t>
  </si>
  <si>
    <t>HYD 420</t>
  </si>
  <si>
    <t>Yaqoob Tower M 27-10-24</t>
  </si>
  <si>
    <t>HYD 421</t>
  </si>
  <si>
    <t>Kamran Afandi 27-10-24</t>
  </si>
  <si>
    <t>HYD 422</t>
  </si>
  <si>
    <t>Faizan F.Ka.Pir 27-10-24</t>
  </si>
  <si>
    <t>HYD 423</t>
  </si>
  <si>
    <t>Raheel F.Ka.pir 27-10-24</t>
  </si>
  <si>
    <t>HYD 424</t>
  </si>
  <si>
    <t>Um-e- Hani F.Ka.Pir 27-10-24</t>
  </si>
  <si>
    <t>HYD 425</t>
  </si>
  <si>
    <t>Amjad F.Ka.Pir 27-10-24</t>
  </si>
  <si>
    <t>HYD 426</t>
  </si>
  <si>
    <t>Adnan Traders Noabad Galii 29-10-24</t>
  </si>
  <si>
    <t>HYD 427</t>
  </si>
  <si>
    <t>Pak Pure Oil ( 30-10-24</t>
  </si>
  <si>
    <t>HYD 428</t>
  </si>
  <si>
    <t>Ab. Raheem Labour colony( 30-10-24</t>
  </si>
  <si>
    <t>HYD 429</t>
  </si>
  <si>
    <t>Zam Zam K/s Hali Road( 30-10-24</t>
  </si>
  <si>
    <t>HYD 430</t>
  </si>
  <si>
    <t>Ab MajEED Gari Khata (30-10-24</t>
  </si>
  <si>
    <t>HYD 431</t>
  </si>
  <si>
    <t>Feroz Liyaqat clny ( 30-10-24</t>
  </si>
  <si>
    <t>HYD 432</t>
  </si>
  <si>
    <t>Khalid Liyaqat clony (30-10-24</t>
  </si>
  <si>
    <t>HYD 433</t>
  </si>
  <si>
    <t>Sana Allah Gaow shala(31-10-24</t>
  </si>
  <si>
    <t>HYD 434</t>
  </si>
  <si>
    <t>Mashah Allah Pulali(31-10-24</t>
  </si>
  <si>
    <t>HYD 435</t>
  </si>
  <si>
    <t>Ab Jabbar Pulali(31-10-24</t>
  </si>
  <si>
    <t>HYD 436</t>
  </si>
  <si>
    <t>Zam Zam Tower( 31-10-24</t>
  </si>
  <si>
    <t>HYD 437</t>
  </si>
  <si>
    <t>Salman Pinjra Pool (31-10-24</t>
  </si>
  <si>
    <t>HYD 438</t>
  </si>
  <si>
    <t>Saleem Salawat( 04-11-24)</t>
  </si>
  <si>
    <t>HYD 439</t>
  </si>
  <si>
    <t>M Shafi salawat (06-11-24)</t>
  </si>
  <si>
    <t>HYD 440</t>
  </si>
  <si>
    <t>Jhullay lala</t>
  </si>
  <si>
    <t>HYD 441</t>
  </si>
  <si>
    <t>Moin Sabzi mandi</t>
  </si>
  <si>
    <t>HYD 442</t>
  </si>
  <si>
    <t>Asad Khai road(19-11-24)</t>
  </si>
  <si>
    <t>HYD 443</t>
  </si>
  <si>
    <t>Khurram Pohlali(30-11-24</t>
  </si>
  <si>
    <t>HYD 444</t>
  </si>
  <si>
    <t>mazhar goushala) 05-12-24</t>
  </si>
  <si>
    <t>HYD 445</t>
  </si>
  <si>
    <t>Makro mart )10-12-24</t>
  </si>
  <si>
    <t>HYD 446</t>
  </si>
  <si>
    <t>Al Noor Mart ) 10-12-24</t>
  </si>
  <si>
    <t>HYD 447</t>
  </si>
  <si>
    <t xml:space="preserve">Hamid Super Store </t>
  </si>
  <si>
    <t>HYD 448</t>
  </si>
  <si>
    <t>Aslam Umarv) 18-12-24</t>
  </si>
  <si>
    <t>HYD 449</t>
  </si>
  <si>
    <t>Urooj Gujjar Nala ) 30-12-24</t>
  </si>
  <si>
    <t>HYD 450</t>
  </si>
  <si>
    <t>ab majeed phulali ( 11-02-25</t>
  </si>
  <si>
    <t>A.K camical tower(06-02-25)</t>
  </si>
  <si>
    <t>Asim Khai road(12-02-25)</t>
  </si>
  <si>
    <t>B.s Labour colony(20-02-25)</t>
  </si>
  <si>
    <t>SUNY Qali Mori (10-11-24)</t>
  </si>
  <si>
    <t>HYD 451</t>
  </si>
  <si>
    <t>AVG SALE 2924</t>
  </si>
  <si>
    <t xml:space="preserve">SALE  MONTH: Oct 24 </t>
  </si>
  <si>
    <t xml:space="preserve">SALE  MONTH: NOV 24 </t>
  </si>
  <si>
    <t xml:space="preserve">SALE  MONTH: DEC 24 </t>
  </si>
  <si>
    <t xml:space="preserve">HYDERABAD SHOP LIST  01.12.2024 </t>
  </si>
  <si>
    <t>D.S.F NAME  :Shoaib Iqbal</t>
  </si>
  <si>
    <t xml:space="preserve">SALE  MONTH:January  24  </t>
  </si>
  <si>
    <t xml:space="preserve">SALE  MONTH:Febuary 24  </t>
  </si>
  <si>
    <t xml:space="preserve">SALE  MONTH: AUG  24 </t>
  </si>
  <si>
    <t xml:space="preserve">SALE  MONTH: SEP  24 </t>
  </si>
  <si>
    <r>
      <t xml:space="preserve">SALE  MONTH: </t>
    </r>
    <r>
      <rPr>
        <b/>
        <sz val="14"/>
        <color theme="1"/>
        <rFont val="Calibri"/>
        <family val="2"/>
        <scheme val="minor"/>
      </rPr>
      <t>Oct</t>
    </r>
    <r>
      <rPr>
        <b/>
        <sz val="11"/>
        <color theme="1"/>
        <rFont val="Calibri"/>
        <family val="2"/>
        <scheme val="minor"/>
      </rPr>
      <t xml:space="preserve">  24 </t>
    </r>
  </si>
  <si>
    <t xml:space="preserve">SALE  MONTH: NOV  24 </t>
  </si>
  <si>
    <t xml:space="preserve">SALE  MONTH: DEC  24 </t>
  </si>
  <si>
    <t xml:space="preserve">TOTAL  SALE JAN TO DEC  24 </t>
  </si>
  <si>
    <t xml:space="preserve">CANAOL  </t>
  </si>
  <si>
    <t xml:space="preserve">SYED BROTHER </t>
  </si>
  <si>
    <t xml:space="preserve">HYD 001 </t>
  </si>
  <si>
    <t>30 Days</t>
  </si>
  <si>
    <t>FARHAN DEPARTMENTAL SHOP CLOSE</t>
  </si>
  <si>
    <t xml:space="preserve">HYD 002 </t>
  </si>
  <si>
    <t xml:space="preserve">MADINA SUPER STORE </t>
  </si>
  <si>
    <t>HYD 004</t>
  </si>
  <si>
    <t xml:space="preserve">RAFIQ K/S </t>
  </si>
  <si>
    <t>HYD 005</t>
  </si>
  <si>
    <t xml:space="preserve">IMRAN MAMU </t>
  </si>
  <si>
    <t>HYD 006</t>
  </si>
  <si>
    <t xml:space="preserve">IMRAN NIZAM UD DIN </t>
  </si>
  <si>
    <t>HYD 007</t>
  </si>
  <si>
    <t xml:space="preserve">KAMRAN NIZAM UD DIN </t>
  </si>
  <si>
    <t>HYD 008</t>
  </si>
  <si>
    <t>AMEER AZIZ ( Close Shop )</t>
  </si>
  <si>
    <t>HYD 009</t>
  </si>
  <si>
    <t xml:space="preserve">HAJI IQBAL K/S </t>
  </si>
  <si>
    <t>HYD 010</t>
  </si>
  <si>
    <t xml:space="preserve">NEW HAJI BABU </t>
  </si>
  <si>
    <t>HYD 011</t>
  </si>
  <si>
    <t>M ALI K/S ( Close shop )</t>
  </si>
  <si>
    <t>HYD 012</t>
  </si>
  <si>
    <t>Haji Khalil K/S 8 no</t>
  </si>
  <si>
    <t>HYD 013</t>
  </si>
  <si>
    <t>Rashid K/S 12 No</t>
  </si>
  <si>
    <t>HYD 014</t>
  </si>
  <si>
    <t>Imran K/S Badan 12 No</t>
  </si>
  <si>
    <t>HYD 015</t>
  </si>
  <si>
    <t>Badar Masala</t>
  </si>
  <si>
    <t>HYD 016</t>
  </si>
  <si>
    <t>Rehmat K/S 8 No</t>
  </si>
  <si>
    <t>HYD 017</t>
  </si>
  <si>
    <t>M ALI K/S</t>
  </si>
  <si>
    <t>HYD 019</t>
  </si>
  <si>
    <t>JAWEED BASHIR K/S</t>
  </si>
  <si>
    <t>HYD 020</t>
  </si>
  <si>
    <t>MUNEER K/S</t>
  </si>
  <si>
    <t>HYD 024</t>
  </si>
  <si>
    <t>MUKARAM K/S</t>
  </si>
  <si>
    <t>HYD 025</t>
  </si>
  <si>
    <t xml:space="preserve">STAR MART </t>
  </si>
  <si>
    <t>HYD 026</t>
  </si>
  <si>
    <t>AB JABBAR K/S</t>
  </si>
  <si>
    <t>HYD 027</t>
  </si>
  <si>
    <t>ASIF K/S</t>
  </si>
  <si>
    <t>HYD 029</t>
  </si>
  <si>
    <t xml:space="preserve">Saeed k/s 5 no </t>
  </si>
  <si>
    <t>HYD 031</t>
  </si>
  <si>
    <t xml:space="preserve">Ab Rehman 5 no </t>
  </si>
  <si>
    <t>HYD 032</t>
  </si>
  <si>
    <t>KHUWAJA ZAMEER ( Close Shop)</t>
  </si>
  <si>
    <t>HYD 033</t>
  </si>
  <si>
    <t>NISAR G/S</t>
  </si>
  <si>
    <t>HYD 034</t>
  </si>
  <si>
    <t>FREESH AND FREESH</t>
  </si>
  <si>
    <t>HYD 035</t>
  </si>
  <si>
    <t>AB. LATIF G/S</t>
  </si>
  <si>
    <t>HYD 038</t>
  </si>
  <si>
    <t xml:space="preserve">AHMAD AZIZ </t>
  </si>
  <si>
    <t>HYD 039</t>
  </si>
  <si>
    <t>NIMRA G/S</t>
  </si>
  <si>
    <t>HYD 040</t>
  </si>
  <si>
    <t xml:space="preserve">BAIG MART </t>
  </si>
  <si>
    <t>HYD 041</t>
  </si>
  <si>
    <t>HYD 042</t>
  </si>
  <si>
    <t>Asad K/s 6 No</t>
  </si>
  <si>
    <t>HYD 044</t>
  </si>
  <si>
    <t>DawOOD MART 6 no</t>
  </si>
  <si>
    <t>HYD 047</t>
  </si>
  <si>
    <t xml:space="preserve">SAIFI BEAKERS </t>
  </si>
  <si>
    <t>HYD 048</t>
  </si>
  <si>
    <t xml:space="preserve">AB RAFAY </t>
  </si>
  <si>
    <t>HYD 049</t>
  </si>
  <si>
    <t xml:space="preserve">FARHAN DEFANCE </t>
  </si>
  <si>
    <t>HYD 050</t>
  </si>
  <si>
    <t>SAMADA G/S</t>
  </si>
  <si>
    <t>HYD 052</t>
  </si>
  <si>
    <t>R.R. G/S</t>
  </si>
  <si>
    <t>HYD 053</t>
  </si>
  <si>
    <t>KHUSHBOO G/S</t>
  </si>
  <si>
    <t>HYD 054</t>
  </si>
  <si>
    <t>SINDH WHOLE SAE ( Shop Close )</t>
  </si>
  <si>
    <t>HYD 055</t>
  </si>
  <si>
    <t xml:space="preserve">MAX BACHAT </t>
  </si>
  <si>
    <t>HYD 056</t>
  </si>
  <si>
    <t>NEW SON TRADERS</t>
  </si>
  <si>
    <t>HYD 057</t>
  </si>
  <si>
    <t>ASAD TRADERS</t>
  </si>
  <si>
    <t>HYD 058</t>
  </si>
  <si>
    <t>AZAN G/S</t>
  </si>
  <si>
    <t>HYD 060</t>
  </si>
  <si>
    <t xml:space="preserve">BILAWAL TRADERS </t>
  </si>
  <si>
    <t>HYD 061</t>
  </si>
  <si>
    <t>AMAN G/S</t>
  </si>
  <si>
    <t>HYD 062</t>
  </si>
  <si>
    <t>MAAKI JAA G/S ( Shop Close)</t>
  </si>
  <si>
    <t>HYD 063</t>
  </si>
  <si>
    <t xml:space="preserve">ROYAL BEAKERS </t>
  </si>
  <si>
    <t>HYD 064</t>
  </si>
  <si>
    <t>URSANI K/S</t>
  </si>
  <si>
    <t>HYD 065</t>
  </si>
  <si>
    <t>WELL COM G/S</t>
  </si>
  <si>
    <t>HYD 066</t>
  </si>
  <si>
    <t>SHAHAN SHAN G/S</t>
  </si>
  <si>
    <t>HYD 067</t>
  </si>
  <si>
    <t xml:space="preserve">SHOP AND SAVE MART </t>
  </si>
  <si>
    <t>HYD 069</t>
  </si>
  <si>
    <t xml:space="preserve">R.T TRADERS </t>
  </si>
  <si>
    <t>HYD 070</t>
  </si>
  <si>
    <t>HARI BOL K/S</t>
  </si>
  <si>
    <t>HYD 071</t>
  </si>
  <si>
    <t>MAX BACHAT 2</t>
  </si>
  <si>
    <t>HYD 072</t>
  </si>
  <si>
    <t xml:space="preserve">SUPER SAVE MART </t>
  </si>
  <si>
    <t>HYD 073</t>
  </si>
  <si>
    <t>QALANDARI G/S</t>
  </si>
  <si>
    <t>HYD 075</t>
  </si>
  <si>
    <t>KABEER G/S Shop Close no Demanad</t>
  </si>
  <si>
    <t>HYD 077</t>
  </si>
  <si>
    <t xml:space="preserve">N.B. MART </t>
  </si>
  <si>
    <t>HYD 078</t>
  </si>
  <si>
    <t>AL ASIF G/S</t>
  </si>
  <si>
    <t>HYD 079</t>
  </si>
  <si>
    <t xml:space="preserve">SINDH SUPER STORE </t>
  </si>
  <si>
    <t>HYD 080</t>
  </si>
  <si>
    <t>BEST ONE MART ( Shop Close)</t>
  </si>
  <si>
    <t>HYD 081</t>
  </si>
  <si>
    <t>HAMZA G/S</t>
  </si>
  <si>
    <t>HYD 083</t>
  </si>
  <si>
    <t xml:space="preserve">MARHABA MART </t>
  </si>
  <si>
    <t>HYD 085</t>
  </si>
  <si>
    <t>Daily Mart  naseem nagar</t>
  </si>
  <si>
    <t>HYD 086</t>
  </si>
  <si>
    <t>Best BACHAT K/S</t>
  </si>
  <si>
    <t>HYD 087</t>
  </si>
  <si>
    <t xml:space="preserve">Madina Mart </t>
  </si>
  <si>
    <t>HYD 089</t>
  </si>
  <si>
    <t>Al Qurban (July)</t>
  </si>
  <si>
    <t>HYD 090</t>
  </si>
  <si>
    <t xml:space="preserve">Qureshi K/S Korti </t>
  </si>
  <si>
    <t>HYD 091</t>
  </si>
  <si>
    <t>Shakir 10 no ( new shop) JULY 24</t>
  </si>
  <si>
    <t>HYD 092</t>
  </si>
  <si>
    <t>Valeu Mert (Aug)</t>
  </si>
  <si>
    <t>HYD 093</t>
  </si>
  <si>
    <t>Yousef k/s  5 no      ( Sep)</t>
  </si>
  <si>
    <t>HYD 094</t>
  </si>
  <si>
    <t>Shah madaR k/s 5 no  ( sep)</t>
  </si>
  <si>
    <t>HYD 095</t>
  </si>
  <si>
    <t>Jumma k/s 10 no ( sep)</t>
  </si>
  <si>
    <t>HYD 096</t>
  </si>
  <si>
    <t>Pakistan g/s qasimabad ( Sep)</t>
  </si>
  <si>
    <t>HYD 097</t>
  </si>
  <si>
    <t>Sadiq 7 no ( Aug )</t>
  </si>
  <si>
    <t>HYD 098</t>
  </si>
  <si>
    <t>M shafi k/s 2 no ( sep) Shop Close</t>
  </si>
  <si>
    <t>HYD 099</t>
  </si>
  <si>
    <t xml:space="preserve">H.H k/s 2 noo ( sep) </t>
  </si>
  <si>
    <t>HYD 100</t>
  </si>
  <si>
    <t>Arman Malik 12 no ( Sep )</t>
  </si>
  <si>
    <t>HYD 101</t>
  </si>
  <si>
    <t>Hafiz Masala 8 no ( sep )</t>
  </si>
  <si>
    <t>HYD 102</t>
  </si>
  <si>
    <t>Al Hamd k/s 8 no ( sep)</t>
  </si>
  <si>
    <t>HYD 103</t>
  </si>
  <si>
    <t>Madina SUPER STORE no 8</t>
  </si>
  <si>
    <t>HYD 104</t>
  </si>
  <si>
    <t>Al Madina K//s 8 no ( sep)</t>
  </si>
  <si>
    <t>HYD 105</t>
  </si>
  <si>
    <t>Ali haider ( Close Shop )</t>
  </si>
  <si>
    <t>HYD 106</t>
  </si>
  <si>
    <t xml:space="preserve">Green Groucer Mart </t>
  </si>
  <si>
    <t>HYD 107</t>
  </si>
  <si>
    <t>Rehmat BABAR K/S Kotri (31-10-24</t>
  </si>
  <si>
    <t>HYD 108</t>
  </si>
  <si>
    <t>M.A.T K/s Kotri(31-19-24</t>
  </si>
  <si>
    <t>HYD 109</t>
  </si>
  <si>
    <t>Khalid hussaN 11no (4-11-24</t>
  </si>
  <si>
    <t>HYD 110</t>
  </si>
  <si>
    <t>Harman k/s 7no((9 19-11-24)</t>
  </si>
  <si>
    <t>HYD 111</t>
  </si>
  <si>
    <t>Ahmeed k//s Afand ) 08-12-24</t>
  </si>
  <si>
    <t>HYD 112</t>
  </si>
  <si>
    <t>Nadeem Nasir Kotri)15-12-24</t>
  </si>
  <si>
    <t>HYD 113</t>
  </si>
  <si>
    <t>Arham traders pulali) 08-12-24</t>
  </si>
  <si>
    <t>HYD 114</t>
  </si>
  <si>
    <t>Tariq Hafiz  kotri )15-12-24</t>
  </si>
  <si>
    <t>HYD 115</t>
  </si>
  <si>
    <t>Jumma k/s bismillah city )24-12-24</t>
  </si>
  <si>
    <t>HYD 116</t>
  </si>
  <si>
    <t>Harmeen 7 no )29-12-24</t>
  </si>
  <si>
    <t>HYD 117</t>
  </si>
  <si>
    <t>Salman 7 no(17-02-25)</t>
  </si>
  <si>
    <t>HYD 118</t>
  </si>
  <si>
    <t>31 Days</t>
  </si>
  <si>
    <t>Al Badar(26-02-25)</t>
  </si>
  <si>
    <t>HYD 119</t>
  </si>
  <si>
    <t>32 Days</t>
  </si>
  <si>
    <t>Sohail 6no( 26-02-25)</t>
  </si>
  <si>
    <t>HYD 120</t>
  </si>
  <si>
    <t>33 Days</t>
  </si>
  <si>
    <t>Amir 10 no</t>
  </si>
  <si>
    <t>HYD 121</t>
  </si>
  <si>
    <t>34 Days</t>
  </si>
  <si>
    <t>Faisal 8 no (18-03-25)</t>
  </si>
  <si>
    <t>Hukame Rabi</t>
  </si>
  <si>
    <t>Nasir Korti( 31-10-24</t>
  </si>
  <si>
    <t>HYD 122</t>
  </si>
  <si>
    <t>35 Days</t>
  </si>
  <si>
    <t>AVG SALE 2024</t>
  </si>
  <si>
    <t>SALE MONTH: JULY 2025</t>
  </si>
  <si>
    <t>SALE MONTH: AUGUST.2025</t>
  </si>
  <si>
    <t>SALE MONTH: SEP.2025</t>
  </si>
  <si>
    <t>SALE MONTH: OCT.2025</t>
  </si>
  <si>
    <t>SALE MONTH: NOV.2025</t>
  </si>
  <si>
    <t>SALE MONTH: DEC.2025</t>
  </si>
  <si>
    <t>SALE MONTH:JAN TO DEC  TOTAL SALE 2025</t>
  </si>
  <si>
    <t>SALE MONTH:JAN TO DEC TOTAL AVG SALE 2025</t>
  </si>
  <si>
    <t>SALE MONTH: JULY.2025</t>
  </si>
  <si>
    <t>al fatha mart (new)/DASTIYAB</t>
  </si>
  <si>
    <t>SALE  MONTH: JULY 2025</t>
  </si>
  <si>
    <t>SALE  MONTH: SEP 25</t>
  </si>
  <si>
    <t>SALE  MONTH: OCT 25</t>
  </si>
  <si>
    <t>SALE  MONTH: NOV 25</t>
  </si>
  <si>
    <t>SALE  MONTH: DEC 25</t>
  </si>
  <si>
    <t>SALE MONTH:JAN TO DEC. TOTAL AVG SALE 2025</t>
  </si>
  <si>
    <t xml:space="preserve">SALE  MONTH: JULY 25 </t>
  </si>
  <si>
    <t xml:space="preserve">SALE  MONTH: AUGUST 25 </t>
  </si>
  <si>
    <t xml:space="preserve">SALE  MONTH: SEP 25 </t>
  </si>
  <si>
    <t>SALE MONTH:JAN TO SEP. TOTAL SALE 2025</t>
  </si>
  <si>
    <t>SALE MONTH:JAN TO SEP. TOTAL AVG SALE 2025</t>
  </si>
  <si>
    <t>SALE MONTH:JAN TO SEP TOTAL SALE 2025</t>
  </si>
  <si>
    <t>SALE  MONTH: AUG 25</t>
  </si>
  <si>
    <t xml:space="preserve">SALE  MONTH: AUG 25 </t>
  </si>
  <si>
    <t>SALE MONTH:JAN TO SEP TOTAL AVG SALE 2025</t>
  </si>
  <si>
    <t>SALE MONTH:JAN TO  SEP TOTAL AVG SALE 2025</t>
  </si>
  <si>
    <t>Rafiq Store</t>
  </si>
  <si>
    <t>Nomi Store</t>
  </si>
  <si>
    <t>Rahat</t>
  </si>
  <si>
    <t>Khalid Store</t>
  </si>
  <si>
    <t>BS Javed</t>
  </si>
  <si>
    <t>Raja Rice (New)</t>
  </si>
  <si>
    <t>Abdullah Store</t>
  </si>
  <si>
    <t>Usman Store</t>
  </si>
  <si>
    <t>Orangi-Bangla Bazar</t>
  </si>
  <si>
    <t>Orangi-Johar Chowk</t>
  </si>
  <si>
    <t>Office</t>
  </si>
  <si>
    <t>Orangi</t>
  </si>
  <si>
    <t>SALE MONTH: OCT .2025</t>
  </si>
  <si>
    <t>SALE MONTH: NOV .2025</t>
  </si>
  <si>
    <t>SALE MONTH: DEC .2025</t>
  </si>
  <si>
    <t>close</t>
  </si>
  <si>
    <t>SUNRISE</t>
  </si>
  <si>
    <t>CLOSE</t>
  </si>
  <si>
    <t>BILAL TRADER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</si>
</sst>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B0F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B0F0"/>
      <name val="Cambria"/>
      <family val="2"/>
      <scheme val="major"/>
    </font>
    <font>
      <b/>
      <sz val="10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12"/>
      <color theme="1"/>
      <name val="Cambria"/>
      <family val="1"/>
      <scheme val="major"/>
    </font>
    <font>
      <sz val="12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0"/>
      <name val="Calibri"/>
      <family val="2"/>
    </font>
    <font>
      <b/>
      <sz val="20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2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name val="Calibri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7">
    <xf numFmtId="0" fontId="0" fillId="0" borderId="0" xfId="0"/>
    <xf numFmtId="0" fontId="0" fillId="2" borderId="5" xfId="0" applyFill="1" applyBorder="1"/>
    <xf numFmtId="0" fontId="0" fillId="3" borderId="5" xfId="0" applyFill="1" applyBorder="1"/>
    <xf numFmtId="0" fontId="0" fillId="2" borderId="5" xfId="0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2" borderId="5" xfId="0" applyFont="1" applyFill="1" applyBorder="1"/>
    <xf numFmtId="0" fontId="0" fillId="0" borderId="5" xfId="0" applyBorder="1"/>
    <xf numFmtId="0" fontId="1" fillId="0" borderId="5" xfId="0" applyFont="1" applyBorder="1"/>
    <xf numFmtId="0" fontId="0" fillId="0" borderId="0" xfId="0" applyFont="1"/>
    <xf numFmtId="0" fontId="0" fillId="0" borderId="5" xfId="0" applyFont="1" applyBorder="1"/>
    <xf numFmtId="0" fontId="0" fillId="0" borderId="5" xfId="0" applyFont="1" applyBorder="1" applyAlignment="1">
      <alignment horizontal="right"/>
    </xf>
    <xf numFmtId="0" fontId="0" fillId="4" borderId="5" xfId="0" applyFont="1" applyFill="1" applyBorder="1" applyAlignment="1">
      <alignment horizontal="right"/>
    </xf>
    <xf numFmtId="0" fontId="0" fillId="5" borderId="5" xfId="0" applyFont="1" applyFill="1" applyBorder="1" applyAlignment="1">
      <alignment horizontal="right"/>
    </xf>
    <xf numFmtId="0" fontId="0" fillId="0" borderId="5" xfId="0" applyFont="1" applyFill="1" applyBorder="1"/>
    <xf numFmtId="0" fontId="4" fillId="0" borderId="5" xfId="0" applyFont="1" applyFill="1" applyBorder="1"/>
    <xf numFmtId="0" fontId="0" fillId="0" borderId="6" xfId="0" applyBorder="1"/>
    <xf numFmtId="0" fontId="10" fillId="0" borderId="5" xfId="0" applyFont="1" applyFill="1" applyBorder="1"/>
    <xf numFmtId="0" fontId="0" fillId="6" borderId="5" xfId="0" applyFill="1" applyBorder="1"/>
    <xf numFmtId="0" fontId="0" fillId="5" borderId="5" xfId="0" applyFill="1" applyBorder="1"/>
    <xf numFmtId="0" fontId="0" fillId="4" borderId="5" xfId="0" applyFill="1" applyBorder="1"/>
    <xf numFmtId="0" fontId="10" fillId="2" borderId="5" xfId="0" applyFont="1" applyFill="1" applyBorder="1"/>
    <xf numFmtId="0" fontId="12" fillId="2" borderId="5" xfId="0" applyFont="1" applyFill="1" applyBorder="1"/>
    <xf numFmtId="0" fontId="0" fillId="0" borderId="0" xfId="0" applyFill="1" applyBorder="1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5" xfId="0" applyFont="1" applyFill="1" applyBorder="1"/>
    <xf numFmtId="1" fontId="1" fillId="7" borderId="5" xfId="0" applyNumberFormat="1" applyFont="1" applyFill="1" applyBorder="1" applyAlignment="1">
      <alignment horizontal="center"/>
    </xf>
    <xf numFmtId="0" fontId="3" fillId="4" borderId="5" xfId="0" applyFont="1" applyFill="1" applyBorder="1"/>
    <xf numFmtId="0" fontId="1" fillId="4" borderId="5" xfId="0" applyFont="1" applyFill="1" applyBorder="1"/>
    <xf numFmtId="1" fontId="1" fillId="4" borderId="5" xfId="0" applyNumberFormat="1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4" borderId="5" xfId="0" applyFont="1" applyFill="1" applyBorder="1" applyAlignment="1">
      <alignment horizontal="left"/>
    </xf>
    <xf numFmtId="0" fontId="0" fillId="0" borderId="5" xfId="0" applyFont="1" applyBorder="1" applyAlignment="1">
      <alignment vertical="center"/>
    </xf>
    <xf numFmtId="17" fontId="1" fillId="0" borderId="5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vertical="center" wrapText="1"/>
    </xf>
    <xf numFmtId="0" fontId="0" fillId="0" borderId="5" xfId="0" applyFont="1" applyBorder="1" applyAlignment="1">
      <alignment horizontal="center"/>
    </xf>
    <xf numFmtId="0" fontId="0" fillId="4" borderId="5" xfId="0" applyFont="1" applyFill="1" applyBorder="1"/>
    <xf numFmtId="0" fontId="8" fillId="4" borderId="5" xfId="0" applyFont="1" applyFill="1" applyBorder="1"/>
    <xf numFmtId="0" fontId="0" fillId="4" borderId="5" xfId="0" applyFont="1" applyFill="1" applyBorder="1" applyAlignment="1">
      <alignment horizontal="center"/>
    </xf>
    <xf numFmtId="0" fontId="9" fillId="0" borderId="8" xfId="0" applyFont="1" applyBorder="1" applyAlignment="1"/>
    <xf numFmtId="0" fontId="9" fillId="0" borderId="0" xfId="0" applyFont="1" applyBorder="1" applyAlignment="1"/>
    <xf numFmtId="0" fontId="11" fillId="4" borderId="5" xfId="0" applyFont="1" applyFill="1" applyBorder="1"/>
    <xf numFmtId="1" fontId="0" fillId="4" borderId="5" xfId="0" applyNumberFormat="1" applyFill="1" applyBorder="1" applyAlignment="1">
      <alignment horizontal="center"/>
    </xf>
    <xf numFmtId="0" fontId="0" fillId="4" borderId="0" xfId="0" applyFill="1"/>
    <xf numFmtId="0" fontId="0" fillId="0" borderId="5" xfId="0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/>
    </xf>
    <xf numFmtId="0" fontId="0" fillId="8" borderId="5" xfId="0" applyFill="1" applyBorder="1"/>
    <xf numFmtId="1" fontId="0" fillId="8" borderId="5" xfId="0" applyNumberFormat="1" applyFill="1" applyBorder="1" applyAlignment="1">
      <alignment horizontal="center"/>
    </xf>
    <xf numFmtId="0" fontId="7" fillId="4" borderId="5" xfId="0" applyFont="1" applyFill="1" applyBorder="1"/>
    <xf numFmtId="0" fontId="13" fillId="4" borderId="5" xfId="0" applyFont="1" applyFill="1" applyBorder="1"/>
    <xf numFmtId="0" fontId="0" fillId="8" borderId="5" xfId="0" applyFill="1" applyBorder="1" applyAlignment="1">
      <alignment horizontal="center"/>
    </xf>
    <xf numFmtId="0" fontId="0" fillId="0" borderId="9" xfId="0" applyFill="1" applyBorder="1"/>
    <xf numFmtId="0" fontId="0" fillId="0" borderId="5" xfId="0" applyBorder="1" applyAlignment="1">
      <alignment horizontal="center"/>
    </xf>
    <xf numFmtId="1" fontId="0" fillId="2" borderId="5" xfId="0" applyNumberFormat="1" applyFill="1" applyBorder="1"/>
    <xf numFmtId="1" fontId="0" fillId="2" borderId="15" xfId="0" applyNumberFormat="1" applyFill="1" applyBorder="1"/>
    <xf numFmtId="0" fontId="1" fillId="2" borderId="0" xfId="0" applyFont="1" applyFill="1" applyBorder="1"/>
    <xf numFmtId="1" fontId="1" fillId="2" borderId="0" xfId="0" applyNumberFormat="1" applyFont="1" applyFill="1" applyBorder="1" applyAlignment="1">
      <alignment horizontal="center"/>
    </xf>
    <xf numFmtId="0" fontId="6" fillId="0" borderId="11" xfId="0" applyFont="1" applyBorder="1"/>
    <xf numFmtId="0" fontId="7" fillId="0" borderId="12" xfId="0" applyFont="1" applyBorder="1"/>
    <xf numFmtId="0" fontId="6" fillId="0" borderId="12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17" xfId="0" applyFont="1" applyBorder="1"/>
    <xf numFmtId="0" fontId="0" fillId="0" borderId="17" xfId="0" applyBorder="1"/>
    <xf numFmtId="0" fontId="6" fillId="0" borderId="19" xfId="0" applyFont="1" applyBorder="1"/>
    <xf numFmtId="0" fontId="4" fillId="0" borderId="15" xfId="0" applyFont="1" applyBorder="1"/>
    <xf numFmtId="0" fontId="0" fillId="0" borderId="20" xfId="0" applyBorder="1"/>
    <xf numFmtId="1" fontId="0" fillId="3" borderId="21" xfId="0" applyNumberFormat="1" applyFill="1" applyBorder="1"/>
    <xf numFmtId="1" fontId="0" fillId="3" borderId="4" xfId="0" applyNumberFormat="1" applyFill="1" applyBorder="1"/>
    <xf numFmtId="0" fontId="1" fillId="7" borderId="22" xfId="0" applyFont="1" applyFill="1" applyBorder="1"/>
    <xf numFmtId="0" fontId="1" fillId="4" borderId="22" xfId="0" applyFont="1" applyFill="1" applyBorder="1"/>
    <xf numFmtId="0" fontId="0" fillId="2" borderId="0" xfId="0" applyFont="1" applyFill="1"/>
    <xf numFmtId="0" fontId="0" fillId="2" borderId="9" xfId="0" applyFont="1" applyFill="1" applyBorder="1"/>
    <xf numFmtId="0" fontId="0" fillId="2" borderId="0" xfId="0" applyFont="1" applyFill="1" applyBorder="1"/>
    <xf numFmtId="0" fontId="0" fillId="2" borderId="10" xfId="0" applyFont="1" applyFill="1" applyBorder="1" applyAlignment="1">
      <alignment horizontal="center"/>
    </xf>
    <xf numFmtId="0" fontId="6" fillId="3" borderId="23" xfId="0" applyFont="1" applyFill="1" applyBorder="1"/>
    <xf numFmtId="0" fontId="0" fillId="3" borderId="7" xfId="0" applyFill="1" applyBorder="1"/>
    <xf numFmtId="1" fontId="0" fillId="3" borderId="7" xfId="0" applyNumberFormat="1" applyFill="1" applyBorder="1"/>
    <xf numFmtId="1" fontId="0" fillId="3" borderId="24" xfId="0" applyNumberFormat="1" applyFill="1" applyBorder="1"/>
    <xf numFmtId="0" fontId="0" fillId="0" borderId="22" xfId="0" applyBorder="1"/>
    <xf numFmtId="0" fontId="0" fillId="0" borderId="15" xfId="0" applyFont="1" applyBorder="1"/>
    <xf numFmtId="0" fontId="0" fillId="4" borderId="22" xfId="0" applyFill="1" applyBorder="1"/>
    <xf numFmtId="0" fontId="0" fillId="8" borderId="22" xfId="0" applyFill="1" applyBorder="1"/>
    <xf numFmtId="0" fontId="0" fillId="0" borderId="6" xfId="0" applyFont="1" applyBorder="1"/>
    <xf numFmtId="0" fontId="0" fillId="2" borderId="22" xfId="0" applyFill="1" applyBorder="1"/>
    <xf numFmtId="0" fontId="0" fillId="0" borderId="11" xfId="0" applyBorder="1"/>
    <xf numFmtId="0" fontId="0" fillId="2" borderId="15" xfId="0" applyFill="1" applyBorder="1"/>
    <xf numFmtId="0" fontId="0" fillId="0" borderId="27" xfId="0" applyFont="1" applyBorder="1"/>
    <xf numFmtId="1" fontId="0" fillId="3" borderId="27" xfId="0" applyNumberFormat="1" applyFill="1" applyBorder="1"/>
    <xf numFmtId="1" fontId="0" fillId="3" borderId="28" xfId="0" applyNumberFormat="1" applyFill="1" applyBorder="1"/>
    <xf numFmtId="0" fontId="0" fillId="0" borderId="29" xfId="0" applyBorder="1"/>
    <xf numFmtId="0" fontId="0" fillId="4" borderId="29" xfId="0" applyFill="1" applyBorder="1"/>
    <xf numFmtId="0" fontId="0" fillId="4" borderId="6" xfId="0" applyFill="1" applyBorder="1"/>
    <xf numFmtId="0" fontId="0" fillId="0" borderId="5" xfId="0" applyBorder="1" applyAlignment="1">
      <alignment horizontal="center"/>
    </xf>
    <xf numFmtId="0" fontId="15" fillId="0" borderId="5" xfId="0" applyFont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/>
    <xf numFmtId="0" fontId="17" fillId="0" borderId="5" xfId="0" applyFont="1" applyBorder="1" applyAlignment="1">
      <alignment horizontal="left"/>
    </xf>
    <xf numFmtId="0" fontId="15" fillId="0" borderId="5" xfId="0" applyFont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2" borderId="5" xfId="0" applyFont="1" applyFill="1" applyBorder="1"/>
    <xf numFmtId="0" fontId="17" fillId="2" borderId="5" xfId="0" applyFont="1" applyFill="1" applyBorder="1" applyAlignment="1"/>
    <xf numFmtId="0" fontId="17" fillId="0" borderId="5" xfId="0" applyFont="1" applyFill="1" applyBorder="1" applyAlignment="1">
      <alignment horizontal="left" vertical="center"/>
    </xf>
    <xf numFmtId="0" fontId="17" fillId="4" borderId="5" xfId="0" applyFont="1" applyFill="1" applyBorder="1" applyAlignment="1"/>
    <xf numFmtId="0" fontId="15" fillId="4" borderId="5" xfId="0" applyFont="1" applyFill="1" applyBorder="1"/>
    <xf numFmtId="0" fontId="15" fillId="4" borderId="5" xfId="0" applyFont="1" applyFill="1" applyBorder="1" applyAlignment="1">
      <alignment horizontal="center"/>
    </xf>
    <xf numFmtId="0" fontId="17" fillId="4" borderId="5" xfId="0" applyFont="1" applyFill="1" applyBorder="1" applyAlignment="1">
      <alignment horizontal="center"/>
    </xf>
    <xf numFmtId="0" fontId="17" fillId="4" borderId="5" xfId="0" applyNumberFormat="1" applyFont="1" applyFill="1" applyBorder="1" applyAlignment="1"/>
    <xf numFmtId="0" fontId="16" fillId="4" borderId="5" xfId="0" applyFont="1" applyFill="1" applyBorder="1"/>
    <xf numFmtId="0" fontId="16" fillId="4" borderId="5" xfId="0" applyFont="1" applyFill="1" applyBorder="1" applyAlignment="1">
      <alignment horizontal="center"/>
    </xf>
    <xf numFmtId="0" fontId="18" fillId="0" borderId="5" xfId="0" applyFont="1" applyBorder="1" applyAlignment="1"/>
    <xf numFmtId="0" fontId="18" fillId="2" borderId="5" xfId="0" applyFont="1" applyFill="1" applyBorder="1" applyAlignment="1"/>
    <xf numFmtId="0" fontId="0" fillId="0" borderId="5" xfId="0" applyFont="1" applyBorder="1" applyAlignment="1"/>
    <xf numFmtId="1" fontId="0" fillId="0" borderId="5" xfId="0" applyNumberFormat="1" applyFont="1" applyBorder="1" applyAlignment="1"/>
    <xf numFmtId="0" fontId="19" fillId="0" borderId="5" xfId="0" applyFont="1" applyBorder="1"/>
    <xf numFmtId="1" fontId="18" fillId="2" borderId="5" xfId="0" applyNumberFormat="1" applyFont="1" applyFill="1" applyBorder="1" applyAlignment="1"/>
    <xf numFmtId="0" fontId="0" fillId="4" borderId="5" xfId="0" applyFont="1" applyFill="1" applyBorder="1" applyAlignment="1"/>
    <xf numFmtId="1" fontId="0" fillId="4" borderId="5" xfId="0" applyNumberFormat="1" applyFont="1" applyFill="1" applyBorder="1" applyAlignment="1"/>
    <xf numFmtId="0" fontId="16" fillId="2" borderId="0" xfId="0" applyFont="1" applyFill="1" applyBorder="1"/>
    <xf numFmtId="0" fontId="16" fillId="2" borderId="9" xfId="0" applyFont="1" applyFill="1" applyBorder="1"/>
    <xf numFmtId="0" fontId="0" fillId="2" borderId="0" xfId="0" applyFont="1" applyFill="1" applyBorder="1" applyAlignment="1"/>
    <xf numFmtId="1" fontId="0" fillId="2" borderId="0" xfId="0" applyNumberFormat="1" applyFont="1" applyFill="1" applyBorder="1" applyAlignment="1"/>
    <xf numFmtId="0" fontId="20" fillId="0" borderId="0" xfId="0" applyFont="1" applyBorder="1" applyAlignment="1"/>
    <xf numFmtId="0" fontId="21" fillId="0" borderId="0" xfId="0" applyFont="1" applyBorder="1" applyAlignment="1">
      <alignment horizontal="center"/>
    </xf>
    <xf numFmtId="0" fontId="18" fillId="0" borderId="2" xfId="0" applyFont="1" applyBorder="1" applyAlignment="1"/>
    <xf numFmtId="0" fontId="18" fillId="0" borderId="30" xfId="0" applyFont="1" applyBorder="1" applyAlignment="1"/>
    <xf numFmtId="0" fontId="23" fillId="0" borderId="2" xfId="0" applyFont="1" applyBorder="1" applyAlignment="1"/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19" fillId="0" borderId="5" xfId="0" applyFont="1" applyBorder="1" applyAlignment="1">
      <alignment vertical="center"/>
    </xf>
    <xf numFmtId="0" fontId="24" fillId="0" borderId="5" xfId="0" applyFont="1" applyBorder="1" applyAlignment="1">
      <alignment horizontal="center" vertical="center" wrapText="1"/>
    </xf>
    <xf numFmtId="0" fontId="19" fillId="0" borderId="5" xfId="0" applyFont="1" applyBorder="1"/>
    <xf numFmtId="0" fontId="19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5" xfId="0" applyFont="1" applyBorder="1"/>
    <xf numFmtId="0" fontId="21" fillId="0" borderId="5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7" fillId="0" borderId="5" xfId="0" applyFont="1" applyFill="1" applyBorder="1" applyAlignment="1"/>
    <xf numFmtId="0" fontId="21" fillId="4" borderId="5" xfId="0" applyFont="1" applyFill="1" applyBorder="1"/>
    <xf numFmtId="0" fontId="19" fillId="4" borderId="5" xfId="0" applyFont="1" applyFill="1" applyBorder="1"/>
    <xf numFmtId="0" fontId="21" fillId="4" borderId="5" xfId="0" applyFont="1" applyFill="1" applyBorder="1" applyAlignment="1">
      <alignment horizontal="center"/>
    </xf>
    <xf numFmtId="0" fontId="19" fillId="4" borderId="5" xfId="0" applyFont="1" applyFill="1" applyBorder="1" applyAlignment="1">
      <alignment horizontal="center"/>
    </xf>
    <xf numFmtId="0" fontId="17" fillId="0" borderId="5" xfId="0" applyFont="1" applyFill="1" applyBorder="1" applyAlignment="1">
      <alignment horizontal="left"/>
    </xf>
    <xf numFmtId="0" fontId="17" fillId="0" borderId="5" xfId="0" applyNumberFormat="1" applyFont="1" applyFill="1" applyBorder="1" applyAlignment="1">
      <alignment horizontal="left"/>
    </xf>
    <xf numFmtId="0" fontId="19" fillId="2" borderId="5" xfId="0" applyFont="1" applyFill="1" applyBorder="1"/>
    <xf numFmtId="0" fontId="17" fillId="0" borderId="5" xfId="0" applyFont="1" applyFill="1" applyBorder="1"/>
    <xf numFmtId="0" fontId="17" fillId="2" borderId="5" xfId="0" applyNumberFormat="1" applyFont="1" applyFill="1" applyBorder="1" applyAlignment="1">
      <alignment horizontal="left"/>
    </xf>
    <xf numFmtId="0" fontId="17" fillId="0" borderId="5" xfId="0" applyNumberFormat="1" applyFont="1" applyFill="1" applyBorder="1" applyAlignment="1"/>
    <xf numFmtId="0" fontId="19" fillId="0" borderId="5" xfId="0" applyFont="1" applyBorder="1" applyAlignment="1">
      <alignment horizontal="right"/>
    </xf>
    <xf numFmtId="1" fontId="21" fillId="4" borderId="5" xfId="0" applyNumberFormat="1" applyFont="1" applyFill="1" applyBorder="1" applyAlignment="1">
      <alignment horizontal="center"/>
    </xf>
    <xf numFmtId="0" fontId="0" fillId="7" borderId="5" xfId="0" applyFont="1" applyFill="1" applyBorder="1" applyAlignment="1"/>
    <xf numFmtId="1" fontId="0" fillId="7" borderId="5" xfId="0" applyNumberFormat="1" applyFont="1" applyFill="1" applyBorder="1" applyAlignment="1"/>
    <xf numFmtId="0" fontId="0" fillId="0" borderId="0" xfId="0" applyAlignment="1">
      <alignment horizontal="center"/>
    </xf>
    <xf numFmtId="0" fontId="26" fillId="2" borderId="5" xfId="0" applyFont="1" applyFill="1" applyBorder="1"/>
    <xf numFmtId="0" fontId="18" fillId="2" borderId="5" xfId="0" applyFont="1" applyFill="1" applyBorder="1"/>
    <xf numFmtId="0" fontId="20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7" fillId="2" borderId="5" xfId="0" applyFont="1" applyFill="1" applyBorder="1"/>
    <xf numFmtId="0" fontId="18" fillId="4" borderId="5" xfId="0" applyFont="1" applyFill="1" applyBorder="1"/>
    <xf numFmtId="0" fontId="20" fillId="4" borderId="5" xfId="0" applyFont="1" applyFill="1" applyBorder="1" applyAlignment="1">
      <alignment horizontal="center"/>
    </xf>
    <xf numFmtId="0" fontId="26" fillId="4" borderId="5" xfId="0" applyFont="1" applyFill="1" applyBorder="1"/>
    <xf numFmtId="0" fontId="26" fillId="0" borderId="5" xfId="0" applyFont="1" applyFill="1" applyBorder="1"/>
    <xf numFmtId="0" fontId="18" fillId="0" borderId="5" xfId="0" applyFont="1" applyBorder="1"/>
    <xf numFmtId="0" fontId="0" fillId="0" borderId="5" xfId="0" applyBorder="1" applyAlignment="1">
      <alignment horizontal="right"/>
    </xf>
    <xf numFmtId="0" fontId="19" fillId="4" borderId="5" xfId="0" applyFont="1" applyFill="1" applyBorder="1" applyAlignment="1">
      <alignment horizontal="center"/>
    </xf>
    <xf numFmtId="0" fontId="19" fillId="4" borderId="5" xfId="0" applyFont="1" applyFill="1" applyBorder="1"/>
    <xf numFmtId="0" fontId="19" fillId="0" borderId="5" xfId="0" applyFont="1" applyFill="1" applyBorder="1" applyAlignment="1"/>
    <xf numFmtId="0" fontId="24" fillId="4" borderId="5" xfId="0" applyFont="1" applyFill="1" applyBorder="1"/>
    <xf numFmtId="0" fontId="19" fillId="4" borderId="5" xfId="0" applyFont="1" applyFill="1" applyBorder="1" applyAlignment="1"/>
    <xf numFmtId="0" fontId="24" fillId="4" borderId="5" xfId="0" applyFont="1" applyFill="1" applyBorder="1"/>
    <xf numFmtId="0" fontId="24" fillId="4" borderId="5" xfId="0" applyFont="1" applyFill="1" applyBorder="1" applyAlignment="1">
      <alignment horizontal="center"/>
    </xf>
    <xf numFmtId="0" fontId="19" fillId="4" borderId="5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1" fontId="21" fillId="0" borderId="5" xfId="0" applyNumberFormat="1" applyFont="1" applyBorder="1"/>
    <xf numFmtId="1" fontId="0" fillId="0" borderId="0" xfId="0" applyNumberFormat="1"/>
    <xf numFmtId="0" fontId="28" fillId="0" borderId="12" xfId="0" applyFont="1" applyBorder="1"/>
    <xf numFmtId="0" fontId="29" fillId="0" borderId="12" xfId="0" applyFont="1" applyBorder="1"/>
    <xf numFmtId="0" fontId="29" fillId="0" borderId="19" xfId="0" applyFont="1" applyBorder="1"/>
    <xf numFmtId="0" fontId="29" fillId="2" borderId="25" xfId="0" applyFont="1" applyFill="1" applyBorder="1"/>
    <xf numFmtId="0" fontId="29" fillId="2" borderId="12" xfId="0" applyFont="1" applyFill="1" applyBorder="1"/>
    <xf numFmtId="1" fontId="29" fillId="2" borderId="12" xfId="0" applyNumberFormat="1" applyFont="1" applyFill="1" applyBorder="1"/>
    <xf numFmtId="1" fontId="29" fillId="2" borderId="13" xfId="0" applyNumberFormat="1" applyFont="1" applyFill="1" applyBorder="1"/>
    <xf numFmtId="0" fontId="29" fillId="2" borderId="23" xfId="0" applyFont="1" applyFill="1" applyBorder="1"/>
    <xf numFmtId="0" fontId="29" fillId="2" borderId="3" xfId="0" applyFont="1" applyFill="1" applyBorder="1"/>
    <xf numFmtId="0" fontId="0" fillId="2" borderId="7" xfId="0" applyFill="1" applyBorder="1"/>
    <xf numFmtId="0" fontId="0" fillId="2" borderId="21" xfId="0" applyFont="1" applyFill="1" applyBorder="1"/>
    <xf numFmtId="0" fontId="6" fillId="2" borderId="23" xfId="0" applyFont="1" applyFill="1" applyBorder="1"/>
    <xf numFmtId="0" fontId="0" fillId="2" borderId="27" xfId="0" applyFont="1" applyFill="1" applyBorder="1"/>
    <xf numFmtId="0" fontId="29" fillId="0" borderId="13" xfId="0" applyFont="1" applyBorder="1"/>
    <xf numFmtId="1" fontId="0" fillId="3" borderId="22" xfId="0" applyNumberFormat="1" applyFill="1" applyBorder="1"/>
    <xf numFmtId="1" fontId="0" fillId="3" borderId="5" xfId="0" applyNumberFormat="1" applyFill="1" applyBorder="1"/>
    <xf numFmtId="1" fontId="0" fillId="3" borderId="15" xfId="0" applyNumberFormat="1" applyFill="1" applyBorder="1"/>
    <xf numFmtId="1" fontId="0" fillId="3" borderId="14" xfId="0" applyNumberFormat="1" applyFill="1" applyBorder="1"/>
    <xf numFmtId="1" fontId="1" fillId="3" borderId="14" xfId="0" applyNumberFormat="1" applyFont="1" applyFill="1" applyBorder="1"/>
    <xf numFmtId="1" fontId="1" fillId="3" borderId="5" xfId="0" applyNumberFormat="1" applyFont="1" applyFill="1" applyBorder="1"/>
    <xf numFmtId="1" fontId="1" fillId="3" borderId="15" xfId="0" applyNumberFormat="1" applyFont="1" applyFill="1" applyBorder="1"/>
    <xf numFmtId="1" fontId="1" fillId="3" borderId="14" xfId="0" applyNumberFormat="1" applyFont="1" applyFill="1" applyBorder="1" applyAlignment="1">
      <alignment horizontal="right"/>
    </xf>
    <xf numFmtId="1" fontId="1" fillId="3" borderId="5" xfId="0" applyNumberFormat="1" applyFont="1" applyFill="1" applyBorder="1" applyAlignment="1">
      <alignment horizontal="right"/>
    </xf>
    <xf numFmtId="1" fontId="1" fillId="3" borderId="15" xfId="0" applyNumberFormat="1" applyFont="1" applyFill="1" applyBorder="1" applyAlignment="1">
      <alignment horizontal="right"/>
    </xf>
    <xf numFmtId="1" fontId="0" fillId="3" borderId="26" xfId="0" applyNumberFormat="1" applyFill="1" applyBorder="1"/>
    <xf numFmtId="1" fontId="0" fillId="3" borderId="17" xfId="0" applyNumberFormat="1" applyFill="1" applyBorder="1"/>
    <xf numFmtId="1" fontId="0" fillId="3" borderId="18" xfId="0" applyNumberFormat="1" applyFill="1" applyBorder="1"/>
    <xf numFmtId="1" fontId="0" fillId="3" borderId="16" xfId="0" applyNumberFormat="1" applyFill="1" applyBorder="1"/>
    <xf numFmtId="1" fontId="1" fillId="3" borderId="16" xfId="0" applyNumberFormat="1" applyFont="1" applyFill="1" applyBorder="1"/>
    <xf numFmtId="1" fontId="1" fillId="3" borderId="17" xfId="0" applyNumberFormat="1" applyFont="1" applyFill="1" applyBorder="1"/>
    <xf numFmtId="1" fontId="1" fillId="3" borderId="18" xfId="0" applyNumberFormat="1" applyFont="1" applyFill="1" applyBorder="1"/>
    <xf numFmtId="1" fontId="1" fillId="3" borderId="16" xfId="0" applyNumberFormat="1" applyFont="1" applyFill="1" applyBorder="1" applyAlignment="1">
      <alignment horizontal="right"/>
    </xf>
    <xf numFmtId="1" fontId="1" fillId="3" borderId="17" xfId="0" applyNumberFormat="1" applyFont="1" applyFill="1" applyBorder="1" applyAlignment="1">
      <alignment horizontal="right"/>
    </xf>
    <xf numFmtId="1" fontId="1" fillId="3" borderId="18" xfId="0" applyNumberFormat="1" applyFont="1" applyFill="1" applyBorder="1" applyAlignment="1">
      <alignment horizontal="right"/>
    </xf>
    <xf numFmtId="0" fontId="29" fillId="2" borderId="13" xfId="0" applyFont="1" applyFill="1" applyBorder="1"/>
    <xf numFmtId="0" fontId="0" fillId="2" borderId="15" xfId="0" applyFont="1" applyFill="1" applyBorder="1"/>
    <xf numFmtId="1" fontId="0" fillId="2" borderId="15" xfId="0" applyNumberFormat="1" applyFont="1" applyFill="1" applyBorder="1"/>
    <xf numFmtId="0" fontId="1" fillId="2" borderId="14" xfId="0" applyFont="1" applyFill="1" applyBorder="1"/>
    <xf numFmtId="0" fontId="1" fillId="2" borderId="5" xfId="0" applyFont="1" applyFill="1" applyBorder="1"/>
    <xf numFmtId="0" fontId="1" fillId="2" borderId="15" xfId="0" applyFont="1" applyFill="1" applyBorder="1"/>
    <xf numFmtId="1" fontId="1" fillId="2" borderId="14" xfId="0" applyNumberFormat="1" applyFon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1" fontId="1" fillId="2" borderId="15" xfId="0" applyNumberFormat="1" applyFont="1" applyFill="1" applyBorder="1" applyAlignment="1">
      <alignment horizontal="center"/>
    </xf>
    <xf numFmtId="1" fontId="1" fillId="3" borderId="14" xfId="0" applyNumberFormat="1" applyFont="1" applyFill="1" applyBorder="1" applyAlignment="1">
      <alignment horizontal="center"/>
    </xf>
    <xf numFmtId="1" fontId="1" fillId="3" borderId="5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1" fontId="1" fillId="3" borderId="16" xfId="0" applyNumberFormat="1" applyFont="1" applyFill="1" applyBorder="1" applyAlignment="1">
      <alignment horizontal="center"/>
    </xf>
    <xf numFmtId="1" fontId="1" fillId="3" borderId="17" xfId="0" applyNumberFormat="1" applyFont="1" applyFill="1" applyBorder="1" applyAlignment="1">
      <alignment horizontal="center"/>
    </xf>
    <xf numFmtId="1" fontId="1" fillId="3" borderId="18" xfId="0" applyNumberFormat="1" applyFont="1" applyFill="1" applyBorder="1" applyAlignment="1">
      <alignment horizontal="center"/>
    </xf>
    <xf numFmtId="0" fontId="29" fillId="0" borderId="11" xfId="0" applyFont="1" applyBorder="1"/>
    <xf numFmtId="0" fontId="30" fillId="2" borderId="11" xfId="0" applyFont="1" applyFill="1" applyBorder="1"/>
    <xf numFmtId="0" fontId="30" fillId="2" borderId="12" xfId="0" applyFont="1" applyFill="1" applyBorder="1"/>
    <xf numFmtId="0" fontId="30" fillId="2" borderId="13" xfId="0" applyFont="1" applyFill="1" applyBorder="1"/>
    <xf numFmtId="1" fontId="30" fillId="2" borderId="11" xfId="0" applyNumberFormat="1" applyFont="1" applyFill="1" applyBorder="1" applyAlignment="1">
      <alignment horizontal="center"/>
    </xf>
    <xf numFmtId="1" fontId="30" fillId="2" borderId="12" xfId="0" applyNumberFormat="1" applyFont="1" applyFill="1" applyBorder="1" applyAlignment="1">
      <alignment horizontal="center"/>
    </xf>
    <xf numFmtId="1" fontId="30" fillId="2" borderId="13" xfId="0" applyNumberFormat="1" applyFont="1" applyFill="1" applyBorder="1" applyAlignment="1">
      <alignment horizontal="center"/>
    </xf>
    <xf numFmtId="0" fontId="0" fillId="2" borderId="21" xfId="0" applyFill="1" applyBorder="1"/>
    <xf numFmtId="0" fontId="6" fillId="0" borderId="12" xfId="0" applyFont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5" fillId="0" borderId="5" xfId="0" applyFont="1" applyBorder="1"/>
    <xf numFmtId="0" fontId="19" fillId="0" borderId="5" xfId="0" applyFont="1" applyBorder="1"/>
    <xf numFmtId="0" fontId="15" fillId="4" borderId="5" xfId="0" applyFont="1" applyFill="1" applyBorder="1"/>
    <xf numFmtId="0" fontId="19" fillId="4" borderId="5" xfId="0" applyFont="1" applyFill="1" applyBorder="1"/>
    <xf numFmtId="0" fontId="24" fillId="4" borderId="5" xfId="0" applyFont="1" applyFill="1" applyBorder="1"/>
    <xf numFmtId="0" fontId="19" fillId="0" borderId="5" xfId="0" applyFont="1" applyBorder="1" applyAlignment="1">
      <alignment horizontal="center" vertical="center"/>
    </xf>
    <xf numFmtId="0" fontId="19" fillId="0" borderId="0" xfId="0" applyFont="1"/>
    <xf numFmtId="0" fontId="31" fillId="0" borderId="32" xfId="0" applyFont="1" applyBorder="1" applyAlignment="1">
      <alignment horizontal="right"/>
    </xf>
    <xf numFmtId="0" fontId="31" fillId="0" borderId="0" xfId="0" applyFont="1" applyAlignment="1">
      <alignment horizontal="center"/>
    </xf>
    <xf numFmtId="0" fontId="31" fillId="0" borderId="33" xfId="0" applyFont="1" applyBorder="1"/>
    <xf numFmtId="0" fontId="19" fillId="0" borderId="34" xfId="0" applyFont="1" applyBorder="1" applyAlignment="1">
      <alignment vertical="center"/>
    </xf>
    <xf numFmtId="0" fontId="19" fillId="0" borderId="35" xfId="0" applyFont="1" applyBorder="1" applyAlignment="1">
      <alignment vertical="center"/>
    </xf>
    <xf numFmtId="0" fontId="19" fillId="0" borderId="36" xfId="0" applyFont="1" applyBorder="1" applyAlignment="1">
      <alignment vertical="center"/>
    </xf>
    <xf numFmtId="0" fontId="25" fillId="9" borderId="37" xfId="0" applyFont="1" applyFill="1" applyBorder="1" applyAlignment="1">
      <alignment horizontal="center" vertical="center" wrapText="1"/>
    </xf>
    <xf numFmtId="0" fontId="32" fillId="0" borderId="3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9" borderId="46" xfId="0" applyFont="1" applyFill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0" fillId="8" borderId="39" xfId="0" applyFill="1" applyBorder="1" applyAlignment="1">
      <alignment horizontal="center" vertical="center"/>
    </xf>
    <xf numFmtId="0" fontId="0" fillId="8" borderId="40" xfId="0" applyFill="1" applyBorder="1" applyAlignment="1">
      <alignment horizontal="center" vertical="center"/>
    </xf>
    <xf numFmtId="0" fontId="0" fillId="8" borderId="41" xfId="0" applyFill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9" fillId="0" borderId="49" xfId="0" applyFont="1" applyBorder="1"/>
    <xf numFmtId="0" fontId="19" fillId="0" borderId="50" xfId="0" applyFont="1" applyBorder="1"/>
    <xf numFmtId="0" fontId="19" fillId="0" borderId="51" xfId="0" applyFont="1" applyBorder="1"/>
    <xf numFmtId="0" fontId="19" fillId="9" borderId="52" xfId="0" applyFont="1" applyFill="1" applyBorder="1" applyAlignment="1">
      <alignment horizontal="center"/>
    </xf>
    <xf numFmtId="0" fontId="19" fillId="0" borderId="53" xfId="0" applyFont="1" applyBorder="1"/>
    <xf numFmtId="0" fontId="19" fillId="0" borderId="54" xfId="0" applyFont="1" applyBorder="1"/>
    <xf numFmtId="0" fontId="0" fillId="8" borderId="55" xfId="0" applyFill="1" applyBorder="1"/>
    <xf numFmtId="0" fontId="0" fillId="8" borderId="56" xfId="0" applyFill="1" applyBorder="1"/>
    <xf numFmtId="0" fontId="0" fillId="8" borderId="57" xfId="0" applyFill="1" applyBorder="1"/>
    <xf numFmtId="1" fontId="0" fillId="8" borderId="55" xfId="0" applyNumberFormat="1" applyFill="1" applyBorder="1" applyAlignment="1">
      <alignment horizontal="center"/>
    </xf>
    <xf numFmtId="1" fontId="0" fillId="8" borderId="56" xfId="0" applyNumberFormat="1" applyFill="1" applyBorder="1" applyAlignment="1">
      <alignment horizontal="center"/>
    </xf>
    <xf numFmtId="1" fontId="0" fillId="8" borderId="57" xfId="0" applyNumberFormat="1" applyFill="1" applyBorder="1" applyAlignment="1">
      <alignment horizontal="center"/>
    </xf>
    <xf numFmtId="0" fontId="19" fillId="0" borderId="58" xfId="0" applyFont="1" applyBorder="1" applyAlignment="1">
      <alignment horizontal="center"/>
    </xf>
    <xf numFmtId="0" fontId="19" fillId="0" borderId="59" xfId="0" applyFont="1" applyBorder="1"/>
    <xf numFmtId="0" fontId="19" fillId="0" borderId="60" xfId="0" applyFont="1" applyBorder="1"/>
    <xf numFmtId="0" fontId="19" fillId="0" borderId="61" xfId="0" applyFont="1" applyBorder="1"/>
    <xf numFmtId="0" fontId="19" fillId="0" borderId="62" xfId="0" applyFont="1" applyBorder="1"/>
    <xf numFmtId="0" fontId="19" fillId="9" borderId="63" xfId="0" applyFont="1" applyFill="1" applyBorder="1" applyAlignment="1">
      <alignment horizontal="center"/>
    </xf>
    <xf numFmtId="0" fontId="19" fillId="0" borderId="64" xfId="0" applyFont="1" applyBorder="1"/>
    <xf numFmtId="0" fontId="0" fillId="8" borderId="14" xfId="0" applyFill="1" applyBorder="1"/>
    <xf numFmtId="0" fontId="0" fillId="8" borderId="15" xfId="0" applyFill="1" applyBorder="1"/>
    <xf numFmtId="1" fontId="0" fillId="8" borderId="14" xfId="0" applyNumberFormat="1" applyFill="1" applyBorder="1" applyAlignment="1">
      <alignment horizontal="center"/>
    </xf>
    <xf numFmtId="1" fontId="0" fillId="8" borderId="15" xfId="0" applyNumberFormat="1" applyFill="1" applyBorder="1" applyAlignment="1">
      <alignment horizontal="center"/>
    </xf>
    <xf numFmtId="0" fontId="19" fillId="0" borderId="65" xfId="0" applyFont="1" applyBorder="1" applyAlignment="1">
      <alignment horizontal="center"/>
    </xf>
    <xf numFmtId="0" fontId="19" fillId="0" borderId="66" xfId="0" applyFont="1" applyBorder="1"/>
    <xf numFmtId="0" fontId="19" fillId="0" borderId="67" xfId="0" applyFont="1" applyBorder="1" applyAlignment="1">
      <alignment horizontal="center"/>
    </xf>
    <xf numFmtId="0" fontId="19" fillId="9" borderId="68" xfId="0" applyFont="1" applyFill="1" applyBorder="1" applyAlignment="1">
      <alignment horizontal="center"/>
    </xf>
    <xf numFmtId="0" fontId="19" fillId="10" borderId="51" xfId="0" applyFont="1" applyFill="1" applyBorder="1"/>
    <xf numFmtId="0" fontId="19" fillId="10" borderId="63" xfId="0" applyFont="1" applyFill="1" applyBorder="1" applyAlignment="1">
      <alignment horizontal="center"/>
    </xf>
    <xf numFmtId="0" fontId="19" fillId="10" borderId="54" xfId="0" applyFont="1" applyFill="1" applyBorder="1"/>
    <xf numFmtId="0" fontId="0" fillId="4" borderId="14" xfId="0" applyFill="1" applyBorder="1"/>
    <xf numFmtId="0" fontId="0" fillId="4" borderId="15" xfId="0" applyFill="1" applyBorder="1"/>
    <xf numFmtId="1" fontId="0" fillId="4" borderId="14" xfId="0" applyNumberFormat="1" applyFill="1" applyBorder="1" applyAlignment="1">
      <alignment horizontal="center"/>
    </xf>
    <xf numFmtId="1" fontId="0" fillId="4" borderId="15" xfId="0" applyNumberFormat="1" applyFill="1" applyBorder="1" applyAlignment="1">
      <alignment horizontal="center"/>
    </xf>
    <xf numFmtId="0" fontId="19" fillId="10" borderId="62" xfId="0" applyFont="1" applyFill="1" applyBorder="1"/>
    <xf numFmtId="0" fontId="19" fillId="0" borderId="69" xfId="0" applyFont="1" applyBorder="1" applyAlignment="1">
      <alignment horizontal="center"/>
    </xf>
    <xf numFmtId="0" fontId="19" fillId="0" borderId="70" xfId="0" applyFont="1" applyBorder="1"/>
    <xf numFmtId="0" fontId="19" fillId="10" borderId="53" xfId="0" applyFont="1" applyFill="1" applyBorder="1"/>
    <xf numFmtId="0" fontId="19" fillId="10" borderId="49" xfId="0" applyFont="1" applyFill="1" applyBorder="1"/>
    <xf numFmtId="0" fontId="19" fillId="10" borderId="45" xfId="0" applyFont="1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1" fontId="0" fillId="4" borderId="16" xfId="0" applyNumberFormat="1" applyFill="1" applyBorder="1" applyAlignment="1">
      <alignment horizontal="center"/>
    </xf>
    <xf numFmtId="1" fontId="0" fillId="4" borderId="17" xfId="0" applyNumberFormat="1" applyFill="1" applyBorder="1" applyAlignment="1">
      <alignment horizontal="center"/>
    </xf>
    <xf numFmtId="1" fontId="0" fillId="4" borderId="18" xfId="0" applyNumberFormat="1" applyFill="1" applyBorder="1" applyAlignment="1">
      <alignment horizontal="center"/>
    </xf>
    <xf numFmtId="0" fontId="25" fillId="0" borderId="0" xfId="0" applyFont="1"/>
    <xf numFmtId="0" fontId="31" fillId="0" borderId="0" xfId="0" applyFont="1"/>
    <xf numFmtId="0" fontId="19" fillId="0" borderId="46" xfId="0" applyFont="1" applyBorder="1" applyAlignment="1">
      <alignment horizontal="center"/>
    </xf>
    <xf numFmtId="0" fontId="25" fillId="9" borderId="78" xfId="0" applyFont="1" applyFill="1" applyBorder="1" applyAlignment="1">
      <alignment horizontal="center" vertical="center" wrapText="1"/>
    </xf>
    <xf numFmtId="0" fontId="32" fillId="0" borderId="78" xfId="0" applyFont="1" applyBorder="1" applyAlignment="1">
      <alignment horizontal="center" vertical="center"/>
    </xf>
    <xf numFmtId="0" fontId="19" fillId="9" borderId="48" xfId="0" applyFont="1" applyFill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33" fillId="0" borderId="51" xfId="0" applyFont="1" applyBorder="1" applyAlignment="1">
      <alignment vertical="center"/>
    </xf>
    <xf numFmtId="0" fontId="19" fillId="0" borderId="53" xfId="0" applyFont="1" applyBorder="1" applyAlignment="1"/>
    <xf numFmtId="0" fontId="19" fillId="0" borderId="52" xfId="0" applyFont="1" applyBorder="1" applyAlignment="1">
      <alignment horizontal="center"/>
    </xf>
    <xf numFmtId="0" fontId="33" fillId="0" borderId="62" xfId="0" applyFont="1" applyBorder="1" applyAlignment="1">
      <alignment vertical="center"/>
    </xf>
    <xf numFmtId="0" fontId="19" fillId="0" borderId="64" xfId="0" applyFont="1" applyBorder="1" applyAlignment="1"/>
    <xf numFmtId="0" fontId="19" fillId="0" borderId="63" xfId="0" applyFont="1" applyBorder="1" applyAlignment="1">
      <alignment horizontal="center"/>
    </xf>
    <xf numFmtId="0" fontId="33" fillId="10" borderId="62" xfId="0" applyFont="1" applyFill="1" applyBorder="1" applyAlignment="1">
      <alignment vertical="center"/>
    </xf>
    <xf numFmtId="0" fontId="33" fillId="10" borderId="51" xfId="0" applyFont="1" applyFill="1" applyBorder="1" applyAlignment="1">
      <alignment vertical="center"/>
    </xf>
    <xf numFmtId="0" fontId="33" fillId="0" borderId="49" xfId="0" applyFont="1" applyBorder="1" applyAlignment="1">
      <alignment vertical="center"/>
    </xf>
    <xf numFmtId="0" fontId="33" fillId="0" borderId="59" xfId="0" applyFont="1" applyBorder="1" applyAlignment="1">
      <alignment vertical="center"/>
    </xf>
    <xf numFmtId="0" fontId="33" fillId="0" borderId="59" xfId="0" applyFont="1" applyBorder="1" applyAlignment="1">
      <alignment horizontal="left" vertical="center"/>
    </xf>
    <xf numFmtId="0" fontId="33" fillId="10" borderId="59" xfId="0" applyFont="1" applyFill="1" applyBorder="1" applyAlignment="1">
      <alignment vertical="center"/>
    </xf>
    <xf numFmtId="0" fontId="33" fillId="0" borderId="49" xfId="0" applyFont="1" applyBorder="1"/>
    <xf numFmtId="0" fontId="32" fillId="10" borderId="75" xfId="0" applyFont="1" applyFill="1" applyBorder="1" applyAlignment="1">
      <alignment horizontal="center"/>
    </xf>
    <xf numFmtId="0" fontId="32" fillId="10" borderId="42" xfId="0" applyFont="1" applyFill="1" applyBorder="1"/>
    <xf numFmtId="0" fontId="32" fillId="10" borderId="47" xfId="0" applyFont="1" applyFill="1" applyBorder="1"/>
    <xf numFmtId="0" fontId="32" fillId="10" borderId="54" xfId="0" applyFont="1" applyFill="1" applyBorder="1"/>
    <xf numFmtId="0" fontId="32" fillId="10" borderId="42" xfId="0" applyFont="1" applyFill="1" applyBorder="1" applyAlignment="1"/>
    <xf numFmtId="0" fontId="19" fillId="10" borderId="75" xfId="0" applyFont="1" applyFill="1" applyBorder="1" applyAlignment="1">
      <alignment horizontal="center"/>
    </xf>
    <xf numFmtId="0" fontId="0" fillId="2" borderId="0" xfId="0" applyFill="1"/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79" xfId="0" applyBorder="1" applyAlignment="1">
      <alignment vertical="center"/>
    </xf>
    <xf numFmtId="0" fontId="0" fillId="0" borderId="40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vertical="center"/>
    </xf>
    <xf numFmtId="0" fontId="0" fillId="2" borderId="56" xfId="0" applyFill="1" applyBorder="1" applyAlignment="1">
      <alignment horizontal="center"/>
    </xf>
    <xf numFmtId="0" fontId="10" fillId="2" borderId="56" xfId="0" applyFont="1" applyFill="1" applyBorder="1"/>
    <xf numFmtId="0" fontId="0" fillId="2" borderId="84" xfId="0" applyFill="1" applyBorder="1"/>
    <xf numFmtId="1" fontId="0" fillId="2" borderId="56" xfId="0" applyNumberForma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55" xfId="0" applyFill="1" applyBorder="1"/>
    <xf numFmtId="0" fontId="0" fillId="2" borderId="85" xfId="0" applyFill="1" applyBorder="1"/>
    <xf numFmtId="0" fontId="0" fillId="2" borderId="86" xfId="0" applyFill="1" applyBorder="1"/>
    <xf numFmtId="0" fontId="0" fillId="2" borderId="22" xfId="0" applyFill="1" applyBorder="1" applyAlignment="1">
      <alignment horizontal="center"/>
    </xf>
    <xf numFmtId="0" fontId="0" fillId="2" borderId="6" xfId="0" applyFill="1" applyBorder="1"/>
    <xf numFmtId="1" fontId="0" fillId="2" borderId="5" xfId="0" applyNumberFormat="1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14" xfId="0" applyFill="1" applyBorder="1"/>
    <xf numFmtId="0" fontId="34" fillId="4" borderId="5" xfId="0" applyFont="1" applyFill="1" applyBorder="1"/>
    <xf numFmtId="0" fontId="0" fillId="4" borderId="27" xfId="0" applyFill="1" applyBorder="1" applyAlignment="1">
      <alignment horizontal="center"/>
    </xf>
    <xf numFmtId="0" fontId="0" fillId="4" borderId="86" xfId="0" applyFill="1" applyBorder="1"/>
    <xf numFmtId="0" fontId="0" fillId="4" borderId="55" xfId="0" applyFill="1" applyBorder="1"/>
    <xf numFmtId="0" fontId="0" fillId="4" borderId="85" xfId="0" applyFill="1" applyBorder="1"/>
    <xf numFmtId="0" fontId="0" fillId="4" borderId="56" xfId="0" applyFill="1" applyBorder="1"/>
    <xf numFmtId="0" fontId="0" fillId="4" borderId="57" xfId="0" applyFill="1" applyBorder="1"/>
    <xf numFmtId="1" fontId="0" fillId="4" borderId="55" xfId="0" applyNumberFormat="1" applyFill="1" applyBorder="1" applyAlignment="1">
      <alignment horizontal="center"/>
    </xf>
    <xf numFmtId="1" fontId="0" fillId="4" borderId="56" xfId="0" applyNumberFormat="1" applyFill="1" applyBorder="1" applyAlignment="1">
      <alignment horizontal="center"/>
    </xf>
    <xf numFmtId="1" fontId="0" fillId="4" borderId="57" xfId="0" applyNumberFormat="1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10" fillId="2" borderId="6" xfId="0" applyFont="1" applyFill="1" applyBorder="1"/>
    <xf numFmtId="0" fontId="12" fillId="2" borderId="56" xfId="0" applyFont="1" applyFill="1" applyBorder="1"/>
    <xf numFmtId="0" fontId="0" fillId="2" borderId="87" xfId="0" applyFill="1" applyBorder="1" applyAlignment="1">
      <alignment horizontal="center"/>
    </xf>
    <xf numFmtId="0" fontId="0" fillId="2" borderId="88" xfId="0" applyFill="1" applyBorder="1"/>
    <xf numFmtId="0" fontId="0" fillId="2" borderId="89" xfId="0" applyFill="1" applyBorder="1"/>
    <xf numFmtId="0" fontId="34" fillId="4" borderId="56" xfId="0" applyFont="1" applyFill="1" applyBorder="1"/>
    <xf numFmtId="0" fontId="35" fillId="4" borderId="56" xfId="0" applyFont="1" applyFill="1" applyBorder="1"/>
    <xf numFmtId="0" fontId="0" fillId="2" borderId="90" xfId="0" applyFill="1" applyBorder="1"/>
    <xf numFmtId="0" fontId="10" fillId="2" borderId="9" xfId="0" applyFont="1" applyFill="1" applyBorder="1"/>
    <xf numFmtId="0" fontId="0" fillId="2" borderId="91" xfId="0" applyFont="1" applyFill="1" applyBorder="1"/>
    <xf numFmtId="0" fontId="0" fillId="2" borderId="91" xfId="0" applyFill="1" applyBorder="1"/>
    <xf numFmtId="1" fontId="0" fillId="2" borderId="92" xfId="0" applyNumberFormat="1" applyFill="1" applyBorder="1" applyAlignment="1">
      <alignment horizontal="center"/>
    </xf>
    <xf numFmtId="0" fontId="0" fillId="2" borderId="90" xfId="0" applyFill="1" applyBorder="1" applyAlignment="1">
      <alignment horizontal="center"/>
    </xf>
    <xf numFmtId="0" fontId="0" fillId="2" borderId="16" xfId="0" applyFill="1" applyBorder="1"/>
    <xf numFmtId="0" fontId="0" fillId="2" borderId="17" xfId="0" applyFill="1" applyBorder="1"/>
    <xf numFmtId="0" fontId="0" fillId="2" borderId="93" xfId="0" applyFill="1" applyBorder="1"/>
    <xf numFmtId="0" fontId="0" fillId="2" borderId="94" xfId="0" applyFill="1" applyBorder="1"/>
    <xf numFmtId="0" fontId="0" fillId="2" borderId="95" xfId="0" applyFill="1" applyBorder="1"/>
    <xf numFmtId="0" fontId="0" fillId="8" borderId="94" xfId="0" applyFill="1" applyBorder="1"/>
    <xf numFmtId="0" fontId="0" fillId="8" borderId="96" xfId="0" applyFill="1" applyBorder="1"/>
    <xf numFmtId="0" fontId="0" fillId="8" borderId="97" xfId="0" applyFill="1" applyBorder="1"/>
    <xf numFmtId="1" fontId="0" fillId="8" borderId="94" xfId="0" applyNumberFormat="1" applyFill="1" applyBorder="1" applyAlignment="1">
      <alignment horizontal="center"/>
    </xf>
    <xf numFmtId="1" fontId="0" fillId="8" borderId="96" xfId="0" applyNumberFormat="1" applyFill="1" applyBorder="1" applyAlignment="1">
      <alignment horizontal="center"/>
    </xf>
    <xf numFmtId="1" fontId="0" fillId="8" borderId="97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0" fillId="2" borderId="40" xfId="0" applyFont="1" applyFill="1" applyBorder="1"/>
    <xf numFmtId="0" fontId="0" fillId="2" borderId="79" xfId="0" applyFill="1" applyBorder="1"/>
    <xf numFmtId="0" fontId="0" fillId="2" borderId="98" xfId="0" applyFill="1" applyBorder="1"/>
    <xf numFmtId="1" fontId="0" fillId="2" borderId="98" xfId="0" applyNumberFormat="1" applyFill="1" applyBorder="1"/>
    <xf numFmtId="0" fontId="0" fillId="4" borderId="94" xfId="0" applyFill="1" applyBorder="1"/>
    <xf numFmtId="0" fontId="0" fillId="4" borderId="96" xfId="0" applyFill="1" applyBorder="1"/>
    <xf numFmtId="0" fontId="0" fillId="4" borderId="97" xfId="0" applyFill="1" applyBorder="1"/>
    <xf numFmtId="1" fontId="0" fillId="4" borderId="94" xfId="0" applyNumberFormat="1" applyFill="1" applyBorder="1" applyAlignment="1">
      <alignment horizontal="center"/>
    </xf>
    <xf numFmtId="1" fontId="0" fillId="4" borderId="96" xfId="0" applyNumberFormat="1" applyFill="1" applyBorder="1" applyAlignment="1">
      <alignment horizontal="center"/>
    </xf>
    <xf numFmtId="1" fontId="0" fillId="4" borderId="97" xfId="0" applyNumberFormat="1" applyFill="1" applyBorder="1" applyAlignment="1">
      <alignment horizontal="center"/>
    </xf>
    <xf numFmtId="0" fontId="19" fillId="4" borderId="49" xfId="0" applyFont="1" applyFill="1" applyBorder="1"/>
    <xf numFmtId="0" fontId="19" fillId="4" borderId="59" xfId="0" applyFont="1" applyFill="1" applyBorder="1"/>
    <xf numFmtId="0" fontId="19" fillId="2" borderId="0" xfId="0" applyFont="1" applyFill="1" applyAlignment="1">
      <alignment horizontal="center"/>
    </xf>
    <xf numFmtId="0" fontId="25" fillId="11" borderId="0" xfId="0" applyFont="1" applyFill="1" applyBorder="1"/>
    <xf numFmtId="0" fontId="25" fillId="2" borderId="0" xfId="0" applyFont="1" applyFill="1"/>
    <xf numFmtId="0" fontId="25" fillId="12" borderId="0" xfId="0" applyFont="1" applyFill="1" applyBorder="1"/>
    <xf numFmtId="0" fontId="19" fillId="2" borderId="0" xfId="0" applyFont="1" applyFill="1"/>
    <xf numFmtId="0" fontId="21" fillId="4" borderId="49" xfId="0" applyFont="1" applyFill="1" applyBorder="1"/>
    <xf numFmtId="0" fontId="21" fillId="10" borderId="66" xfId="0" applyFont="1" applyFill="1" applyBorder="1"/>
    <xf numFmtId="0" fontId="21" fillId="10" borderId="59" xfId="0" applyFont="1" applyFill="1" applyBorder="1"/>
    <xf numFmtId="0" fontId="21" fillId="10" borderId="51" xfId="0" applyFont="1" applyFill="1" applyBorder="1"/>
    <xf numFmtId="0" fontId="21" fillId="10" borderId="63" xfId="0" applyFont="1" applyFill="1" applyBorder="1" applyAlignment="1">
      <alignment horizontal="center"/>
    </xf>
    <xf numFmtId="0" fontId="21" fillId="10" borderId="64" xfId="0" applyFont="1" applyFill="1" applyBorder="1"/>
    <xf numFmtId="0" fontId="21" fillId="10" borderId="54" xfId="0" applyFont="1" applyFill="1" applyBorder="1"/>
    <xf numFmtId="0" fontId="4" fillId="4" borderId="14" xfId="0" applyFont="1" applyFill="1" applyBorder="1"/>
    <xf numFmtId="0" fontId="4" fillId="4" borderId="5" xfId="0" applyFont="1" applyFill="1" applyBorder="1"/>
    <xf numFmtId="0" fontId="4" fillId="4" borderId="15" xfId="0" applyFont="1" applyFill="1" applyBorder="1"/>
    <xf numFmtId="1" fontId="4" fillId="4" borderId="14" xfId="0" applyNumberFormat="1" applyFont="1" applyFill="1" applyBorder="1" applyAlignment="1">
      <alignment horizontal="center"/>
    </xf>
    <xf numFmtId="1" fontId="4" fillId="4" borderId="5" xfId="0" applyNumberFormat="1" applyFont="1" applyFill="1" applyBorder="1" applyAlignment="1">
      <alignment horizontal="center"/>
    </xf>
    <xf numFmtId="1" fontId="4" fillId="4" borderId="15" xfId="0" applyNumberFormat="1" applyFont="1" applyFill="1" applyBorder="1" applyAlignment="1">
      <alignment horizontal="center"/>
    </xf>
    <xf numFmtId="0" fontId="21" fillId="10" borderId="58" xfId="0" applyFont="1" applyFill="1" applyBorder="1" applyAlignment="1">
      <alignment horizontal="center"/>
    </xf>
    <xf numFmtId="0" fontId="21" fillId="4" borderId="59" xfId="0" applyFont="1" applyFill="1" applyBorder="1"/>
    <xf numFmtId="0" fontId="21" fillId="10" borderId="62" xfId="0" applyFont="1" applyFill="1" applyBorder="1"/>
    <xf numFmtId="0" fontId="21" fillId="10" borderId="52" xfId="0" applyFont="1" applyFill="1" applyBorder="1" applyAlignment="1">
      <alignment horizontal="center"/>
    </xf>
    <xf numFmtId="0" fontId="21" fillId="10" borderId="67" xfId="0" applyFont="1" applyFill="1" applyBorder="1" applyAlignment="1">
      <alignment horizontal="center"/>
    </xf>
    <xf numFmtId="0" fontId="21" fillId="10" borderId="70" xfId="0" applyFont="1" applyFill="1" applyBorder="1" applyAlignment="1">
      <alignment horizontal="left" vertical="center"/>
    </xf>
    <xf numFmtId="0" fontId="21" fillId="10" borderId="70" xfId="0" applyFont="1" applyFill="1" applyBorder="1"/>
    <xf numFmtId="0" fontId="21" fillId="4" borderId="71" xfId="0" applyFont="1" applyFill="1" applyBorder="1" applyAlignment="1"/>
    <xf numFmtId="0" fontId="21" fillId="4" borderId="72" xfId="0" applyFont="1" applyFill="1" applyBorder="1" applyAlignment="1"/>
    <xf numFmtId="0" fontId="21" fillId="4" borderId="69" xfId="0" applyFont="1" applyFill="1" applyBorder="1" applyAlignment="1"/>
    <xf numFmtId="0" fontId="21" fillId="10" borderId="53" xfId="0" applyFont="1" applyFill="1" applyBorder="1"/>
    <xf numFmtId="0" fontId="21" fillId="10" borderId="49" xfId="0" applyFont="1" applyFill="1" applyBorder="1"/>
    <xf numFmtId="0" fontId="15" fillId="10" borderId="59" xfId="0" applyFont="1" applyFill="1" applyBorder="1" applyAlignment="1">
      <alignment horizontal="left" vertical="center"/>
    </xf>
    <xf numFmtId="0" fontId="4" fillId="4" borderId="31" xfId="0" applyFont="1" applyFill="1" applyBorder="1" applyAlignment="1"/>
    <xf numFmtId="0" fontId="4" fillId="4" borderId="0" xfId="0" applyFont="1" applyFill="1" applyBorder="1" applyAlignment="1"/>
    <xf numFmtId="0" fontId="21" fillId="4" borderId="65" xfId="0" applyFont="1" applyFill="1" applyBorder="1" applyAlignment="1"/>
    <xf numFmtId="0" fontId="21" fillId="4" borderId="73" xfId="0" applyFont="1" applyFill="1" applyBorder="1" applyAlignment="1"/>
    <xf numFmtId="0" fontId="21" fillId="4" borderId="29" xfId="0" applyFont="1" applyFill="1" applyBorder="1" applyAlignment="1"/>
    <xf numFmtId="0" fontId="21" fillId="4" borderId="74" xfId="0" applyFont="1" applyFill="1" applyBorder="1" applyAlignment="1"/>
    <xf numFmtId="0" fontId="21" fillId="10" borderId="45" xfId="0" applyFont="1" applyFill="1" applyBorder="1"/>
    <xf numFmtId="0" fontId="21" fillId="10" borderId="46" xfId="0" applyFont="1" applyFill="1" applyBorder="1" applyAlignment="1">
      <alignment horizontal="center"/>
    </xf>
    <xf numFmtId="1" fontId="21" fillId="10" borderId="77" xfId="0" applyNumberFormat="1" applyFont="1" applyFill="1" applyBorder="1"/>
    <xf numFmtId="1" fontId="21" fillId="10" borderId="42" xfId="0" applyNumberFormat="1" applyFont="1" applyFill="1" applyBorder="1"/>
    <xf numFmtId="1" fontId="21" fillId="10" borderId="75" xfId="0" applyNumberFormat="1" applyFont="1" applyFill="1" applyBorder="1"/>
    <xf numFmtId="0" fontId="4" fillId="4" borderId="16" xfId="0" applyFont="1" applyFill="1" applyBorder="1"/>
    <xf numFmtId="0" fontId="4" fillId="4" borderId="17" xfId="0" applyFont="1" applyFill="1" applyBorder="1"/>
    <xf numFmtId="0" fontId="4" fillId="4" borderId="18" xfId="0" applyFont="1" applyFill="1" applyBorder="1"/>
    <xf numFmtId="1" fontId="4" fillId="4" borderId="16" xfId="0" applyNumberFormat="1" applyFont="1" applyFill="1" applyBorder="1" applyAlignment="1">
      <alignment horizontal="center"/>
    </xf>
    <xf numFmtId="1" fontId="4" fillId="4" borderId="17" xfId="0" applyNumberFormat="1" applyFont="1" applyFill="1" applyBorder="1" applyAlignment="1">
      <alignment horizontal="center"/>
    </xf>
    <xf numFmtId="1" fontId="4" fillId="4" borderId="18" xfId="0" applyNumberFormat="1" applyFont="1" applyFill="1" applyBorder="1" applyAlignment="1">
      <alignment horizontal="center"/>
    </xf>
    <xf numFmtId="0" fontId="21" fillId="10" borderId="48" xfId="0" applyFont="1" applyFill="1" applyBorder="1" applyAlignment="1">
      <alignment horizontal="center"/>
    </xf>
    <xf numFmtId="0" fontId="15" fillId="10" borderId="59" xfId="0" applyFont="1" applyFill="1" applyBorder="1"/>
    <xf numFmtId="1" fontId="0" fillId="0" borderId="6" xfId="0" applyNumberFormat="1" applyFont="1" applyBorder="1"/>
    <xf numFmtId="0" fontId="0" fillId="4" borderId="14" xfId="0" applyFont="1" applyFill="1" applyBorder="1"/>
    <xf numFmtId="0" fontId="0" fillId="4" borderId="15" xfId="0" applyFont="1" applyFill="1" applyBorder="1"/>
    <xf numFmtId="1" fontId="0" fillId="4" borderId="14" xfId="0" applyNumberFormat="1" applyFont="1" applyFill="1" applyBorder="1" applyAlignment="1">
      <alignment horizontal="center"/>
    </xf>
    <xf numFmtId="1" fontId="0" fillId="4" borderId="5" xfId="0" applyNumberFormat="1" applyFont="1" applyFill="1" applyBorder="1" applyAlignment="1">
      <alignment horizontal="center"/>
    </xf>
    <xf numFmtId="1" fontId="0" fillId="4" borderId="15" xfId="0" applyNumberFormat="1" applyFont="1" applyFill="1" applyBorder="1" applyAlignment="1">
      <alignment horizontal="center"/>
    </xf>
    <xf numFmtId="0" fontId="21" fillId="13" borderId="53" xfId="0" applyFont="1" applyFill="1" applyBorder="1"/>
    <xf numFmtId="0" fontId="21" fillId="13" borderId="49" xfId="0" applyFont="1" applyFill="1" applyBorder="1"/>
    <xf numFmtId="0" fontId="21" fillId="13" borderId="54" xfId="0" applyFont="1" applyFill="1" applyBorder="1"/>
    <xf numFmtId="0" fontId="0" fillId="2" borderId="5" xfId="0" applyFont="1" applyFill="1" applyBorder="1"/>
    <xf numFmtId="0" fontId="0" fillId="2" borderId="5" xfId="0" applyFont="1" applyFill="1" applyBorder="1" applyAlignment="1">
      <alignment horizontal="center"/>
    </xf>
    <xf numFmtId="0" fontId="0" fillId="4" borderId="9" xfId="0" applyFill="1" applyBorder="1"/>
    <xf numFmtId="0" fontId="0" fillId="0" borderId="5" xfId="0" applyFill="1" applyBorder="1"/>
    <xf numFmtId="1" fontId="0" fillId="0" borderId="5" xfId="0" applyNumberFormat="1" applyBorder="1"/>
    <xf numFmtId="0" fontId="0" fillId="2" borderId="9" xfId="0" applyFill="1" applyBorder="1"/>
    <xf numFmtId="0" fontId="1" fillId="2" borderId="22" xfId="0" applyFont="1" applyFill="1" applyBorder="1"/>
    <xf numFmtId="0" fontId="0" fillId="2" borderId="91" xfId="0" applyFill="1" applyBorder="1" applyAlignment="1">
      <alignment horizontal="center"/>
    </xf>
    <xf numFmtId="0" fontId="0" fillId="8" borderId="91" xfId="0" applyFill="1" applyBorder="1"/>
    <xf numFmtId="1" fontId="0" fillId="8" borderId="91" xfId="0" applyNumberFormat="1" applyFill="1" applyBorder="1" applyAlignment="1">
      <alignment horizontal="center"/>
    </xf>
    <xf numFmtId="0" fontId="0" fillId="2" borderId="5" xfId="0" applyFont="1" applyFill="1" applyBorder="1" applyAlignment="1"/>
    <xf numFmtId="1" fontId="0" fillId="2" borderId="5" xfId="0" applyNumberFormat="1" applyFont="1" applyFill="1" applyBorder="1" applyAlignment="1"/>
    <xf numFmtId="0" fontId="15" fillId="0" borderId="91" xfId="0" applyFont="1" applyBorder="1" applyAlignment="1">
      <alignment horizontal="center"/>
    </xf>
    <xf numFmtId="0" fontId="17" fillId="4" borderId="91" xfId="0" applyFont="1" applyFill="1" applyBorder="1" applyAlignment="1"/>
    <xf numFmtId="0" fontId="21" fillId="4" borderId="91" xfId="0" applyFont="1" applyFill="1" applyBorder="1"/>
    <xf numFmtId="0" fontId="0" fillId="4" borderId="91" xfId="0" applyFill="1" applyBorder="1"/>
    <xf numFmtId="0" fontId="0" fillId="4" borderId="91" xfId="0" applyFont="1" applyFill="1" applyBorder="1" applyAlignment="1"/>
    <xf numFmtId="1" fontId="0" fillId="4" borderId="91" xfId="0" applyNumberFormat="1" applyFont="1" applyFill="1" applyBorder="1" applyAlignment="1"/>
    <xf numFmtId="0" fontId="15" fillId="0" borderId="56" xfId="0" applyFont="1" applyBorder="1"/>
    <xf numFmtId="0" fontId="17" fillId="0" borderId="56" xfId="0" applyFont="1" applyBorder="1" applyAlignment="1">
      <alignment horizontal="left"/>
    </xf>
    <xf numFmtId="0" fontId="0" fillId="2" borderId="56" xfId="0" applyFill="1" applyBorder="1"/>
    <xf numFmtId="0" fontId="18" fillId="0" borderId="56" xfId="0" applyFont="1" applyBorder="1" applyAlignment="1"/>
    <xf numFmtId="0" fontId="18" fillId="2" borderId="56" xfId="0" applyFont="1" applyFill="1" applyBorder="1" applyAlignment="1"/>
    <xf numFmtId="0" fontId="0" fillId="0" borderId="56" xfId="0" applyFont="1" applyBorder="1" applyAlignment="1"/>
    <xf numFmtId="1" fontId="0" fillId="0" borderId="56" xfId="0" applyNumberFormat="1" applyFont="1" applyBorder="1" applyAlignment="1"/>
    <xf numFmtId="0" fontId="15" fillId="8" borderId="39" xfId="0" applyFont="1" applyFill="1" applyBorder="1" applyAlignment="1">
      <alignment horizontal="center"/>
    </xf>
    <xf numFmtId="0" fontId="21" fillId="8" borderId="40" xfId="0" applyFont="1" applyFill="1" applyBorder="1"/>
    <xf numFmtId="0" fontId="0" fillId="8" borderId="40" xfId="0" applyFill="1" applyBorder="1"/>
    <xf numFmtId="0" fontId="15" fillId="0" borderId="56" xfId="0" applyFont="1" applyBorder="1" applyAlignment="1">
      <alignment horizontal="center"/>
    </xf>
    <xf numFmtId="1" fontId="0" fillId="8" borderId="5" xfId="0" applyNumberFormat="1" applyFill="1" applyBorder="1"/>
    <xf numFmtId="1" fontId="21" fillId="8" borderId="40" xfId="0" applyNumberFormat="1" applyFont="1" applyFill="1" applyBorder="1"/>
    <xf numFmtId="1" fontId="21" fillId="8" borderId="41" xfId="0" applyNumberFormat="1" applyFont="1" applyFill="1" applyBorder="1"/>
    <xf numFmtId="0" fontId="0" fillId="14" borderId="5" xfId="0" applyFill="1" applyBorder="1"/>
    <xf numFmtId="1" fontId="0" fillId="14" borderId="5" xfId="0" applyNumberFormat="1" applyFill="1" applyBorder="1"/>
    <xf numFmtId="0" fontId="21" fillId="4" borderId="49" xfId="0" applyFont="1" applyFill="1" applyBorder="1" applyAlignment="1">
      <alignment horizontal="center"/>
    </xf>
    <xf numFmtId="0" fontId="21" fillId="4" borderId="59" xfId="0" applyFont="1" applyFill="1" applyBorder="1" applyAlignment="1">
      <alignment horizontal="center"/>
    </xf>
    <xf numFmtId="0" fontId="21" fillId="4" borderId="70" xfId="0" applyFont="1" applyFill="1" applyBorder="1" applyAlignment="1">
      <alignment horizontal="center"/>
    </xf>
    <xf numFmtId="0" fontId="33" fillId="10" borderId="70" xfId="0" applyFont="1" applyFill="1" applyBorder="1" applyAlignment="1">
      <alignment vertical="center"/>
    </xf>
    <xf numFmtId="0" fontId="19" fillId="10" borderId="61" xfId="0" applyFont="1" applyFill="1" applyBorder="1"/>
    <xf numFmtId="0" fontId="19" fillId="10" borderId="100" xfId="0" applyFont="1" applyFill="1" applyBorder="1"/>
    <xf numFmtId="0" fontId="19" fillId="10" borderId="101" xfId="0" applyFont="1" applyFill="1" applyBorder="1"/>
    <xf numFmtId="0" fontId="19" fillId="10" borderId="102" xfId="0" applyFont="1" applyFill="1" applyBorder="1"/>
    <xf numFmtId="0" fontId="0" fillId="4" borderId="88" xfId="0" applyFill="1" applyBorder="1"/>
    <xf numFmtId="0" fontId="0" fillId="4" borderId="103" xfId="0" applyFill="1" applyBorder="1"/>
    <xf numFmtId="1" fontId="0" fillId="4" borderId="88" xfId="0" applyNumberFormat="1" applyFill="1" applyBorder="1" applyAlignment="1">
      <alignment horizontal="center"/>
    </xf>
    <xf numFmtId="1" fontId="0" fillId="4" borderId="91" xfId="0" applyNumberFormat="1" applyFill="1" applyBorder="1" applyAlignment="1">
      <alignment horizontal="center"/>
    </xf>
    <xf numFmtId="1" fontId="0" fillId="4" borderId="103" xfId="0" applyNumberFormat="1" applyFill="1" applyBorder="1" applyAlignment="1">
      <alignment horizontal="center"/>
    </xf>
    <xf numFmtId="0" fontId="19" fillId="10" borderId="50" xfId="0" applyFont="1" applyFill="1" applyBorder="1"/>
    <xf numFmtId="0" fontId="21" fillId="10" borderId="50" xfId="0" applyFont="1" applyFill="1" applyBorder="1"/>
    <xf numFmtId="0" fontId="19" fillId="10" borderId="104" xfId="0" applyFont="1" applyFill="1" applyBorder="1"/>
    <xf numFmtId="0" fontId="0" fillId="8" borderId="39" xfId="0" applyFill="1" applyBorder="1"/>
    <xf numFmtId="1" fontId="0" fillId="8" borderId="40" xfId="0" applyNumberFormat="1" applyFill="1" applyBorder="1"/>
    <xf numFmtId="1" fontId="0" fillId="8" borderId="41" xfId="0" applyNumberFormat="1" applyFill="1" applyBorder="1"/>
    <xf numFmtId="0" fontId="19" fillId="0" borderId="59" xfId="0" applyFont="1" applyBorder="1" applyAlignment="1">
      <alignment horizontal="center"/>
    </xf>
    <xf numFmtId="0" fontId="19" fillId="0" borderId="49" xfId="0" applyFont="1" applyBorder="1" applyAlignment="1">
      <alignment horizontal="center"/>
    </xf>
    <xf numFmtId="0" fontId="19" fillId="0" borderId="101" xfId="0" applyFont="1" applyBorder="1" applyAlignment="1">
      <alignment horizontal="center"/>
    </xf>
    <xf numFmtId="0" fontId="33" fillId="0" borderId="70" xfId="0" applyFont="1" applyBorder="1" applyAlignment="1">
      <alignment vertical="center"/>
    </xf>
    <xf numFmtId="0" fontId="19" fillId="0" borderId="105" xfId="0" applyFont="1" applyBorder="1"/>
    <xf numFmtId="0" fontId="19" fillId="0" borderId="102" xfId="0" applyFont="1" applyBorder="1"/>
    <xf numFmtId="0" fontId="19" fillId="0" borderId="105" xfId="0" applyFont="1" applyBorder="1" applyAlignment="1"/>
    <xf numFmtId="0" fontId="0" fillId="8" borderId="88" xfId="0" applyFill="1" applyBorder="1"/>
    <xf numFmtId="0" fontId="0" fillId="8" borderId="103" xfId="0" applyFill="1" applyBorder="1"/>
    <xf numFmtId="1" fontId="0" fillId="8" borderId="88" xfId="0" applyNumberFormat="1" applyFill="1" applyBorder="1" applyAlignment="1">
      <alignment horizontal="center"/>
    </xf>
    <xf numFmtId="1" fontId="0" fillId="8" borderId="103" xfId="0" applyNumberFormat="1" applyFill="1" applyBorder="1" applyAlignment="1">
      <alignment horizontal="center"/>
    </xf>
    <xf numFmtId="0" fontId="0" fillId="8" borderId="41" xfId="0" applyFill="1" applyBorder="1"/>
    <xf numFmtId="0" fontId="35" fillId="4" borderId="9" xfId="0" applyFont="1" applyFill="1" applyBorder="1"/>
    <xf numFmtId="0" fontId="0" fillId="4" borderId="90" xfId="0" applyFill="1" applyBorder="1"/>
    <xf numFmtId="0" fontId="0" fillId="4" borderId="91" xfId="0" applyFont="1" applyFill="1" applyBorder="1"/>
    <xf numFmtId="0" fontId="0" fillId="4" borderId="89" xfId="0" applyFill="1" applyBorder="1"/>
    <xf numFmtId="0" fontId="0" fillId="4" borderId="106" xfId="0" applyFill="1" applyBorder="1"/>
    <xf numFmtId="0" fontId="0" fillId="4" borderId="107" xfId="0" applyFill="1" applyBorder="1"/>
    <xf numFmtId="0" fontId="0" fillId="4" borderId="92" xfId="0" applyFill="1" applyBorder="1"/>
    <xf numFmtId="0" fontId="0" fillId="4" borderId="108" xfId="0" applyFill="1" applyBorder="1"/>
    <xf numFmtId="1" fontId="0" fillId="4" borderId="107" xfId="0" applyNumberFormat="1" applyFill="1" applyBorder="1" applyAlignment="1">
      <alignment horizontal="center"/>
    </xf>
    <xf numFmtId="1" fontId="0" fillId="4" borderId="9" xfId="0" applyNumberFormat="1" applyFill="1" applyBorder="1" applyAlignment="1">
      <alignment horizontal="center"/>
    </xf>
    <xf numFmtId="1" fontId="0" fillId="4" borderId="108" xfId="0" applyNumberFormat="1" applyFill="1" applyBorder="1" applyAlignment="1">
      <alignment horizontal="center"/>
    </xf>
    <xf numFmtId="0" fontId="10" fillId="2" borderId="91" xfId="0" applyFont="1" applyFill="1" applyBorder="1"/>
    <xf numFmtId="0" fontId="0" fillId="2" borderId="56" xfId="0" applyFont="1" applyFill="1" applyBorder="1"/>
    <xf numFmtId="1" fontId="0" fillId="2" borderId="55" xfId="0" applyNumberFormat="1" applyFill="1" applyBorder="1" applyAlignment="1">
      <alignment horizontal="center"/>
    </xf>
    <xf numFmtId="1" fontId="0" fillId="2" borderId="57" xfId="0" applyNumberFormat="1" applyFill="1" applyBorder="1" applyAlignment="1">
      <alignment horizontal="center"/>
    </xf>
    <xf numFmtId="1" fontId="0" fillId="2" borderId="91" xfId="0" applyNumberFormat="1" applyFill="1" applyBorder="1" applyAlignment="1">
      <alignment horizontal="center"/>
    </xf>
    <xf numFmtId="1" fontId="0" fillId="0" borderId="27" xfId="0" applyNumberFormat="1" applyFont="1" applyBorder="1"/>
    <xf numFmtId="0" fontId="1" fillId="14" borderId="5" xfId="0" applyFont="1" applyFill="1" applyBorder="1"/>
    <xf numFmtId="1" fontId="1" fillId="14" borderId="5" xfId="0" applyNumberFormat="1" applyFont="1" applyFill="1" applyBorder="1"/>
    <xf numFmtId="0" fontId="0" fillId="2" borderId="29" xfId="0" applyFill="1" applyBorder="1"/>
    <xf numFmtId="0" fontId="0" fillId="8" borderId="1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8" borderId="81" xfId="0" applyFill="1" applyBorder="1" applyAlignment="1">
      <alignment horizontal="center"/>
    </xf>
    <xf numFmtId="0" fontId="0" fillId="8" borderId="111" xfId="0" applyFill="1" applyBorder="1" applyAlignment="1">
      <alignment horizontal="center"/>
    </xf>
    <xf numFmtId="0" fontId="3" fillId="4" borderId="56" xfId="0" applyFont="1" applyFill="1" applyBorder="1"/>
    <xf numFmtId="0" fontId="1" fillId="4" borderId="85" xfId="0" applyFont="1" applyFill="1" applyBorder="1"/>
    <xf numFmtId="0" fontId="1" fillId="4" borderId="56" xfId="0" applyFont="1" applyFill="1" applyBorder="1"/>
    <xf numFmtId="1" fontId="1" fillId="4" borderId="56" xfId="0" applyNumberFormat="1" applyFont="1" applyFill="1" applyBorder="1" applyAlignment="1">
      <alignment horizontal="center"/>
    </xf>
    <xf numFmtId="0" fontId="35" fillId="0" borderId="39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1" fontId="0" fillId="0" borderId="56" xfId="0" applyNumberFormat="1" applyBorder="1"/>
    <xf numFmtId="0" fontId="0" fillId="8" borderId="99" xfId="0" applyFill="1" applyBorder="1" applyAlignment="1">
      <alignment horizontal="center"/>
    </xf>
    <xf numFmtId="0" fontId="0" fillId="0" borderId="91" xfId="0" applyBorder="1" applyAlignment="1">
      <alignment horizontal="center"/>
    </xf>
    <xf numFmtId="0" fontId="13" fillId="4" borderId="91" xfId="0" applyFont="1" applyFill="1" applyBorder="1"/>
    <xf numFmtId="1" fontId="0" fillId="0" borderId="91" xfId="0" applyNumberFormat="1" applyBorder="1"/>
    <xf numFmtId="0" fontId="0" fillId="2" borderId="56" xfId="0" applyFont="1" applyFill="1" applyBorder="1" applyAlignment="1">
      <alignment horizontal="left"/>
    </xf>
    <xf numFmtId="0" fontId="1" fillId="2" borderId="85" xfId="0" applyFont="1" applyFill="1" applyBorder="1"/>
    <xf numFmtId="0" fontId="1" fillId="2" borderId="56" xfId="0" applyFont="1" applyFill="1" applyBorder="1"/>
    <xf numFmtId="1" fontId="1" fillId="2" borderId="56" xfId="0" applyNumberFormat="1" applyFont="1" applyFill="1" applyBorder="1" applyAlignment="1">
      <alignment horizontal="center"/>
    </xf>
    <xf numFmtId="0" fontId="1" fillId="7" borderId="39" xfId="0" applyFont="1" applyFill="1" applyBorder="1"/>
    <xf numFmtId="0" fontId="1" fillId="7" borderId="40" xfId="0" applyFont="1" applyFill="1" applyBorder="1" applyAlignment="1">
      <alignment horizontal="center"/>
    </xf>
    <xf numFmtId="0" fontId="1" fillId="7" borderId="40" xfId="0" applyFont="1" applyFill="1" applyBorder="1"/>
    <xf numFmtId="1" fontId="1" fillId="7" borderId="40" xfId="0" applyNumberFormat="1" applyFont="1" applyFill="1" applyBorder="1"/>
    <xf numFmtId="1" fontId="1" fillId="7" borderId="41" xfId="0" applyNumberFormat="1" applyFont="1" applyFill="1" applyBorder="1"/>
    <xf numFmtId="1" fontId="0" fillId="8" borderId="40" xfId="0" applyNumberFormat="1" applyFill="1" applyBorder="1" applyAlignment="1">
      <alignment horizontal="center"/>
    </xf>
    <xf numFmtId="1" fontId="0" fillId="8" borderId="41" xfId="0" applyNumberFormat="1" applyFill="1" applyBorder="1" applyAlignment="1">
      <alignment horizontal="center"/>
    </xf>
    <xf numFmtId="1" fontId="1" fillId="7" borderId="40" xfId="0" applyNumberFormat="1" applyFont="1" applyFill="1" applyBorder="1" applyAlignment="1">
      <alignment horizontal="center"/>
    </xf>
    <xf numFmtId="1" fontId="0" fillId="14" borderId="5" xfId="0" applyNumberFormat="1" applyFill="1" applyBorder="1" applyAlignment="1">
      <alignment horizontal="center"/>
    </xf>
    <xf numFmtId="1" fontId="0" fillId="8" borderId="79" xfId="0" applyNumberFormat="1" applyFill="1" applyBorder="1"/>
    <xf numFmtId="1" fontId="0" fillId="8" borderId="39" xfId="0" applyNumberForma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1" fontId="0" fillId="2" borderId="15" xfId="0" applyNumberFormat="1" applyFill="1" applyBorder="1" applyAlignment="1">
      <alignment horizontal="center"/>
    </xf>
    <xf numFmtId="1" fontId="0" fillId="2" borderId="88" xfId="0" applyNumberFormat="1" applyFill="1" applyBorder="1" applyAlignment="1">
      <alignment horizontal="center"/>
    </xf>
    <xf numFmtId="1" fontId="0" fillId="2" borderId="103" xfId="0" applyNumberFormat="1" applyFill="1" applyBorder="1" applyAlignment="1">
      <alignment horizontal="center"/>
    </xf>
    <xf numFmtId="1" fontId="0" fillId="0" borderId="55" xfId="0" applyNumberFormat="1" applyBorder="1"/>
    <xf numFmtId="1" fontId="0" fillId="0" borderId="57" xfId="0" applyNumberFormat="1" applyBorder="1"/>
    <xf numFmtId="1" fontId="0" fillId="8" borderId="39" xfId="0" applyNumberFormat="1" applyFill="1" applyBorder="1"/>
    <xf numFmtId="0" fontId="0" fillId="14" borderId="39" xfId="0" applyFill="1" applyBorder="1"/>
    <xf numFmtId="1" fontId="0" fillId="14" borderId="40" xfId="0" applyNumberFormat="1" applyFill="1" applyBorder="1"/>
    <xf numFmtId="1" fontId="0" fillId="14" borderId="40" xfId="0" applyNumberFormat="1" applyFill="1" applyBorder="1" applyAlignment="1">
      <alignment horizontal="center"/>
    </xf>
    <xf numFmtId="1" fontId="0" fillId="14" borderId="41" xfId="0" applyNumberFormat="1" applyFill="1" applyBorder="1"/>
    <xf numFmtId="1" fontId="0" fillId="14" borderId="39" xfId="0" applyNumberFormat="1" applyFill="1" applyBorder="1"/>
    <xf numFmtId="1" fontId="0" fillId="14" borderId="79" xfId="0" applyNumberFormat="1" applyFill="1" applyBorder="1"/>
    <xf numFmtId="1" fontId="0" fillId="14" borderId="39" xfId="0" applyNumberFormat="1" applyFill="1" applyBorder="1" applyAlignment="1">
      <alignment horizontal="center"/>
    </xf>
    <xf numFmtId="1" fontId="0" fillId="14" borderId="41" xfId="0" applyNumberFormat="1" applyFill="1" applyBorder="1" applyAlignment="1">
      <alignment horizontal="center"/>
    </xf>
    <xf numFmtId="0" fontId="0" fillId="8" borderId="98" xfId="0" applyFill="1" applyBorder="1"/>
    <xf numFmtId="1" fontId="0" fillId="14" borderId="98" xfId="0" applyNumberFormat="1" applyFill="1" applyBorder="1"/>
    <xf numFmtId="0" fontId="0" fillId="14" borderId="41" xfId="0" applyFill="1" applyBorder="1"/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3" xfId="0" applyBorder="1" applyAlignment="1">
      <alignment horizontal="center"/>
    </xf>
    <xf numFmtId="0" fontId="21" fillId="8" borderId="49" xfId="0" applyFont="1" applyFill="1" applyBorder="1" applyAlignment="1">
      <alignment horizontal="center"/>
    </xf>
    <xf numFmtId="0" fontId="21" fillId="15" borderId="66" xfId="0" applyFont="1" applyFill="1" applyBorder="1"/>
    <xf numFmtId="0" fontId="21" fillId="15" borderId="62" xfId="0" applyFont="1" applyFill="1" applyBorder="1"/>
    <xf numFmtId="1" fontId="4" fillId="8" borderId="14" xfId="0" applyNumberFormat="1" applyFont="1" applyFill="1" applyBorder="1" applyAlignment="1">
      <alignment horizontal="center"/>
    </xf>
    <xf numFmtId="1" fontId="4" fillId="8" borderId="5" xfId="0" applyNumberFormat="1" applyFont="1" applyFill="1" applyBorder="1" applyAlignment="1">
      <alignment horizontal="center"/>
    </xf>
    <xf numFmtId="1" fontId="4" fillId="8" borderId="15" xfId="0" applyNumberFormat="1" applyFont="1" applyFill="1" applyBorder="1" applyAlignment="1">
      <alignment horizontal="center"/>
    </xf>
    <xf numFmtId="0" fontId="21" fillId="15" borderId="70" xfId="0" applyFont="1" applyFill="1" applyBorder="1" applyAlignment="1">
      <alignment horizontal="left" vertical="center"/>
    </xf>
    <xf numFmtId="0" fontId="21" fillId="15" borderId="61" xfId="0" applyFont="1" applyFill="1" applyBorder="1"/>
    <xf numFmtId="0" fontId="33" fillId="15" borderId="51" xfId="0" applyFont="1" applyFill="1" applyBorder="1" applyAlignment="1">
      <alignment vertical="center"/>
    </xf>
    <xf numFmtId="0" fontId="19" fillId="15" borderId="62" xfId="0" applyFont="1" applyFill="1" applyBorder="1"/>
    <xf numFmtId="0" fontId="1" fillId="8" borderId="109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1" fillId="8" borderId="40" xfId="0" applyFont="1" applyFill="1" applyBorder="1" applyAlignment="1">
      <alignment horizontal="center" vertical="center" wrapText="1"/>
    </xf>
    <xf numFmtId="0" fontId="1" fillId="8" borderId="41" xfId="0" applyFont="1" applyFill="1" applyBorder="1" applyAlignment="1">
      <alignment horizontal="center" vertical="center" wrapText="1"/>
    </xf>
    <xf numFmtId="0" fontId="0" fillId="4" borderId="39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0" borderId="96" xfId="0" applyBorder="1" applyAlignment="1">
      <alignment vertical="center"/>
    </xf>
    <xf numFmtId="0" fontId="0" fillId="0" borderId="96" xfId="0" applyBorder="1" applyAlignment="1">
      <alignment horizontal="center" vertical="center" wrapText="1"/>
    </xf>
    <xf numFmtId="0" fontId="0" fillId="0" borderId="97" xfId="0" applyBorder="1" applyAlignment="1">
      <alignment horizontal="center" vertical="center" wrapText="1"/>
    </xf>
    <xf numFmtId="0" fontId="34" fillId="0" borderId="0" xfId="0" applyFont="1" applyBorder="1" applyAlignment="1"/>
    <xf numFmtId="0" fontId="34" fillId="0" borderId="83" xfId="0" applyFont="1" applyBorder="1" applyAlignment="1">
      <alignment horizontal="center"/>
    </xf>
    <xf numFmtId="0" fontId="34" fillId="0" borderId="113" xfId="0" applyFont="1" applyBorder="1" applyAlignment="1">
      <alignment horizontal="center"/>
    </xf>
    <xf numFmtId="0" fontId="34" fillId="0" borderId="93" xfId="0" applyFont="1" applyBorder="1" applyAlignment="1">
      <alignment horizontal="center"/>
    </xf>
    <xf numFmtId="1" fontId="1" fillId="8" borderId="109" xfId="0" applyNumberFormat="1" applyFon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1" fillId="8" borderId="112" xfId="0" applyNumberFormat="1" applyFon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4" borderId="41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09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4" borderId="40" xfId="0" applyNumberFormat="1" applyFill="1" applyBorder="1" applyAlignment="1">
      <alignment horizontal="center"/>
    </xf>
    <xf numFmtId="1" fontId="1" fillId="8" borderId="5" xfId="0" applyNumberFormat="1" applyFont="1" applyFill="1" applyBorder="1" applyAlignment="1">
      <alignment horizontal="center"/>
    </xf>
    <xf numFmtId="1" fontId="1" fillId="8" borderId="15" xfId="0" applyNumberFormat="1" applyFont="1" applyFill="1" applyBorder="1" applyAlignment="1">
      <alignment horizontal="center"/>
    </xf>
    <xf numFmtId="0" fontId="1" fillId="8" borderId="91" xfId="0" applyFont="1" applyFill="1" applyBorder="1" applyAlignment="1">
      <alignment horizontal="center"/>
    </xf>
    <xf numFmtId="0" fontId="1" fillId="8" borderId="103" xfId="0" applyFont="1" applyFill="1" applyBorder="1" applyAlignment="1">
      <alignment horizontal="center"/>
    </xf>
    <xf numFmtId="0" fontId="1" fillId="4" borderId="39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/>
    </xf>
    <xf numFmtId="1" fontId="1" fillId="4" borderId="40" xfId="0" applyNumberFormat="1" applyFont="1" applyFill="1" applyBorder="1" applyAlignment="1">
      <alignment horizontal="center"/>
    </xf>
    <xf numFmtId="1" fontId="1" fillId="4" borderId="41" xfId="0" applyNumberFormat="1" applyFont="1" applyFill="1" applyBorder="1" applyAlignment="1">
      <alignment horizontal="center"/>
    </xf>
    <xf numFmtId="0" fontId="10" fillId="5" borderId="5" xfId="0" applyFont="1" applyFill="1" applyBorder="1"/>
    <xf numFmtId="0" fontId="10" fillId="14" borderId="5" xfId="0" applyFont="1" applyFill="1" applyBorder="1"/>
    <xf numFmtId="0" fontId="36" fillId="0" borderId="5" xfId="0" applyFont="1" applyFill="1" applyBorder="1"/>
    <xf numFmtId="0" fontId="26" fillId="5" borderId="5" xfId="0" applyFont="1" applyFill="1" applyBorder="1"/>
    <xf numFmtId="0" fontId="11" fillId="5" borderId="5" xfId="0" applyFont="1" applyFill="1" applyBorder="1"/>
    <xf numFmtId="0" fontId="0" fillId="5" borderId="5" xfId="0" applyFont="1" applyFill="1" applyBorder="1"/>
    <xf numFmtId="0" fontId="1" fillId="8" borderId="40" xfId="0" applyFont="1" applyFill="1" applyBorder="1" applyAlignment="1">
      <alignment horizontal="center" vertical="center"/>
    </xf>
    <xf numFmtId="0" fontId="1" fillId="8" borderId="39" xfId="0" applyFont="1" applyFill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8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0" fillId="0" borderId="56" xfId="0" applyBorder="1"/>
    <xf numFmtId="0" fontId="0" fillId="0" borderId="84" xfId="0" applyBorder="1"/>
    <xf numFmtId="0" fontId="0" fillId="2" borderId="57" xfId="0" applyFill="1" applyBorder="1"/>
    <xf numFmtId="1" fontId="0" fillId="3" borderId="6" xfId="0" applyNumberFormat="1" applyFill="1" applyBorder="1"/>
    <xf numFmtId="0" fontId="0" fillId="0" borderId="55" xfId="0" applyBorder="1"/>
    <xf numFmtId="0" fontId="0" fillId="0" borderId="57" xfId="0" applyBorder="1"/>
    <xf numFmtId="0" fontId="0" fillId="14" borderId="5" xfId="0" applyFill="1" applyBorder="1" applyAlignment="1">
      <alignment horizontal="left"/>
    </xf>
    <xf numFmtId="0" fontId="0" fillId="14" borderId="0" xfId="0" applyFill="1"/>
    <xf numFmtId="0" fontId="39" fillId="2" borderId="5" xfId="0" applyFont="1" applyFill="1" applyBorder="1" applyAlignment="1">
      <alignment horizontal="left"/>
    </xf>
    <xf numFmtId="0" fontId="0" fillId="4" borderId="84" xfId="0" applyFill="1" applyBorder="1"/>
    <xf numFmtId="1" fontId="0" fillId="4" borderId="56" xfId="0" applyNumberFormat="1" applyFill="1" applyBorder="1"/>
    <xf numFmtId="1" fontId="0" fillId="4" borderId="5" xfId="0" applyNumberFormat="1" applyFill="1" applyBorder="1"/>
    <xf numFmtId="1" fontId="0" fillId="4" borderId="6" xfId="0" applyNumberFormat="1" applyFill="1" applyBorder="1"/>
    <xf numFmtId="0" fontId="0" fillId="0" borderId="91" xfId="0" applyBorder="1" applyAlignment="1">
      <alignment horizontal="left"/>
    </xf>
    <xf numFmtId="0" fontId="0" fillId="0" borderId="90" xfId="0" applyBorder="1"/>
    <xf numFmtId="0" fontId="0" fillId="2" borderId="114" xfId="0" applyFill="1" applyBorder="1"/>
    <xf numFmtId="0" fontId="0" fillId="2" borderId="103" xfId="0" applyFill="1" applyBorder="1"/>
    <xf numFmtId="1" fontId="0" fillId="3" borderId="91" xfId="0" applyNumberFormat="1" applyFill="1" applyBorder="1"/>
    <xf numFmtId="1" fontId="0" fillId="3" borderId="90" xfId="0" applyNumberFormat="1" applyFill="1" applyBorder="1"/>
    <xf numFmtId="0" fontId="0" fillId="4" borderId="91" xfId="0" applyFill="1" applyBorder="1" applyAlignment="1">
      <alignment horizontal="left"/>
    </xf>
    <xf numFmtId="0" fontId="0" fillId="0" borderId="9" xfId="0" applyBorder="1"/>
    <xf numFmtId="0" fontId="0" fillId="18" borderId="6" xfId="0" applyFill="1" applyBorder="1"/>
    <xf numFmtId="0" fontId="0" fillId="0" borderId="88" xfId="0" applyBorder="1"/>
    <xf numFmtId="0" fontId="0" fillId="0" borderId="91" xfId="0" applyBorder="1"/>
    <xf numFmtId="0" fontId="0" fillId="0" borderId="113" xfId="0" applyBorder="1"/>
    <xf numFmtId="0" fontId="0" fillId="0" borderId="0" xfId="0" applyAlignment="1"/>
    <xf numFmtId="0" fontId="0" fillId="14" borderId="5" xfId="0" applyFill="1" applyBorder="1" applyAlignment="1">
      <alignment horizontal="center"/>
    </xf>
    <xf numFmtId="0" fontId="0" fillId="18" borderId="5" xfId="0" applyFill="1" applyBorder="1"/>
    <xf numFmtId="0" fontId="0" fillId="0" borderId="56" xfId="0" applyBorder="1" applyAlignment="1">
      <alignment vertical="center"/>
    </xf>
    <xf numFmtId="0" fontId="0" fillId="0" borderId="56" xfId="0" applyBorder="1" applyAlignment="1">
      <alignment horizontal="center" vertical="center"/>
    </xf>
    <xf numFmtId="0" fontId="1" fillId="2" borderId="56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26" fillId="0" borderId="39" xfId="0" applyFont="1" applyBorder="1" applyAlignment="1">
      <alignment vertical="center"/>
    </xf>
    <xf numFmtId="0" fontId="26" fillId="0" borderId="40" xfId="0" applyFont="1" applyBorder="1" applyAlignment="1">
      <alignment vertical="center"/>
    </xf>
    <xf numFmtId="0" fontId="26" fillId="0" borderId="40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/>
    </xf>
    <xf numFmtId="0" fontId="26" fillId="16" borderId="40" xfId="0" applyFont="1" applyFill="1" applyBorder="1" applyAlignment="1">
      <alignment wrapText="1"/>
    </xf>
    <xf numFmtId="0" fontId="26" fillId="16" borderId="40" xfId="0" applyFont="1" applyFill="1" applyBorder="1" applyAlignment="1">
      <alignment horizontal="center" vertical="center" wrapText="1"/>
    </xf>
    <xf numFmtId="1" fontId="0" fillId="2" borderId="21" xfId="0" applyNumberFormat="1" applyFont="1" applyFill="1" applyBorder="1"/>
    <xf numFmtId="0" fontId="0" fillId="0" borderId="117" xfId="0" applyBorder="1"/>
    <xf numFmtId="1" fontId="40" fillId="2" borderId="12" xfId="0" applyNumberFormat="1" applyFont="1" applyFill="1" applyBorder="1" applyAlignment="1"/>
    <xf numFmtId="1" fontId="40" fillId="2" borderId="13" xfId="0" applyNumberFormat="1" applyFont="1" applyFill="1" applyBorder="1" applyAlignment="1"/>
    <xf numFmtId="0" fontId="0" fillId="0" borderId="99" xfId="0" applyBorder="1" applyAlignment="1">
      <alignment horizontal="center" vertical="center" wrapText="1"/>
    </xf>
    <xf numFmtId="0" fontId="0" fillId="16" borderId="89" xfId="0" applyFill="1" applyBorder="1" applyAlignment="1">
      <alignment horizontal="center" vertical="center" wrapText="1"/>
    </xf>
    <xf numFmtId="0" fontId="0" fillId="16" borderId="91" xfId="0" applyFill="1" applyBorder="1" applyAlignment="1">
      <alignment horizontal="center" vertical="center" wrapText="1"/>
    </xf>
    <xf numFmtId="0" fontId="0" fillId="16" borderId="90" xfId="0" applyFill="1" applyBorder="1" applyAlignment="1">
      <alignment horizontal="center" vertical="center" wrapText="1"/>
    </xf>
    <xf numFmtId="0" fontId="0" fillId="0" borderId="99" xfId="0" applyBorder="1" applyAlignment="1">
      <alignment horizontal="center" vertical="center"/>
    </xf>
    <xf numFmtId="0" fontId="0" fillId="2" borderId="98" xfId="0" applyFill="1" applyBorder="1" applyAlignment="1">
      <alignment horizontal="center" vertical="center"/>
    </xf>
    <xf numFmtId="0" fontId="0" fillId="2" borderId="79" xfId="0" applyFill="1" applyBorder="1" applyAlignment="1">
      <alignment horizontal="center" vertical="center"/>
    </xf>
    <xf numFmtId="0" fontId="0" fillId="2" borderId="99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98" xfId="0" applyFill="1" applyBorder="1" applyAlignment="1">
      <alignment vertical="center"/>
    </xf>
    <xf numFmtId="0" fontId="0" fillId="2" borderId="40" xfId="0" applyFill="1" applyBorder="1" applyAlignment="1">
      <alignment vertical="center"/>
    </xf>
    <xf numFmtId="0" fontId="0" fillId="2" borderId="41" xfId="0" applyFill="1" applyBorder="1" applyAlignment="1">
      <alignment vertical="center"/>
    </xf>
    <xf numFmtId="0" fontId="0" fillId="2" borderId="39" xfId="0" applyFill="1" applyBorder="1" applyAlignment="1">
      <alignment vertical="center"/>
    </xf>
    <xf numFmtId="0" fontId="0" fillId="2" borderId="79" xfId="0" applyFill="1" applyBorder="1" applyAlignment="1">
      <alignment vertical="center"/>
    </xf>
    <xf numFmtId="0" fontId="0" fillId="2" borderId="39" xfId="0" applyFont="1" applyFill="1" applyBorder="1" applyAlignment="1">
      <alignment vertical="center"/>
    </xf>
    <xf numFmtId="0" fontId="0" fillId="2" borderId="40" xfId="0" applyFont="1" applyFill="1" applyBorder="1" applyAlignment="1">
      <alignment vertical="center"/>
    </xf>
    <xf numFmtId="0" fontId="0" fillId="2" borderId="79" xfId="0" applyFont="1" applyFill="1" applyBorder="1" applyAlignment="1">
      <alignment vertical="center"/>
    </xf>
    <xf numFmtId="0" fontId="0" fillId="2" borderId="39" xfId="0" applyFont="1" applyFill="1" applyBorder="1" applyAlignment="1">
      <alignment horizontal="center" vertical="center"/>
    </xf>
    <xf numFmtId="0" fontId="0" fillId="2" borderId="40" xfId="0" applyFont="1" applyFill="1" applyBorder="1" applyAlignment="1">
      <alignment horizontal="center" vertical="center"/>
    </xf>
    <xf numFmtId="0" fontId="0" fillId="2" borderId="79" xfId="0" applyFont="1" applyFill="1" applyBorder="1" applyAlignment="1">
      <alignment horizontal="center" vertical="center"/>
    </xf>
    <xf numFmtId="0" fontId="0" fillId="2" borderId="41" xfId="0" applyFont="1" applyFill="1" applyBorder="1" applyAlignment="1">
      <alignment horizontal="center" vertical="center"/>
    </xf>
    <xf numFmtId="0" fontId="0" fillId="2" borderId="116" xfId="0" applyFont="1" applyFill="1" applyBorder="1" applyAlignment="1">
      <alignment horizontal="center" vertical="center"/>
    </xf>
    <xf numFmtId="0" fontId="0" fillId="2" borderId="109" xfId="0" applyFont="1" applyFill="1" applyBorder="1" applyAlignment="1">
      <alignment horizontal="center" vertical="center"/>
    </xf>
    <xf numFmtId="0" fontId="0" fillId="2" borderId="110" xfId="0" applyFont="1" applyFill="1" applyBorder="1" applyAlignment="1">
      <alignment horizontal="center" vertical="center"/>
    </xf>
    <xf numFmtId="0" fontId="0" fillId="2" borderId="112" xfId="0" applyFont="1" applyFill="1" applyBorder="1" applyAlignment="1">
      <alignment horizontal="center" vertical="center"/>
    </xf>
    <xf numFmtId="0" fontId="41" fillId="0" borderId="56" xfId="0" applyFont="1" applyBorder="1" applyAlignment="1">
      <alignment horizontal="center"/>
    </xf>
    <xf numFmtId="0" fontId="41" fillId="0" borderId="56" xfId="0" applyFont="1" applyBorder="1" applyAlignment="1">
      <alignment horizontal="left"/>
    </xf>
    <xf numFmtId="0" fontId="0" fillId="0" borderId="118" xfId="0" applyBorder="1"/>
    <xf numFmtId="1" fontId="0" fillId="0" borderId="3" xfId="0" applyNumberFormat="1" applyBorder="1" applyAlignment="1">
      <alignment horizontal="center"/>
    </xf>
    <xf numFmtId="1" fontId="0" fillId="0" borderId="29" xfId="0" applyNumberFormat="1" applyBorder="1" applyAlignment="1">
      <alignment horizontal="center"/>
    </xf>
    <xf numFmtId="0" fontId="0" fillId="2" borderId="119" xfId="0" applyFill="1" applyBorder="1"/>
    <xf numFmtId="0" fontId="0" fillId="0" borderId="85" xfId="0" applyBorder="1"/>
    <xf numFmtId="1" fontId="0" fillId="3" borderId="56" xfId="0" applyNumberFormat="1" applyFill="1" applyBorder="1"/>
    <xf numFmtId="1" fontId="0" fillId="3" borderId="84" xfId="0" applyNumberFormat="1" applyFill="1" applyBorder="1"/>
    <xf numFmtId="0" fontId="0" fillId="0" borderId="57" xfId="0" applyNumberFormat="1" applyBorder="1" applyAlignment="1">
      <alignment horizontal="center"/>
    </xf>
    <xf numFmtId="0" fontId="0" fillId="0" borderId="84" xfId="0" applyNumberFormat="1" applyBorder="1" applyAlignment="1">
      <alignment horizontal="center"/>
    </xf>
    <xf numFmtId="0" fontId="0" fillId="0" borderId="12" xfId="0" applyBorder="1"/>
    <xf numFmtId="0" fontId="0" fillId="0" borderId="19" xfId="0" applyBorder="1"/>
    <xf numFmtId="0" fontId="42" fillId="0" borderId="5" xfId="0" applyFont="1" applyBorder="1" applyAlignment="1">
      <alignment horizontal="center"/>
    </xf>
    <xf numFmtId="0" fontId="42" fillId="0" borderId="5" xfId="0" applyFont="1" applyBorder="1" applyAlignment="1">
      <alignment horizontal="left"/>
    </xf>
    <xf numFmtId="0" fontId="38" fillId="0" borderId="6" xfId="0" applyFont="1" applyBorder="1"/>
    <xf numFmtId="0" fontId="38" fillId="0" borderId="21" xfId="0" applyFont="1" applyBorder="1"/>
    <xf numFmtId="1" fontId="38" fillId="0" borderId="21" xfId="0" applyNumberFormat="1" applyFont="1" applyBorder="1" applyAlignment="1">
      <alignment horizontal="center"/>
    </xf>
    <xf numFmtId="1" fontId="38" fillId="0" borderId="27" xfId="0" applyNumberFormat="1" applyFont="1" applyBorder="1" applyAlignment="1">
      <alignment horizontal="center"/>
    </xf>
    <xf numFmtId="0" fontId="38" fillId="2" borderId="5" xfId="0" applyFont="1" applyFill="1" applyBorder="1"/>
    <xf numFmtId="0" fontId="38" fillId="2" borderId="84" xfId="0" applyFont="1" applyFill="1" applyBorder="1"/>
    <xf numFmtId="0" fontId="38" fillId="2" borderId="14" xfId="0" applyFont="1" applyFill="1" applyBorder="1"/>
    <xf numFmtId="0" fontId="38" fillId="2" borderId="57" xfId="0" applyFont="1" applyFill="1" applyBorder="1"/>
    <xf numFmtId="0" fontId="38" fillId="2" borderId="22" xfId="0" applyFont="1" applyFill="1" applyBorder="1"/>
    <xf numFmtId="0" fontId="38" fillId="2" borderId="15" xfId="0" applyFont="1" applyFill="1" applyBorder="1"/>
    <xf numFmtId="0" fontId="38" fillId="2" borderId="6" xfId="0" applyFont="1" applyFill="1" applyBorder="1"/>
    <xf numFmtId="0" fontId="38" fillId="2" borderId="119" xfId="0" applyFont="1" applyFill="1" applyBorder="1"/>
    <xf numFmtId="0" fontId="38" fillId="0" borderId="14" xfId="0" applyFont="1" applyBorder="1"/>
    <xf numFmtId="0" fontId="38" fillId="0" borderId="5" xfId="0" applyFont="1" applyBorder="1"/>
    <xf numFmtId="0" fontId="38" fillId="0" borderId="57" xfId="0" applyFont="1" applyBorder="1"/>
    <xf numFmtId="0" fontId="38" fillId="0" borderId="85" xfId="0" applyFont="1" applyBorder="1"/>
    <xf numFmtId="0" fontId="38" fillId="0" borderId="56" xfId="0" applyFont="1" applyBorder="1"/>
    <xf numFmtId="1" fontId="38" fillId="0" borderId="56" xfId="0" applyNumberFormat="1" applyFont="1" applyBorder="1"/>
    <xf numFmtId="1" fontId="38" fillId="0" borderId="5" xfId="0" applyNumberFormat="1" applyFont="1" applyBorder="1"/>
    <xf numFmtId="1" fontId="38" fillId="3" borderId="5" xfId="0" applyNumberFormat="1" applyFont="1" applyFill="1" applyBorder="1"/>
    <xf numFmtId="1" fontId="38" fillId="3" borderId="6" xfId="0" applyNumberFormat="1" applyFont="1" applyFill="1" applyBorder="1"/>
    <xf numFmtId="0" fontId="38" fillId="0" borderId="57" xfId="0" applyNumberFormat="1" applyFont="1" applyBorder="1" applyAlignment="1">
      <alignment horizontal="center"/>
    </xf>
    <xf numFmtId="0" fontId="38" fillId="0" borderId="84" xfId="0" applyNumberFormat="1" applyFont="1" applyBorder="1" applyAlignment="1">
      <alignment horizontal="center"/>
    </xf>
    <xf numFmtId="0" fontId="38" fillId="0" borderId="0" xfId="0" applyFont="1"/>
    <xf numFmtId="0" fontId="41" fillId="0" borderId="5" xfId="0" applyFont="1" applyBorder="1" applyAlignment="1">
      <alignment horizontal="left"/>
    </xf>
    <xf numFmtId="1" fontId="0" fillId="0" borderId="21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0" fontId="41" fillId="0" borderId="5" xfId="0" applyFont="1" applyBorder="1" applyAlignment="1">
      <alignment horizontal="center"/>
    </xf>
    <xf numFmtId="0" fontId="0" fillId="0" borderId="21" xfId="0" applyBorder="1"/>
    <xf numFmtId="0" fontId="41" fillId="2" borderId="5" xfId="0" applyFont="1" applyFill="1" applyBorder="1" applyAlignment="1">
      <alignment horizontal="left"/>
    </xf>
    <xf numFmtId="1" fontId="0" fillId="2" borderId="21" xfId="0" applyNumberFormat="1" applyFill="1" applyBorder="1" applyAlignment="1">
      <alignment horizontal="center"/>
    </xf>
    <xf numFmtId="1" fontId="0" fillId="2" borderId="27" xfId="0" applyNumberFormat="1" applyFill="1" applyBorder="1" applyAlignment="1">
      <alignment horizontal="center"/>
    </xf>
    <xf numFmtId="0" fontId="41" fillId="4" borderId="56" xfId="0" applyFont="1" applyFill="1" applyBorder="1" applyAlignment="1">
      <alignment horizontal="center"/>
    </xf>
    <xf numFmtId="0" fontId="41" fillId="4" borderId="5" xfId="0" applyFont="1" applyFill="1" applyBorder="1" applyAlignment="1">
      <alignment horizontal="left"/>
    </xf>
    <xf numFmtId="0" fontId="0" fillId="4" borderId="118" xfId="0" applyFill="1" applyBorder="1"/>
    <xf numFmtId="1" fontId="0" fillId="4" borderId="21" xfId="0" applyNumberFormat="1" applyFill="1" applyBorder="1" applyAlignment="1">
      <alignment horizontal="center"/>
    </xf>
    <xf numFmtId="1" fontId="0" fillId="4" borderId="27" xfId="0" applyNumberFormat="1" applyFill="1" applyBorder="1" applyAlignment="1">
      <alignment horizontal="center"/>
    </xf>
    <xf numFmtId="0" fontId="0" fillId="4" borderId="119" xfId="0" applyFill="1" applyBorder="1"/>
    <xf numFmtId="0" fontId="0" fillId="4" borderId="57" xfId="0" applyNumberFormat="1" applyFill="1" applyBorder="1" applyAlignment="1">
      <alignment horizontal="center"/>
    </xf>
    <xf numFmtId="0" fontId="0" fillId="4" borderId="84" xfId="0" applyNumberFormat="1" applyFill="1" applyBorder="1" applyAlignment="1">
      <alignment horizontal="center"/>
    </xf>
    <xf numFmtId="0" fontId="42" fillId="2" borderId="5" xfId="0" applyFont="1" applyFill="1" applyBorder="1" applyAlignment="1">
      <alignment horizontal="center"/>
    </xf>
    <xf numFmtId="0" fontId="42" fillId="2" borderId="5" xfId="0" applyFont="1" applyFill="1" applyBorder="1" applyAlignment="1">
      <alignment horizontal="left"/>
    </xf>
    <xf numFmtId="1" fontId="38" fillId="2" borderId="21" xfId="0" applyNumberFormat="1" applyFont="1" applyFill="1" applyBorder="1" applyAlignment="1">
      <alignment horizontal="center"/>
    </xf>
    <xf numFmtId="1" fontId="38" fillId="2" borderId="27" xfId="0" applyNumberFormat="1" applyFont="1" applyFill="1" applyBorder="1" applyAlignment="1">
      <alignment horizontal="center"/>
    </xf>
    <xf numFmtId="0" fontId="38" fillId="2" borderId="85" xfId="0" applyFont="1" applyFill="1" applyBorder="1"/>
    <xf numFmtId="0" fontId="38" fillId="2" borderId="56" xfId="0" applyFont="1" applyFill="1" applyBorder="1"/>
    <xf numFmtId="1" fontId="38" fillId="2" borderId="5" xfId="0" applyNumberFormat="1" applyFont="1" applyFill="1" applyBorder="1"/>
    <xf numFmtId="1" fontId="38" fillId="2" borderId="6" xfId="0" applyNumberFormat="1" applyFont="1" applyFill="1" applyBorder="1"/>
    <xf numFmtId="0" fontId="38" fillId="2" borderId="0" xfId="0" applyFont="1" applyFill="1"/>
    <xf numFmtId="0" fontId="0" fillId="18" borderId="21" xfId="0" applyFill="1" applyBorder="1"/>
    <xf numFmtId="0" fontId="42" fillId="0" borderId="56" xfId="0" applyFont="1" applyBorder="1" applyAlignment="1">
      <alignment horizontal="center"/>
    </xf>
    <xf numFmtId="0" fontId="38" fillId="0" borderId="118" xfId="0" applyFont="1" applyBorder="1"/>
    <xf numFmtId="0" fontId="41" fillId="2" borderId="91" xfId="0" applyFont="1" applyFill="1" applyBorder="1" applyAlignment="1">
      <alignment horizontal="left"/>
    </xf>
    <xf numFmtId="0" fontId="41" fillId="2" borderId="56" xfId="0" applyFont="1" applyFill="1" applyBorder="1" applyAlignment="1">
      <alignment horizontal="left"/>
    </xf>
    <xf numFmtId="0" fontId="0" fillId="18" borderId="118" xfId="0" applyFill="1" applyBorder="1"/>
    <xf numFmtId="0" fontId="42" fillId="2" borderId="56" xfId="0" applyFont="1" applyFill="1" applyBorder="1" applyAlignment="1">
      <alignment horizontal="left"/>
    </xf>
    <xf numFmtId="1" fontId="38" fillId="0" borderId="118" xfId="0" applyNumberFormat="1" applyFont="1" applyBorder="1" applyAlignment="1">
      <alignment horizontal="center"/>
    </xf>
    <xf numFmtId="1" fontId="38" fillId="0" borderId="29" xfId="0" applyNumberFormat="1" applyFont="1" applyBorder="1" applyAlignment="1">
      <alignment horizontal="center"/>
    </xf>
    <xf numFmtId="0" fontId="4" fillId="2" borderId="84" xfId="0" applyFont="1" applyFill="1" applyBorder="1"/>
    <xf numFmtId="0" fontId="41" fillId="4" borderId="5" xfId="0" applyFont="1" applyFill="1" applyBorder="1" applyAlignment="1">
      <alignment horizontal="center"/>
    </xf>
    <xf numFmtId="0" fontId="0" fillId="4" borderId="21" xfId="0" applyFill="1" applyBorder="1"/>
    <xf numFmtId="0" fontId="41" fillId="4" borderId="85" xfId="0" applyFont="1" applyFill="1" applyBorder="1" applyAlignment="1">
      <alignment horizontal="left"/>
    </xf>
    <xf numFmtId="1" fontId="0" fillId="4" borderId="118" xfId="0" applyNumberFormat="1" applyFill="1" applyBorder="1" applyAlignment="1">
      <alignment horizontal="center"/>
    </xf>
    <xf numFmtId="1" fontId="0" fillId="4" borderId="29" xfId="0" applyNumberFormat="1" applyFill="1" applyBorder="1" applyAlignment="1">
      <alignment horizontal="center"/>
    </xf>
    <xf numFmtId="0" fontId="42" fillId="2" borderId="22" xfId="0" applyFont="1" applyFill="1" applyBorder="1" applyAlignment="1">
      <alignment horizontal="left"/>
    </xf>
    <xf numFmtId="0" fontId="41" fillId="4" borderId="22" xfId="0" applyFont="1" applyFill="1" applyBorder="1" applyAlignment="1">
      <alignment horizontal="left"/>
    </xf>
    <xf numFmtId="0" fontId="41" fillId="2" borderId="22" xfId="0" applyFont="1" applyFill="1" applyBorder="1" applyAlignment="1">
      <alignment horizontal="left"/>
    </xf>
    <xf numFmtId="0" fontId="41" fillId="0" borderId="22" xfId="0" applyFont="1" applyBorder="1" applyAlignment="1">
      <alignment horizontal="left"/>
    </xf>
    <xf numFmtId="0" fontId="41" fillId="20" borderId="5" xfId="0" applyFont="1" applyFill="1" applyBorder="1" applyAlignment="1">
      <alignment horizontal="left"/>
    </xf>
    <xf numFmtId="0" fontId="0" fillId="20" borderId="6" xfId="0" applyFill="1" applyBorder="1"/>
    <xf numFmtId="1" fontId="0" fillId="20" borderId="21" xfId="0" applyNumberFormat="1" applyFill="1" applyBorder="1" applyAlignment="1">
      <alignment horizontal="center"/>
    </xf>
    <xf numFmtId="1" fontId="0" fillId="20" borderId="27" xfId="0" applyNumberFormat="1" applyFill="1" applyBorder="1" applyAlignment="1">
      <alignment horizontal="center"/>
    </xf>
    <xf numFmtId="0" fontId="0" fillId="20" borderId="5" xfId="0" applyFill="1" applyBorder="1"/>
    <xf numFmtId="1" fontId="0" fillId="20" borderId="5" xfId="0" applyNumberFormat="1" applyFill="1" applyBorder="1"/>
    <xf numFmtId="1" fontId="0" fillId="20" borderId="6" xfId="0" applyNumberFormat="1" applyFill="1" applyBorder="1"/>
    <xf numFmtId="1" fontId="0" fillId="0" borderId="21" xfId="0" applyNumberFormat="1" applyBorder="1"/>
    <xf numFmtId="1" fontId="0" fillId="0" borderId="120" xfId="0" applyNumberFormat="1" applyBorder="1"/>
    <xf numFmtId="1" fontId="0" fillId="0" borderId="87" xfId="0" applyNumberFormat="1" applyBorder="1" applyAlignment="1">
      <alignment horizontal="center"/>
    </xf>
    <xf numFmtId="0" fontId="41" fillId="0" borderId="91" xfId="0" applyFont="1" applyBorder="1" applyAlignment="1">
      <alignment horizontal="center"/>
    </xf>
    <xf numFmtId="1" fontId="38" fillId="0" borderId="5" xfId="0" applyNumberFormat="1" applyFont="1" applyBorder="1" applyAlignment="1">
      <alignment horizontal="center"/>
    </xf>
    <xf numFmtId="0" fontId="38" fillId="2" borderId="91" xfId="0" applyFont="1" applyFill="1" applyBorder="1"/>
    <xf numFmtId="0" fontId="38" fillId="2" borderId="90" xfId="0" applyFont="1" applyFill="1" applyBorder="1"/>
    <xf numFmtId="0" fontId="38" fillId="2" borderId="88" xfId="0" applyFont="1" applyFill="1" applyBorder="1"/>
    <xf numFmtId="0" fontId="42" fillId="0" borderId="9" xfId="0" applyFont="1" applyBorder="1" applyAlignment="1">
      <alignment horizontal="center"/>
    </xf>
    <xf numFmtId="1" fontId="38" fillId="3" borderId="91" xfId="0" applyNumberFormat="1" applyFont="1" applyFill="1" applyBorder="1"/>
    <xf numFmtId="1" fontId="38" fillId="3" borderId="90" xfId="0" applyNumberFormat="1" applyFont="1" applyFill="1" applyBorder="1"/>
    <xf numFmtId="0" fontId="38" fillId="0" borderId="88" xfId="0" applyFont="1" applyBorder="1"/>
    <xf numFmtId="0" fontId="38" fillId="0" borderId="91" xfId="0" applyFont="1" applyBorder="1"/>
    <xf numFmtId="0" fontId="0" fillId="0" borderId="108" xfId="0" applyBorder="1"/>
    <xf numFmtId="0" fontId="38" fillId="0" borderId="108" xfId="0" applyFont="1" applyBorder="1"/>
    <xf numFmtId="0" fontId="41" fillId="0" borderId="9" xfId="0" applyFont="1" applyBorder="1" applyAlignment="1">
      <alignment horizontal="center"/>
    </xf>
    <xf numFmtId="0" fontId="42" fillId="0" borderId="91" xfId="0" applyFont="1" applyBorder="1" applyAlignment="1">
      <alignment horizontal="center"/>
    </xf>
    <xf numFmtId="0" fontId="43" fillId="0" borderId="0" xfId="0" applyFont="1"/>
    <xf numFmtId="0" fontId="0" fillId="4" borderId="19" xfId="0" applyFill="1" applyBorder="1"/>
    <xf numFmtId="0" fontId="41" fillId="4" borderId="91" xfId="0" applyFont="1" applyFill="1" applyBorder="1" applyAlignment="1">
      <alignment horizontal="left"/>
    </xf>
    <xf numFmtId="0" fontId="41" fillId="4" borderId="56" xfId="0" applyFont="1" applyFill="1" applyBorder="1" applyAlignment="1">
      <alignment horizontal="left"/>
    </xf>
    <xf numFmtId="1" fontId="0" fillId="4" borderId="120" xfId="0" applyNumberFormat="1" applyFill="1" applyBorder="1"/>
    <xf numFmtId="1" fontId="0" fillId="4" borderId="87" xfId="0" applyNumberFormat="1" applyFill="1" applyBorder="1" applyAlignment="1">
      <alignment horizontal="center"/>
    </xf>
    <xf numFmtId="0" fontId="41" fillId="4" borderId="91" xfId="0" applyFont="1" applyFill="1" applyBorder="1" applyAlignment="1">
      <alignment horizontal="center"/>
    </xf>
    <xf numFmtId="0" fontId="0" fillId="0" borderId="10" xfId="0" applyBorder="1"/>
    <xf numFmtId="1" fontId="0" fillId="0" borderId="91" xfId="0" applyNumberFormat="1" applyBorder="1" applyAlignment="1">
      <alignment horizontal="center"/>
    </xf>
    <xf numFmtId="0" fontId="0" fillId="0" borderId="92" xfId="0" applyBorder="1"/>
    <xf numFmtId="1" fontId="0" fillId="0" borderId="9" xfId="0" applyNumberFormat="1" applyBorder="1"/>
    <xf numFmtId="0" fontId="0" fillId="0" borderId="108" xfId="0" applyNumberFormat="1" applyBorder="1" applyAlignment="1">
      <alignment horizontal="center"/>
    </xf>
    <xf numFmtId="0" fontId="0" fillId="0" borderId="114" xfId="0" applyNumberFormat="1" applyBorder="1" applyAlignment="1">
      <alignment horizontal="center"/>
    </xf>
    <xf numFmtId="0" fontId="0" fillId="0" borderId="110" xfId="0" applyBorder="1"/>
    <xf numFmtId="0" fontId="0" fillId="0" borderId="114" xfId="0" applyBorder="1"/>
    <xf numFmtId="0" fontId="0" fillId="4" borderId="40" xfId="0" applyFill="1" applyBorder="1"/>
    <xf numFmtId="164" fontId="0" fillId="4" borderId="40" xfId="0" applyNumberFormat="1" applyFill="1" applyBorder="1"/>
    <xf numFmtId="1" fontId="0" fillId="4" borderId="40" xfId="0" applyNumberFormat="1" applyFill="1" applyBorder="1"/>
    <xf numFmtId="0" fontId="0" fillId="4" borderId="40" xfId="0" applyFont="1" applyFill="1" applyBorder="1" applyAlignment="1"/>
    <xf numFmtId="1" fontId="0" fillId="4" borderId="40" xfId="0" applyNumberFormat="1" applyFont="1" applyFill="1" applyBorder="1" applyAlignment="1"/>
    <xf numFmtId="1" fontId="0" fillId="4" borderId="41" xfId="0" applyNumberFormat="1" applyFont="1" applyFill="1" applyBorder="1" applyAlignment="1"/>
    <xf numFmtId="0" fontId="0" fillId="4" borderId="79" xfId="0" applyFill="1" applyBorder="1"/>
    <xf numFmtId="0" fontId="0" fillId="4" borderId="99" xfId="0" applyFill="1" applyBorder="1"/>
    <xf numFmtId="1" fontId="0" fillId="4" borderId="99" xfId="0" applyNumberFormat="1" applyFill="1" applyBorder="1"/>
    <xf numFmtId="0" fontId="0" fillId="4" borderId="2" xfId="0" applyFill="1" applyBorder="1"/>
    <xf numFmtId="0" fontId="0" fillId="4" borderId="39" xfId="0" applyFill="1" applyBorder="1"/>
    <xf numFmtId="0" fontId="0" fillId="4" borderId="41" xfId="0" applyFill="1" applyBorder="1"/>
    <xf numFmtId="0" fontId="0" fillId="4" borderId="1" xfId="0" applyFill="1" applyBorder="1"/>
    <xf numFmtId="0" fontId="0" fillId="4" borderId="98" xfId="0" applyFill="1" applyBorder="1"/>
    <xf numFmtId="1" fontId="0" fillId="4" borderId="79" xfId="0" applyNumberFormat="1" applyFill="1" applyBorder="1"/>
    <xf numFmtId="0" fontId="19" fillId="4" borderId="5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6" xfId="0" applyBorder="1"/>
    <xf numFmtId="0" fontId="0" fillId="0" borderId="106" xfId="0" applyBorder="1"/>
    <xf numFmtId="0" fontId="0" fillId="0" borderId="22" xfId="0" applyFont="1" applyBorder="1"/>
    <xf numFmtId="0" fontId="0" fillId="4" borderId="22" xfId="0" applyFont="1" applyFill="1" applyBorder="1"/>
    <xf numFmtId="0" fontId="0" fillId="0" borderId="5" xfId="0" applyBorder="1" applyAlignment="1"/>
    <xf numFmtId="0" fontId="0" fillId="4" borderId="5" xfId="0" applyFill="1" applyBorder="1" applyAlignment="1"/>
    <xf numFmtId="0" fontId="0" fillId="0" borderId="27" xfId="0" applyBorder="1"/>
    <xf numFmtId="0" fontId="0" fillId="4" borderId="27" xfId="0" applyFill="1" applyBorder="1"/>
    <xf numFmtId="0" fontId="29" fillId="2" borderId="19" xfId="0" applyFont="1" applyFill="1" applyBorder="1"/>
    <xf numFmtId="0" fontId="0" fillId="0" borderId="21" xfId="0" applyFont="1" applyBorder="1"/>
    <xf numFmtId="0" fontId="15" fillId="0" borderId="5" xfId="0" applyFont="1" applyBorder="1"/>
    <xf numFmtId="0" fontId="16" fillId="4" borderId="5" xfId="0" applyFont="1" applyFill="1" applyBorder="1"/>
    <xf numFmtId="0" fontId="19" fillId="0" borderId="5" xfId="0" applyFont="1" applyBorder="1"/>
    <xf numFmtId="0" fontId="15" fillId="4" borderId="5" xfId="0" applyFont="1" applyFill="1" applyBorder="1"/>
    <xf numFmtId="1" fontId="40" fillId="2" borderId="5" xfId="0" applyNumberFormat="1" applyFont="1" applyFill="1" applyBorder="1" applyAlignment="1"/>
    <xf numFmtId="0" fontId="0" fillId="7" borderId="11" xfId="0" applyFont="1" applyFill="1" applyBorder="1" applyAlignment="1"/>
    <xf numFmtId="0" fontId="0" fillId="7" borderId="12" xfId="0" applyFont="1" applyFill="1" applyBorder="1" applyAlignment="1"/>
    <xf numFmtId="0" fontId="0" fillId="7" borderId="14" xfId="0" applyFont="1" applyFill="1" applyBorder="1" applyAlignment="1"/>
    <xf numFmtId="1" fontId="40" fillId="2" borderId="15" xfId="0" applyNumberFormat="1" applyFont="1" applyFill="1" applyBorder="1" applyAlignment="1"/>
    <xf numFmtId="1" fontId="0" fillId="2" borderId="5" xfId="0" applyNumberFormat="1" applyFont="1" applyFill="1" applyBorder="1"/>
    <xf numFmtId="0" fontId="0" fillId="14" borderId="14" xfId="0" applyFill="1" applyBorder="1"/>
    <xf numFmtId="0" fontId="15" fillId="0" borderId="5" xfId="0" applyFont="1" applyBorder="1"/>
    <xf numFmtId="0" fontId="19" fillId="0" borderId="5" xfId="0" applyFont="1" applyBorder="1"/>
    <xf numFmtId="0" fontId="19" fillId="4" borderId="5" xfId="0" applyFont="1" applyFill="1" applyBorder="1"/>
    <xf numFmtId="0" fontId="16" fillId="4" borderId="5" xfId="0" applyFont="1" applyFill="1" applyBorder="1"/>
    <xf numFmtId="0" fontId="0" fillId="0" borderId="5" xfId="0" applyBorder="1" applyAlignment="1">
      <alignment horizontal="center" vertical="center"/>
    </xf>
    <xf numFmtId="1" fontId="18" fillId="0" borderId="5" xfId="0" applyNumberFormat="1" applyFont="1" applyBorder="1" applyAlignment="1">
      <alignment horizontal="right"/>
    </xf>
    <xf numFmtId="1" fontId="18" fillId="0" borderId="5" xfId="0" applyNumberFormat="1" applyFont="1" applyBorder="1" applyAlignment="1">
      <alignment horizontal="center"/>
    </xf>
    <xf numFmtId="0" fontId="44" fillId="0" borderId="5" xfId="0" applyFont="1" applyBorder="1"/>
    <xf numFmtId="0" fontId="1" fillId="4" borderId="5" xfId="0" applyFont="1" applyFill="1" applyBorder="1" applyAlignment="1">
      <alignment horizontal="center" vertical="center"/>
    </xf>
    <xf numFmtId="0" fontId="29" fillId="4" borderId="12" xfId="0" applyFont="1" applyFill="1" applyBorder="1"/>
    <xf numFmtId="1" fontId="0" fillId="4" borderId="6" xfId="0" applyNumberFormat="1" applyFont="1" applyFill="1" applyBorder="1"/>
    <xf numFmtId="1" fontId="0" fillId="4" borderId="7" xfId="0" applyNumberFormat="1" applyFill="1" applyBorder="1"/>
    <xf numFmtId="1" fontId="0" fillId="4" borderId="24" xfId="0" applyNumberFormat="1" applyFill="1" applyBorder="1"/>
    <xf numFmtId="1" fontId="16" fillId="4" borderId="5" xfId="0" applyNumberFormat="1" applyFont="1" applyFill="1" applyBorder="1"/>
    <xf numFmtId="1" fontId="0" fillId="4" borderId="5" xfId="0" applyNumberFormat="1" applyFont="1" applyFill="1" applyBorder="1"/>
    <xf numFmtId="1" fontId="0" fillId="3" borderId="20" xfId="0" applyNumberFormat="1" applyFill="1" applyBorder="1"/>
    <xf numFmtId="0" fontId="0" fillId="0" borderId="90" xfId="0" applyFont="1" applyBorder="1"/>
    <xf numFmtId="0" fontId="29" fillId="0" borderId="121" xfId="0" applyFont="1" applyBorder="1"/>
    <xf numFmtId="1" fontId="0" fillId="21" borderId="5" xfId="0" applyNumberFormat="1" applyFont="1" applyFill="1" applyBorder="1"/>
    <xf numFmtId="1" fontId="29" fillId="21" borderId="13" xfId="0" applyNumberFormat="1" applyFont="1" applyFill="1" applyBorder="1"/>
    <xf numFmtId="1" fontId="0" fillId="21" borderId="15" xfId="0" applyNumberFormat="1" applyFont="1" applyFill="1" applyBorder="1"/>
    <xf numFmtId="1" fontId="0" fillId="21" borderId="14" xfId="0" applyNumberFormat="1" applyFill="1" applyBorder="1"/>
    <xf numFmtId="1" fontId="0" fillId="21" borderId="5" xfId="0" applyNumberFormat="1" applyFill="1" applyBorder="1"/>
    <xf numFmtId="1" fontId="0" fillId="21" borderId="15" xfId="0" applyNumberFormat="1" applyFill="1" applyBorder="1"/>
    <xf numFmtId="1" fontId="0" fillId="21" borderId="16" xfId="0" applyNumberFormat="1" applyFill="1" applyBorder="1"/>
    <xf numFmtId="1" fontId="0" fillId="21" borderId="17" xfId="0" applyNumberFormat="1" applyFill="1" applyBorder="1"/>
    <xf numFmtId="1" fontId="0" fillId="21" borderId="18" xfId="0" applyNumberFormat="1" applyFill="1" applyBorder="1"/>
    <xf numFmtId="1" fontId="29" fillId="21" borderId="11" xfId="0" applyNumberFormat="1" applyFont="1" applyFill="1" applyBorder="1"/>
    <xf numFmtId="0" fontId="0" fillId="21" borderId="5" xfId="0" applyFill="1" applyBorder="1" applyAlignment="1">
      <alignment horizontal="center" vertical="center"/>
    </xf>
    <xf numFmtId="0" fontId="0" fillId="21" borderId="5" xfId="0" applyFill="1" applyBorder="1"/>
    <xf numFmtId="0" fontId="1" fillId="21" borderId="5" xfId="0" applyFont="1" applyFill="1" applyBorder="1" applyAlignment="1">
      <alignment horizontal="center" vertical="center"/>
    </xf>
    <xf numFmtId="0" fontId="29" fillId="21" borderId="13" xfId="0" applyFont="1" applyFill="1" applyBorder="1"/>
    <xf numFmtId="0" fontId="0" fillId="22" borderId="5" xfId="0" applyFill="1" applyBorder="1" applyAlignment="1">
      <alignment horizontal="center" vertical="center"/>
    </xf>
    <xf numFmtId="0" fontId="0" fillId="22" borderId="5" xfId="0" applyFill="1" applyBorder="1"/>
    <xf numFmtId="1" fontId="0" fillId="22" borderId="5" xfId="0" applyNumberFormat="1" applyFill="1" applyBorder="1"/>
    <xf numFmtId="1" fontId="29" fillId="22" borderId="12" xfId="0" applyNumberFormat="1" applyFont="1" applyFill="1" applyBorder="1"/>
    <xf numFmtId="1" fontId="0" fillId="22" borderId="6" xfId="0" applyNumberFormat="1" applyFont="1" applyFill="1" applyBorder="1"/>
    <xf numFmtId="1" fontId="0" fillId="22" borderId="7" xfId="0" applyNumberFormat="1" applyFill="1" applyBorder="1"/>
    <xf numFmtId="1" fontId="0" fillId="22" borderId="24" xfId="0" applyNumberFormat="1" applyFill="1" applyBorder="1"/>
    <xf numFmtId="0" fontId="1" fillId="22" borderId="5" xfId="0" applyFont="1" applyFill="1" applyBorder="1" applyAlignment="1">
      <alignment horizontal="center" vertical="center"/>
    </xf>
    <xf numFmtId="0" fontId="15" fillId="22" borderId="5" xfId="0" applyFont="1" applyFill="1" applyBorder="1" applyAlignment="1">
      <alignment horizontal="center" vertical="center"/>
    </xf>
    <xf numFmtId="0" fontId="29" fillId="22" borderId="12" xfId="0" applyFont="1" applyFill="1" applyBorder="1"/>
    <xf numFmtId="0" fontId="1" fillId="0" borderId="0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wrapText="1"/>
    </xf>
    <xf numFmtId="0" fontId="0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14" fillId="0" borderId="5" xfId="0" applyFont="1" applyBorder="1" applyAlignment="1">
      <alignment horizontal="center" vertical="center"/>
    </xf>
    <xf numFmtId="0" fontId="14" fillId="22" borderId="5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5" fillId="0" borderId="5" xfId="0" applyFont="1" applyBorder="1"/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16" fillId="4" borderId="5" xfId="0" applyFont="1" applyFill="1" applyBorder="1" applyAlignment="1">
      <alignment horizontal="center"/>
    </xf>
    <xf numFmtId="0" fontId="16" fillId="4" borderId="5" xfId="0" applyFont="1" applyFill="1" applyBorder="1"/>
    <xf numFmtId="0" fontId="24" fillId="0" borderId="5" xfId="0" applyFont="1" applyBorder="1" applyAlignment="1">
      <alignment horizontal="center" vertical="center"/>
    </xf>
    <xf numFmtId="0" fontId="19" fillId="0" borderId="5" xfId="0" applyFont="1" applyBorder="1"/>
    <xf numFmtId="0" fontId="15" fillId="4" borderId="5" xfId="0" applyFont="1" applyFill="1" applyBorder="1" applyAlignment="1">
      <alignment horizontal="center"/>
    </xf>
    <xf numFmtId="0" fontId="15" fillId="4" borderId="5" xfId="0" applyFont="1" applyFill="1" applyBorder="1"/>
    <xf numFmtId="0" fontId="23" fillId="0" borderId="1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5" fillId="0" borderId="5" xfId="0" applyFont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/>
    </xf>
    <xf numFmtId="0" fontId="19" fillId="4" borderId="5" xfId="0" applyFont="1" applyFill="1" applyBorder="1"/>
    <xf numFmtId="0" fontId="0" fillId="0" borderId="6" xfId="0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4" fillId="4" borderId="5" xfId="0" applyFont="1" applyFill="1" applyBorder="1" applyAlignment="1">
      <alignment horizontal="center"/>
    </xf>
    <xf numFmtId="0" fontId="24" fillId="4" borderId="5" xfId="0" applyFont="1" applyFill="1" applyBorder="1"/>
    <xf numFmtId="0" fontId="19" fillId="0" borderId="5" xfId="0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  <xf numFmtId="0" fontId="19" fillId="0" borderId="32" xfId="0" applyFont="1" applyBorder="1"/>
    <xf numFmtId="0" fontId="19" fillId="0" borderId="37" xfId="0" applyFont="1" applyBorder="1"/>
    <xf numFmtId="0" fontId="14" fillId="8" borderId="39" xfId="0" applyFont="1" applyFill="1" applyBorder="1" applyAlignment="1">
      <alignment horizontal="center" vertical="center" wrapText="1"/>
    </xf>
    <xf numFmtId="0" fontId="14" fillId="8" borderId="40" xfId="0" applyFont="1" applyFill="1" applyBorder="1" applyAlignment="1">
      <alignment horizontal="center" vertical="center" wrapText="1"/>
    </xf>
    <xf numFmtId="0" fontId="14" fillId="8" borderId="41" xfId="0" applyFont="1" applyFill="1" applyBorder="1" applyAlignment="1">
      <alignment horizontal="center" vertical="center" wrapText="1"/>
    </xf>
    <xf numFmtId="0" fontId="21" fillId="10" borderId="75" xfId="0" applyFont="1" applyFill="1" applyBorder="1" applyAlignment="1">
      <alignment horizontal="center"/>
    </xf>
    <xf numFmtId="0" fontId="21" fillId="4" borderId="76" xfId="0" applyFont="1" applyFill="1" applyBorder="1"/>
    <xf numFmtId="0" fontId="23" fillId="0" borderId="31" xfId="0" applyFont="1" applyBorder="1" applyAlignment="1">
      <alignment horizontal="center"/>
    </xf>
    <xf numFmtId="0" fontId="0" fillId="0" borderId="0" xfId="0" applyFont="1" applyAlignment="1"/>
    <xf numFmtId="0" fontId="31" fillId="0" borderId="32" xfId="0" applyFont="1" applyBorder="1" applyAlignment="1">
      <alignment horizontal="center"/>
    </xf>
    <xf numFmtId="0" fontId="31" fillId="0" borderId="33" xfId="0" applyFont="1" applyBorder="1" applyAlignment="1">
      <alignment horizontal="center"/>
    </xf>
    <xf numFmtId="0" fontId="19" fillId="0" borderId="33" xfId="0" applyFont="1" applyBorder="1"/>
    <xf numFmtId="0" fontId="25" fillId="0" borderId="38" xfId="0" applyFont="1" applyBorder="1" applyAlignment="1">
      <alignment horizontal="center" vertical="center"/>
    </xf>
    <xf numFmtId="0" fontId="32" fillId="10" borderId="75" xfId="0" applyFont="1" applyFill="1" applyBorder="1" applyAlignment="1">
      <alignment horizontal="center"/>
    </xf>
    <xf numFmtId="0" fontId="19" fillId="0" borderId="76" xfId="0" applyFont="1" applyBorder="1"/>
    <xf numFmtId="0" fontId="23" fillId="0" borderId="75" xfId="0" applyFont="1" applyBorder="1" applyAlignment="1">
      <alignment horizontal="center"/>
    </xf>
    <xf numFmtId="0" fontId="19" fillId="0" borderId="44" xfId="0" applyFont="1" applyBorder="1"/>
    <xf numFmtId="0" fontId="0" fillId="0" borderId="22" xfId="0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5" fillId="2" borderId="40" xfId="0" applyFont="1" applyFill="1" applyBorder="1" applyAlignment="1">
      <alignment horizontal="center" vertical="center"/>
    </xf>
    <xf numFmtId="0" fontId="35" fillId="2" borderId="79" xfId="0" applyFont="1" applyFill="1" applyBorder="1" applyAlignment="1">
      <alignment horizontal="center" vertical="center"/>
    </xf>
    <xf numFmtId="0" fontId="1" fillId="7" borderId="39" xfId="0" applyFont="1" applyFill="1" applyBorder="1" applyAlignment="1">
      <alignment horizontal="center" vertical="center" wrapText="1"/>
    </xf>
    <xf numFmtId="0" fontId="1" fillId="7" borderId="40" xfId="0" applyFont="1" applyFill="1" applyBorder="1" applyAlignment="1">
      <alignment horizontal="center" vertical="center" wrapText="1"/>
    </xf>
    <xf numFmtId="0" fontId="0" fillId="4" borderId="39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1" fillId="7" borderId="41" xfId="0" applyFont="1" applyFill="1" applyBorder="1" applyAlignment="1">
      <alignment horizontal="center" vertical="center" wrapText="1"/>
    </xf>
    <xf numFmtId="0" fontId="35" fillId="16" borderId="40" xfId="0" applyFont="1" applyFill="1" applyBorder="1" applyAlignment="1">
      <alignment horizontal="center" vertical="center"/>
    </xf>
    <xf numFmtId="0" fontId="35" fillId="17" borderId="40" xfId="0" applyFont="1" applyFill="1" applyBorder="1" applyAlignment="1">
      <alignment horizontal="center" vertical="center" wrapText="1"/>
    </xf>
    <xf numFmtId="0" fontId="35" fillId="14" borderId="4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35" fillId="2" borderId="1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30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4" borderId="98" xfId="0" applyFill="1" applyBorder="1" applyAlignment="1">
      <alignment horizontal="center"/>
    </xf>
    <xf numFmtId="0" fontId="35" fillId="2" borderId="90" xfId="0" applyFont="1" applyFill="1" applyBorder="1" applyAlignment="1">
      <alignment horizontal="center" vertical="center"/>
    </xf>
    <xf numFmtId="0" fontId="35" fillId="2" borderId="87" xfId="0" applyFont="1" applyFill="1" applyBorder="1" applyAlignment="1">
      <alignment horizontal="center" vertical="center"/>
    </xf>
    <xf numFmtId="0" fontId="35" fillId="2" borderId="8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16" borderId="30" xfId="0" applyFont="1" applyFill="1" applyBorder="1" applyAlignment="1">
      <alignment horizontal="center" vertical="center"/>
    </xf>
    <xf numFmtId="0" fontId="1" fillId="19" borderId="117" xfId="0" applyFont="1" applyFill="1" applyBorder="1" applyAlignment="1">
      <alignment horizontal="center" vertical="center" wrapText="1"/>
    </xf>
    <xf numFmtId="0" fontId="1" fillId="19" borderId="11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30" xfId="0" applyFont="1" applyFill="1" applyBorder="1" applyAlignment="1">
      <alignment horizontal="center" vertical="center" wrapText="1"/>
    </xf>
    <xf numFmtId="0" fontId="0" fillId="0" borderId="113" xfId="0" applyBorder="1" applyAlignment="1">
      <alignment horizontal="center"/>
    </xf>
    <xf numFmtId="0" fontId="1" fillId="2" borderId="81" xfId="0" applyFont="1" applyFill="1" applyBorder="1" applyAlignment="1">
      <alignment horizontal="center" vertical="center"/>
    </xf>
    <xf numFmtId="0" fontId="1" fillId="2" borderId="117" xfId="0" applyFont="1" applyFill="1" applyBorder="1" applyAlignment="1">
      <alignment horizontal="center" vertical="center"/>
    </xf>
    <xf numFmtId="0" fontId="1" fillId="2" borderId="111" xfId="0" applyFont="1" applyFill="1" applyBorder="1" applyAlignment="1">
      <alignment horizontal="center" vertical="center"/>
    </xf>
    <xf numFmtId="0" fontId="1" fillId="8" borderId="4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8" borderId="110" xfId="0" applyFont="1" applyFill="1" applyBorder="1" applyAlignment="1">
      <alignment horizontal="center" vertical="center" wrapText="1"/>
    </xf>
    <xf numFmtId="0" fontId="1" fillId="8" borderId="114" xfId="0" applyFont="1" applyFill="1" applyBorder="1" applyAlignment="1">
      <alignment horizontal="center" vertical="center" wrapText="1"/>
    </xf>
    <xf numFmtId="0" fontId="1" fillId="8" borderId="115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0" xfId="0" applyFont="1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1" fillId="14" borderId="6" xfId="0" applyFont="1" applyFill="1" applyBorder="1" applyAlignment="1">
      <alignment horizontal="center"/>
    </xf>
    <xf numFmtId="0" fontId="1" fillId="14" borderId="22" xfId="0" applyFont="1" applyFill="1" applyBorder="1" applyAlignment="1">
      <alignment horizontal="center"/>
    </xf>
    <xf numFmtId="0" fontId="10" fillId="8" borderId="79" xfId="0" applyFont="1" applyFill="1" applyBorder="1" applyAlignment="1">
      <alignment horizontal="center"/>
    </xf>
    <xf numFmtId="0" fontId="10" fillId="8" borderId="98" xfId="0" applyFont="1" applyFill="1" applyBorder="1" applyAlignment="1">
      <alignment horizontal="center"/>
    </xf>
    <xf numFmtId="0" fontId="35" fillId="0" borderId="79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1" fillId="8" borderId="39" xfId="0" applyFont="1" applyFill="1" applyBorder="1" applyAlignment="1">
      <alignment horizontal="center" vertical="center"/>
    </xf>
    <xf numFmtId="0" fontId="1" fillId="8" borderId="4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/>
    </xf>
    <xf numFmtId="0" fontId="34" fillId="3" borderId="2" xfId="0" applyFont="1" applyFill="1" applyBorder="1" applyAlignment="1">
      <alignment horizontal="center"/>
    </xf>
    <xf numFmtId="0" fontId="34" fillId="3" borderId="30" xfId="0" applyFont="1" applyFill="1" applyBorder="1" applyAlignment="1">
      <alignment horizontal="center"/>
    </xf>
    <xf numFmtId="0" fontId="35" fillId="0" borderId="40" xfId="0" applyFont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 wrapText="1"/>
    </xf>
    <xf numFmtId="0" fontId="35" fillId="7" borderId="79" xfId="0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 vertical="center" wrapText="1"/>
    </xf>
    <xf numFmtId="0" fontId="35" fillId="8" borderId="2" xfId="0" applyFont="1" applyFill="1" applyBorder="1" applyAlignment="1">
      <alignment horizontal="center" vertical="center" wrapText="1"/>
    </xf>
    <xf numFmtId="0" fontId="35" fillId="8" borderId="30" xfId="0" applyFont="1" applyFill="1" applyBorder="1" applyAlignment="1">
      <alignment horizontal="center" vertical="center" wrapText="1"/>
    </xf>
    <xf numFmtId="0" fontId="17" fillId="8" borderId="79" xfId="0" applyFont="1" applyFill="1" applyBorder="1" applyAlignment="1">
      <alignment horizontal="center"/>
    </xf>
    <xf numFmtId="0" fontId="17" fillId="8" borderId="98" xfId="0" applyFon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22" xfId="0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35" fillId="8" borderId="39" xfId="0" applyFont="1" applyFill="1" applyBorder="1" applyAlignment="1">
      <alignment horizontal="center" vertical="center"/>
    </xf>
    <xf numFmtId="0" fontId="35" fillId="8" borderId="40" xfId="0" applyFont="1" applyFill="1" applyBorder="1" applyAlignment="1">
      <alignment horizontal="center" vertical="center"/>
    </xf>
    <xf numFmtId="0" fontId="35" fillId="8" borderId="41" xfId="0" applyFont="1" applyFill="1" applyBorder="1" applyAlignment="1">
      <alignment horizontal="center" vertical="center"/>
    </xf>
    <xf numFmtId="0" fontId="0" fillId="8" borderId="40" xfId="0" applyFill="1" applyBorder="1" applyAlignment="1">
      <alignment horizontal="center"/>
    </xf>
    <xf numFmtId="0" fontId="0" fillId="8" borderId="79" xfId="0" applyFill="1" applyBorder="1" applyAlignment="1">
      <alignment horizontal="center"/>
    </xf>
    <xf numFmtId="0" fontId="0" fillId="8" borderId="98" xfId="0" applyFill="1" applyBorder="1" applyAlignment="1">
      <alignment horizontal="center"/>
    </xf>
    <xf numFmtId="0" fontId="0" fillId="14" borderId="79" xfId="0" applyFill="1" applyBorder="1" applyAlignment="1">
      <alignment horizontal="center"/>
    </xf>
    <xf numFmtId="0" fontId="0" fillId="14" borderId="98" xfId="0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BH192"/>
  <sheetViews>
    <sheetView workbookViewId="0">
      <pane xSplit="5" ySplit="7" topLeftCell="AN176" activePane="bottomRight" state="frozen"/>
      <selection pane="topRight" activeCell="F1" sqref="F1"/>
      <selection pane="bottomLeft" activeCell="A8" sqref="A8"/>
      <selection pane="bottomRight" activeCell="AS177" sqref="AS177"/>
    </sheetView>
  </sheetViews>
  <sheetFormatPr defaultRowHeight="14.25"/>
  <cols>
    <col min="1" max="1" width="4.59765625" customWidth="1"/>
    <col min="2" max="2" width="43.73046875" bestFit="1" customWidth="1"/>
    <col min="3" max="3" width="21.86328125" bestFit="1" customWidth="1"/>
    <col min="4" max="4" width="8.265625" bestFit="1" customWidth="1"/>
    <col min="5" max="5" width="8" customWidth="1"/>
    <col min="6" max="29" width="8.3984375" customWidth="1"/>
    <col min="30" max="30" width="0" hidden="1" customWidth="1"/>
    <col min="43" max="43" width="9.59765625" bestFit="1" customWidth="1"/>
    <col min="44" max="44" width="9.265625" bestFit="1" customWidth="1"/>
    <col min="45" max="45" width="9.59765625" bestFit="1" customWidth="1"/>
  </cols>
  <sheetData>
    <row r="1" spans="1:60" ht="25.5" customHeight="1" thickBot="1">
      <c r="A1" s="965" t="s">
        <v>342</v>
      </c>
      <c r="B1" s="966"/>
      <c r="C1" s="966"/>
      <c r="D1" s="966"/>
      <c r="E1" s="966"/>
      <c r="F1" s="966"/>
      <c r="G1" s="966"/>
      <c r="H1" s="966"/>
      <c r="I1" s="23"/>
      <c r="J1" s="23"/>
      <c r="K1" s="23"/>
      <c r="L1" s="28"/>
      <c r="M1" s="28"/>
      <c r="N1" s="28"/>
      <c r="O1" s="30"/>
      <c r="P1" s="30"/>
      <c r="Q1" s="30"/>
      <c r="R1" s="31"/>
      <c r="S1" s="31"/>
      <c r="T1" s="31"/>
      <c r="U1" s="33"/>
      <c r="V1" s="33"/>
      <c r="W1" s="33"/>
      <c r="X1" s="33"/>
      <c r="Y1" s="33"/>
      <c r="Z1" s="33"/>
      <c r="AA1" s="33"/>
      <c r="AB1" s="33"/>
      <c r="AC1" s="33"/>
    </row>
    <row r="3" spans="1:60" ht="18.75" customHeight="1">
      <c r="A3" t="s">
        <v>0</v>
      </c>
    </row>
    <row r="5" spans="1:60">
      <c r="A5" t="s">
        <v>1</v>
      </c>
    </row>
    <row r="6" spans="1:60" s="6" customFormat="1" ht="34.5" customHeight="1">
      <c r="A6" s="37"/>
      <c r="B6" s="37"/>
      <c r="C6" s="37"/>
      <c r="D6" s="37"/>
      <c r="E6" s="964" t="s">
        <v>3</v>
      </c>
      <c r="F6" s="38"/>
      <c r="G6" s="39"/>
      <c r="H6" s="39" t="s">
        <v>883</v>
      </c>
      <c r="I6" s="38"/>
      <c r="J6" s="39"/>
      <c r="K6" s="39" t="s">
        <v>889</v>
      </c>
      <c r="L6" s="38"/>
      <c r="M6" s="39"/>
      <c r="N6" s="39" t="s">
        <v>895</v>
      </c>
      <c r="O6" s="38"/>
      <c r="P6" s="39"/>
      <c r="Q6" s="39" t="s">
        <v>896</v>
      </c>
      <c r="R6" s="38"/>
      <c r="S6" s="39"/>
      <c r="T6" s="39" t="s">
        <v>897</v>
      </c>
      <c r="U6" s="967" t="s">
        <v>898</v>
      </c>
      <c r="V6" s="967"/>
      <c r="W6" s="967"/>
      <c r="X6" s="968" t="s">
        <v>901</v>
      </c>
      <c r="Y6" s="968"/>
      <c r="Z6" s="968"/>
      <c r="AA6" s="968" t="s">
        <v>902</v>
      </c>
      <c r="AB6" s="968"/>
      <c r="AC6" s="968"/>
      <c r="AD6" s="964" t="s">
        <v>4</v>
      </c>
      <c r="AE6" s="967" t="s">
        <v>3311</v>
      </c>
      <c r="AF6" s="967"/>
      <c r="AG6" s="967"/>
      <c r="AH6" s="967" t="s">
        <v>3312</v>
      </c>
      <c r="AI6" s="967"/>
      <c r="AJ6" s="967"/>
      <c r="AK6" s="967" t="s">
        <v>3313</v>
      </c>
      <c r="AL6" s="967"/>
      <c r="AM6" s="967"/>
      <c r="AN6" s="968" t="s">
        <v>3332</v>
      </c>
      <c r="AO6" s="968"/>
      <c r="AP6" s="968"/>
      <c r="AQ6" s="969" t="s">
        <v>3336</v>
      </c>
      <c r="AR6" s="969"/>
      <c r="AS6" s="969"/>
      <c r="AT6" s="967" t="s">
        <v>3314</v>
      </c>
      <c r="AU6" s="967"/>
      <c r="AV6" s="967"/>
      <c r="AW6" s="967" t="s">
        <v>3315</v>
      </c>
      <c r="AX6" s="967"/>
      <c r="AY6" s="967"/>
      <c r="AZ6" s="967" t="s">
        <v>3316</v>
      </c>
      <c r="BA6" s="967"/>
      <c r="BB6" s="967"/>
      <c r="BC6" s="970" t="s">
        <v>3317</v>
      </c>
      <c r="BD6" s="970"/>
      <c r="BE6" s="970"/>
      <c r="BF6" s="970" t="s">
        <v>3318</v>
      </c>
      <c r="BG6" s="970"/>
      <c r="BH6" s="970"/>
    </row>
    <row r="7" spans="1:60" s="6" customFormat="1" ht="18.75" customHeight="1">
      <c r="A7" s="37" t="s">
        <v>5</v>
      </c>
      <c r="B7" s="34" t="s">
        <v>6</v>
      </c>
      <c r="C7" s="34" t="s">
        <v>7</v>
      </c>
      <c r="D7" s="34" t="s">
        <v>8</v>
      </c>
      <c r="E7" s="964"/>
      <c r="F7" s="34" t="s">
        <v>9</v>
      </c>
      <c r="G7" s="37" t="s">
        <v>10</v>
      </c>
      <c r="H7" s="37" t="s">
        <v>11</v>
      </c>
      <c r="I7" s="34" t="s">
        <v>9</v>
      </c>
      <c r="J7" s="37" t="s">
        <v>10</v>
      </c>
      <c r="K7" s="37" t="s">
        <v>11</v>
      </c>
      <c r="L7" s="34" t="s">
        <v>9</v>
      </c>
      <c r="M7" s="37" t="s">
        <v>10</v>
      </c>
      <c r="N7" s="37" t="s">
        <v>11</v>
      </c>
      <c r="O7" s="34" t="s">
        <v>9</v>
      </c>
      <c r="P7" s="37" t="s">
        <v>10</v>
      </c>
      <c r="Q7" s="37" t="s">
        <v>11</v>
      </c>
      <c r="R7" s="34" t="s">
        <v>9</v>
      </c>
      <c r="S7" s="37" t="s">
        <v>10</v>
      </c>
      <c r="T7" s="37" t="s">
        <v>11</v>
      </c>
      <c r="U7" s="34" t="s">
        <v>9</v>
      </c>
      <c r="V7" s="34" t="s">
        <v>10</v>
      </c>
      <c r="W7" s="34" t="s">
        <v>11</v>
      </c>
      <c r="X7" s="40" t="s">
        <v>9</v>
      </c>
      <c r="Y7" s="40" t="s">
        <v>10</v>
      </c>
      <c r="Z7" s="40" t="s">
        <v>11</v>
      </c>
      <c r="AA7" s="40" t="s">
        <v>9</v>
      </c>
      <c r="AB7" s="40" t="s">
        <v>10</v>
      </c>
      <c r="AC7" s="40" t="s">
        <v>11</v>
      </c>
      <c r="AD7" s="964"/>
      <c r="AE7" s="685" t="s">
        <v>9</v>
      </c>
      <c r="AF7" s="685" t="s">
        <v>10</v>
      </c>
      <c r="AG7" s="685" t="s">
        <v>11</v>
      </c>
      <c r="AH7" s="685" t="s">
        <v>9</v>
      </c>
      <c r="AI7" s="685" t="s">
        <v>10</v>
      </c>
      <c r="AJ7" s="685" t="s">
        <v>11</v>
      </c>
      <c r="AK7" s="685" t="s">
        <v>9</v>
      </c>
      <c r="AL7" s="685" t="s">
        <v>10</v>
      </c>
      <c r="AM7" s="685" t="s">
        <v>11</v>
      </c>
      <c r="AN7" s="685" t="s">
        <v>9</v>
      </c>
      <c r="AO7" s="685" t="s">
        <v>10</v>
      </c>
      <c r="AP7" s="685" t="s">
        <v>11</v>
      </c>
      <c r="AQ7" s="949" t="s">
        <v>9</v>
      </c>
      <c r="AR7" s="949" t="s">
        <v>10</v>
      </c>
      <c r="AS7" s="949" t="s">
        <v>11</v>
      </c>
      <c r="AT7" s="685" t="s">
        <v>9</v>
      </c>
      <c r="AU7" s="685" t="s">
        <v>10</v>
      </c>
      <c r="AV7" s="925" t="s">
        <v>2780</v>
      </c>
      <c r="AW7" s="925" t="s">
        <v>9</v>
      </c>
      <c r="AX7" s="925" t="s">
        <v>10</v>
      </c>
      <c r="AY7" s="925" t="s">
        <v>2780</v>
      </c>
      <c r="AZ7" s="925" t="s">
        <v>9</v>
      </c>
      <c r="BA7" s="925" t="s">
        <v>10</v>
      </c>
      <c r="BB7" s="925" t="s">
        <v>2780</v>
      </c>
      <c r="BC7" s="64"/>
      <c r="BD7" s="64"/>
      <c r="BE7" s="64"/>
      <c r="BF7" s="64"/>
      <c r="BG7" s="64"/>
      <c r="BH7" s="64"/>
    </row>
    <row r="8" spans="1:60" s="6" customFormat="1">
      <c r="A8" s="6">
        <v>1</v>
      </c>
      <c r="B8" s="3" t="s">
        <v>12</v>
      </c>
      <c r="C8" s="6" t="s">
        <v>13</v>
      </c>
      <c r="D8" s="6" t="s">
        <v>14</v>
      </c>
      <c r="E8" s="2">
        <v>20</v>
      </c>
      <c r="H8" s="6">
        <f t="shared" ref="H8:H39" si="0">SUM(F8:G8)</f>
        <v>0</v>
      </c>
      <c r="I8" s="6">
        <v>20</v>
      </c>
      <c r="K8" s="6">
        <f t="shared" ref="K8:K71" si="1">SUM(I8:J8)</f>
        <v>20</v>
      </c>
      <c r="L8" s="6">
        <v>20</v>
      </c>
      <c r="N8" s="6">
        <f t="shared" ref="N8:N71" si="2">SUM(L8:M8)</f>
        <v>20</v>
      </c>
      <c r="O8" s="6">
        <v>20</v>
      </c>
      <c r="Q8" s="6">
        <f t="shared" ref="Q8:Q71" si="3">SUM(O8:P8)</f>
        <v>20</v>
      </c>
      <c r="R8" s="6">
        <v>26</v>
      </c>
      <c r="U8" s="109"/>
      <c r="X8" s="88">
        <f>F8+I8+L8+O8+R8+U8</f>
        <v>86</v>
      </c>
      <c r="Y8" s="41">
        <f>G8+J8+M8+P8+S8+V8</f>
        <v>0</v>
      </c>
      <c r="Z8" s="41">
        <f>H8+K8+N8+Q8+T8+W8</f>
        <v>60</v>
      </c>
      <c r="AA8" s="42">
        <f>X8/6</f>
        <v>14.333333333333334</v>
      </c>
      <c r="AB8" s="42">
        <f>Y8/6</f>
        <v>0</v>
      </c>
      <c r="AC8" s="42">
        <f>Z8/6</f>
        <v>10</v>
      </c>
      <c r="AD8" s="35" t="s">
        <v>15</v>
      </c>
      <c r="AG8" s="6">
        <f>AE8+AF8</f>
        <v>0</v>
      </c>
      <c r="AH8" s="6">
        <v>20</v>
      </c>
      <c r="AI8" s="6">
        <v>0</v>
      </c>
      <c r="AJ8" s="98">
        <f>AH8+AI8</f>
        <v>20</v>
      </c>
      <c r="AK8" s="6">
        <v>20</v>
      </c>
      <c r="AM8" s="98">
        <f>AK8+AL8</f>
        <v>20</v>
      </c>
      <c r="AN8" s="6">
        <f>X8+AE8+AH8+AK8</f>
        <v>126</v>
      </c>
      <c r="AO8" s="6">
        <f>Y8+AF8+AI8+AL8</f>
        <v>0</v>
      </c>
      <c r="AP8" s="6">
        <f>Z8+AG8+AJ8+AM8</f>
        <v>100</v>
      </c>
      <c r="AQ8" s="950">
        <f>AN8/9</f>
        <v>14</v>
      </c>
      <c r="AR8" s="950">
        <f>AO8/9</f>
        <v>0</v>
      </c>
      <c r="AS8" s="943">
        <f>AP8/9</f>
        <v>11.111111111111111</v>
      </c>
      <c r="BC8" s="64"/>
      <c r="BD8" s="64"/>
      <c r="BE8" s="64"/>
      <c r="BF8" s="64"/>
      <c r="BG8" s="64"/>
      <c r="BH8" s="64"/>
    </row>
    <row r="9" spans="1:60" s="6" customFormat="1">
      <c r="A9" s="1">
        <v>2</v>
      </c>
      <c r="B9" s="3" t="s">
        <v>16</v>
      </c>
      <c r="C9" s="1" t="s">
        <v>13</v>
      </c>
      <c r="D9" s="1" t="s">
        <v>17</v>
      </c>
      <c r="E9" s="2">
        <v>20</v>
      </c>
      <c r="H9" s="6">
        <f t="shared" si="0"/>
        <v>0</v>
      </c>
      <c r="I9" s="6">
        <v>11</v>
      </c>
      <c r="K9" s="6">
        <f t="shared" si="1"/>
        <v>11</v>
      </c>
      <c r="N9" s="6">
        <f t="shared" si="2"/>
        <v>0</v>
      </c>
      <c r="O9" s="6">
        <v>15</v>
      </c>
      <c r="Q9" s="6">
        <f t="shared" si="3"/>
        <v>15</v>
      </c>
      <c r="U9" s="109"/>
      <c r="X9" s="88">
        <f t="shared" ref="X9:X72" si="4">F9+I9+L9+O9+R9+U9</f>
        <v>26</v>
      </c>
      <c r="Y9" s="41">
        <f t="shared" ref="Y9:Y72" si="5">G9+J9+M9+P9+S9+V9</f>
        <v>0</v>
      </c>
      <c r="Z9" s="41">
        <f t="shared" ref="Z9:Z72" si="6">H9+K9+N9+Q9+T9+W9</f>
        <v>26</v>
      </c>
      <c r="AA9" s="42">
        <f t="shared" ref="AA9:AA72" si="7">X9/6</f>
        <v>4.333333333333333</v>
      </c>
      <c r="AB9" s="42">
        <f t="shared" ref="AB9:AB72" si="8">Y9/6</f>
        <v>0</v>
      </c>
      <c r="AC9" s="42">
        <f t="shared" ref="AC9:AC72" si="9">Z9/6</f>
        <v>4.333333333333333</v>
      </c>
      <c r="AD9" s="35" t="s">
        <v>18</v>
      </c>
      <c r="AE9" s="6">
        <v>15</v>
      </c>
      <c r="AG9" s="6">
        <f t="shared" ref="AG9:AG20" si="10">AE9+AF9</f>
        <v>15</v>
      </c>
      <c r="AH9" s="6">
        <v>0</v>
      </c>
      <c r="AI9" s="6">
        <v>0</v>
      </c>
      <c r="AJ9" s="98">
        <f t="shared" ref="AJ9:AJ20" si="11">AH9+AI9</f>
        <v>0</v>
      </c>
      <c r="AK9" s="6">
        <v>11</v>
      </c>
      <c r="AM9" s="98">
        <f t="shared" ref="AM9:AM20" si="12">AK9+AL9</f>
        <v>11</v>
      </c>
      <c r="AN9" s="6">
        <f t="shared" ref="AN9:AN20" si="13">X9+AE9+AH9+AK9</f>
        <v>52</v>
      </c>
      <c r="AO9" s="6">
        <f t="shared" ref="AO9:AO20" si="14">Y9+AF9+AI9+AL9</f>
        <v>0</v>
      </c>
      <c r="AP9" s="6">
        <f t="shared" ref="AP9:AP20" si="15">Z9+AG9+AJ9+AM9</f>
        <v>52</v>
      </c>
      <c r="AQ9" s="943">
        <f t="shared" ref="AQ9:AQ20" si="16">AN9/9</f>
        <v>5.7777777777777777</v>
      </c>
      <c r="AR9" s="943">
        <f t="shared" ref="AR9:AR20" si="17">AO9/9</f>
        <v>0</v>
      </c>
      <c r="AS9" s="943">
        <f t="shared" ref="AS9:AS20" si="18">AP9/9</f>
        <v>5.7777777777777777</v>
      </c>
      <c r="BC9" s="64"/>
      <c r="BD9" s="64"/>
      <c r="BE9" s="64"/>
      <c r="BF9" s="64"/>
      <c r="BG9" s="64"/>
      <c r="BH9" s="64"/>
    </row>
    <row r="10" spans="1:60" s="6" customFormat="1">
      <c r="A10" s="6">
        <v>3</v>
      </c>
      <c r="B10" s="3" t="s">
        <v>19</v>
      </c>
      <c r="C10" s="1" t="s">
        <v>13</v>
      </c>
      <c r="D10" s="1" t="s">
        <v>20</v>
      </c>
      <c r="E10" s="2">
        <v>30</v>
      </c>
      <c r="F10" s="6">
        <v>50</v>
      </c>
      <c r="H10" s="6">
        <f t="shared" si="0"/>
        <v>50</v>
      </c>
      <c r="I10" s="6">
        <v>38</v>
      </c>
      <c r="K10" s="6">
        <f t="shared" si="1"/>
        <v>38</v>
      </c>
      <c r="L10" s="6">
        <v>26</v>
      </c>
      <c r="N10" s="6">
        <f t="shared" si="2"/>
        <v>26</v>
      </c>
      <c r="O10" s="6">
        <v>66</v>
      </c>
      <c r="Q10" s="6">
        <f t="shared" si="3"/>
        <v>66</v>
      </c>
      <c r="R10" s="6">
        <v>91</v>
      </c>
      <c r="U10" s="109"/>
      <c r="X10" s="88">
        <f t="shared" si="4"/>
        <v>271</v>
      </c>
      <c r="Y10" s="41">
        <f t="shared" si="5"/>
        <v>0</v>
      </c>
      <c r="Z10" s="41">
        <f t="shared" si="6"/>
        <v>180</v>
      </c>
      <c r="AA10" s="42">
        <f t="shared" si="7"/>
        <v>45.166666666666664</v>
      </c>
      <c r="AB10" s="42">
        <f t="shared" si="8"/>
        <v>0</v>
      </c>
      <c r="AC10" s="42">
        <f t="shared" si="9"/>
        <v>30</v>
      </c>
      <c r="AD10" s="35" t="s">
        <v>15</v>
      </c>
      <c r="AE10" s="6">
        <v>50</v>
      </c>
      <c r="AG10" s="6">
        <f t="shared" si="10"/>
        <v>50</v>
      </c>
      <c r="AH10" s="6">
        <v>9</v>
      </c>
      <c r="AJ10" s="98">
        <f t="shared" si="11"/>
        <v>9</v>
      </c>
      <c r="AM10" s="98">
        <f t="shared" si="12"/>
        <v>0</v>
      </c>
      <c r="AN10" s="6">
        <f t="shared" si="13"/>
        <v>330</v>
      </c>
      <c r="AO10" s="6">
        <f t="shared" si="14"/>
        <v>0</v>
      </c>
      <c r="AP10" s="6">
        <f t="shared" si="15"/>
        <v>239</v>
      </c>
      <c r="AQ10" s="943">
        <f t="shared" si="16"/>
        <v>36.666666666666664</v>
      </c>
      <c r="AR10" s="943">
        <f t="shared" si="17"/>
        <v>0</v>
      </c>
      <c r="AS10" s="943">
        <f t="shared" si="18"/>
        <v>26.555555555555557</v>
      </c>
      <c r="BC10" s="64"/>
      <c r="BD10" s="64"/>
      <c r="BE10" s="64"/>
      <c r="BF10" s="64"/>
      <c r="BG10" s="64"/>
      <c r="BH10" s="64"/>
    </row>
    <row r="11" spans="1:60" s="6" customFormat="1">
      <c r="A11" s="1">
        <v>4</v>
      </c>
      <c r="B11" s="3" t="s">
        <v>21</v>
      </c>
      <c r="C11" s="1" t="s">
        <v>13</v>
      </c>
      <c r="D11" s="1" t="s">
        <v>22</v>
      </c>
      <c r="E11" s="2">
        <v>10</v>
      </c>
      <c r="H11" s="6">
        <f t="shared" si="0"/>
        <v>0</v>
      </c>
      <c r="K11" s="6">
        <f t="shared" si="1"/>
        <v>0</v>
      </c>
      <c r="N11" s="6">
        <f t="shared" si="2"/>
        <v>0</v>
      </c>
      <c r="O11" s="6">
        <v>20</v>
      </c>
      <c r="Q11" s="6">
        <f t="shared" si="3"/>
        <v>20</v>
      </c>
      <c r="U11" s="109">
        <v>0</v>
      </c>
      <c r="W11" s="6">
        <f t="shared" ref="W11:W74" si="19">SUM(U11:V11)</f>
        <v>0</v>
      </c>
      <c r="X11" s="88">
        <f t="shared" si="4"/>
        <v>20</v>
      </c>
      <c r="Y11" s="41">
        <f t="shared" si="5"/>
        <v>0</v>
      </c>
      <c r="Z11" s="41">
        <f t="shared" si="6"/>
        <v>20</v>
      </c>
      <c r="AA11" s="42">
        <f t="shared" si="7"/>
        <v>3.3333333333333335</v>
      </c>
      <c r="AB11" s="42">
        <f t="shared" si="8"/>
        <v>0</v>
      </c>
      <c r="AC11" s="42">
        <f t="shared" si="9"/>
        <v>3.3333333333333335</v>
      </c>
      <c r="AD11" s="35" t="s">
        <v>15</v>
      </c>
      <c r="AG11" s="6">
        <f t="shared" si="10"/>
        <v>0</v>
      </c>
      <c r="AJ11" s="98">
        <f t="shared" si="11"/>
        <v>0</v>
      </c>
      <c r="AK11" s="6">
        <v>13</v>
      </c>
      <c r="AM11" s="98">
        <f t="shared" si="12"/>
        <v>13</v>
      </c>
      <c r="AN11" s="6">
        <f t="shared" si="13"/>
        <v>33</v>
      </c>
      <c r="AO11" s="6">
        <f t="shared" si="14"/>
        <v>0</v>
      </c>
      <c r="AP11" s="6">
        <f t="shared" si="15"/>
        <v>33</v>
      </c>
      <c r="AQ11" s="943">
        <f t="shared" si="16"/>
        <v>3.6666666666666665</v>
      </c>
      <c r="AR11" s="943">
        <f t="shared" si="17"/>
        <v>0</v>
      </c>
      <c r="AS11" s="943">
        <f t="shared" si="18"/>
        <v>3.6666666666666665</v>
      </c>
      <c r="BC11" s="64"/>
      <c r="BD11" s="64"/>
      <c r="BE11" s="64"/>
      <c r="BF11" s="64"/>
      <c r="BG11" s="64"/>
      <c r="BH11" s="64"/>
    </row>
    <row r="12" spans="1:60" s="6" customFormat="1">
      <c r="A12" s="6">
        <v>5</v>
      </c>
      <c r="B12" s="3" t="s">
        <v>23</v>
      </c>
      <c r="C12" s="1" t="s">
        <v>13</v>
      </c>
      <c r="D12" s="1" t="s">
        <v>24</v>
      </c>
      <c r="E12" s="2">
        <v>60</v>
      </c>
      <c r="F12" s="6">
        <v>39</v>
      </c>
      <c r="H12" s="6">
        <f t="shared" si="0"/>
        <v>39</v>
      </c>
      <c r="I12" s="6">
        <v>27</v>
      </c>
      <c r="K12" s="6">
        <f t="shared" si="1"/>
        <v>27</v>
      </c>
      <c r="L12" s="6">
        <v>44</v>
      </c>
      <c r="N12" s="6">
        <f t="shared" si="2"/>
        <v>44</v>
      </c>
      <c r="O12" s="6">
        <v>36</v>
      </c>
      <c r="Q12" s="6">
        <f t="shared" si="3"/>
        <v>36</v>
      </c>
      <c r="R12" s="6">
        <v>9</v>
      </c>
      <c r="U12" s="109"/>
      <c r="W12" s="6">
        <f t="shared" si="19"/>
        <v>0</v>
      </c>
      <c r="X12" s="88">
        <f t="shared" si="4"/>
        <v>155</v>
      </c>
      <c r="Y12" s="41">
        <f t="shared" si="5"/>
        <v>0</v>
      </c>
      <c r="Z12" s="41">
        <f t="shared" si="6"/>
        <v>146</v>
      </c>
      <c r="AA12" s="42">
        <f t="shared" si="7"/>
        <v>25.833333333333332</v>
      </c>
      <c r="AB12" s="42">
        <f t="shared" si="8"/>
        <v>0</v>
      </c>
      <c r="AC12" s="42">
        <f t="shared" si="9"/>
        <v>24.333333333333332</v>
      </c>
      <c r="AD12" s="35" t="s">
        <v>15</v>
      </c>
      <c r="AE12" s="6">
        <v>43</v>
      </c>
      <c r="AG12" s="6">
        <f t="shared" si="10"/>
        <v>43</v>
      </c>
      <c r="AH12" s="6">
        <v>51</v>
      </c>
      <c r="AJ12" s="98">
        <f t="shared" si="11"/>
        <v>51</v>
      </c>
      <c r="AK12" s="6">
        <v>15</v>
      </c>
      <c r="AM12" s="98">
        <f t="shared" si="12"/>
        <v>15</v>
      </c>
      <c r="AN12" s="6">
        <f t="shared" si="13"/>
        <v>264</v>
      </c>
      <c r="AO12" s="6">
        <f t="shared" si="14"/>
        <v>0</v>
      </c>
      <c r="AP12" s="6">
        <f t="shared" si="15"/>
        <v>255</v>
      </c>
      <c r="AQ12" s="943">
        <f t="shared" si="16"/>
        <v>29.333333333333332</v>
      </c>
      <c r="AR12" s="943">
        <f t="shared" si="17"/>
        <v>0</v>
      </c>
      <c r="AS12" s="943">
        <f t="shared" si="18"/>
        <v>28.333333333333332</v>
      </c>
      <c r="BC12" s="64"/>
      <c r="BD12" s="64"/>
      <c r="BE12" s="64"/>
      <c r="BF12" s="64"/>
      <c r="BG12" s="64"/>
      <c r="BH12" s="64"/>
    </row>
    <row r="13" spans="1:60" s="6" customFormat="1">
      <c r="A13" s="1">
        <v>6</v>
      </c>
      <c r="B13" s="3" t="s">
        <v>25</v>
      </c>
      <c r="C13" s="1" t="s">
        <v>13</v>
      </c>
      <c r="D13" s="1" t="s">
        <v>26</v>
      </c>
      <c r="E13" s="2">
        <v>30</v>
      </c>
      <c r="F13" s="6">
        <v>25</v>
      </c>
      <c r="H13" s="6">
        <f t="shared" si="0"/>
        <v>25</v>
      </c>
      <c r="K13" s="6">
        <f t="shared" si="1"/>
        <v>0</v>
      </c>
      <c r="L13" s="6">
        <v>24</v>
      </c>
      <c r="N13" s="6">
        <f t="shared" si="2"/>
        <v>24</v>
      </c>
      <c r="Q13" s="6">
        <f t="shared" si="3"/>
        <v>0</v>
      </c>
      <c r="R13" s="6">
        <v>25</v>
      </c>
      <c r="U13" s="109">
        <v>28</v>
      </c>
      <c r="W13" s="6">
        <f t="shared" si="19"/>
        <v>28</v>
      </c>
      <c r="X13" s="88">
        <f t="shared" si="4"/>
        <v>102</v>
      </c>
      <c r="Y13" s="41">
        <f t="shared" si="5"/>
        <v>0</v>
      </c>
      <c r="Z13" s="41">
        <f t="shared" si="6"/>
        <v>77</v>
      </c>
      <c r="AA13" s="42">
        <f t="shared" si="7"/>
        <v>17</v>
      </c>
      <c r="AB13" s="42">
        <f t="shared" si="8"/>
        <v>0</v>
      </c>
      <c r="AC13" s="42">
        <f t="shared" si="9"/>
        <v>12.833333333333334</v>
      </c>
      <c r="AD13" s="35" t="s">
        <v>15</v>
      </c>
      <c r="AG13" s="6">
        <f t="shared" si="10"/>
        <v>0</v>
      </c>
      <c r="AH13" s="6">
        <v>32</v>
      </c>
      <c r="AJ13" s="98">
        <f t="shared" si="11"/>
        <v>32</v>
      </c>
      <c r="AK13" s="6">
        <v>16</v>
      </c>
      <c r="AM13" s="98">
        <f t="shared" si="12"/>
        <v>16</v>
      </c>
      <c r="AN13" s="6">
        <f t="shared" si="13"/>
        <v>150</v>
      </c>
      <c r="AO13" s="6">
        <f t="shared" si="14"/>
        <v>0</v>
      </c>
      <c r="AP13" s="6">
        <f t="shared" si="15"/>
        <v>125</v>
      </c>
      <c r="AQ13" s="943">
        <f t="shared" si="16"/>
        <v>16.666666666666668</v>
      </c>
      <c r="AR13" s="943">
        <f t="shared" si="17"/>
        <v>0</v>
      </c>
      <c r="AS13" s="943">
        <f t="shared" si="18"/>
        <v>13.888888888888889</v>
      </c>
      <c r="BC13" s="64"/>
      <c r="BD13" s="64"/>
      <c r="BE13" s="64"/>
      <c r="BF13" s="64"/>
      <c r="BG13" s="64"/>
      <c r="BH13" s="64"/>
    </row>
    <row r="14" spans="1:60" s="6" customFormat="1">
      <c r="A14" s="6">
        <v>7</v>
      </c>
      <c r="B14" s="260" t="s">
        <v>2876</v>
      </c>
      <c r="C14" s="1" t="s">
        <v>13</v>
      </c>
      <c r="D14" s="1" t="s">
        <v>27</v>
      </c>
      <c r="E14" s="2">
        <v>20</v>
      </c>
      <c r="F14" s="6">
        <v>9</v>
      </c>
      <c r="H14" s="6">
        <f t="shared" si="0"/>
        <v>9</v>
      </c>
      <c r="I14" s="6">
        <v>18</v>
      </c>
      <c r="K14" s="6">
        <f t="shared" si="1"/>
        <v>18</v>
      </c>
      <c r="L14" s="6">
        <v>50</v>
      </c>
      <c r="N14" s="6">
        <f t="shared" si="2"/>
        <v>50</v>
      </c>
      <c r="O14" s="6">
        <v>30</v>
      </c>
      <c r="Q14" s="6">
        <f t="shared" si="3"/>
        <v>30</v>
      </c>
      <c r="R14" s="6">
        <v>32</v>
      </c>
      <c r="U14" s="109">
        <v>0</v>
      </c>
      <c r="W14" s="6">
        <f t="shared" si="19"/>
        <v>0</v>
      </c>
      <c r="X14" s="88">
        <f t="shared" si="4"/>
        <v>139</v>
      </c>
      <c r="Y14" s="41">
        <f t="shared" si="5"/>
        <v>0</v>
      </c>
      <c r="Z14" s="41">
        <f t="shared" si="6"/>
        <v>107</v>
      </c>
      <c r="AA14" s="42">
        <f t="shared" si="7"/>
        <v>23.166666666666668</v>
      </c>
      <c r="AB14" s="42">
        <f t="shared" si="8"/>
        <v>0</v>
      </c>
      <c r="AC14" s="42">
        <f t="shared" si="9"/>
        <v>17.833333333333332</v>
      </c>
      <c r="AD14" s="35" t="s">
        <v>15</v>
      </c>
      <c r="AG14" s="6">
        <f t="shared" si="10"/>
        <v>0</v>
      </c>
      <c r="AJ14" s="98">
        <f t="shared" si="11"/>
        <v>0</v>
      </c>
      <c r="AM14" s="98">
        <f t="shared" si="12"/>
        <v>0</v>
      </c>
      <c r="AN14" s="6">
        <f t="shared" si="13"/>
        <v>139</v>
      </c>
      <c r="AO14" s="6">
        <f t="shared" si="14"/>
        <v>0</v>
      </c>
      <c r="AP14" s="6">
        <f t="shared" si="15"/>
        <v>107</v>
      </c>
      <c r="AQ14" s="943">
        <f t="shared" si="16"/>
        <v>15.444444444444445</v>
      </c>
      <c r="AR14" s="943">
        <f t="shared" si="17"/>
        <v>0</v>
      </c>
      <c r="AS14" s="943">
        <f t="shared" si="18"/>
        <v>11.888888888888889</v>
      </c>
      <c r="BC14" s="64"/>
      <c r="BD14" s="64"/>
      <c r="BE14" s="64"/>
      <c r="BF14" s="64"/>
      <c r="BG14" s="64"/>
      <c r="BH14" s="64"/>
    </row>
    <row r="15" spans="1:60" s="6" customFormat="1">
      <c r="A15" s="1">
        <v>8</v>
      </c>
      <c r="B15" s="3" t="s">
        <v>28</v>
      </c>
      <c r="C15" s="1" t="s">
        <v>13</v>
      </c>
      <c r="D15" s="1" t="s">
        <v>29</v>
      </c>
      <c r="E15" s="2">
        <v>120</v>
      </c>
      <c r="H15" s="6">
        <f t="shared" si="0"/>
        <v>0</v>
      </c>
      <c r="I15" s="6">
        <v>150</v>
      </c>
      <c r="K15" s="6">
        <f t="shared" si="1"/>
        <v>150</v>
      </c>
      <c r="L15" s="6">
        <v>130</v>
      </c>
      <c r="N15" s="6">
        <f t="shared" si="2"/>
        <v>130</v>
      </c>
      <c r="Q15" s="6">
        <f t="shared" si="3"/>
        <v>0</v>
      </c>
      <c r="R15" s="6">
        <v>128</v>
      </c>
      <c r="T15" s="6">
        <f>R15+S15</f>
        <v>128</v>
      </c>
      <c r="U15" s="109"/>
      <c r="W15" s="6">
        <f t="shared" si="19"/>
        <v>0</v>
      </c>
      <c r="X15" s="88">
        <f t="shared" si="4"/>
        <v>408</v>
      </c>
      <c r="Y15" s="41">
        <f t="shared" si="5"/>
        <v>0</v>
      </c>
      <c r="Z15" s="41">
        <f t="shared" si="6"/>
        <v>408</v>
      </c>
      <c r="AA15" s="42">
        <f t="shared" si="7"/>
        <v>68</v>
      </c>
      <c r="AB15" s="42">
        <f t="shared" si="8"/>
        <v>0</v>
      </c>
      <c r="AC15" s="42">
        <f t="shared" si="9"/>
        <v>68</v>
      </c>
      <c r="AD15" s="35" t="s">
        <v>18</v>
      </c>
      <c r="AE15" s="6">
        <v>136</v>
      </c>
      <c r="AG15" s="6">
        <f t="shared" si="10"/>
        <v>136</v>
      </c>
      <c r="AH15" s="6">
        <v>144</v>
      </c>
      <c r="AJ15" s="98">
        <f t="shared" si="11"/>
        <v>144</v>
      </c>
      <c r="AK15" s="6">
        <v>148</v>
      </c>
      <c r="AM15" s="98">
        <f t="shared" si="12"/>
        <v>148</v>
      </c>
      <c r="AN15" s="6">
        <f t="shared" si="13"/>
        <v>836</v>
      </c>
      <c r="AO15" s="6">
        <f t="shared" si="14"/>
        <v>0</v>
      </c>
      <c r="AP15" s="6">
        <f t="shared" si="15"/>
        <v>836</v>
      </c>
      <c r="AQ15" s="943">
        <f t="shared" si="16"/>
        <v>92.888888888888886</v>
      </c>
      <c r="AR15" s="943">
        <f t="shared" si="17"/>
        <v>0</v>
      </c>
      <c r="AS15" s="943">
        <f t="shared" si="18"/>
        <v>92.888888888888886</v>
      </c>
      <c r="BC15" s="64"/>
      <c r="BD15" s="64"/>
      <c r="BE15" s="64"/>
      <c r="BF15" s="64"/>
      <c r="BG15" s="64"/>
      <c r="BH15" s="64"/>
    </row>
    <row r="16" spans="1:60" s="6" customFormat="1">
      <c r="A16" s="6">
        <v>9</v>
      </c>
      <c r="B16" s="3" t="s">
        <v>30</v>
      </c>
      <c r="C16" s="1" t="s">
        <v>13</v>
      </c>
      <c r="D16" s="1" t="s">
        <v>31</v>
      </c>
      <c r="E16" s="2">
        <v>60</v>
      </c>
      <c r="F16" s="6">
        <v>80</v>
      </c>
      <c r="H16" s="6">
        <f t="shared" si="0"/>
        <v>80</v>
      </c>
      <c r="I16" s="6">
        <v>100</v>
      </c>
      <c r="K16" s="6">
        <f t="shared" si="1"/>
        <v>100</v>
      </c>
      <c r="L16" s="6">
        <v>150</v>
      </c>
      <c r="N16" s="6">
        <f t="shared" si="2"/>
        <v>150</v>
      </c>
      <c r="O16" s="6">
        <v>100</v>
      </c>
      <c r="Q16" s="6">
        <f t="shared" si="3"/>
        <v>100</v>
      </c>
      <c r="R16" s="6">
        <v>100</v>
      </c>
      <c r="U16" s="109"/>
      <c r="W16" s="6">
        <f t="shared" si="19"/>
        <v>0</v>
      </c>
      <c r="X16" s="88">
        <f t="shared" si="4"/>
        <v>530</v>
      </c>
      <c r="Y16" s="41">
        <f t="shared" si="5"/>
        <v>0</v>
      </c>
      <c r="Z16" s="41">
        <f t="shared" si="6"/>
        <v>430</v>
      </c>
      <c r="AA16" s="42">
        <f t="shared" si="7"/>
        <v>88.333333333333329</v>
      </c>
      <c r="AB16" s="42">
        <f t="shared" si="8"/>
        <v>0</v>
      </c>
      <c r="AC16" s="42">
        <f t="shared" si="9"/>
        <v>71.666666666666671</v>
      </c>
      <c r="AD16" s="35" t="s">
        <v>15</v>
      </c>
      <c r="AG16" s="6">
        <f t="shared" si="10"/>
        <v>0</v>
      </c>
      <c r="AH16" s="6">
        <v>100</v>
      </c>
      <c r="AJ16" s="98">
        <f t="shared" si="11"/>
        <v>100</v>
      </c>
      <c r="AK16" s="6">
        <v>100</v>
      </c>
      <c r="AM16" s="98">
        <f t="shared" si="12"/>
        <v>100</v>
      </c>
      <c r="AN16" s="6">
        <f t="shared" si="13"/>
        <v>730</v>
      </c>
      <c r="AO16" s="6">
        <f t="shared" si="14"/>
        <v>0</v>
      </c>
      <c r="AP16" s="6">
        <f t="shared" si="15"/>
        <v>630</v>
      </c>
      <c r="AQ16" s="943">
        <f t="shared" si="16"/>
        <v>81.111111111111114</v>
      </c>
      <c r="AR16" s="943">
        <f t="shared" si="17"/>
        <v>0</v>
      </c>
      <c r="AS16" s="943">
        <f t="shared" si="18"/>
        <v>70</v>
      </c>
      <c r="BC16" s="64"/>
      <c r="BD16" s="64"/>
      <c r="BE16" s="64"/>
      <c r="BF16" s="64"/>
      <c r="BG16" s="64"/>
      <c r="BH16" s="64"/>
    </row>
    <row r="17" spans="1:60" s="6" customFormat="1">
      <c r="A17" s="1">
        <v>10</v>
      </c>
      <c r="B17" s="3" t="s">
        <v>32</v>
      </c>
      <c r="C17" s="1" t="s">
        <v>13</v>
      </c>
      <c r="D17" s="1" t="s">
        <v>33</v>
      </c>
      <c r="E17" s="2">
        <v>30</v>
      </c>
      <c r="H17" s="6">
        <f t="shared" si="0"/>
        <v>0</v>
      </c>
      <c r="I17" s="6">
        <v>30</v>
      </c>
      <c r="K17" s="6">
        <f t="shared" si="1"/>
        <v>30</v>
      </c>
      <c r="L17" s="6">
        <v>30</v>
      </c>
      <c r="N17" s="6">
        <f t="shared" si="2"/>
        <v>30</v>
      </c>
      <c r="O17" s="6">
        <v>30</v>
      </c>
      <c r="Q17" s="6">
        <f t="shared" si="3"/>
        <v>30</v>
      </c>
      <c r="U17" s="109"/>
      <c r="W17" s="6">
        <f t="shared" si="19"/>
        <v>0</v>
      </c>
      <c r="X17" s="88">
        <f t="shared" si="4"/>
        <v>90</v>
      </c>
      <c r="Y17" s="41">
        <f t="shared" si="5"/>
        <v>0</v>
      </c>
      <c r="Z17" s="41">
        <f t="shared" si="6"/>
        <v>90</v>
      </c>
      <c r="AA17" s="42">
        <f t="shared" si="7"/>
        <v>15</v>
      </c>
      <c r="AB17" s="42">
        <f t="shared" si="8"/>
        <v>0</v>
      </c>
      <c r="AC17" s="42">
        <f t="shared" si="9"/>
        <v>15</v>
      </c>
      <c r="AD17" s="35" t="s">
        <v>15</v>
      </c>
      <c r="AG17" s="6">
        <f t="shared" si="10"/>
        <v>0</v>
      </c>
      <c r="AJ17" s="98">
        <f t="shared" si="11"/>
        <v>0</v>
      </c>
      <c r="AM17" s="98">
        <f t="shared" si="12"/>
        <v>0</v>
      </c>
      <c r="AN17" s="6">
        <f t="shared" si="13"/>
        <v>90</v>
      </c>
      <c r="AO17" s="6">
        <f t="shared" si="14"/>
        <v>0</v>
      </c>
      <c r="AP17" s="6">
        <f t="shared" si="15"/>
        <v>90</v>
      </c>
      <c r="AQ17" s="943">
        <f t="shared" si="16"/>
        <v>10</v>
      </c>
      <c r="AR17" s="943">
        <f t="shared" si="17"/>
        <v>0</v>
      </c>
      <c r="AS17" s="943">
        <f t="shared" si="18"/>
        <v>10</v>
      </c>
      <c r="BC17" s="64"/>
      <c r="BD17" s="64"/>
      <c r="BE17" s="64"/>
      <c r="BF17" s="64"/>
      <c r="BG17" s="64"/>
      <c r="BH17" s="64"/>
    </row>
    <row r="18" spans="1:60" s="6" customFormat="1">
      <c r="A18" s="6">
        <v>11</v>
      </c>
      <c r="B18" s="3" t="s">
        <v>34</v>
      </c>
      <c r="C18" s="1" t="s">
        <v>13</v>
      </c>
      <c r="D18" s="1" t="s">
        <v>35</v>
      </c>
      <c r="E18" s="2">
        <v>40</v>
      </c>
      <c r="F18" s="6">
        <v>20</v>
      </c>
      <c r="H18" s="6">
        <f t="shared" si="0"/>
        <v>20</v>
      </c>
      <c r="K18" s="6">
        <f t="shared" si="1"/>
        <v>0</v>
      </c>
      <c r="L18" s="6">
        <v>106</v>
      </c>
      <c r="N18" s="6">
        <f t="shared" si="2"/>
        <v>106</v>
      </c>
      <c r="Q18" s="6">
        <f t="shared" si="3"/>
        <v>0</v>
      </c>
      <c r="R18" s="6">
        <v>60</v>
      </c>
      <c r="U18" s="109"/>
      <c r="W18" s="6">
        <f t="shared" si="19"/>
        <v>0</v>
      </c>
      <c r="X18" s="88">
        <f t="shared" si="4"/>
        <v>186</v>
      </c>
      <c r="Y18" s="41">
        <f t="shared" si="5"/>
        <v>0</v>
      </c>
      <c r="Z18" s="41">
        <f t="shared" si="6"/>
        <v>126</v>
      </c>
      <c r="AA18" s="42">
        <f t="shared" si="7"/>
        <v>31</v>
      </c>
      <c r="AB18" s="42">
        <f t="shared" si="8"/>
        <v>0</v>
      </c>
      <c r="AC18" s="42">
        <f t="shared" si="9"/>
        <v>21</v>
      </c>
      <c r="AD18" s="35" t="s">
        <v>15</v>
      </c>
      <c r="AE18" s="6">
        <v>91</v>
      </c>
      <c r="AG18" s="6">
        <f t="shared" si="10"/>
        <v>91</v>
      </c>
      <c r="AH18" s="6">
        <v>124</v>
      </c>
      <c r="AJ18" s="98">
        <f t="shared" si="11"/>
        <v>124</v>
      </c>
      <c r="AM18" s="98">
        <f t="shared" si="12"/>
        <v>0</v>
      </c>
      <c r="AN18" s="6">
        <f t="shared" si="13"/>
        <v>401</v>
      </c>
      <c r="AO18" s="6">
        <f t="shared" si="14"/>
        <v>0</v>
      </c>
      <c r="AP18" s="6">
        <f t="shared" si="15"/>
        <v>341</v>
      </c>
      <c r="AQ18" s="943">
        <f t="shared" si="16"/>
        <v>44.555555555555557</v>
      </c>
      <c r="AR18" s="943">
        <f t="shared" si="17"/>
        <v>0</v>
      </c>
      <c r="AS18" s="943">
        <f t="shared" si="18"/>
        <v>37.888888888888886</v>
      </c>
      <c r="BC18" s="64"/>
      <c r="BD18" s="64"/>
      <c r="BE18" s="64"/>
      <c r="BF18" s="64"/>
      <c r="BG18" s="64"/>
      <c r="BH18" s="64"/>
    </row>
    <row r="19" spans="1:60" s="6" customFormat="1">
      <c r="A19" s="1">
        <v>12</v>
      </c>
      <c r="B19" s="3" t="s">
        <v>36</v>
      </c>
      <c r="C19" s="1" t="s">
        <v>13</v>
      </c>
      <c r="D19" s="1" t="s">
        <v>37</v>
      </c>
      <c r="E19" s="2">
        <v>120</v>
      </c>
      <c r="H19" s="6">
        <f t="shared" si="0"/>
        <v>0</v>
      </c>
      <c r="I19" s="6">
        <v>154</v>
      </c>
      <c r="K19" s="6">
        <f t="shared" si="1"/>
        <v>154</v>
      </c>
      <c r="L19" s="6">
        <v>108</v>
      </c>
      <c r="N19" s="6">
        <f t="shared" si="2"/>
        <v>108</v>
      </c>
      <c r="O19" s="6">
        <v>188</v>
      </c>
      <c r="Q19" s="6">
        <f t="shared" si="3"/>
        <v>188</v>
      </c>
      <c r="R19" s="6">
        <v>0</v>
      </c>
      <c r="T19" s="6">
        <f t="shared" ref="T19:T43" si="20">R19+S19</f>
        <v>0</v>
      </c>
      <c r="U19" s="109"/>
      <c r="W19" s="6">
        <f t="shared" si="19"/>
        <v>0</v>
      </c>
      <c r="X19" s="88">
        <f t="shared" si="4"/>
        <v>450</v>
      </c>
      <c r="Y19" s="41">
        <f t="shared" si="5"/>
        <v>0</v>
      </c>
      <c r="Z19" s="41">
        <f t="shared" si="6"/>
        <v>450</v>
      </c>
      <c r="AA19" s="42">
        <f t="shared" si="7"/>
        <v>75</v>
      </c>
      <c r="AB19" s="42">
        <f t="shared" si="8"/>
        <v>0</v>
      </c>
      <c r="AC19" s="42">
        <f t="shared" si="9"/>
        <v>75</v>
      </c>
      <c r="AD19" s="35" t="s">
        <v>15</v>
      </c>
      <c r="AE19" s="6">
        <v>74</v>
      </c>
      <c r="AG19" s="6">
        <f t="shared" si="10"/>
        <v>74</v>
      </c>
      <c r="AJ19" s="98">
        <f t="shared" si="11"/>
        <v>0</v>
      </c>
      <c r="AK19" s="6">
        <v>136</v>
      </c>
      <c r="AM19" s="98">
        <f t="shared" si="12"/>
        <v>136</v>
      </c>
      <c r="AN19" s="6">
        <f t="shared" si="13"/>
        <v>660</v>
      </c>
      <c r="AO19" s="6">
        <f t="shared" si="14"/>
        <v>0</v>
      </c>
      <c r="AP19" s="6">
        <f t="shared" si="15"/>
        <v>660</v>
      </c>
      <c r="AQ19" s="943">
        <f t="shared" si="16"/>
        <v>73.333333333333329</v>
      </c>
      <c r="AR19" s="943">
        <f t="shared" si="17"/>
        <v>0</v>
      </c>
      <c r="AS19" s="943">
        <f t="shared" si="18"/>
        <v>73.333333333333329</v>
      </c>
      <c r="BC19" s="64"/>
      <c r="BD19" s="64"/>
      <c r="BE19" s="64"/>
      <c r="BF19" s="64"/>
      <c r="BG19" s="64"/>
      <c r="BH19" s="64"/>
    </row>
    <row r="20" spans="1:60" s="6" customFormat="1">
      <c r="A20" s="6">
        <v>13</v>
      </c>
      <c r="B20" s="3" t="s">
        <v>38</v>
      </c>
      <c r="C20" s="1" t="s">
        <v>13</v>
      </c>
      <c r="D20" s="1" t="s">
        <v>39</v>
      </c>
      <c r="E20" s="2">
        <v>40</v>
      </c>
      <c r="F20" s="6">
        <v>40</v>
      </c>
      <c r="H20" s="6">
        <f t="shared" si="0"/>
        <v>40</v>
      </c>
      <c r="I20" s="6">
        <v>20</v>
      </c>
      <c r="K20" s="6">
        <f t="shared" si="1"/>
        <v>20</v>
      </c>
      <c r="L20" s="6">
        <v>56</v>
      </c>
      <c r="N20" s="6">
        <f t="shared" si="2"/>
        <v>56</v>
      </c>
      <c r="O20" s="6">
        <v>40</v>
      </c>
      <c r="Q20" s="6">
        <f t="shared" si="3"/>
        <v>40</v>
      </c>
      <c r="R20" s="6">
        <v>22</v>
      </c>
      <c r="T20" s="6">
        <f t="shared" si="20"/>
        <v>22</v>
      </c>
      <c r="U20" s="109">
        <v>20</v>
      </c>
      <c r="W20" s="6">
        <f t="shared" si="19"/>
        <v>20</v>
      </c>
      <c r="X20" s="88">
        <f t="shared" si="4"/>
        <v>198</v>
      </c>
      <c r="Y20" s="41">
        <f t="shared" si="5"/>
        <v>0</v>
      </c>
      <c r="Z20" s="41">
        <f t="shared" si="6"/>
        <v>198</v>
      </c>
      <c r="AA20" s="42">
        <f t="shared" si="7"/>
        <v>33</v>
      </c>
      <c r="AB20" s="42">
        <f t="shared" si="8"/>
        <v>0</v>
      </c>
      <c r="AC20" s="42">
        <f t="shared" si="9"/>
        <v>33</v>
      </c>
      <c r="AD20" s="35" t="s">
        <v>15</v>
      </c>
      <c r="AE20" s="6">
        <v>96</v>
      </c>
      <c r="AG20" s="6">
        <f t="shared" si="10"/>
        <v>96</v>
      </c>
      <c r="AH20" s="6">
        <v>36</v>
      </c>
      <c r="AJ20" s="98">
        <f t="shared" si="11"/>
        <v>36</v>
      </c>
      <c r="AK20" s="6">
        <v>54</v>
      </c>
      <c r="AM20" s="98">
        <f t="shared" si="12"/>
        <v>54</v>
      </c>
      <c r="AN20" s="6">
        <f t="shared" si="13"/>
        <v>384</v>
      </c>
      <c r="AO20" s="6">
        <f t="shared" si="14"/>
        <v>0</v>
      </c>
      <c r="AP20" s="6">
        <f t="shared" si="15"/>
        <v>384</v>
      </c>
      <c r="AQ20" s="943">
        <f t="shared" si="16"/>
        <v>42.666666666666664</v>
      </c>
      <c r="AR20" s="943">
        <f t="shared" si="17"/>
        <v>0</v>
      </c>
      <c r="AS20" s="943">
        <f t="shared" si="18"/>
        <v>42.666666666666664</v>
      </c>
      <c r="BC20" s="64"/>
      <c r="BD20" s="64"/>
      <c r="BE20" s="64"/>
      <c r="BF20" s="64"/>
      <c r="BG20" s="64"/>
      <c r="BH20" s="64"/>
    </row>
    <row r="21" spans="1:60" s="6" customFormat="1" ht="15" customHeight="1">
      <c r="A21" s="1">
        <v>14</v>
      </c>
      <c r="B21" s="261" t="s">
        <v>2866</v>
      </c>
      <c r="C21" s="1" t="s">
        <v>13</v>
      </c>
      <c r="D21" s="1" t="s">
        <v>40</v>
      </c>
      <c r="E21" s="2">
        <v>40</v>
      </c>
      <c r="H21" s="6">
        <f t="shared" si="0"/>
        <v>0</v>
      </c>
      <c r="K21" s="6">
        <f t="shared" si="1"/>
        <v>0</v>
      </c>
      <c r="N21" s="6">
        <f t="shared" si="2"/>
        <v>0</v>
      </c>
      <c r="Q21" s="6">
        <f t="shared" si="3"/>
        <v>0</v>
      </c>
      <c r="T21" s="6">
        <f t="shared" si="20"/>
        <v>0</v>
      </c>
      <c r="U21" s="109"/>
      <c r="W21" s="6">
        <f t="shared" si="19"/>
        <v>0</v>
      </c>
      <c r="X21" s="88">
        <f t="shared" si="4"/>
        <v>0</v>
      </c>
      <c r="Y21" s="41">
        <f t="shared" si="5"/>
        <v>0</v>
      </c>
      <c r="Z21" s="41">
        <f t="shared" si="6"/>
        <v>0</v>
      </c>
      <c r="AA21" s="42">
        <f t="shared" si="7"/>
        <v>0</v>
      </c>
      <c r="AB21" s="42">
        <f t="shared" si="8"/>
        <v>0</v>
      </c>
      <c r="AC21" s="42">
        <f t="shared" si="9"/>
        <v>0</v>
      </c>
      <c r="AD21" s="35" t="s">
        <v>15</v>
      </c>
      <c r="AE21" s="900"/>
      <c r="AF21" s="900"/>
      <c r="AH21" s="900"/>
      <c r="AI21" s="900"/>
      <c r="AK21" s="900"/>
      <c r="AL21" s="900"/>
    </row>
    <row r="22" spans="1:60" s="6" customFormat="1">
      <c r="A22" s="6">
        <v>15</v>
      </c>
      <c r="B22" s="3" t="s">
        <v>41</v>
      </c>
      <c r="C22" s="1" t="s">
        <v>13</v>
      </c>
      <c r="D22" s="1" t="s">
        <v>42</v>
      </c>
      <c r="E22" s="2">
        <v>120</v>
      </c>
      <c r="H22" s="6">
        <f t="shared" si="0"/>
        <v>0</v>
      </c>
      <c r="I22" s="6">
        <v>76</v>
      </c>
      <c r="K22" s="6">
        <f t="shared" si="1"/>
        <v>76</v>
      </c>
      <c r="L22" s="6">
        <v>114</v>
      </c>
      <c r="N22" s="6">
        <f t="shared" si="2"/>
        <v>114</v>
      </c>
      <c r="O22" s="6">
        <v>158</v>
      </c>
      <c r="Q22" s="6">
        <f t="shared" si="3"/>
        <v>158</v>
      </c>
      <c r="R22" s="6">
        <v>76</v>
      </c>
      <c r="T22" s="6">
        <f t="shared" si="20"/>
        <v>76</v>
      </c>
      <c r="U22" s="109"/>
      <c r="W22" s="6">
        <f t="shared" si="19"/>
        <v>0</v>
      </c>
      <c r="X22" s="88">
        <f t="shared" si="4"/>
        <v>424</v>
      </c>
      <c r="Y22" s="41">
        <f t="shared" si="5"/>
        <v>0</v>
      </c>
      <c r="Z22" s="41">
        <f t="shared" si="6"/>
        <v>424</v>
      </c>
      <c r="AA22" s="42">
        <f t="shared" si="7"/>
        <v>70.666666666666671</v>
      </c>
      <c r="AB22" s="42">
        <f t="shared" si="8"/>
        <v>0</v>
      </c>
      <c r="AC22" s="42">
        <f t="shared" si="9"/>
        <v>70.666666666666671</v>
      </c>
      <c r="AD22" s="35" t="s">
        <v>15</v>
      </c>
      <c r="AE22" s="6">
        <v>76</v>
      </c>
      <c r="AG22" s="6">
        <f t="shared" ref="AG22:AG28" si="21">AE22+AF22</f>
        <v>76</v>
      </c>
      <c r="AJ22" s="98">
        <f t="shared" ref="AJ22:AJ28" si="22">AH22+AI22</f>
        <v>0</v>
      </c>
      <c r="AK22" s="6">
        <v>101</v>
      </c>
      <c r="AM22" s="98">
        <f t="shared" ref="AM22:AM28" si="23">AK22+AL22</f>
        <v>101</v>
      </c>
      <c r="AN22" s="6">
        <f t="shared" ref="AN22:AN28" si="24">X22+AE22+AH22+AK22</f>
        <v>601</v>
      </c>
      <c r="AO22" s="6">
        <f t="shared" ref="AO22:AO28" si="25">Y22+AF22+AI22+AL22</f>
        <v>0</v>
      </c>
      <c r="AP22" s="6">
        <f t="shared" ref="AP22:AP28" si="26">Z22+AG22+AJ22+AM22</f>
        <v>601</v>
      </c>
      <c r="AQ22" s="943">
        <f t="shared" ref="AQ22:AQ28" si="27">AN22/9</f>
        <v>66.777777777777771</v>
      </c>
      <c r="AR22" s="943">
        <f t="shared" ref="AR22:AR28" si="28">AO22/9</f>
        <v>0</v>
      </c>
      <c r="AS22" s="943">
        <f t="shared" ref="AS22:AS28" si="29">AP22/9</f>
        <v>66.777777777777771</v>
      </c>
      <c r="BC22" s="64"/>
      <c r="BD22" s="64"/>
      <c r="BE22" s="64"/>
      <c r="BF22" s="64"/>
      <c r="BG22" s="64"/>
      <c r="BH22" s="64"/>
    </row>
    <row r="23" spans="1:60" s="6" customFormat="1">
      <c r="A23" s="1">
        <v>16</v>
      </c>
      <c r="B23" s="3" t="s">
        <v>43</v>
      </c>
      <c r="C23" s="1" t="s">
        <v>13</v>
      </c>
      <c r="D23" s="1" t="s">
        <v>44</v>
      </c>
      <c r="E23" s="2">
        <v>40</v>
      </c>
      <c r="F23" s="6">
        <v>71</v>
      </c>
      <c r="H23" s="6">
        <f t="shared" si="0"/>
        <v>71</v>
      </c>
      <c r="I23" s="6">
        <v>86</v>
      </c>
      <c r="K23" s="6">
        <f t="shared" si="1"/>
        <v>86</v>
      </c>
      <c r="L23" s="6">
        <v>58</v>
      </c>
      <c r="N23" s="6">
        <f t="shared" si="2"/>
        <v>58</v>
      </c>
      <c r="O23" s="6">
        <v>20</v>
      </c>
      <c r="Q23" s="6">
        <f t="shared" si="3"/>
        <v>20</v>
      </c>
      <c r="R23" s="6">
        <v>77</v>
      </c>
      <c r="T23" s="6">
        <f t="shared" si="20"/>
        <v>77</v>
      </c>
      <c r="U23" s="109">
        <v>40</v>
      </c>
      <c r="W23" s="6">
        <f t="shared" si="19"/>
        <v>40</v>
      </c>
      <c r="X23" s="88">
        <f t="shared" si="4"/>
        <v>352</v>
      </c>
      <c r="Y23" s="41">
        <f t="shared" si="5"/>
        <v>0</v>
      </c>
      <c r="Z23" s="41">
        <f t="shared" si="6"/>
        <v>352</v>
      </c>
      <c r="AA23" s="42">
        <f t="shared" si="7"/>
        <v>58.666666666666664</v>
      </c>
      <c r="AB23" s="42">
        <f t="shared" si="8"/>
        <v>0</v>
      </c>
      <c r="AC23" s="42">
        <f t="shared" si="9"/>
        <v>58.666666666666664</v>
      </c>
      <c r="AD23" s="35" t="s">
        <v>15</v>
      </c>
      <c r="AE23" s="6">
        <v>25</v>
      </c>
      <c r="AG23" s="6">
        <f t="shared" si="21"/>
        <v>25</v>
      </c>
      <c r="AH23" s="6">
        <v>60</v>
      </c>
      <c r="AJ23" s="98">
        <f t="shared" si="22"/>
        <v>60</v>
      </c>
      <c r="AK23" s="6">
        <v>45</v>
      </c>
      <c r="AL23" s="6">
        <v>9</v>
      </c>
      <c r="AM23" s="98">
        <f t="shared" si="23"/>
        <v>54</v>
      </c>
      <c r="AN23" s="6">
        <f t="shared" si="24"/>
        <v>482</v>
      </c>
      <c r="AO23" s="6">
        <f t="shared" si="25"/>
        <v>9</v>
      </c>
      <c r="AP23" s="6">
        <f t="shared" si="26"/>
        <v>491</v>
      </c>
      <c r="AQ23" s="943">
        <f t="shared" si="27"/>
        <v>53.555555555555557</v>
      </c>
      <c r="AR23" s="943">
        <f t="shared" si="28"/>
        <v>1</v>
      </c>
      <c r="AS23" s="943">
        <f t="shared" si="29"/>
        <v>54.555555555555557</v>
      </c>
      <c r="BC23" s="64"/>
      <c r="BD23" s="64"/>
      <c r="BE23" s="64"/>
      <c r="BF23" s="64"/>
      <c r="BG23" s="64"/>
      <c r="BH23" s="64"/>
    </row>
    <row r="24" spans="1:60" s="6" customFormat="1">
      <c r="A24" s="6">
        <v>17</v>
      </c>
      <c r="B24" s="3" t="s">
        <v>45</v>
      </c>
      <c r="C24" s="1" t="s">
        <v>13</v>
      </c>
      <c r="D24" s="1" t="s">
        <v>46</v>
      </c>
      <c r="E24" s="2">
        <v>80</v>
      </c>
      <c r="F24" s="6">
        <v>91</v>
      </c>
      <c r="H24" s="6">
        <f t="shared" si="0"/>
        <v>91</v>
      </c>
      <c r="I24" s="6">
        <v>91</v>
      </c>
      <c r="K24" s="6">
        <f t="shared" si="1"/>
        <v>91</v>
      </c>
      <c r="N24" s="6">
        <f t="shared" si="2"/>
        <v>0</v>
      </c>
      <c r="O24" s="6">
        <v>96</v>
      </c>
      <c r="Q24" s="6">
        <f t="shared" si="3"/>
        <v>96</v>
      </c>
      <c r="R24" s="6">
        <v>76</v>
      </c>
      <c r="T24" s="6">
        <f t="shared" si="20"/>
        <v>76</v>
      </c>
      <c r="U24" s="109"/>
      <c r="W24" s="6">
        <f t="shared" si="19"/>
        <v>0</v>
      </c>
      <c r="X24" s="88">
        <f t="shared" si="4"/>
        <v>354</v>
      </c>
      <c r="Y24" s="41">
        <f t="shared" si="5"/>
        <v>0</v>
      </c>
      <c r="Z24" s="41">
        <f t="shared" si="6"/>
        <v>354</v>
      </c>
      <c r="AA24" s="42">
        <f t="shared" si="7"/>
        <v>59</v>
      </c>
      <c r="AB24" s="42">
        <f t="shared" si="8"/>
        <v>0</v>
      </c>
      <c r="AC24" s="42">
        <f t="shared" si="9"/>
        <v>59</v>
      </c>
      <c r="AD24" s="35" t="s">
        <v>15</v>
      </c>
      <c r="AE24" s="6">
        <v>86</v>
      </c>
      <c r="AG24" s="6">
        <f t="shared" si="21"/>
        <v>86</v>
      </c>
      <c r="AH24" s="6">
        <v>18</v>
      </c>
      <c r="AJ24" s="98">
        <f t="shared" si="22"/>
        <v>18</v>
      </c>
      <c r="AK24" s="6">
        <v>63</v>
      </c>
      <c r="AM24" s="98">
        <f t="shared" si="23"/>
        <v>63</v>
      </c>
      <c r="AN24" s="6">
        <f t="shared" si="24"/>
        <v>521</v>
      </c>
      <c r="AO24" s="6">
        <f t="shared" si="25"/>
        <v>0</v>
      </c>
      <c r="AP24" s="6">
        <f t="shared" si="26"/>
        <v>521</v>
      </c>
      <c r="AQ24" s="943">
        <f t="shared" si="27"/>
        <v>57.888888888888886</v>
      </c>
      <c r="AR24" s="943">
        <f t="shared" si="28"/>
        <v>0</v>
      </c>
      <c r="AS24" s="943">
        <f t="shared" si="29"/>
        <v>57.888888888888886</v>
      </c>
      <c r="BC24" s="64"/>
      <c r="BD24" s="64"/>
      <c r="BE24" s="64"/>
      <c r="BF24" s="64"/>
      <c r="BG24" s="64"/>
      <c r="BH24" s="64"/>
    </row>
    <row r="25" spans="1:60" s="6" customFormat="1">
      <c r="A25" s="1">
        <v>18</v>
      </c>
      <c r="B25" s="3" t="s">
        <v>47</v>
      </c>
      <c r="C25" s="1" t="s">
        <v>13</v>
      </c>
      <c r="D25" s="1" t="s">
        <v>48</v>
      </c>
      <c r="E25" s="2">
        <v>30</v>
      </c>
      <c r="F25" s="6">
        <v>29</v>
      </c>
      <c r="H25" s="6">
        <f t="shared" si="0"/>
        <v>29</v>
      </c>
      <c r="I25" s="6">
        <v>26</v>
      </c>
      <c r="K25" s="6">
        <f t="shared" si="1"/>
        <v>26</v>
      </c>
      <c r="L25" s="6">
        <v>22</v>
      </c>
      <c r="N25" s="6">
        <f t="shared" si="2"/>
        <v>22</v>
      </c>
      <c r="O25" s="6">
        <v>30</v>
      </c>
      <c r="Q25" s="6">
        <f t="shared" si="3"/>
        <v>30</v>
      </c>
      <c r="R25" s="6">
        <v>26</v>
      </c>
      <c r="T25" s="6">
        <f t="shared" si="20"/>
        <v>26</v>
      </c>
      <c r="U25" s="109">
        <v>29</v>
      </c>
      <c r="W25" s="6">
        <f t="shared" si="19"/>
        <v>29</v>
      </c>
      <c r="X25" s="88">
        <f t="shared" si="4"/>
        <v>162</v>
      </c>
      <c r="Y25" s="41">
        <f t="shared" si="5"/>
        <v>0</v>
      </c>
      <c r="Z25" s="41">
        <f t="shared" si="6"/>
        <v>162</v>
      </c>
      <c r="AA25" s="42">
        <f t="shared" si="7"/>
        <v>27</v>
      </c>
      <c r="AB25" s="42">
        <f t="shared" si="8"/>
        <v>0</v>
      </c>
      <c r="AC25" s="42">
        <f t="shared" si="9"/>
        <v>27</v>
      </c>
      <c r="AD25" s="35" t="s">
        <v>18</v>
      </c>
      <c r="AE25" s="6">
        <v>26</v>
      </c>
      <c r="AG25" s="6">
        <f t="shared" si="21"/>
        <v>26</v>
      </c>
      <c r="AJ25" s="98">
        <f t="shared" si="22"/>
        <v>0</v>
      </c>
      <c r="AK25" s="6">
        <v>38</v>
      </c>
      <c r="AM25" s="98">
        <f t="shared" si="23"/>
        <v>38</v>
      </c>
      <c r="AN25" s="6">
        <f t="shared" si="24"/>
        <v>226</v>
      </c>
      <c r="AO25" s="6">
        <f t="shared" si="25"/>
        <v>0</v>
      </c>
      <c r="AP25" s="6">
        <f t="shared" si="26"/>
        <v>226</v>
      </c>
      <c r="AQ25" s="943">
        <f t="shared" si="27"/>
        <v>25.111111111111111</v>
      </c>
      <c r="AR25" s="943">
        <f t="shared" si="28"/>
        <v>0</v>
      </c>
      <c r="AS25" s="943">
        <f t="shared" si="29"/>
        <v>25.111111111111111</v>
      </c>
      <c r="BC25" s="64"/>
      <c r="BD25" s="64"/>
      <c r="BE25" s="64"/>
      <c r="BF25" s="64"/>
      <c r="BG25" s="64"/>
      <c r="BH25" s="64"/>
    </row>
    <row r="26" spans="1:60" s="6" customFormat="1">
      <c r="A26" s="6">
        <v>19</v>
      </c>
      <c r="B26" s="3" t="s">
        <v>49</v>
      </c>
      <c r="C26" s="1" t="s">
        <v>13</v>
      </c>
      <c r="D26" s="1" t="s">
        <v>50</v>
      </c>
      <c r="E26" s="2">
        <v>20</v>
      </c>
      <c r="F26" s="6">
        <v>10</v>
      </c>
      <c r="G26" s="6">
        <v>29</v>
      </c>
      <c r="H26" s="6">
        <f t="shared" si="0"/>
        <v>39</v>
      </c>
      <c r="I26" s="6">
        <v>18</v>
      </c>
      <c r="J26" s="6">
        <v>23</v>
      </c>
      <c r="K26" s="6">
        <f t="shared" si="1"/>
        <v>41</v>
      </c>
      <c r="L26" s="6">
        <v>14</v>
      </c>
      <c r="M26" s="6">
        <v>10</v>
      </c>
      <c r="N26" s="6">
        <f t="shared" si="2"/>
        <v>24</v>
      </c>
      <c r="O26" s="6">
        <v>18</v>
      </c>
      <c r="P26" s="6">
        <v>50</v>
      </c>
      <c r="Q26" s="6">
        <f t="shared" si="3"/>
        <v>68</v>
      </c>
      <c r="R26" s="6">
        <v>44</v>
      </c>
      <c r="S26" s="6">
        <v>23</v>
      </c>
      <c r="T26" s="6">
        <f t="shared" si="20"/>
        <v>67</v>
      </c>
      <c r="U26" s="109">
        <v>9</v>
      </c>
      <c r="V26" s="6">
        <v>18</v>
      </c>
      <c r="W26" s="6">
        <f t="shared" si="19"/>
        <v>27</v>
      </c>
      <c r="X26" s="88">
        <f t="shared" si="4"/>
        <v>113</v>
      </c>
      <c r="Y26" s="41">
        <f t="shared" si="5"/>
        <v>153</v>
      </c>
      <c r="Z26" s="41">
        <f t="shared" si="6"/>
        <v>266</v>
      </c>
      <c r="AA26" s="42">
        <f t="shared" si="7"/>
        <v>18.833333333333332</v>
      </c>
      <c r="AB26" s="42">
        <f t="shared" si="8"/>
        <v>25.5</v>
      </c>
      <c r="AC26" s="42">
        <f t="shared" si="9"/>
        <v>44.333333333333336</v>
      </c>
      <c r="AD26" s="35" t="s">
        <v>15</v>
      </c>
      <c r="AE26" s="6">
        <v>10</v>
      </c>
      <c r="AF26" s="6">
        <v>10</v>
      </c>
      <c r="AG26" s="6">
        <f t="shared" si="21"/>
        <v>20</v>
      </c>
      <c r="AH26" s="6">
        <v>25</v>
      </c>
      <c r="AJ26" s="98">
        <f t="shared" si="22"/>
        <v>25</v>
      </c>
      <c r="AK26" s="6">
        <v>36</v>
      </c>
      <c r="AL26" s="6">
        <v>38</v>
      </c>
      <c r="AM26" s="98">
        <f t="shared" si="23"/>
        <v>74</v>
      </c>
      <c r="AN26" s="6">
        <f t="shared" si="24"/>
        <v>184</v>
      </c>
      <c r="AO26" s="6">
        <f t="shared" si="25"/>
        <v>201</v>
      </c>
      <c r="AP26" s="6">
        <f t="shared" si="26"/>
        <v>385</v>
      </c>
      <c r="AQ26" s="943">
        <f t="shared" si="27"/>
        <v>20.444444444444443</v>
      </c>
      <c r="AR26" s="943">
        <f t="shared" si="28"/>
        <v>22.333333333333332</v>
      </c>
      <c r="AS26" s="943">
        <f t="shared" si="29"/>
        <v>42.777777777777779</v>
      </c>
      <c r="BC26" s="64"/>
      <c r="BD26" s="64"/>
      <c r="BE26" s="64"/>
      <c r="BF26" s="64"/>
      <c r="BG26" s="64"/>
      <c r="BH26" s="64"/>
    </row>
    <row r="27" spans="1:60" s="6" customFormat="1">
      <c r="A27" s="1">
        <v>20</v>
      </c>
      <c r="B27" s="3" t="s">
        <v>51</v>
      </c>
      <c r="C27" s="1" t="s">
        <v>13</v>
      </c>
      <c r="D27" s="1" t="s">
        <v>52</v>
      </c>
      <c r="E27" s="2">
        <v>40</v>
      </c>
      <c r="F27" s="6">
        <v>36</v>
      </c>
      <c r="H27" s="6">
        <f t="shared" si="0"/>
        <v>36</v>
      </c>
      <c r="I27" s="6">
        <v>90</v>
      </c>
      <c r="K27" s="6">
        <f t="shared" si="1"/>
        <v>90</v>
      </c>
      <c r="L27" s="6">
        <v>72</v>
      </c>
      <c r="N27" s="6">
        <f t="shared" si="2"/>
        <v>72</v>
      </c>
      <c r="O27" s="6">
        <v>36</v>
      </c>
      <c r="Q27" s="6">
        <f t="shared" si="3"/>
        <v>36</v>
      </c>
      <c r="R27" s="6">
        <v>54</v>
      </c>
      <c r="T27" s="6">
        <f t="shared" si="20"/>
        <v>54</v>
      </c>
      <c r="U27" s="109">
        <v>18</v>
      </c>
      <c r="W27" s="6">
        <f t="shared" si="19"/>
        <v>18</v>
      </c>
      <c r="X27" s="88">
        <f t="shared" si="4"/>
        <v>306</v>
      </c>
      <c r="Y27" s="41">
        <f t="shared" si="5"/>
        <v>0</v>
      </c>
      <c r="Z27" s="41">
        <f t="shared" si="6"/>
        <v>306</v>
      </c>
      <c r="AA27" s="42">
        <f t="shared" si="7"/>
        <v>51</v>
      </c>
      <c r="AB27" s="42">
        <f t="shared" si="8"/>
        <v>0</v>
      </c>
      <c r="AC27" s="42">
        <f t="shared" si="9"/>
        <v>51</v>
      </c>
      <c r="AD27" s="35" t="s">
        <v>15</v>
      </c>
      <c r="AE27" s="6">
        <v>54</v>
      </c>
      <c r="AG27" s="6">
        <f t="shared" si="21"/>
        <v>54</v>
      </c>
      <c r="AH27" s="6">
        <v>36</v>
      </c>
      <c r="AJ27" s="98">
        <f t="shared" si="22"/>
        <v>36</v>
      </c>
      <c r="AK27" s="6">
        <v>36</v>
      </c>
      <c r="AM27" s="98">
        <f t="shared" si="23"/>
        <v>36</v>
      </c>
      <c r="AN27" s="6">
        <f t="shared" si="24"/>
        <v>432</v>
      </c>
      <c r="AO27" s="6">
        <f t="shared" si="25"/>
        <v>0</v>
      </c>
      <c r="AP27" s="6">
        <f t="shared" si="26"/>
        <v>432</v>
      </c>
      <c r="AQ27" s="943">
        <f t="shared" si="27"/>
        <v>48</v>
      </c>
      <c r="AR27" s="943">
        <f t="shared" si="28"/>
        <v>0</v>
      </c>
      <c r="AS27" s="943">
        <f t="shared" si="29"/>
        <v>48</v>
      </c>
      <c r="BC27" s="64"/>
      <c r="BD27" s="64"/>
      <c r="BE27" s="64"/>
      <c r="BF27" s="64"/>
      <c r="BG27" s="64"/>
      <c r="BH27" s="64"/>
    </row>
    <row r="28" spans="1:60" s="6" customFormat="1">
      <c r="A28" s="6">
        <v>21</v>
      </c>
      <c r="B28" s="3" t="s">
        <v>53</v>
      </c>
      <c r="C28" s="1" t="s">
        <v>13</v>
      </c>
      <c r="D28" s="1" t="s">
        <v>54</v>
      </c>
      <c r="E28" s="2">
        <v>20</v>
      </c>
      <c r="F28" s="6">
        <v>20</v>
      </c>
      <c r="H28" s="6">
        <f t="shared" si="0"/>
        <v>20</v>
      </c>
      <c r="I28" s="6">
        <v>30</v>
      </c>
      <c r="K28" s="6">
        <f t="shared" si="1"/>
        <v>30</v>
      </c>
      <c r="L28" s="6">
        <v>30</v>
      </c>
      <c r="N28" s="6">
        <f t="shared" si="2"/>
        <v>30</v>
      </c>
      <c r="Q28" s="6">
        <f t="shared" si="3"/>
        <v>0</v>
      </c>
      <c r="T28" s="6">
        <f t="shared" si="20"/>
        <v>0</v>
      </c>
      <c r="U28" s="109"/>
      <c r="W28" s="6">
        <f t="shared" si="19"/>
        <v>0</v>
      </c>
      <c r="X28" s="88">
        <f t="shared" si="4"/>
        <v>80</v>
      </c>
      <c r="Y28" s="41">
        <f t="shared" si="5"/>
        <v>0</v>
      </c>
      <c r="Z28" s="41">
        <f t="shared" si="6"/>
        <v>80</v>
      </c>
      <c r="AA28" s="42">
        <f t="shared" si="7"/>
        <v>13.333333333333334</v>
      </c>
      <c r="AB28" s="42">
        <f t="shared" si="8"/>
        <v>0</v>
      </c>
      <c r="AC28" s="42">
        <f t="shared" si="9"/>
        <v>13.333333333333334</v>
      </c>
      <c r="AD28" s="35" t="s">
        <v>15</v>
      </c>
      <c r="AG28" s="6">
        <f t="shared" si="21"/>
        <v>0</v>
      </c>
      <c r="AJ28" s="98">
        <f t="shared" si="22"/>
        <v>0</v>
      </c>
      <c r="AM28" s="98">
        <f t="shared" si="23"/>
        <v>0</v>
      </c>
      <c r="AN28" s="6">
        <f t="shared" si="24"/>
        <v>80</v>
      </c>
      <c r="AO28" s="6">
        <f t="shared" si="25"/>
        <v>0</v>
      </c>
      <c r="AP28" s="6">
        <f t="shared" si="26"/>
        <v>80</v>
      </c>
      <c r="AQ28" s="943">
        <f t="shared" si="27"/>
        <v>8.8888888888888893</v>
      </c>
      <c r="AR28" s="943">
        <f t="shared" si="28"/>
        <v>0</v>
      </c>
      <c r="AS28" s="943">
        <f t="shared" si="29"/>
        <v>8.8888888888888893</v>
      </c>
      <c r="BC28" s="64"/>
      <c r="BD28" s="64"/>
      <c r="BE28" s="64"/>
      <c r="BF28" s="64"/>
      <c r="BG28" s="64"/>
      <c r="BH28" s="64"/>
    </row>
    <row r="29" spans="1:60" s="6" customFormat="1" ht="15" customHeight="1">
      <c r="A29" s="1">
        <v>22</v>
      </c>
      <c r="B29" s="261" t="s">
        <v>2865</v>
      </c>
      <c r="C29" s="1" t="s">
        <v>13</v>
      </c>
      <c r="D29" s="1" t="s">
        <v>56</v>
      </c>
      <c r="E29" s="2">
        <v>30</v>
      </c>
      <c r="H29" s="6">
        <f t="shared" si="0"/>
        <v>0</v>
      </c>
      <c r="K29" s="6">
        <f t="shared" si="1"/>
        <v>0</v>
      </c>
      <c r="N29" s="6">
        <f t="shared" si="2"/>
        <v>0</v>
      </c>
      <c r="Q29" s="6">
        <f t="shared" si="3"/>
        <v>0</v>
      </c>
      <c r="T29" s="6">
        <f t="shared" si="20"/>
        <v>0</v>
      </c>
      <c r="U29" s="109"/>
      <c r="W29" s="6">
        <f t="shared" si="19"/>
        <v>0</v>
      </c>
      <c r="X29" s="88">
        <f t="shared" si="4"/>
        <v>0</v>
      </c>
      <c r="Y29" s="41">
        <f t="shared" si="5"/>
        <v>0</v>
      </c>
      <c r="Z29" s="41">
        <f t="shared" si="6"/>
        <v>0</v>
      </c>
      <c r="AA29" s="42">
        <f t="shared" si="7"/>
        <v>0</v>
      </c>
      <c r="AB29" s="42">
        <f t="shared" si="8"/>
        <v>0</v>
      </c>
      <c r="AC29" s="42">
        <f t="shared" si="9"/>
        <v>0</v>
      </c>
      <c r="AD29" s="35" t="s">
        <v>15</v>
      </c>
      <c r="AE29" s="900"/>
      <c r="AF29" s="900"/>
      <c r="AH29" s="900"/>
      <c r="AI29" s="900"/>
      <c r="AK29" s="900"/>
      <c r="AL29" s="900"/>
    </row>
    <row r="30" spans="1:60" s="6" customFormat="1">
      <c r="A30" s="6">
        <v>23</v>
      </c>
      <c r="B30" s="3" t="s">
        <v>57</v>
      </c>
      <c r="C30" s="1" t="s">
        <v>13</v>
      </c>
      <c r="D30" s="1" t="s">
        <v>58</v>
      </c>
      <c r="E30" s="2">
        <v>30</v>
      </c>
      <c r="H30" s="6">
        <f t="shared" si="0"/>
        <v>0</v>
      </c>
      <c r="K30" s="6">
        <f t="shared" si="1"/>
        <v>0</v>
      </c>
      <c r="L30" s="6">
        <v>22</v>
      </c>
      <c r="N30" s="6">
        <f t="shared" si="2"/>
        <v>22</v>
      </c>
      <c r="O30" s="6">
        <v>29</v>
      </c>
      <c r="Q30" s="6">
        <f t="shared" si="3"/>
        <v>29</v>
      </c>
      <c r="T30" s="6">
        <f t="shared" si="20"/>
        <v>0</v>
      </c>
      <c r="U30" s="109"/>
      <c r="W30" s="6">
        <f t="shared" si="19"/>
        <v>0</v>
      </c>
      <c r="X30" s="88">
        <f t="shared" si="4"/>
        <v>51</v>
      </c>
      <c r="Y30" s="41">
        <f t="shared" si="5"/>
        <v>0</v>
      </c>
      <c r="Z30" s="41">
        <f t="shared" si="6"/>
        <v>51</v>
      </c>
      <c r="AA30" s="42">
        <f t="shared" si="7"/>
        <v>8.5</v>
      </c>
      <c r="AB30" s="42">
        <f t="shared" si="8"/>
        <v>0</v>
      </c>
      <c r="AC30" s="42">
        <f t="shared" si="9"/>
        <v>8.5</v>
      </c>
      <c r="AD30" s="35" t="s">
        <v>15</v>
      </c>
      <c r="AE30" s="6">
        <v>29</v>
      </c>
      <c r="AG30" s="6">
        <f t="shared" ref="AG30:AG40" si="30">AE30+AF30</f>
        <v>29</v>
      </c>
      <c r="AJ30" s="98">
        <f t="shared" ref="AJ30:AJ40" si="31">AH30+AI30</f>
        <v>0</v>
      </c>
      <c r="AM30" s="98">
        <f t="shared" ref="AM30:AM40" si="32">AK30+AL30</f>
        <v>0</v>
      </c>
      <c r="AN30" s="6">
        <f t="shared" ref="AN30:AN40" si="33">X30+AE30+AH30+AK30</f>
        <v>80</v>
      </c>
      <c r="AO30" s="6">
        <f t="shared" ref="AO30:AO40" si="34">Y30+AF30+AI30+AL30</f>
        <v>0</v>
      </c>
      <c r="AP30" s="6">
        <f t="shared" ref="AP30:AP40" si="35">Z30+AG30+AJ30+AM30</f>
        <v>80</v>
      </c>
      <c r="AQ30" s="943">
        <f t="shared" ref="AQ30:AQ40" si="36">AN30/9</f>
        <v>8.8888888888888893</v>
      </c>
      <c r="AR30" s="943">
        <f t="shared" ref="AR30:AR40" si="37">AO30/9</f>
        <v>0</v>
      </c>
      <c r="AS30" s="943">
        <f t="shared" ref="AS30:AS40" si="38">AP30/9</f>
        <v>8.8888888888888893</v>
      </c>
      <c r="BC30" s="64"/>
      <c r="BD30" s="64"/>
      <c r="BE30" s="64"/>
      <c r="BF30" s="64"/>
      <c r="BG30" s="64"/>
      <c r="BH30" s="64"/>
    </row>
    <row r="31" spans="1:60" s="6" customFormat="1">
      <c r="A31" s="1">
        <v>24</v>
      </c>
      <c r="B31" s="3" t="s">
        <v>59</v>
      </c>
      <c r="C31" s="1" t="s">
        <v>13</v>
      </c>
      <c r="D31" s="1" t="s">
        <v>60</v>
      </c>
      <c r="E31" s="2">
        <v>10</v>
      </c>
      <c r="F31" s="6">
        <v>10</v>
      </c>
      <c r="H31" s="6">
        <f t="shared" si="0"/>
        <v>10</v>
      </c>
      <c r="I31" s="6">
        <v>20</v>
      </c>
      <c r="K31" s="6">
        <f t="shared" si="1"/>
        <v>20</v>
      </c>
      <c r="L31" s="6">
        <v>30</v>
      </c>
      <c r="N31" s="6">
        <f t="shared" si="2"/>
        <v>30</v>
      </c>
      <c r="Q31" s="6">
        <f t="shared" si="3"/>
        <v>0</v>
      </c>
      <c r="T31" s="6">
        <f t="shared" si="20"/>
        <v>0</v>
      </c>
      <c r="U31" s="109"/>
      <c r="W31" s="6">
        <f t="shared" si="19"/>
        <v>0</v>
      </c>
      <c r="X31" s="88">
        <f t="shared" si="4"/>
        <v>60</v>
      </c>
      <c r="Y31" s="41">
        <f t="shared" si="5"/>
        <v>0</v>
      </c>
      <c r="Z31" s="41">
        <f t="shared" si="6"/>
        <v>60</v>
      </c>
      <c r="AA31" s="42">
        <f t="shared" si="7"/>
        <v>10</v>
      </c>
      <c r="AB31" s="42">
        <f t="shared" si="8"/>
        <v>0</v>
      </c>
      <c r="AC31" s="42">
        <f t="shared" si="9"/>
        <v>10</v>
      </c>
      <c r="AD31" s="35" t="s">
        <v>15</v>
      </c>
      <c r="AG31" s="6">
        <f t="shared" si="30"/>
        <v>0</v>
      </c>
      <c r="AJ31" s="98">
        <f t="shared" si="31"/>
        <v>0</v>
      </c>
      <c r="AM31" s="98">
        <f t="shared" si="32"/>
        <v>0</v>
      </c>
      <c r="AN31" s="6">
        <f t="shared" si="33"/>
        <v>60</v>
      </c>
      <c r="AO31" s="6">
        <f t="shared" si="34"/>
        <v>0</v>
      </c>
      <c r="AP31" s="6">
        <f t="shared" si="35"/>
        <v>60</v>
      </c>
      <c r="AQ31" s="943">
        <f t="shared" si="36"/>
        <v>6.666666666666667</v>
      </c>
      <c r="AR31" s="943">
        <f t="shared" si="37"/>
        <v>0</v>
      </c>
      <c r="AS31" s="943">
        <f t="shared" si="38"/>
        <v>6.666666666666667</v>
      </c>
      <c r="BC31" s="64"/>
      <c r="BD31" s="64"/>
      <c r="BE31" s="64"/>
      <c r="BF31" s="64"/>
      <c r="BG31" s="64"/>
      <c r="BH31" s="64"/>
    </row>
    <row r="32" spans="1:60" s="6" customFormat="1">
      <c r="A32" s="6">
        <v>25</v>
      </c>
      <c r="B32" s="3" t="s">
        <v>61</v>
      </c>
      <c r="C32" s="1" t="s">
        <v>13</v>
      </c>
      <c r="D32" s="1" t="s">
        <v>62</v>
      </c>
      <c r="E32" s="2">
        <v>30</v>
      </c>
      <c r="F32" s="6">
        <v>15</v>
      </c>
      <c r="H32" s="6">
        <f t="shared" si="0"/>
        <v>15</v>
      </c>
      <c r="I32" s="6">
        <v>9</v>
      </c>
      <c r="K32" s="6">
        <f t="shared" si="1"/>
        <v>9</v>
      </c>
      <c r="L32" s="6">
        <v>28</v>
      </c>
      <c r="N32" s="6">
        <f t="shared" si="2"/>
        <v>28</v>
      </c>
      <c r="O32" s="6">
        <v>38</v>
      </c>
      <c r="Q32" s="6">
        <f t="shared" si="3"/>
        <v>38</v>
      </c>
      <c r="R32" s="6">
        <v>34</v>
      </c>
      <c r="T32" s="6">
        <f t="shared" si="20"/>
        <v>34</v>
      </c>
      <c r="U32" s="109"/>
      <c r="W32" s="6">
        <f t="shared" si="19"/>
        <v>0</v>
      </c>
      <c r="X32" s="88">
        <f t="shared" si="4"/>
        <v>124</v>
      </c>
      <c r="Y32" s="41">
        <f t="shared" si="5"/>
        <v>0</v>
      </c>
      <c r="Z32" s="41">
        <f t="shared" si="6"/>
        <v>124</v>
      </c>
      <c r="AA32" s="42">
        <f t="shared" si="7"/>
        <v>20.666666666666668</v>
      </c>
      <c r="AB32" s="42">
        <f t="shared" si="8"/>
        <v>0</v>
      </c>
      <c r="AC32" s="42">
        <f t="shared" si="9"/>
        <v>20.666666666666668</v>
      </c>
      <c r="AD32" s="35" t="s">
        <v>15</v>
      </c>
      <c r="AE32" s="6">
        <v>25</v>
      </c>
      <c r="AG32" s="6">
        <f t="shared" si="30"/>
        <v>25</v>
      </c>
      <c r="AH32" s="6">
        <v>18</v>
      </c>
      <c r="AJ32" s="98">
        <f t="shared" si="31"/>
        <v>18</v>
      </c>
      <c r="AK32" s="6">
        <v>25</v>
      </c>
      <c r="AM32" s="98">
        <f t="shared" si="32"/>
        <v>25</v>
      </c>
      <c r="AN32" s="6">
        <f t="shared" si="33"/>
        <v>192</v>
      </c>
      <c r="AO32" s="6">
        <f t="shared" si="34"/>
        <v>0</v>
      </c>
      <c r="AP32" s="6">
        <f t="shared" si="35"/>
        <v>192</v>
      </c>
      <c r="AQ32" s="943">
        <f t="shared" si="36"/>
        <v>21.333333333333332</v>
      </c>
      <c r="AR32" s="943">
        <f t="shared" si="37"/>
        <v>0</v>
      </c>
      <c r="AS32" s="943">
        <f t="shared" si="38"/>
        <v>21.333333333333332</v>
      </c>
      <c r="BC32" s="64"/>
      <c r="BD32" s="64"/>
      <c r="BE32" s="64"/>
      <c r="BF32" s="64"/>
      <c r="BG32" s="64"/>
      <c r="BH32" s="64"/>
    </row>
    <row r="33" spans="1:60" s="6" customFormat="1">
      <c r="A33" s="1">
        <v>26</v>
      </c>
      <c r="B33" s="3" t="s">
        <v>63</v>
      </c>
      <c r="C33" s="1" t="s">
        <v>13</v>
      </c>
      <c r="D33" s="1" t="s">
        <v>64</v>
      </c>
      <c r="E33" s="2">
        <v>30</v>
      </c>
      <c r="H33" s="6">
        <f t="shared" si="0"/>
        <v>0</v>
      </c>
      <c r="I33" s="6">
        <v>15</v>
      </c>
      <c r="K33" s="6">
        <f t="shared" si="1"/>
        <v>15</v>
      </c>
      <c r="L33" s="6">
        <v>20</v>
      </c>
      <c r="N33" s="6">
        <f t="shared" si="2"/>
        <v>20</v>
      </c>
      <c r="Q33" s="6">
        <f t="shared" si="3"/>
        <v>0</v>
      </c>
      <c r="R33" s="6">
        <v>50</v>
      </c>
      <c r="T33" s="6">
        <f t="shared" si="20"/>
        <v>50</v>
      </c>
      <c r="U33" s="109">
        <v>0</v>
      </c>
      <c r="W33" s="6">
        <f t="shared" si="19"/>
        <v>0</v>
      </c>
      <c r="X33" s="88">
        <f t="shared" si="4"/>
        <v>85</v>
      </c>
      <c r="Y33" s="41">
        <f t="shared" si="5"/>
        <v>0</v>
      </c>
      <c r="Z33" s="41">
        <f t="shared" si="6"/>
        <v>85</v>
      </c>
      <c r="AA33" s="42">
        <f t="shared" si="7"/>
        <v>14.166666666666666</v>
      </c>
      <c r="AB33" s="42">
        <f t="shared" si="8"/>
        <v>0</v>
      </c>
      <c r="AC33" s="42">
        <f t="shared" si="9"/>
        <v>14.166666666666666</v>
      </c>
      <c r="AD33" s="35" t="s">
        <v>15</v>
      </c>
      <c r="AG33" s="6">
        <f t="shared" si="30"/>
        <v>0</v>
      </c>
      <c r="AJ33" s="98">
        <f t="shared" si="31"/>
        <v>0</v>
      </c>
      <c r="AM33" s="98">
        <f t="shared" si="32"/>
        <v>0</v>
      </c>
      <c r="AN33" s="6">
        <f t="shared" si="33"/>
        <v>85</v>
      </c>
      <c r="AO33" s="6">
        <f t="shared" si="34"/>
        <v>0</v>
      </c>
      <c r="AP33" s="6">
        <f t="shared" si="35"/>
        <v>85</v>
      </c>
      <c r="AQ33" s="943">
        <f t="shared" si="36"/>
        <v>9.4444444444444446</v>
      </c>
      <c r="AR33" s="943">
        <f t="shared" si="37"/>
        <v>0</v>
      </c>
      <c r="AS33" s="943">
        <f t="shared" si="38"/>
        <v>9.4444444444444446</v>
      </c>
      <c r="BC33" s="64"/>
      <c r="BD33" s="64"/>
      <c r="BE33" s="64"/>
      <c r="BF33" s="64"/>
      <c r="BG33" s="64"/>
      <c r="BH33" s="64"/>
    </row>
    <row r="34" spans="1:60" s="6" customFormat="1">
      <c r="A34" s="6">
        <v>27</v>
      </c>
      <c r="B34" s="261" t="s">
        <v>2877</v>
      </c>
      <c r="C34" s="1" t="s">
        <v>13</v>
      </c>
      <c r="D34" s="1" t="s">
        <v>65</v>
      </c>
      <c r="E34" s="2">
        <v>40</v>
      </c>
      <c r="F34" s="6">
        <v>40</v>
      </c>
      <c r="H34" s="6">
        <f t="shared" si="0"/>
        <v>40</v>
      </c>
      <c r="K34" s="6">
        <f t="shared" si="1"/>
        <v>0</v>
      </c>
      <c r="L34" s="6">
        <v>50</v>
      </c>
      <c r="N34" s="6">
        <f t="shared" si="2"/>
        <v>50</v>
      </c>
      <c r="Q34" s="6">
        <f t="shared" si="3"/>
        <v>0</v>
      </c>
      <c r="T34" s="6">
        <f t="shared" si="20"/>
        <v>0</v>
      </c>
      <c r="U34" s="109">
        <v>0</v>
      </c>
      <c r="W34" s="6">
        <f t="shared" si="19"/>
        <v>0</v>
      </c>
      <c r="X34" s="88">
        <f t="shared" si="4"/>
        <v>90</v>
      </c>
      <c r="Y34" s="41">
        <f t="shared" si="5"/>
        <v>0</v>
      </c>
      <c r="Z34" s="41">
        <f t="shared" si="6"/>
        <v>90</v>
      </c>
      <c r="AA34" s="42">
        <f t="shared" si="7"/>
        <v>15</v>
      </c>
      <c r="AB34" s="42">
        <f t="shared" si="8"/>
        <v>0</v>
      </c>
      <c r="AC34" s="42">
        <f t="shared" si="9"/>
        <v>15</v>
      </c>
      <c r="AD34" s="35" t="s">
        <v>15</v>
      </c>
      <c r="AG34" s="6">
        <f t="shared" si="30"/>
        <v>0</v>
      </c>
      <c r="AJ34" s="98">
        <f t="shared" si="31"/>
        <v>0</v>
      </c>
      <c r="AM34" s="98">
        <f t="shared" si="32"/>
        <v>0</v>
      </c>
      <c r="AN34" s="6">
        <f t="shared" si="33"/>
        <v>90</v>
      </c>
      <c r="AO34" s="6">
        <f t="shared" si="34"/>
        <v>0</v>
      </c>
      <c r="AP34" s="6">
        <f t="shared" si="35"/>
        <v>90</v>
      </c>
      <c r="AQ34" s="943">
        <f t="shared" si="36"/>
        <v>10</v>
      </c>
      <c r="AR34" s="943">
        <f t="shared" si="37"/>
        <v>0</v>
      </c>
      <c r="AS34" s="943">
        <f t="shared" si="38"/>
        <v>10</v>
      </c>
      <c r="BC34" s="64"/>
      <c r="BD34" s="64"/>
      <c r="BE34" s="64"/>
      <c r="BF34" s="64"/>
      <c r="BG34" s="64"/>
      <c r="BH34" s="64"/>
    </row>
    <row r="35" spans="1:60" s="6" customFormat="1">
      <c r="A35" s="1">
        <v>28</v>
      </c>
      <c r="B35" s="4" t="s">
        <v>66</v>
      </c>
      <c r="C35" s="1" t="s">
        <v>13</v>
      </c>
      <c r="D35" s="1" t="s">
        <v>67</v>
      </c>
      <c r="E35" s="2">
        <v>20</v>
      </c>
      <c r="F35" s="6">
        <v>23</v>
      </c>
      <c r="H35" s="6">
        <f t="shared" si="0"/>
        <v>23</v>
      </c>
      <c r="I35" s="6">
        <v>56</v>
      </c>
      <c r="K35" s="6">
        <f t="shared" si="1"/>
        <v>56</v>
      </c>
      <c r="L35" s="6">
        <v>18</v>
      </c>
      <c r="N35" s="6">
        <f t="shared" si="2"/>
        <v>18</v>
      </c>
      <c r="O35" s="6">
        <v>46</v>
      </c>
      <c r="Q35" s="6">
        <f t="shared" si="3"/>
        <v>46</v>
      </c>
      <c r="R35" s="6">
        <v>55</v>
      </c>
      <c r="T35" s="6">
        <f t="shared" si="20"/>
        <v>55</v>
      </c>
      <c r="U35" s="109">
        <v>36</v>
      </c>
      <c r="W35" s="6">
        <f t="shared" si="19"/>
        <v>36</v>
      </c>
      <c r="X35" s="88">
        <f t="shared" si="4"/>
        <v>234</v>
      </c>
      <c r="Y35" s="41">
        <f t="shared" si="5"/>
        <v>0</v>
      </c>
      <c r="Z35" s="41">
        <f t="shared" si="6"/>
        <v>234</v>
      </c>
      <c r="AA35" s="42">
        <f t="shared" si="7"/>
        <v>39</v>
      </c>
      <c r="AB35" s="42">
        <f t="shared" si="8"/>
        <v>0</v>
      </c>
      <c r="AC35" s="42">
        <f t="shared" si="9"/>
        <v>39</v>
      </c>
      <c r="AD35" s="35" t="s">
        <v>15</v>
      </c>
      <c r="AE35" s="6">
        <v>73</v>
      </c>
      <c r="AG35" s="6">
        <f t="shared" si="30"/>
        <v>73</v>
      </c>
      <c r="AH35" s="6">
        <v>34</v>
      </c>
      <c r="AJ35" s="98">
        <f t="shared" si="31"/>
        <v>34</v>
      </c>
      <c r="AK35" s="6">
        <v>37</v>
      </c>
      <c r="AM35" s="98">
        <f t="shared" si="32"/>
        <v>37</v>
      </c>
      <c r="AN35" s="6">
        <f t="shared" si="33"/>
        <v>378</v>
      </c>
      <c r="AO35" s="6">
        <f t="shared" si="34"/>
        <v>0</v>
      </c>
      <c r="AP35" s="6">
        <f t="shared" si="35"/>
        <v>378</v>
      </c>
      <c r="AQ35" s="943">
        <f t="shared" si="36"/>
        <v>42</v>
      </c>
      <c r="AR35" s="943">
        <f t="shared" si="37"/>
        <v>0</v>
      </c>
      <c r="AS35" s="943">
        <f t="shared" si="38"/>
        <v>42</v>
      </c>
      <c r="BC35" s="64"/>
      <c r="BD35" s="64"/>
      <c r="BE35" s="64"/>
      <c r="BF35" s="64"/>
      <c r="BG35" s="64"/>
      <c r="BH35" s="64"/>
    </row>
    <row r="36" spans="1:60" s="6" customFormat="1">
      <c r="A36" s="6">
        <v>29</v>
      </c>
      <c r="B36" s="3" t="s">
        <v>68</v>
      </c>
      <c r="C36" s="1" t="s">
        <v>13</v>
      </c>
      <c r="D36" s="1" t="s">
        <v>69</v>
      </c>
      <c r="E36" s="2">
        <v>50</v>
      </c>
      <c r="F36" s="6">
        <v>58</v>
      </c>
      <c r="H36" s="6">
        <f t="shared" si="0"/>
        <v>58</v>
      </c>
      <c r="K36" s="6">
        <f t="shared" si="1"/>
        <v>0</v>
      </c>
      <c r="L36" s="6">
        <v>56</v>
      </c>
      <c r="N36" s="6">
        <f t="shared" si="2"/>
        <v>56</v>
      </c>
      <c r="O36" s="6">
        <v>67</v>
      </c>
      <c r="Q36" s="6">
        <f t="shared" si="3"/>
        <v>67</v>
      </c>
      <c r="R36" s="6">
        <v>66</v>
      </c>
      <c r="T36" s="6">
        <f t="shared" si="20"/>
        <v>66</v>
      </c>
      <c r="U36" s="109">
        <v>76</v>
      </c>
      <c r="W36" s="6">
        <f t="shared" si="19"/>
        <v>76</v>
      </c>
      <c r="X36" s="88">
        <f t="shared" si="4"/>
        <v>323</v>
      </c>
      <c r="Y36" s="41">
        <f t="shared" si="5"/>
        <v>0</v>
      </c>
      <c r="Z36" s="41">
        <f t="shared" si="6"/>
        <v>323</v>
      </c>
      <c r="AA36" s="42">
        <f t="shared" si="7"/>
        <v>53.833333333333336</v>
      </c>
      <c r="AB36" s="42">
        <f t="shared" si="8"/>
        <v>0</v>
      </c>
      <c r="AC36" s="42">
        <f t="shared" si="9"/>
        <v>53.833333333333336</v>
      </c>
      <c r="AD36" s="35" t="s">
        <v>15</v>
      </c>
      <c r="AE36" s="6">
        <v>27</v>
      </c>
      <c r="AG36" s="6">
        <f t="shared" si="30"/>
        <v>27</v>
      </c>
      <c r="AH36" s="6">
        <v>70</v>
      </c>
      <c r="AJ36" s="98">
        <f t="shared" si="31"/>
        <v>70</v>
      </c>
      <c r="AK36" s="6">
        <v>76</v>
      </c>
      <c r="AM36" s="98">
        <f t="shared" si="32"/>
        <v>76</v>
      </c>
      <c r="AN36" s="6">
        <f t="shared" si="33"/>
        <v>496</v>
      </c>
      <c r="AO36" s="6">
        <f t="shared" si="34"/>
        <v>0</v>
      </c>
      <c r="AP36" s="6">
        <f t="shared" si="35"/>
        <v>496</v>
      </c>
      <c r="AQ36" s="943">
        <f t="shared" si="36"/>
        <v>55.111111111111114</v>
      </c>
      <c r="AR36" s="943">
        <f t="shared" si="37"/>
        <v>0</v>
      </c>
      <c r="AS36" s="943">
        <f t="shared" si="38"/>
        <v>55.111111111111114</v>
      </c>
      <c r="BC36" s="64"/>
      <c r="BD36" s="64"/>
      <c r="BE36" s="64"/>
      <c r="BF36" s="64"/>
      <c r="BG36" s="64"/>
      <c r="BH36" s="64"/>
    </row>
    <row r="37" spans="1:60" s="6" customFormat="1">
      <c r="A37" s="1">
        <v>30</v>
      </c>
      <c r="B37" s="3" t="s">
        <v>70</v>
      </c>
      <c r="C37" s="1" t="s">
        <v>13</v>
      </c>
      <c r="D37" s="1" t="s">
        <v>71</v>
      </c>
      <c r="E37" s="2">
        <v>20</v>
      </c>
      <c r="F37" s="6">
        <v>20</v>
      </c>
      <c r="H37" s="6">
        <f t="shared" si="0"/>
        <v>20</v>
      </c>
      <c r="K37" s="6">
        <f t="shared" si="1"/>
        <v>0</v>
      </c>
      <c r="L37" s="6">
        <v>20</v>
      </c>
      <c r="N37" s="6">
        <f t="shared" si="2"/>
        <v>20</v>
      </c>
      <c r="Q37" s="6">
        <f t="shared" si="3"/>
        <v>0</v>
      </c>
      <c r="R37" s="6">
        <v>6</v>
      </c>
      <c r="T37" s="6">
        <f t="shared" si="20"/>
        <v>6</v>
      </c>
      <c r="U37" s="109"/>
      <c r="W37" s="6">
        <f t="shared" si="19"/>
        <v>0</v>
      </c>
      <c r="X37" s="88">
        <f t="shared" si="4"/>
        <v>46</v>
      </c>
      <c r="Y37" s="41">
        <f t="shared" si="5"/>
        <v>0</v>
      </c>
      <c r="Z37" s="41">
        <f t="shared" si="6"/>
        <v>46</v>
      </c>
      <c r="AA37" s="42">
        <f t="shared" si="7"/>
        <v>7.666666666666667</v>
      </c>
      <c r="AB37" s="42">
        <f t="shared" si="8"/>
        <v>0</v>
      </c>
      <c r="AC37" s="42">
        <f t="shared" si="9"/>
        <v>7.666666666666667</v>
      </c>
      <c r="AD37" s="35" t="s">
        <v>15</v>
      </c>
      <c r="AE37" s="6">
        <v>6</v>
      </c>
      <c r="AG37" s="6">
        <f t="shared" si="30"/>
        <v>6</v>
      </c>
      <c r="AJ37" s="98">
        <f t="shared" si="31"/>
        <v>0</v>
      </c>
      <c r="AK37" s="6">
        <v>11</v>
      </c>
      <c r="AM37" s="98">
        <f t="shared" si="32"/>
        <v>11</v>
      </c>
      <c r="AN37" s="6">
        <f t="shared" si="33"/>
        <v>63</v>
      </c>
      <c r="AO37" s="6">
        <f t="shared" si="34"/>
        <v>0</v>
      </c>
      <c r="AP37" s="6">
        <f t="shared" si="35"/>
        <v>63</v>
      </c>
      <c r="AQ37" s="943">
        <f t="shared" si="36"/>
        <v>7</v>
      </c>
      <c r="AR37" s="943">
        <f t="shared" si="37"/>
        <v>0</v>
      </c>
      <c r="AS37" s="943">
        <f t="shared" si="38"/>
        <v>7</v>
      </c>
      <c r="BC37" s="64"/>
      <c r="BD37" s="64"/>
      <c r="BE37" s="64"/>
      <c r="BF37" s="64"/>
      <c r="BG37" s="64"/>
      <c r="BH37" s="64"/>
    </row>
    <row r="38" spans="1:60" s="6" customFormat="1">
      <c r="A38" s="6">
        <v>31</v>
      </c>
      <c r="B38" s="3" t="s">
        <v>72</v>
      </c>
      <c r="C38" s="1" t="s">
        <v>13</v>
      </c>
      <c r="D38" s="1" t="s">
        <v>73</v>
      </c>
      <c r="E38" s="2">
        <v>60</v>
      </c>
      <c r="F38" s="6">
        <v>58</v>
      </c>
      <c r="H38" s="6">
        <f t="shared" si="0"/>
        <v>58</v>
      </c>
      <c r="I38" s="6">
        <v>300</v>
      </c>
      <c r="K38" s="6">
        <f t="shared" si="1"/>
        <v>300</v>
      </c>
      <c r="L38" s="6">
        <v>200</v>
      </c>
      <c r="N38" s="6">
        <f t="shared" si="2"/>
        <v>200</v>
      </c>
      <c r="O38" s="6">
        <v>150</v>
      </c>
      <c r="Q38" s="6">
        <f t="shared" si="3"/>
        <v>150</v>
      </c>
      <c r="R38" s="6">
        <v>118</v>
      </c>
      <c r="T38" s="6">
        <f t="shared" si="20"/>
        <v>118</v>
      </c>
      <c r="U38" s="109"/>
      <c r="W38" s="6">
        <f t="shared" si="19"/>
        <v>0</v>
      </c>
      <c r="X38" s="88">
        <f t="shared" si="4"/>
        <v>826</v>
      </c>
      <c r="Y38" s="41">
        <f t="shared" si="5"/>
        <v>0</v>
      </c>
      <c r="Z38" s="41">
        <f t="shared" si="6"/>
        <v>826</v>
      </c>
      <c r="AA38" s="42">
        <f t="shared" si="7"/>
        <v>137.66666666666666</v>
      </c>
      <c r="AB38" s="42">
        <f t="shared" si="8"/>
        <v>0</v>
      </c>
      <c r="AC38" s="42">
        <f t="shared" si="9"/>
        <v>137.66666666666666</v>
      </c>
      <c r="AD38" s="35" t="s">
        <v>18</v>
      </c>
      <c r="AG38" s="6">
        <f t="shared" si="30"/>
        <v>0</v>
      </c>
      <c r="AH38" s="6">
        <v>54</v>
      </c>
      <c r="AJ38" s="98">
        <f t="shared" si="31"/>
        <v>54</v>
      </c>
      <c r="AK38" s="6">
        <v>96</v>
      </c>
      <c r="AM38" s="98">
        <f t="shared" si="32"/>
        <v>96</v>
      </c>
      <c r="AN38" s="6">
        <f t="shared" si="33"/>
        <v>976</v>
      </c>
      <c r="AO38" s="6">
        <f t="shared" si="34"/>
        <v>0</v>
      </c>
      <c r="AP38" s="6">
        <f t="shared" si="35"/>
        <v>976</v>
      </c>
      <c r="AQ38" s="943">
        <f t="shared" si="36"/>
        <v>108.44444444444444</v>
      </c>
      <c r="AR38" s="943">
        <f t="shared" si="37"/>
        <v>0</v>
      </c>
      <c r="AS38" s="943">
        <f t="shared" si="38"/>
        <v>108.44444444444444</v>
      </c>
      <c r="BC38" s="64"/>
      <c r="BD38" s="64"/>
      <c r="BE38" s="64"/>
      <c r="BF38" s="64"/>
      <c r="BG38" s="64"/>
      <c r="BH38" s="64"/>
    </row>
    <row r="39" spans="1:60" s="6" customFormat="1">
      <c r="A39" s="1">
        <v>32</v>
      </c>
      <c r="B39" s="261" t="s">
        <v>2878</v>
      </c>
      <c r="C39" s="1" t="s">
        <v>13</v>
      </c>
      <c r="D39" s="1" t="s">
        <v>74</v>
      </c>
      <c r="E39" s="2">
        <v>20</v>
      </c>
      <c r="F39" s="6">
        <v>20</v>
      </c>
      <c r="H39" s="6">
        <f t="shared" si="0"/>
        <v>20</v>
      </c>
      <c r="I39" s="6">
        <v>5</v>
      </c>
      <c r="K39" s="6">
        <f t="shared" si="1"/>
        <v>5</v>
      </c>
      <c r="N39" s="6">
        <f t="shared" si="2"/>
        <v>0</v>
      </c>
      <c r="Q39" s="6">
        <f t="shared" si="3"/>
        <v>0</v>
      </c>
      <c r="T39" s="6">
        <f t="shared" si="20"/>
        <v>0</v>
      </c>
      <c r="U39" s="109">
        <v>0</v>
      </c>
      <c r="W39" s="6">
        <f t="shared" si="19"/>
        <v>0</v>
      </c>
      <c r="X39" s="88">
        <f t="shared" si="4"/>
        <v>25</v>
      </c>
      <c r="Y39" s="41">
        <f t="shared" si="5"/>
        <v>0</v>
      </c>
      <c r="Z39" s="41">
        <f t="shared" si="6"/>
        <v>25</v>
      </c>
      <c r="AA39" s="42">
        <f t="shared" si="7"/>
        <v>4.166666666666667</v>
      </c>
      <c r="AB39" s="42">
        <f t="shared" si="8"/>
        <v>0</v>
      </c>
      <c r="AC39" s="42">
        <f t="shared" si="9"/>
        <v>4.166666666666667</v>
      </c>
      <c r="AD39" s="35" t="s">
        <v>15</v>
      </c>
      <c r="AG39" s="6">
        <f t="shared" si="30"/>
        <v>0</v>
      </c>
      <c r="AJ39" s="98">
        <f t="shared" si="31"/>
        <v>0</v>
      </c>
      <c r="AM39" s="98">
        <f t="shared" si="32"/>
        <v>0</v>
      </c>
      <c r="AN39" s="6">
        <f t="shared" si="33"/>
        <v>25</v>
      </c>
      <c r="AO39" s="6">
        <f t="shared" si="34"/>
        <v>0</v>
      </c>
      <c r="AP39" s="6">
        <f t="shared" si="35"/>
        <v>25</v>
      </c>
      <c r="AQ39" s="943">
        <f t="shared" si="36"/>
        <v>2.7777777777777777</v>
      </c>
      <c r="AR39" s="943">
        <f t="shared" si="37"/>
        <v>0</v>
      </c>
      <c r="AS39" s="943">
        <f t="shared" si="38"/>
        <v>2.7777777777777777</v>
      </c>
      <c r="BC39" s="64"/>
      <c r="BD39" s="64"/>
      <c r="BE39" s="64"/>
      <c r="BF39" s="64"/>
      <c r="BG39" s="64"/>
      <c r="BH39" s="64"/>
    </row>
    <row r="40" spans="1:60" s="6" customFormat="1">
      <c r="A40" s="6">
        <v>33</v>
      </c>
      <c r="B40" s="3" t="s">
        <v>75</v>
      </c>
      <c r="C40" s="1" t="s">
        <v>13</v>
      </c>
      <c r="D40" s="1" t="s">
        <v>76</v>
      </c>
      <c r="E40" s="2">
        <v>50</v>
      </c>
      <c r="F40" s="6">
        <v>82</v>
      </c>
      <c r="H40" s="6">
        <f t="shared" ref="H40:H71" si="39">SUM(F40:G40)</f>
        <v>82</v>
      </c>
      <c r="K40" s="6">
        <f t="shared" si="1"/>
        <v>0</v>
      </c>
      <c r="L40" s="6">
        <v>72</v>
      </c>
      <c r="N40" s="6">
        <f t="shared" si="2"/>
        <v>72</v>
      </c>
      <c r="Q40" s="6">
        <f t="shared" si="3"/>
        <v>0</v>
      </c>
      <c r="R40" s="6">
        <v>82</v>
      </c>
      <c r="T40" s="6">
        <f t="shared" si="20"/>
        <v>82</v>
      </c>
      <c r="U40" s="109"/>
      <c r="W40" s="6">
        <f t="shared" si="19"/>
        <v>0</v>
      </c>
      <c r="X40" s="88">
        <f t="shared" si="4"/>
        <v>236</v>
      </c>
      <c r="Y40" s="41">
        <f t="shared" si="5"/>
        <v>0</v>
      </c>
      <c r="Z40" s="41">
        <f t="shared" si="6"/>
        <v>236</v>
      </c>
      <c r="AA40" s="42">
        <f t="shared" si="7"/>
        <v>39.333333333333336</v>
      </c>
      <c r="AB40" s="42">
        <f t="shared" si="8"/>
        <v>0</v>
      </c>
      <c r="AC40" s="42">
        <f t="shared" si="9"/>
        <v>39.333333333333336</v>
      </c>
      <c r="AD40" s="35" t="s">
        <v>18</v>
      </c>
      <c r="AG40" s="6">
        <f t="shared" si="30"/>
        <v>0</v>
      </c>
      <c r="AH40" s="6">
        <v>130</v>
      </c>
      <c r="AJ40" s="98">
        <f t="shared" si="31"/>
        <v>130</v>
      </c>
      <c r="AK40" s="6">
        <v>53</v>
      </c>
      <c r="AM40" s="98">
        <f t="shared" si="32"/>
        <v>53</v>
      </c>
      <c r="AN40" s="6">
        <f t="shared" si="33"/>
        <v>419</v>
      </c>
      <c r="AO40" s="6">
        <f t="shared" si="34"/>
        <v>0</v>
      </c>
      <c r="AP40" s="6">
        <f t="shared" si="35"/>
        <v>419</v>
      </c>
      <c r="AQ40" s="943">
        <f t="shared" si="36"/>
        <v>46.555555555555557</v>
      </c>
      <c r="AR40" s="943">
        <f t="shared" si="37"/>
        <v>0</v>
      </c>
      <c r="AS40" s="943">
        <f t="shared" si="38"/>
        <v>46.555555555555557</v>
      </c>
      <c r="BC40" s="64"/>
      <c r="BD40" s="64"/>
      <c r="BE40" s="64"/>
      <c r="BF40" s="64"/>
      <c r="BG40" s="64"/>
      <c r="BH40" s="64"/>
    </row>
    <row r="41" spans="1:60" s="6" customFormat="1" ht="15" customHeight="1">
      <c r="A41" s="1">
        <v>34</v>
      </c>
      <c r="B41" s="261" t="s">
        <v>2867</v>
      </c>
      <c r="C41" s="1" t="s">
        <v>13</v>
      </c>
      <c r="D41" s="1" t="s">
        <v>77</v>
      </c>
      <c r="E41" s="2">
        <v>20</v>
      </c>
      <c r="H41" s="6">
        <f t="shared" si="39"/>
        <v>0</v>
      </c>
      <c r="K41" s="6">
        <f t="shared" si="1"/>
        <v>0</v>
      </c>
      <c r="N41" s="6">
        <f t="shared" si="2"/>
        <v>0</v>
      </c>
      <c r="Q41" s="6">
        <f t="shared" si="3"/>
        <v>0</v>
      </c>
      <c r="T41" s="6">
        <f t="shared" si="20"/>
        <v>0</v>
      </c>
      <c r="U41" s="109"/>
      <c r="W41" s="6">
        <f t="shared" si="19"/>
        <v>0</v>
      </c>
      <c r="X41" s="88">
        <f t="shared" si="4"/>
        <v>0</v>
      </c>
      <c r="Y41" s="41">
        <f t="shared" si="5"/>
        <v>0</v>
      </c>
      <c r="Z41" s="41">
        <f t="shared" si="6"/>
        <v>0</v>
      </c>
      <c r="AA41" s="42">
        <f t="shared" si="7"/>
        <v>0</v>
      </c>
      <c r="AB41" s="42">
        <f t="shared" si="8"/>
        <v>0</v>
      </c>
      <c r="AC41" s="42">
        <f t="shared" si="9"/>
        <v>0</v>
      </c>
      <c r="AD41" s="35" t="s">
        <v>15</v>
      </c>
      <c r="AE41" s="900"/>
      <c r="AF41" s="900"/>
      <c r="AH41" s="900"/>
      <c r="AI41" s="900"/>
      <c r="AK41" s="900"/>
      <c r="AL41" s="900"/>
    </row>
    <row r="42" spans="1:60" s="6" customFormat="1">
      <c r="A42" s="6">
        <v>35</v>
      </c>
      <c r="B42" s="3" t="s">
        <v>78</v>
      </c>
      <c r="C42" s="1" t="s">
        <v>13</v>
      </c>
      <c r="D42" s="1" t="s">
        <v>79</v>
      </c>
      <c r="E42" s="2">
        <v>30</v>
      </c>
      <c r="F42" s="6">
        <v>30</v>
      </c>
      <c r="H42" s="6">
        <f t="shared" si="39"/>
        <v>30</v>
      </c>
      <c r="K42" s="6">
        <f t="shared" si="1"/>
        <v>0</v>
      </c>
      <c r="L42" s="6">
        <v>30</v>
      </c>
      <c r="N42" s="6">
        <f t="shared" si="2"/>
        <v>30</v>
      </c>
      <c r="Q42" s="6">
        <f t="shared" si="3"/>
        <v>0</v>
      </c>
      <c r="R42" s="6">
        <v>50</v>
      </c>
      <c r="T42" s="6">
        <f t="shared" si="20"/>
        <v>50</v>
      </c>
      <c r="U42" s="109"/>
      <c r="W42" s="6">
        <f t="shared" si="19"/>
        <v>0</v>
      </c>
      <c r="X42" s="88">
        <f t="shared" si="4"/>
        <v>110</v>
      </c>
      <c r="Y42" s="41">
        <f t="shared" si="5"/>
        <v>0</v>
      </c>
      <c r="Z42" s="41">
        <f t="shared" si="6"/>
        <v>110</v>
      </c>
      <c r="AA42" s="42">
        <f t="shared" si="7"/>
        <v>18.333333333333332</v>
      </c>
      <c r="AB42" s="42">
        <f t="shared" si="8"/>
        <v>0</v>
      </c>
      <c r="AC42" s="42">
        <f t="shared" si="9"/>
        <v>18.333333333333332</v>
      </c>
      <c r="AD42" s="35" t="s">
        <v>15</v>
      </c>
      <c r="AG42" s="6">
        <f t="shared" ref="AG42:AG44" si="40">AE42+AF42</f>
        <v>0</v>
      </c>
      <c r="AH42" s="6">
        <v>35</v>
      </c>
      <c r="AJ42" s="98">
        <f t="shared" ref="AJ42:AJ67" si="41">AH42+AI42</f>
        <v>35</v>
      </c>
      <c r="AM42" s="98">
        <f t="shared" ref="AM42:AM67" si="42">AK42+AL42</f>
        <v>0</v>
      </c>
      <c r="AN42" s="6">
        <f t="shared" ref="AN42:AN67" si="43">X42+AE42+AH42+AK42</f>
        <v>145</v>
      </c>
      <c r="AO42" s="6">
        <f t="shared" ref="AO42:AO67" si="44">Y42+AF42+AI42+AL42</f>
        <v>0</v>
      </c>
      <c r="AP42" s="6">
        <f t="shared" ref="AP42:AP67" si="45">Z42+AG42+AJ42+AM42</f>
        <v>145</v>
      </c>
      <c r="AQ42" s="943">
        <f t="shared" ref="AQ42:AQ67" si="46">AN42/9</f>
        <v>16.111111111111111</v>
      </c>
      <c r="AR42" s="943">
        <f t="shared" ref="AR42:AR67" si="47">AO42/9</f>
        <v>0</v>
      </c>
      <c r="AS42" s="943">
        <f t="shared" ref="AS42:AS67" si="48">AP42/9</f>
        <v>16.111111111111111</v>
      </c>
      <c r="BC42" s="64"/>
      <c r="BD42" s="64"/>
      <c r="BE42" s="64"/>
      <c r="BF42" s="64"/>
      <c r="BG42" s="64"/>
      <c r="BH42" s="64"/>
    </row>
    <row r="43" spans="1:60" s="6" customFormat="1">
      <c r="A43" s="1">
        <v>36</v>
      </c>
      <c r="B43" s="3" t="s">
        <v>80</v>
      </c>
      <c r="C43" s="1" t="s">
        <v>13</v>
      </c>
      <c r="D43" s="1" t="s">
        <v>81</v>
      </c>
      <c r="E43" s="2">
        <v>100</v>
      </c>
      <c r="F43" s="6">
        <v>58</v>
      </c>
      <c r="H43" s="6">
        <f t="shared" si="39"/>
        <v>58</v>
      </c>
      <c r="I43" s="6">
        <v>116</v>
      </c>
      <c r="K43" s="6">
        <f t="shared" si="1"/>
        <v>116</v>
      </c>
      <c r="L43" s="6">
        <v>150</v>
      </c>
      <c r="N43" s="6">
        <f t="shared" si="2"/>
        <v>150</v>
      </c>
      <c r="Q43" s="6">
        <f t="shared" si="3"/>
        <v>0</v>
      </c>
      <c r="R43" s="6">
        <v>0</v>
      </c>
      <c r="T43" s="6">
        <f t="shared" si="20"/>
        <v>0</v>
      </c>
      <c r="U43" s="109"/>
      <c r="W43" s="6">
        <f t="shared" si="19"/>
        <v>0</v>
      </c>
      <c r="X43" s="88">
        <f t="shared" si="4"/>
        <v>324</v>
      </c>
      <c r="Y43" s="41">
        <f t="shared" si="5"/>
        <v>0</v>
      </c>
      <c r="Z43" s="41">
        <f t="shared" si="6"/>
        <v>324</v>
      </c>
      <c r="AA43" s="42">
        <f t="shared" si="7"/>
        <v>54</v>
      </c>
      <c r="AB43" s="42">
        <f t="shared" si="8"/>
        <v>0</v>
      </c>
      <c r="AC43" s="42">
        <f t="shared" si="9"/>
        <v>54</v>
      </c>
      <c r="AD43" s="35" t="s">
        <v>15</v>
      </c>
      <c r="AG43" s="6">
        <f t="shared" si="40"/>
        <v>0</v>
      </c>
      <c r="AJ43" s="98">
        <f t="shared" si="41"/>
        <v>0</v>
      </c>
      <c r="AM43" s="98">
        <f t="shared" si="42"/>
        <v>0</v>
      </c>
      <c r="AN43" s="6">
        <f t="shared" si="43"/>
        <v>324</v>
      </c>
      <c r="AO43" s="6">
        <f t="shared" si="44"/>
        <v>0</v>
      </c>
      <c r="AP43" s="6">
        <f t="shared" si="45"/>
        <v>324</v>
      </c>
      <c r="AQ43" s="943">
        <f t="shared" si="46"/>
        <v>36</v>
      </c>
      <c r="AR43" s="943">
        <f t="shared" si="47"/>
        <v>0</v>
      </c>
      <c r="AS43" s="943">
        <f t="shared" si="48"/>
        <v>36</v>
      </c>
      <c r="BC43" s="64"/>
      <c r="BD43" s="64"/>
      <c r="BE43" s="64"/>
      <c r="BF43" s="64"/>
      <c r="BG43" s="64"/>
      <c r="BH43" s="64"/>
    </row>
    <row r="44" spans="1:60" s="6" customFormat="1">
      <c r="A44" s="6">
        <v>37</v>
      </c>
      <c r="B44" s="3" t="s">
        <v>82</v>
      </c>
      <c r="C44" s="1" t="s">
        <v>13</v>
      </c>
      <c r="D44" s="1" t="s">
        <v>83</v>
      </c>
      <c r="E44" s="2">
        <v>120</v>
      </c>
      <c r="H44" s="6">
        <f t="shared" si="39"/>
        <v>0</v>
      </c>
      <c r="I44" s="6">
        <v>112</v>
      </c>
      <c r="K44" s="6">
        <f t="shared" si="1"/>
        <v>112</v>
      </c>
      <c r="L44" s="6">
        <v>120</v>
      </c>
      <c r="N44" s="6">
        <f t="shared" si="2"/>
        <v>120</v>
      </c>
      <c r="Q44" s="6">
        <f t="shared" si="3"/>
        <v>0</v>
      </c>
      <c r="U44" s="109"/>
      <c r="W44" s="6">
        <f t="shared" si="19"/>
        <v>0</v>
      </c>
      <c r="X44" s="88">
        <f t="shared" si="4"/>
        <v>232</v>
      </c>
      <c r="Y44" s="41">
        <f t="shared" si="5"/>
        <v>0</v>
      </c>
      <c r="Z44" s="41">
        <f t="shared" si="6"/>
        <v>232</v>
      </c>
      <c r="AA44" s="42">
        <f t="shared" si="7"/>
        <v>38.666666666666664</v>
      </c>
      <c r="AB44" s="42">
        <f t="shared" si="8"/>
        <v>0</v>
      </c>
      <c r="AC44" s="42">
        <f t="shared" si="9"/>
        <v>38.666666666666664</v>
      </c>
      <c r="AD44" s="35" t="s">
        <v>15</v>
      </c>
      <c r="AE44" s="6">
        <v>100</v>
      </c>
      <c r="AG44" s="6">
        <f t="shared" si="40"/>
        <v>100</v>
      </c>
      <c r="AJ44" s="98">
        <f t="shared" si="41"/>
        <v>0</v>
      </c>
      <c r="AK44" s="6">
        <v>60</v>
      </c>
      <c r="AM44" s="98">
        <f t="shared" si="42"/>
        <v>60</v>
      </c>
      <c r="AN44" s="6">
        <f t="shared" si="43"/>
        <v>392</v>
      </c>
      <c r="AO44" s="6">
        <f t="shared" si="44"/>
        <v>0</v>
      </c>
      <c r="AP44" s="6">
        <f t="shared" si="45"/>
        <v>392</v>
      </c>
      <c r="AQ44" s="943">
        <f t="shared" si="46"/>
        <v>43.555555555555557</v>
      </c>
      <c r="AR44" s="943">
        <f t="shared" si="47"/>
        <v>0</v>
      </c>
      <c r="AS44" s="943">
        <f t="shared" si="48"/>
        <v>43.555555555555557</v>
      </c>
      <c r="BC44" s="64"/>
      <c r="BD44" s="64"/>
      <c r="BE44" s="64"/>
      <c r="BF44" s="64"/>
      <c r="BG44" s="64"/>
      <c r="BH44" s="64"/>
    </row>
    <row r="45" spans="1:60" s="19" customFormat="1" ht="15.75">
      <c r="A45" s="1">
        <v>38</v>
      </c>
      <c r="B45" s="43" t="s">
        <v>84</v>
      </c>
      <c r="C45" s="19" t="s">
        <v>13</v>
      </c>
      <c r="D45" s="19" t="s">
        <v>85</v>
      </c>
      <c r="E45" s="19">
        <v>151</v>
      </c>
      <c r="F45" s="19">
        <v>112</v>
      </c>
      <c r="H45" s="19">
        <f t="shared" si="39"/>
        <v>112</v>
      </c>
      <c r="I45" s="19">
        <v>200</v>
      </c>
      <c r="J45" s="19">
        <v>118</v>
      </c>
      <c r="K45" s="19">
        <f t="shared" si="1"/>
        <v>318</v>
      </c>
      <c r="L45" s="19">
        <v>262</v>
      </c>
      <c r="M45" s="19">
        <v>18</v>
      </c>
      <c r="N45" s="19">
        <f t="shared" si="2"/>
        <v>280</v>
      </c>
      <c r="O45" s="19">
        <v>330</v>
      </c>
      <c r="Q45" s="19">
        <f t="shared" si="3"/>
        <v>330</v>
      </c>
      <c r="R45" s="19">
        <v>0</v>
      </c>
      <c r="T45" s="19">
        <f>R45+S45</f>
        <v>0</v>
      </c>
      <c r="U45" s="110">
        <v>390</v>
      </c>
      <c r="V45" s="19">
        <v>76</v>
      </c>
      <c r="W45" s="19">
        <f t="shared" si="19"/>
        <v>466</v>
      </c>
      <c r="X45" s="89">
        <f t="shared" si="4"/>
        <v>1294</v>
      </c>
      <c r="Y45" s="44">
        <f t="shared" si="5"/>
        <v>212</v>
      </c>
      <c r="Z45" s="44">
        <f t="shared" si="6"/>
        <v>1506</v>
      </c>
      <c r="AA45" s="45">
        <f t="shared" si="7"/>
        <v>215.66666666666666</v>
      </c>
      <c r="AB45" s="45">
        <f t="shared" si="8"/>
        <v>35.333333333333336</v>
      </c>
      <c r="AC45" s="45">
        <f t="shared" si="9"/>
        <v>251</v>
      </c>
      <c r="AD45" s="46" t="s">
        <v>15</v>
      </c>
      <c r="AE45" s="19">
        <v>0</v>
      </c>
      <c r="AG45" s="19">
        <f>AE45+AF45</f>
        <v>0</v>
      </c>
      <c r="AH45" s="19">
        <v>284</v>
      </c>
      <c r="AI45" s="19">
        <v>136</v>
      </c>
      <c r="AJ45" s="100">
        <f t="shared" si="41"/>
        <v>420</v>
      </c>
      <c r="AK45" s="19">
        <v>310</v>
      </c>
      <c r="AM45" s="100">
        <f t="shared" si="42"/>
        <v>310</v>
      </c>
      <c r="AN45" s="19">
        <f t="shared" si="43"/>
        <v>1888</v>
      </c>
      <c r="AO45" s="19">
        <f t="shared" si="44"/>
        <v>348</v>
      </c>
      <c r="AP45" s="19">
        <f t="shared" si="45"/>
        <v>2236</v>
      </c>
      <c r="AQ45" s="703">
        <f t="shared" si="46"/>
        <v>209.77777777777777</v>
      </c>
      <c r="AR45" s="703">
        <f t="shared" si="47"/>
        <v>38.666666666666664</v>
      </c>
      <c r="AS45" s="703">
        <f t="shared" si="48"/>
        <v>248.44444444444446</v>
      </c>
      <c r="BC45" s="64"/>
      <c r="BD45" s="64"/>
      <c r="BE45" s="64"/>
      <c r="BF45" s="64"/>
      <c r="BG45" s="64"/>
      <c r="BH45" s="64"/>
    </row>
    <row r="46" spans="1:60" s="19" customFormat="1" ht="15.75">
      <c r="A46" s="6">
        <v>39</v>
      </c>
      <c r="B46" s="43" t="s">
        <v>86</v>
      </c>
      <c r="C46" s="19" t="s">
        <v>13</v>
      </c>
      <c r="D46" s="19" t="s">
        <v>87</v>
      </c>
      <c r="E46" s="19">
        <v>163</v>
      </c>
      <c r="F46" s="19">
        <v>264</v>
      </c>
      <c r="H46" s="19">
        <f t="shared" si="39"/>
        <v>264</v>
      </c>
      <c r="I46" s="19">
        <v>272</v>
      </c>
      <c r="K46" s="19">
        <f t="shared" si="1"/>
        <v>272</v>
      </c>
      <c r="L46" s="19">
        <v>194</v>
      </c>
      <c r="M46" s="19">
        <v>58</v>
      </c>
      <c r="N46" s="19">
        <f t="shared" si="2"/>
        <v>252</v>
      </c>
      <c r="O46" s="19">
        <v>280</v>
      </c>
      <c r="Q46" s="19">
        <f t="shared" si="3"/>
        <v>280</v>
      </c>
      <c r="R46" s="19">
        <v>536</v>
      </c>
      <c r="T46" s="19">
        <f>R46+S46</f>
        <v>536</v>
      </c>
      <c r="U46" s="110">
        <v>128</v>
      </c>
      <c r="W46" s="19">
        <f t="shared" si="19"/>
        <v>128</v>
      </c>
      <c r="X46" s="89">
        <f t="shared" si="4"/>
        <v>1674</v>
      </c>
      <c r="Y46" s="44">
        <f t="shared" si="5"/>
        <v>58</v>
      </c>
      <c r="Z46" s="44">
        <f t="shared" si="6"/>
        <v>1732</v>
      </c>
      <c r="AA46" s="45">
        <f t="shared" si="7"/>
        <v>279</v>
      </c>
      <c r="AB46" s="45">
        <f t="shared" si="8"/>
        <v>9.6666666666666661</v>
      </c>
      <c r="AC46" s="45">
        <f t="shared" si="9"/>
        <v>288.66666666666669</v>
      </c>
      <c r="AD46" s="46" t="s">
        <v>18</v>
      </c>
      <c r="AE46" s="19">
        <v>96</v>
      </c>
      <c r="AG46" s="19">
        <f>AE46+AF46</f>
        <v>96</v>
      </c>
      <c r="AH46" s="19">
        <v>96</v>
      </c>
      <c r="AJ46" s="100">
        <f t="shared" si="41"/>
        <v>96</v>
      </c>
      <c r="AK46" s="19">
        <v>174</v>
      </c>
      <c r="AM46" s="100">
        <f t="shared" si="42"/>
        <v>174</v>
      </c>
      <c r="AN46" s="19">
        <f t="shared" si="43"/>
        <v>2040</v>
      </c>
      <c r="AO46" s="19">
        <f t="shared" si="44"/>
        <v>58</v>
      </c>
      <c r="AP46" s="19">
        <f t="shared" si="45"/>
        <v>2098</v>
      </c>
      <c r="AQ46" s="703">
        <f t="shared" si="46"/>
        <v>226.66666666666666</v>
      </c>
      <c r="AR46" s="703">
        <f t="shared" si="47"/>
        <v>6.4444444444444446</v>
      </c>
      <c r="AS46" s="703">
        <f t="shared" si="48"/>
        <v>233.11111111111111</v>
      </c>
      <c r="BC46" s="64"/>
      <c r="BD46" s="64"/>
      <c r="BE46" s="64"/>
      <c r="BF46" s="64"/>
      <c r="BG46" s="64"/>
      <c r="BH46" s="64"/>
    </row>
    <row r="47" spans="1:60" s="6" customFormat="1">
      <c r="A47" s="1">
        <v>40</v>
      </c>
      <c r="B47" s="3" t="s">
        <v>88</v>
      </c>
      <c r="C47" s="1" t="s">
        <v>89</v>
      </c>
      <c r="D47" s="1" t="s">
        <v>90</v>
      </c>
      <c r="E47" s="2">
        <v>40</v>
      </c>
      <c r="F47" s="6">
        <v>40</v>
      </c>
      <c r="H47" s="6">
        <f t="shared" si="39"/>
        <v>40</v>
      </c>
      <c r="K47" s="6">
        <f t="shared" si="1"/>
        <v>0</v>
      </c>
      <c r="L47" s="6">
        <v>50</v>
      </c>
      <c r="N47" s="6">
        <f t="shared" si="2"/>
        <v>50</v>
      </c>
      <c r="O47" s="6">
        <v>56</v>
      </c>
      <c r="Q47" s="6">
        <f t="shared" si="3"/>
        <v>56</v>
      </c>
      <c r="U47" s="109">
        <v>0</v>
      </c>
      <c r="W47" s="6">
        <f t="shared" si="19"/>
        <v>0</v>
      </c>
      <c r="X47" s="88">
        <f t="shared" si="4"/>
        <v>146</v>
      </c>
      <c r="Y47" s="41">
        <f t="shared" si="5"/>
        <v>0</v>
      </c>
      <c r="Z47" s="41">
        <f t="shared" si="6"/>
        <v>146</v>
      </c>
      <c r="AA47" s="42">
        <f t="shared" si="7"/>
        <v>24.333333333333332</v>
      </c>
      <c r="AB47" s="42">
        <f t="shared" si="8"/>
        <v>0</v>
      </c>
      <c r="AC47" s="42">
        <f t="shared" si="9"/>
        <v>24.333333333333332</v>
      </c>
      <c r="AD47" s="35" t="s">
        <v>15</v>
      </c>
      <c r="AE47" s="6">
        <v>20</v>
      </c>
      <c r="AG47" s="6">
        <f t="shared" ref="AG47:AG67" si="49">AE47+AF47</f>
        <v>20</v>
      </c>
      <c r="AH47" s="6">
        <v>20</v>
      </c>
      <c r="AJ47" s="98">
        <f t="shared" si="41"/>
        <v>20</v>
      </c>
      <c r="AK47" s="6">
        <v>18</v>
      </c>
      <c r="AM47" s="98">
        <f t="shared" si="42"/>
        <v>18</v>
      </c>
      <c r="AN47" s="6">
        <f t="shared" si="43"/>
        <v>204</v>
      </c>
      <c r="AO47" s="6">
        <f t="shared" si="44"/>
        <v>0</v>
      </c>
      <c r="AP47" s="6">
        <f t="shared" si="45"/>
        <v>204</v>
      </c>
      <c r="AQ47" s="943">
        <f t="shared" si="46"/>
        <v>22.666666666666668</v>
      </c>
      <c r="AR47" s="943">
        <f t="shared" si="47"/>
        <v>0</v>
      </c>
      <c r="AS47" s="943">
        <f t="shared" si="48"/>
        <v>22.666666666666668</v>
      </c>
      <c r="BC47" s="64"/>
      <c r="BD47" s="64"/>
      <c r="BE47" s="64"/>
      <c r="BF47" s="64"/>
      <c r="BG47" s="64"/>
      <c r="BH47" s="64"/>
    </row>
    <row r="48" spans="1:60" s="6" customFormat="1">
      <c r="A48" s="6">
        <v>41</v>
      </c>
      <c r="B48" s="3" t="s">
        <v>91</v>
      </c>
      <c r="C48" s="1" t="s">
        <v>89</v>
      </c>
      <c r="D48" s="1" t="s">
        <v>92</v>
      </c>
      <c r="E48" s="2">
        <v>20</v>
      </c>
      <c r="H48" s="6">
        <f t="shared" si="39"/>
        <v>0</v>
      </c>
      <c r="I48" s="6">
        <v>40</v>
      </c>
      <c r="K48" s="6">
        <f t="shared" si="1"/>
        <v>40</v>
      </c>
      <c r="L48" s="6">
        <v>18</v>
      </c>
      <c r="N48" s="6">
        <f t="shared" si="2"/>
        <v>18</v>
      </c>
      <c r="Q48" s="6">
        <f t="shared" si="3"/>
        <v>0</v>
      </c>
      <c r="U48" s="109"/>
      <c r="W48" s="6">
        <f t="shared" si="19"/>
        <v>0</v>
      </c>
      <c r="X48" s="88">
        <f t="shared" si="4"/>
        <v>58</v>
      </c>
      <c r="Y48" s="41">
        <f t="shared" si="5"/>
        <v>0</v>
      </c>
      <c r="Z48" s="41">
        <f t="shared" si="6"/>
        <v>58</v>
      </c>
      <c r="AA48" s="42">
        <f t="shared" si="7"/>
        <v>9.6666666666666661</v>
      </c>
      <c r="AB48" s="42">
        <f t="shared" si="8"/>
        <v>0</v>
      </c>
      <c r="AC48" s="42">
        <f t="shared" si="9"/>
        <v>9.6666666666666661</v>
      </c>
      <c r="AD48" s="35" t="s">
        <v>15</v>
      </c>
      <c r="AG48" s="6">
        <f t="shared" si="49"/>
        <v>0</v>
      </c>
      <c r="AJ48" s="98">
        <f t="shared" si="41"/>
        <v>0</v>
      </c>
      <c r="AK48" s="6">
        <v>40</v>
      </c>
      <c r="AM48" s="98">
        <f t="shared" si="42"/>
        <v>40</v>
      </c>
      <c r="AN48" s="6">
        <f t="shared" si="43"/>
        <v>98</v>
      </c>
      <c r="AO48" s="6">
        <f t="shared" si="44"/>
        <v>0</v>
      </c>
      <c r="AP48" s="6">
        <f t="shared" si="45"/>
        <v>98</v>
      </c>
      <c r="AQ48" s="943">
        <f t="shared" si="46"/>
        <v>10.888888888888889</v>
      </c>
      <c r="AR48" s="943">
        <f t="shared" si="47"/>
        <v>0</v>
      </c>
      <c r="AS48" s="943">
        <f t="shared" si="48"/>
        <v>10.888888888888889</v>
      </c>
      <c r="BC48" s="64"/>
      <c r="BD48" s="64"/>
      <c r="BE48" s="64"/>
      <c r="BF48" s="64"/>
      <c r="BG48" s="64"/>
      <c r="BH48" s="64"/>
    </row>
    <row r="49" spans="1:60" s="6" customFormat="1">
      <c r="A49" s="1">
        <v>42</v>
      </c>
      <c r="B49" s="3" t="s">
        <v>93</v>
      </c>
      <c r="C49" s="1" t="s">
        <v>89</v>
      </c>
      <c r="D49" s="1" t="s">
        <v>94</v>
      </c>
      <c r="E49" s="2">
        <v>120</v>
      </c>
      <c r="H49" s="6">
        <f t="shared" si="39"/>
        <v>0</v>
      </c>
      <c r="I49" s="6">
        <v>136</v>
      </c>
      <c r="K49" s="6">
        <f t="shared" si="1"/>
        <v>136</v>
      </c>
      <c r="L49" s="6">
        <v>130</v>
      </c>
      <c r="N49" s="6">
        <f t="shared" si="2"/>
        <v>130</v>
      </c>
      <c r="O49" s="6">
        <v>76</v>
      </c>
      <c r="Q49" s="6">
        <f t="shared" si="3"/>
        <v>76</v>
      </c>
      <c r="R49" s="6">
        <v>58</v>
      </c>
      <c r="T49" s="6">
        <f>R49+S49</f>
        <v>58</v>
      </c>
      <c r="U49" s="109"/>
      <c r="W49" s="6">
        <f t="shared" si="19"/>
        <v>0</v>
      </c>
      <c r="X49" s="88">
        <f t="shared" si="4"/>
        <v>400</v>
      </c>
      <c r="Y49" s="41">
        <f t="shared" si="5"/>
        <v>0</v>
      </c>
      <c r="Z49" s="41">
        <f t="shared" si="6"/>
        <v>400</v>
      </c>
      <c r="AA49" s="42">
        <f t="shared" si="7"/>
        <v>66.666666666666671</v>
      </c>
      <c r="AB49" s="42">
        <f t="shared" si="8"/>
        <v>0</v>
      </c>
      <c r="AC49" s="42">
        <f t="shared" si="9"/>
        <v>66.666666666666671</v>
      </c>
      <c r="AD49" s="35" t="s">
        <v>18</v>
      </c>
      <c r="AE49" s="6">
        <v>52</v>
      </c>
      <c r="AG49" s="6">
        <f t="shared" si="49"/>
        <v>52</v>
      </c>
      <c r="AH49" s="6">
        <v>119</v>
      </c>
      <c r="AJ49" s="98">
        <f t="shared" si="41"/>
        <v>119</v>
      </c>
      <c r="AK49" s="6">
        <v>76</v>
      </c>
      <c r="AM49" s="98">
        <f t="shared" si="42"/>
        <v>76</v>
      </c>
      <c r="AN49" s="6">
        <f t="shared" si="43"/>
        <v>647</v>
      </c>
      <c r="AO49" s="6">
        <f t="shared" si="44"/>
        <v>0</v>
      </c>
      <c r="AP49" s="6">
        <f t="shared" si="45"/>
        <v>647</v>
      </c>
      <c r="AQ49" s="943">
        <f t="shared" si="46"/>
        <v>71.888888888888886</v>
      </c>
      <c r="AR49" s="943">
        <f t="shared" si="47"/>
        <v>0</v>
      </c>
      <c r="AS49" s="943">
        <f t="shared" si="48"/>
        <v>71.888888888888886</v>
      </c>
      <c r="BC49" s="64"/>
      <c r="BD49" s="64"/>
      <c r="BE49" s="64"/>
      <c r="BF49" s="64"/>
      <c r="BG49" s="64"/>
      <c r="BH49" s="64"/>
    </row>
    <row r="50" spans="1:60" s="6" customFormat="1">
      <c r="A50" s="6">
        <v>43</v>
      </c>
      <c r="B50" s="3" t="s">
        <v>95</v>
      </c>
      <c r="C50" s="1" t="s">
        <v>89</v>
      </c>
      <c r="D50" s="1" t="s">
        <v>96</v>
      </c>
      <c r="E50" s="2">
        <v>120</v>
      </c>
      <c r="H50" s="6">
        <f t="shared" si="39"/>
        <v>0</v>
      </c>
      <c r="I50" s="6">
        <v>134</v>
      </c>
      <c r="K50" s="6">
        <f t="shared" si="1"/>
        <v>134</v>
      </c>
      <c r="L50" s="6">
        <v>137</v>
      </c>
      <c r="N50" s="6">
        <f t="shared" si="2"/>
        <v>137</v>
      </c>
      <c r="O50" s="6">
        <v>173</v>
      </c>
      <c r="Q50" s="6">
        <f t="shared" si="3"/>
        <v>173</v>
      </c>
      <c r="R50" s="6">
        <v>136</v>
      </c>
      <c r="T50" s="6">
        <f t="shared" ref="T50:T83" si="50">R50+S50</f>
        <v>136</v>
      </c>
      <c r="U50" s="109"/>
      <c r="W50" s="6">
        <f t="shared" si="19"/>
        <v>0</v>
      </c>
      <c r="X50" s="88">
        <f t="shared" si="4"/>
        <v>580</v>
      </c>
      <c r="Y50" s="41">
        <f t="shared" si="5"/>
        <v>0</v>
      </c>
      <c r="Z50" s="41">
        <f t="shared" si="6"/>
        <v>580</v>
      </c>
      <c r="AA50" s="42">
        <f t="shared" si="7"/>
        <v>96.666666666666671</v>
      </c>
      <c r="AB50" s="42">
        <f t="shared" si="8"/>
        <v>0</v>
      </c>
      <c r="AC50" s="42">
        <f t="shared" si="9"/>
        <v>96.666666666666671</v>
      </c>
      <c r="AD50" s="35" t="s">
        <v>15</v>
      </c>
      <c r="AE50" s="6">
        <v>58</v>
      </c>
      <c r="AG50" s="6">
        <f t="shared" si="49"/>
        <v>58</v>
      </c>
      <c r="AH50" s="6">
        <v>94</v>
      </c>
      <c r="AJ50" s="98">
        <f t="shared" si="41"/>
        <v>94</v>
      </c>
      <c r="AK50" s="6">
        <v>78</v>
      </c>
      <c r="AM50" s="98">
        <f t="shared" si="42"/>
        <v>78</v>
      </c>
      <c r="AN50" s="6">
        <f t="shared" si="43"/>
        <v>810</v>
      </c>
      <c r="AO50" s="6">
        <f t="shared" si="44"/>
        <v>0</v>
      </c>
      <c r="AP50" s="6">
        <f t="shared" si="45"/>
        <v>810</v>
      </c>
      <c r="AQ50" s="943">
        <f t="shared" si="46"/>
        <v>90</v>
      </c>
      <c r="AR50" s="943">
        <f t="shared" si="47"/>
        <v>0</v>
      </c>
      <c r="AS50" s="943">
        <f t="shared" si="48"/>
        <v>90</v>
      </c>
      <c r="BC50" s="64"/>
      <c r="BD50" s="64"/>
      <c r="BE50" s="64"/>
      <c r="BF50" s="64"/>
      <c r="BG50" s="64"/>
      <c r="BH50" s="64"/>
    </row>
    <row r="51" spans="1:60" s="6" customFormat="1">
      <c r="A51" s="1">
        <v>44</v>
      </c>
      <c r="B51" s="3" t="s">
        <v>97</v>
      </c>
      <c r="C51" s="1" t="s">
        <v>89</v>
      </c>
      <c r="D51" s="1" t="s">
        <v>98</v>
      </c>
      <c r="E51" s="2">
        <v>150</v>
      </c>
      <c r="H51" s="6">
        <f t="shared" si="39"/>
        <v>0</v>
      </c>
      <c r="I51" s="6">
        <v>60</v>
      </c>
      <c r="K51" s="6">
        <f t="shared" si="1"/>
        <v>60</v>
      </c>
      <c r="N51" s="6">
        <f t="shared" si="2"/>
        <v>0</v>
      </c>
      <c r="O51" s="6">
        <v>160</v>
      </c>
      <c r="P51" s="6">
        <v>60</v>
      </c>
      <c r="Q51" s="6">
        <f t="shared" si="3"/>
        <v>220</v>
      </c>
      <c r="R51" s="6">
        <v>85</v>
      </c>
      <c r="S51" s="6">
        <v>80</v>
      </c>
      <c r="T51" s="6">
        <f t="shared" si="50"/>
        <v>165</v>
      </c>
      <c r="U51" s="109">
        <v>56</v>
      </c>
      <c r="V51" s="6">
        <v>38</v>
      </c>
      <c r="W51" s="6">
        <f t="shared" si="19"/>
        <v>94</v>
      </c>
      <c r="X51" s="88">
        <f t="shared" si="4"/>
        <v>361</v>
      </c>
      <c r="Y51" s="41">
        <f t="shared" si="5"/>
        <v>178</v>
      </c>
      <c r="Z51" s="41">
        <f t="shared" si="6"/>
        <v>539</v>
      </c>
      <c r="AA51" s="42">
        <f t="shared" si="7"/>
        <v>60.166666666666664</v>
      </c>
      <c r="AB51" s="42">
        <f t="shared" si="8"/>
        <v>29.666666666666668</v>
      </c>
      <c r="AC51" s="42">
        <f t="shared" si="9"/>
        <v>89.833333333333329</v>
      </c>
      <c r="AD51" s="35" t="s">
        <v>18</v>
      </c>
      <c r="AE51" s="6">
        <v>136</v>
      </c>
      <c r="AF51" s="6">
        <v>96</v>
      </c>
      <c r="AG51" s="6">
        <f t="shared" si="49"/>
        <v>232</v>
      </c>
      <c r="AH51" s="6">
        <v>140</v>
      </c>
      <c r="AI51" s="6">
        <v>120</v>
      </c>
      <c r="AJ51" s="98">
        <f t="shared" si="41"/>
        <v>260</v>
      </c>
      <c r="AK51" s="6">
        <v>126</v>
      </c>
      <c r="AL51" s="6">
        <v>55</v>
      </c>
      <c r="AM51" s="98">
        <f t="shared" si="42"/>
        <v>181</v>
      </c>
      <c r="AN51" s="6">
        <f t="shared" si="43"/>
        <v>763</v>
      </c>
      <c r="AO51" s="6">
        <f t="shared" si="44"/>
        <v>449</v>
      </c>
      <c r="AP51" s="6">
        <f t="shared" si="45"/>
        <v>1212</v>
      </c>
      <c r="AQ51" s="943">
        <f t="shared" si="46"/>
        <v>84.777777777777771</v>
      </c>
      <c r="AR51" s="943">
        <f t="shared" si="47"/>
        <v>49.888888888888886</v>
      </c>
      <c r="AS51" s="943">
        <f t="shared" si="48"/>
        <v>134.66666666666666</v>
      </c>
      <c r="BC51" s="64"/>
      <c r="BD51" s="64"/>
      <c r="BE51" s="64"/>
      <c r="BF51" s="64"/>
      <c r="BG51" s="64"/>
      <c r="BH51" s="64"/>
    </row>
    <row r="52" spans="1:60" s="6" customFormat="1">
      <c r="A52" s="6">
        <v>45</v>
      </c>
      <c r="B52" s="3" t="s">
        <v>51</v>
      </c>
      <c r="C52" s="1" t="s">
        <v>89</v>
      </c>
      <c r="D52" s="1" t="s">
        <v>99</v>
      </c>
      <c r="E52" s="2">
        <v>10</v>
      </c>
      <c r="F52" s="6">
        <v>15</v>
      </c>
      <c r="H52" s="6">
        <f t="shared" si="39"/>
        <v>15</v>
      </c>
      <c r="K52" s="6">
        <f t="shared" si="1"/>
        <v>0</v>
      </c>
      <c r="L52" s="6">
        <v>15</v>
      </c>
      <c r="N52" s="6">
        <f t="shared" si="2"/>
        <v>15</v>
      </c>
      <c r="Q52" s="6">
        <f t="shared" si="3"/>
        <v>0</v>
      </c>
      <c r="R52" s="6">
        <v>18</v>
      </c>
      <c r="T52" s="6">
        <f t="shared" si="50"/>
        <v>18</v>
      </c>
      <c r="U52" s="109"/>
      <c r="W52" s="6">
        <f t="shared" si="19"/>
        <v>0</v>
      </c>
      <c r="X52" s="88">
        <f t="shared" si="4"/>
        <v>48</v>
      </c>
      <c r="Y52" s="41">
        <f t="shared" si="5"/>
        <v>0</v>
      </c>
      <c r="Z52" s="41">
        <f t="shared" si="6"/>
        <v>48</v>
      </c>
      <c r="AA52" s="42">
        <f t="shared" si="7"/>
        <v>8</v>
      </c>
      <c r="AB52" s="42">
        <f t="shared" si="8"/>
        <v>0</v>
      </c>
      <c r="AC52" s="42">
        <f t="shared" si="9"/>
        <v>8</v>
      </c>
      <c r="AD52" s="35" t="s">
        <v>15</v>
      </c>
      <c r="AG52" s="6">
        <f t="shared" si="49"/>
        <v>0</v>
      </c>
      <c r="AJ52" s="98">
        <f t="shared" si="41"/>
        <v>0</v>
      </c>
      <c r="AK52" s="6">
        <v>10</v>
      </c>
      <c r="AM52" s="98">
        <f t="shared" si="42"/>
        <v>10</v>
      </c>
      <c r="AN52" s="6">
        <f t="shared" si="43"/>
        <v>58</v>
      </c>
      <c r="AO52" s="6">
        <f t="shared" si="44"/>
        <v>0</v>
      </c>
      <c r="AP52" s="6">
        <f t="shared" si="45"/>
        <v>58</v>
      </c>
      <c r="AQ52" s="943">
        <f t="shared" si="46"/>
        <v>6.4444444444444446</v>
      </c>
      <c r="AR52" s="943">
        <f t="shared" si="47"/>
        <v>0</v>
      </c>
      <c r="AS52" s="943">
        <f t="shared" si="48"/>
        <v>6.4444444444444446</v>
      </c>
      <c r="BC52" s="64"/>
      <c r="BD52" s="64"/>
      <c r="BE52" s="64"/>
      <c r="BF52" s="64"/>
      <c r="BG52" s="64"/>
      <c r="BH52" s="64"/>
    </row>
    <row r="53" spans="1:60" s="6" customFormat="1">
      <c r="A53" s="1">
        <v>46</v>
      </c>
      <c r="B53" s="3" t="s">
        <v>100</v>
      </c>
      <c r="C53" s="1" t="s">
        <v>89</v>
      </c>
      <c r="D53" s="1" t="s">
        <v>101</v>
      </c>
      <c r="E53" s="2">
        <v>150</v>
      </c>
      <c r="F53" s="6">
        <v>300</v>
      </c>
      <c r="H53" s="6">
        <f t="shared" si="39"/>
        <v>300</v>
      </c>
      <c r="I53" s="6">
        <v>322</v>
      </c>
      <c r="K53" s="6">
        <f t="shared" si="1"/>
        <v>322</v>
      </c>
      <c r="L53" s="6">
        <v>54</v>
      </c>
      <c r="N53" s="6">
        <f t="shared" si="2"/>
        <v>54</v>
      </c>
      <c r="O53" s="6">
        <v>276</v>
      </c>
      <c r="P53" s="6">
        <v>72</v>
      </c>
      <c r="Q53" s="6">
        <f t="shared" si="3"/>
        <v>348</v>
      </c>
      <c r="T53" s="6">
        <f t="shared" si="50"/>
        <v>0</v>
      </c>
      <c r="U53" s="109"/>
      <c r="W53" s="6">
        <f t="shared" si="19"/>
        <v>0</v>
      </c>
      <c r="X53" s="88">
        <f t="shared" si="4"/>
        <v>952</v>
      </c>
      <c r="Y53" s="41">
        <f t="shared" si="5"/>
        <v>72</v>
      </c>
      <c r="Z53" s="41">
        <f t="shared" si="6"/>
        <v>1024</v>
      </c>
      <c r="AA53" s="42">
        <f t="shared" si="7"/>
        <v>158.66666666666666</v>
      </c>
      <c r="AB53" s="42">
        <f t="shared" si="8"/>
        <v>12</v>
      </c>
      <c r="AC53" s="42">
        <f t="shared" si="9"/>
        <v>170.66666666666666</v>
      </c>
      <c r="AD53" s="35" t="s">
        <v>15</v>
      </c>
      <c r="AG53" s="6">
        <f t="shared" si="49"/>
        <v>0</v>
      </c>
      <c r="AH53" s="6">
        <v>36</v>
      </c>
      <c r="AJ53" s="98">
        <f t="shared" si="41"/>
        <v>36</v>
      </c>
      <c r="AK53" s="6">
        <v>312</v>
      </c>
      <c r="AM53" s="98">
        <f t="shared" si="42"/>
        <v>312</v>
      </c>
      <c r="AN53" s="6">
        <f t="shared" si="43"/>
        <v>1300</v>
      </c>
      <c r="AO53" s="6">
        <f t="shared" si="44"/>
        <v>72</v>
      </c>
      <c r="AP53" s="6">
        <f t="shared" si="45"/>
        <v>1372</v>
      </c>
      <c r="AQ53" s="943">
        <f t="shared" si="46"/>
        <v>144.44444444444446</v>
      </c>
      <c r="AR53" s="943">
        <f t="shared" si="47"/>
        <v>8</v>
      </c>
      <c r="AS53" s="943">
        <f t="shared" si="48"/>
        <v>152.44444444444446</v>
      </c>
      <c r="BC53" s="64"/>
      <c r="BD53" s="64"/>
      <c r="BE53" s="64"/>
      <c r="BF53" s="64"/>
      <c r="BG53" s="64"/>
      <c r="BH53" s="64"/>
    </row>
    <row r="54" spans="1:60" s="6" customFormat="1">
      <c r="A54" s="6">
        <v>47</v>
      </c>
      <c r="B54" s="3" t="s">
        <v>102</v>
      </c>
      <c r="C54" s="1" t="s">
        <v>89</v>
      </c>
      <c r="D54" s="1" t="s">
        <v>103</v>
      </c>
      <c r="E54" s="2">
        <v>20</v>
      </c>
      <c r="H54" s="6">
        <f t="shared" si="39"/>
        <v>0</v>
      </c>
      <c r="I54" s="6">
        <v>24</v>
      </c>
      <c r="K54" s="6">
        <f t="shared" si="1"/>
        <v>24</v>
      </c>
      <c r="N54" s="6">
        <f t="shared" si="2"/>
        <v>0</v>
      </c>
      <c r="Q54" s="6">
        <f t="shared" si="3"/>
        <v>0</v>
      </c>
      <c r="R54" s="6">
        <v>16</v>
      </c>
      <c r="T54" s="6">
        <f t="shared" si="50"/>
        <v>16</v>
      </c>
      <c r="U54" s="109"/>
      <c r="W54" s="6">
        <f t="shared" si="19"/>
        <v>0</v>
      </c>
      <c r="X54" s="88">
        <f t="shared" si="4"/>
        <v>40</v>
      </c>
      <c r="Y54" s="41">
        <f t="shared" si="5"/>
        <v>0</v>
      </c>
      <c r="Z54" s="41">
        <f t="shared" si="6"/>
        <v>40</v>
      </c>
      <c r="AA54" s="42">
        <f t="shared" si="7"/>
        <v>6.666666666666667</v>
      </c>
      <c r="AB54" s="42">
        <f t="shared" si="8"/>
        <v>0</v>
      </c>
      <c r="AC54" s="42">
        <f t="shared" si="9"/>
        <v>6.666666666666667</v>
      </c>
      <c r="AD54" s="35" t="s">
        <v>15</v>
      </c>
      <c r="AE54" s="6">
        <v>19</v>
      </c>
      <c r="AG54" s="6">
        <f t="shared" si="49"/>
        <v>19</v>
      </c>
      <c r="AJ54" s="98">
        <f t="shared" si="41"/>
        <v>0</v>
      </c>
      <c r="AM54" s="98">
        <f t="shared" si="42"/>
        <v>0</v>
      </c>
      <c r="AN54" s="6">
        <f t="shared" si="43"/>
        <v>59</v>
      </c>
      <c r="AO54" s="6">
        <f t="shared" si="44"/>
        <v>0</v>
      </c>
      <c r="AP54" s="6">
        <f t="shared" si="45"/>
        <v>59</v>
      </c>
      <c r="AQ54" s="943">
        <f t="shared" si="46"/>
        <v>6.5555555555555554</v>
      </c>
      <c r="AR54" s="943">
        <f t="shared" si="47"/>
        <v>0</v>
      </c>
      <c r="AS54" s="943">
        <f t="shared" si="48"/>
        <v>6.5555555555555554</v>
      </c>
      <c r="BC54" s="64"/>
      <c r="BD54" s="64"/>
      <c r="BE54" s="64"/>
      <c r="BF54" s="64"/>
      <c r="BG54" s="64"/>
      <c r="BH54" s="64"/>
    </row>
    <row r="55" spans="1:60" s="6" customFormat="1">
      <c r="A55" s="1">
        <v>48</v>
      </c>
      <c r="B55" s="3" t="s">
        <v>104</v>
      </c>
      <c r="C55" s="1" t="s">
        <v>89</v>
      </c>
      <c r="D55" s="1" t="s">
        <v>105</v>
      </c>
      <c r="E55" s="2">
        <v>60</v>
      </c>
      <c r="F55" s="6">
        <v>76</v>
      </c>
      <c r="H55" s="6">
        <f t="shared" si="39"/>
        <v>76</v>
      </c>
      <c r="I55" s="6">
        <v>94</v>
      </c>
      <c r="K55" s="6">
        <f t="shared" si="1"/>
        <v>94</v>
      </c>
      <c r="L55" s="6">
        <v>114</v>
      </c>
      <c r="N55" s="6">
        <f t="shared" si="2"/>
        <v>114</v>
      </c>
      <c r="O55" s="6">
        <v>60</v>
      </c>
      <c r="Q55" s="6">
        <f t="shared" si="3"/>
        <v>60</v>
      </c>
      <c r="R55" s="6">
        <v>76</v>
      </c>
      <c r="T55" s="6">
        <f t="shared" si="50"/>
        <v>76</v>
      </c>
      <c r="U55" s="109"/>
      <c r="W55" s="6">
        <f t="shared" si="19"/>
        <v>0</v>
      </c>
      <c r="X55" s="88">
        <f t="shared" si="4"/>
        <v>420</v>
      </c>
      <c r="Y55" s="41">
        <f t="shared" si="5"/>
        <v>0</v>
      </c>
      <c r="Z55" s="41">
        <f t="shared" si="6"/>
        <v>420</v>
      </c>
      <c r="AA55" s="42">
        <f t="shared" si="7"/>
        <v>70</v>
      </c>
      <c r="AB55" s="42">
        <f t="shared" si="8"/>
        <v>0</v>
      </c>
      <c r="AC55" s="42">
        <f t="shared" si="9"/>
        <v>70</v>
      </c>
      <c r="AD55" s="35" t="s">
        <v>15</v>
      </c>
      <c r="AE55" s="6">
        <v>67</v>
      </c>
      <c r="AG55" s="6">
        <f t="shared" si="49"/>
        <v>67</v>
      </c>
      <c r="AH55" s="6">
        <v>114</v>
      </c>
      <c r="AJ55" s="98">
        <f t="shared" si="41"/>
        <v>114</v>
      </c>
      <c r="AK55" s="6">
        <v>58</v>
      </c>
      <c r="AL55" s="6">
        <v>10</v>
      </c>
      <c r="AM55" s="98">
        <f t="shared" si="42"/>
        <v>68</v>
      </c>
      <c r="AN55" s="6">
        <f t="shared" si="43"/>
        <v>659</v>
      </c>
      <c r="AO55" s="6">
        <f t="shared" si="44"/>
        <v>10</v>
      </c>
      <c r="AP55" s="6">
        <f t="shared" si="45"/>
        <v>669</v>
      </c>
      <c r="AQ55" s="943">
        <f t="shared" si="46"/>
        <v>73.222222222222229</v>
      </c>
      <c r="AR55" s="943">
        <f t="shared" si="47"/>
        <v>1.1111111111111112</v>
      </c>
      <c r="AS55" s="943">
        <f t="shared" si="48"/>
        <v>74.333333333333329</v>
      </c>
      <c r="BC55" s="64"/>
      <c r="BD55" s="64"/>
      <c r="BE55" s="64"/>
      <c r="BF55" s="64"/>
      <c r="BG55" s="64"/>
      <c r="BH55" s="64"/>
    </row>
    <row r="56" spans="1:60" s="6" customFormat="1">
      <c r="A56" s="6">
        <v>49</v>
      </c>
      <c r="B56" s="3" t="s">
        <v>106</v>
      </c>
      <c r="C56" s="1" t="s">
        <v>89</v>
      </c>
      <c r="D56" s="1" t="s">
        <v>107</v>
      </c>
      <c r="E56" s="2">
        <v>30</v>
      </c>
      <c r="F56" s="6">
        <v>30</v>
      </c>
      <c r="H56" s="6">
        <f t="shared" si="39"/>
        <v>30</v>
      </c>
      <c r="I56" s="6">
        <v>20</v>
      </c>
      <c r="K56" s="6">
        <f t="shared" si="1"/>
        <v>20</v>
      </c>
      <c r="L56" s="6">
        <v>20</v>
      </c>
      <c r="N56" s="6">
        <f t="shared" si="2"/>
        <v>20</v>
      </c>
      <c r="Q56" s="6">
        <f t="shared" si="3"/>
        <v>0</v>
      </c>
      <c r="T56" s="6">
        <f t="shared" si="50"/>
        <v>0</v>
      </c>
      <c r="U56" s="109"/>
      <c r="W56" s="6">
        <f t="shared" si="19"/>
        <v>0</v>
      </c>
      <c r="X56" s="88">
        <f t="shared" si="4"/>
        <v>70</v>
      </c>
      <c r="Y56" s="41">
        <f t="shared" si="5"/>
        <v>0</v>
      </c>
      <c r="Z56" s="41">
        <f t="shared" si="6"/>
        <v>70</v>
      </c>
      <c r="AA56" s="42">
        <f t="shared" si="7"/>
        <v>11.666666666666666</v>
      </c>
      <c r="AB56" s="42">
        <f t="shared" si="8"/>
        <v>0</v>
      </c>
      <c r="AC56" s="42">
        <f t="shared" si="9"/>
        <v>11.666666666666666</v>
      </c>
      <c r="AD56" s="35" t="s">
        <v>15</v>
      </c>
      <c r="AG56" s="6">
        <f t="shared" si="49"/>
        <v>0</v>
      </c>
      <c r="AH56" s="6">
        <v>0</v>
      </c>
      <c r="AJ56" s="98">
        <f t="shared" si="41"/>
        <v>0</v>
      </c>
      <c r="AK56" s="6">
        <v>26</v>
      </c>
      <c r="AM56" s="98">
        <f t="shared" si="42"/>
        <v>26</v>
      </c>
      <c r="AN56" s="6">
        <f t="shared" si="43"/>
        <v>96</v>
      </c>
      <c r="AO56" s="6">
        <f t="shared" si="44"/>
        <v>0</v>
      </c>
      <c r="AP56" s="6">
        <f t="shared" si="45"/>
        <v>96</v>
      </c>
      <c r="AQ56" s="943">
        <f t="shared" si="46"/>
        <v>10.666666666666666</v>
      </c>
      <c r="AR56" s="943">
        <f t="shared" si="47"/>
        <v>0</v>
      </c>
      <c r="AS56" s="943">
        <f t="shared" si="48"/>
        <v>10.666666666666666</v>
      </c>
      <c r="BC56" s="64"/>
      <c r="BD56" s="64"/>
      <c r="BE56" s="64"/>
      <c r="BF56" s="64"/>
      <c r="BG56" s="64"/>
      <c r="BH56" s="64"/>
    </row>
    <row r="57" spans="1:60" s="6" customFormat="1">
      <c r="A57" s="1">
        <v>50</v>
      </c>
      <c r="B57" s="3" t="s">
        <v>108</v>
      </c>
      <c r="C57" s="1" t="s">
        <v>89</v>
      </c>
      <c r="D57" s="1" t="s">
        <v>109</v>
      </c>
      <c r="E57" s="2">
        <v>20</v>
      </c>
      <c r="H57" s="6">
        <f t="shared" si="39"/>
        <v>0</v>
      </c>
      <c r="I57" s="6">
        <v>128</v>
      </c>
      <c r="K57" s="6">
        <f t="shared" si="1"/>
        <v>128</v>
      </c>
      <c r="L57" s="6">
        <v>158</v>
      </c>
      <c r="N57" s="6">
        <f t="shared" si="2"/>
        <v>158</v>
      </c>
      <c r="O57" s="6">
        <v>40</v>
      </c>
      <c r="P57" s="6">
        <v>40</v>
      </c>
      <c r="Q57" s="6">
        <f t="shared" si="3"/>
        <v>80</v>
      </c>
      <c r="R57" s="6">
        <v>72</v>
      </c>
      <c r="T57" s="6">
        <f t="shared" si="50"/>
        <v>72</v>
      </c>
      <c r="U57" s="109"/>
      <c r="W57" s="6">
        <f t="shared" si="19"/>
        <v>0</v>
      </c>
      <c r="X57" s="88">
        <f t="shared" si="4"/>
        <v>398</v>
      </c>
      <c r="Y57" s="41">
        <f t="shared" si="5"/>
        <v>40</v>
      </c>
      <c r="Z57" s="41">
        <f t="shared" si="6"/>
        <v>438</v>
      </c>
      <c r="AA57" s="42">
        <f t="shared" si="7"/>
        <v>66.333333333333329</v>
      </c>
      <c r="AB57" s="42">
        <f t="shared" si="8"/>
        <v>6.666666666666667</v>
      </c>
      <c r="AC57" s="42">
        <f t="shared" si="9"/>
        <v>73</v>
      </c>
      <c r="AD57" s="35" t="s">
        <v>18</v>
      </c>
      <c r="AE57" s="6">
        <v>36</v>
      </c>
      <c r="AG57" s="6">
        <f t="shared" si="49"/>
        <v>36</v>
      </c>
      <c r="AH57" s="6">
        <v>158</v>
      </c>
      <c r="AJ57" s="98">
        <f t="shared" si="41"/>
        <v>158</v>
      </c>
      <c r="AM57" s="98">
        <f t="shared" si="42"/>
        <v>0</v>
      </c>
      <c r="AN57" s="6">
        <f t="shared" si="43"/>
        <v>592</v>
      </c>
      <c r="AO57" s="6">
        <f t="shared" si="44"/>
        <v>40</v>
      </c>
      <c r="AP57" s="6">
        <f t="shared" si="45"/>
        <v>632</v>
      </c>
      <c r="AQ57" s="943">
        <f t="shared" si="46"/>
        <v>65.777777777777771</v>
      </c>
      <c r="AR57" s="943">
        <f t="shared" si="47"/>
        <v>4.4444444444444446</v>
      </c>
      <c r="AS57" s="943">
        <f t="shared" si="48"/>
        <v>70.222222222222229</v>
      </c>
      <c r="BC57" s="64"/>
      <c r="BD57" s="64"/>
      <c r="BE57" s="64"/>
      <c r="BF57" s="64"/>
      <c r="BG57" s="64"/>
      <c r="BH57" s="64"/>
    </row>
    <row r="58" spans="1:60" s="6" customFormat="1">
      <c r="A58" s="6">
        <v>51</v>
      </c>
      <c r="B58" s="3" t="s">
        <v>110</v>
      </c>
      <c r="C58" s="1" t="s">
        <v>89</v>
      </c>
      <c r="D58" s="1" t="s">
        <v>111</v>
      </c>
      <c r="E58" s="2">
        <v>10</v>
      </c>
      <c r="F58" s="6">
        <v>10</v>
      </c>
      <c r="H58" s="6">
        <f t="shared" si="39"/>
        <v>10</v>
      </c>
      <c r="K58" s="6">
        <f t="shared" si="1"/>
        <v>0</v>
      </c>
      <c r="L58" s="6">
        <v>20</v>
      </c>
      <c r="N58" s="6">
        <f t="shared" si="2"/>
        <v>20</v>
      </c>
      <c r="O58" s="6">
        <v>20</v>
      </c>
      <c r="Q58" s="6">
        <f t="shared" si="3"/>
        <v>20</v>
      </c>
      <c r="T58" s="6">
        <f t="shared" si="50"/>
        <v>0</v>
      </c>
      <c r="U58" s="109">
        <v>30</v>
      </c>
      <c r="W58" s="6">
        <f t="shared" si="19"/>
        <v>30</v>
      </c>
      <c r="X58" s="88">
        <f t="shared" si="4"/>
        <v>80</v>
      </c>
      <c r="Y58" s="41">
        <f t="shared" si="5"/>
        <v>0</v>
      </c>
      <c r="Z58" s="41">
        <f t="shared" si="6"/>
        <v>80</v>
      </c>
      <c r="AA58" s="42">
        <f t="shared" si="7"/>
        <v>13.333333333333334</v>
      </c>
      <c r="AB58" s="42">
        <f t="shared" si="8"/>
        <v>0</v>
      </c>
      <c r="AC58" s="42">
        <f t="shared" si="9"/>
        <v>13.333333333333334</v>
      </c>
      <c r="AD58" s="35" t="s">
        <v>15</v>
      </c>
      <c r="AE58" s="6">
        <v>16</v>
      </c>
      <c r="AG58" s="6">
        <f t="shared" si="49"/>
        <v>16</v>
      </c>
      <c r="AJ58" s="98">
        <f t="shared" si="41"/>
        <v>0</v>
      </c>
      <c r="AK58" s="6">
        <v>10</v>
      </c>
      <c r="AM58" s="98">
        <f t="shared" si="42"/>
        <v>10</v>
      </c>
      <c r="AN58" s="6">
        <f t="shared" si="43"/>
        <v>106</v>
      </c>
      <c r="AO58" s="6">
        <f t="shared" si="44"/>
        <v>0</v>
      </c>
      <c r="AP58" s="6">
        <f t="shared" si="45"/>
        <v>106</v>
      </c>
      <c r="AQ58" s="943">
        <f t="shared" si="46"/>
        <v>11.777777777777779</v>
      </c>
      <c r="AR58" s="943">
        <f t="shared" si="47"/>
        <v>0</v>
      </c>
      <c r="AS58" s="943">
        <f t="shared" si="48"/>
        <v>11.777777777777779</v>
      </c>
      <c r="BC58" s="64"/>
      <c r="BD58" s="64"/>
      <c r="BE58" s="64"/>
      <c r="BF58" s="64"/>
      <c r="BG58" s="64"/>
      <c r="BH58" s="64"/>
    </row>
    <row r="59" spans="1:60" s="6" customFormat="1">
      <c r="A59" s="1">
        <v>52</v>
      </c>
      <c r="B59" s="3" t="s">
        <v>112</v>
      </c>
      <c r="C59" s="1" t="s">
        <v>89</v>
      </c>
      <c r="D59" s="1" t="s">
        <v>113</v>
      </c>
      <c r="E59" s="2">
        <v>50</v>
      </c>
      <c r="F59" s="6">
        <v>52</v>
      </c>
      <c r="H59" s="6">
        <f t="shared" si="39"/>
        <v>52</v>
      </c>
      <c r="I59" s="6">
        <v>64</v>
      </c>
      <c r="K59" s="6">
        <f t="shared" si="1"/>
        <v>64</v>
      </c>
      <c r="L59" s="6">
        <v>83</v>
      </c>
      <c r="N59" s="6">
        <f t="shared" si="2"/>
        <v>83</v>
      </c>
      <c r="O59" s="6">
        <v>60</v>
      </c>
      <c r="Q59" s="6">
        <f t="shared" si="3"/>
        <v>60</v>
      </c>
      <c r="R59" s="6">
        <v>74</v>
      </c>
      <c r="T59" s="6">
        <f t="shared" si="50"/>
        <v>74</v>
      </c>
      <c r="U59" s="109">
        <v>51</v>
      </c>
      <c r="W59" s="6">
        <f t="shared" si="19"/>
        <v>51</v>
      </c>
      <c r="X59" s="88">
        <f t="shared" si="4"/>
        <v>384</v>
      </c>
      <c r="Y59" s="41">
        <f t="shared" si="5"/>
        <v>0</v>
      </c>
      <c r="Z59" s="41">
        <f t="shared" si="6"/>
        <v>384</v>
      </c>
      <c r="AA59" s="42">
        <f t="shared" si="7"/>
        <v>64</v>
      </c>
      <c r="AB59" s="42">
        <f t="shared" si="8"/>
        <v>0</v>
      </c>
      <c r="AC59" s="42">
        <f t="shared" si="9"/>
        <v>64</v>
      </c>
      <c r="AD59" s="35" t="s">
        <v>15</v>
      </c>
      <c r="AE59" s="6">
        <v>75</v>
      </c>
      <c r="AG59" s="6">
        <f t="shared" si="49"/>
        <v>75</v>
      </c>
      <c r="AJ59" s="98">
        <f t="shared" si="41"/>
        <v>0</v>
      </c>
      <c r="AM59" s="98">
        <f t="shared" si="42"/>
        <v>0</v>
      </c>
      <c r="AN59" s="6">
        <f t="shared" si="43"/>
        <v>459</v>
      </c>
      <c r="AO59" s="6">
        <f t="shared" si="44"/>
        <v>0</v>
      </c>
      <c r="AP59" s="6">
        <f t="shared" si="45"/>
        <v>459</v>
      </c>
      <c r="AQ59" s="943">
        <f t="shared" si="46"/>
        <v>51</v>
      </c>
      <c r="AR59" s="943">
        <f t="shared" si="47"/>
        <v>0</v>
      </c>
      <c r="AS59" s="943">
        <f t="shared" si="48"/>
        <v>51</v>
      </c>
      <c r="BC59" s="64"/>
      <c r="BD59" s="64"/>
      <c r="BE59" s="64"/>
      <c r="BF59" s="64"/>
      <c r="BG59" s="64"/>
      <c r="BH59" s="64"/>
    </row>
    <row r="60" spans="1:60" s="6" customFormat="1">
      <c r="A60" s="6">
        <v>53</v>
      </c>
      <c r="B60" s="4" t="s">
        <v>114</v>
      </c>
      <c r="C60" s="1" t="s">
        <v>89</v>
      </c>
      <c r="D60" s="1" t="s">
        <v>115</v>
      </c>
      <c r="E60" s="2">
        <v>40</v>
      </c>
      <c r="F60" s="6">
        <v>72</v>
      </c>
      <c r="H60" s="6">
        <f t="shared" si="39"/>
        <v>72</v>
      </c>
      <c r="K60" s="6">
        <f t="shared" si="1"/>
        <v>0</v>
      </c>
      <c r="L60" s="6">
        <v>112</v>
      </c>
      <c r="N60" s="6">
        <f t="shared" si="2"/>
        <v>112</v>
      </c>
      <c r="Q60" s="6">
        <f t="shared" si="3"/>
        <v>0</v>
      </c>
      <c r="T60" s="6">
        <f t="shared" si="50"/>
        <v>0</v>
      </c>
      <c r="U60" s="109">
        <v>40</v>
      </c>
      <c r="W60" s="6">
        <f t="shared" si="19"/>
        <v>40</v>
      </c>
      <c r="X60" s="88">
        <f t="shared" si="4"/>
        <v>224</v>
      </c>
      <c r="Y60" s="41">
        <f t="shared" si="5"/>
        <v>0</v>
      </c>
      <c r="Z60" s="41">
        <f t="shared" si="6"/>
        <v>224</v>
      </c>
      <c r="AA60" s="42">
        <f t="shared" si="7"/>
        <v>37.333333333333336</v>
      </c>
      <c r="AB60" s="42">
        <f t="shared" si="8"/>
        <v>0</v>
      </c>
      <c r="AC60" s="42">
        <f t="shared" si="9"/>
        <v>37.333333333333336</v>
      </c>
      <c r="AD60" s="35" t="s">
        <v>15</v>
      </c>
      <c r="AG60" s="6">
        <f t="shared" si="49"/>
        <v>0</v>
      </c>
      <c r="AH60" s="6">
        <v>102</v>
      </c>
      <c r="AJ60" s="98">
        <f t="shared" si="41"/>
        <v>102</v>
      </c>
      <c r="AM60" s="98">
        <f t="shared" si="42"/>
        <v>0</v>
      </c>
      <c r="AN60" s="6">
        <f t="shared" si="43"/>
        <v>326</v>
      </c>
      <c r="AO60" s="6">
        <f t="shared" si="44"/>
        <v>0</v>
      </c>
      <c r="AP60" s="6">
        <f t="shared" si="45"/>
        <v>326</v>
      </c>
      <c r="AQ60" s="943">
        <f t="shared" si="46"/>
        <v>36.222222222222221</v>
      </c>
      <c r="AR60" s="943">
        <f t="shared" si="47"/>
        <v>0</v>
      </c>
      <c r="AS60" s="943">
        <f t="shared" si="48"/>
        <v>36.222222222222221</v>
      </c>
      <c r="BC60" s="64"/>
      <c r="BD60" s="64"/>
      <c r="BE60" s="64"/>
      <c r="BF60" s="64"/>
      <c r="BG60" s="64"/>
      <c r="BH60" s="64"/>
    </row>
    <row r="61" spans="1:60" s="6" customFormat="1">
      <c r="A61" s="1">
        <v>54</v>
      </c>
      <c r="B61" s="3" t="s">
        <v>116</v>
      </c>
      <c r="C61" s="1" t="s">
        <v>89</v>
      </c>
      <c r="D61" s="1" t="s">
        <v>117</v>
      </c>
      <c r="E61" s="2">
        <v>180</v>
      </c>
      <c r="F61" s="6">
        <v>139</v>
      </c>
      <c r="H61" s="6">
        <f t="shared" si="39"/>
        <v>139</v>
      </c>
      <c r="I61" s="6">
        <v>129</v>
      </c>
      <c r="K61" s="6">
        <f t="shared" si="1"/>
        <v>129</v>
      </c>
      <c r="L61" s="6">
        <v>165</v>
      </c>
      <c r="N61" s="6">
        <f t="shared" si="2"/>
        <v>165</v>
      </c>
      <c r="O61" s="6">
        <v>180</v>
      </c>
      <c r="Q61" s="6">
        <f t="shared" si="3"/>
        <v>180</v>
      </c>
      <c r="R61" s="6">
        <v>178</v>
      </c>
      <c r="T61" s="6">
        <f t="shared" si="50"/>
        <v>178</v>
      </c>
      <c r="U61" s="109">
        <v>50</v>
      </c>
      <c r="W61" s="6">
        <f t="shared" si="19"/>
        <v>50</v>
      </c>
      <c r="X61" s="88">
        <f t="shared" si="4"/>
        <v>841</v>
      </c>
      <c r="Y61" s="41">
        <f t="shared" si="5"/>
        <v>0</v>
      </c>
      <c r="Z61" s="41">
        <f t="shared" si="6"/>
        <v>841</v>
      </c>
      <c r="AA61" s="42">
        <f t="shared" si="7"/>
        <v>140.16666666666666</v>
      </c>
      <c r="AB61" s="42">
        <f t="shared" si="8"/>
        <v>0</v>
      </c>
      <c r="AC61" s="42">
        <f t="shared" si="9"/>
        <v>140.16666666666666</v>
      </c>
      <c r="AD61" s="35" t="s">
        <v>118</v>
      </c>
      <c r="AE61" s="6">
        <v>257</v>
      </c>
      <c r="AG61" s="6">
        <f t="shared" si="49"/>
        <v>257</v>
      </c>
      <c r="AH61" s="6">
        <v>36</v>
      </c>
      <c r="AJ61" s="98">
        <f t="shared" si="41"/>
        <v>36</v>
      </c>
      <c r="AK61" s="6">
        <v>124</v>
      </c>
      <c r="AM61" s="98">
        <f t="shared" si="42"/>
        <v>124</v>
      </c>
      <c r="AN61" s="6">
        <f t="shared" si="43"/>
        <v>1258</v>
      </c>
      <c r="AO61" s="6">
        <f t="shared" si="44"/>
        <v>0</v>
      </c>
      <c r="AP61" s="6">
        <f t="shared" si="45"/>
        <v>1258</v>
      </c>
      <c r="AQ61" s="943">
        <f t="shared" si="46"/>
        <v>139.77777777777777</v>
      </c>
      <c r="AR61" s="943">
        <f t="shared" si="47"/>
        <v>0</v>
      </c>
      <c r="AS61" s="943">
        <f t="shared" si="48"/>
        <v>139.77777777777777</v>
      </c>
      <c r="BC61" s="64"/>
      <c r="BD61" s="64"/>
      <c r="BE61" s="64"/>
      <c r="BF61" s="64"/>
      <c r="BG61" s="64"/>
      <c r="BH61" s="64"/>
    </row>
    <row r="62" spans="1:60" s="6" customFormat="1">
      <c r="A62" s="6">
        <v>55</v>
      </c>
      <c r="B62" s="3" t="s">
        <v>119</v>
      </c>
      <c r="C62" s="1" t="s">
        <v>89</v>
      </c>
      <c r="D62" s="1" t="s">
        <v>120</v>
      </c>
      <c r="E62" s="2">
        <v>20</v>
      </c>
      <c r="F62" s="6">
        <v>20</v>
      </c>
      <c r="H62" s="6">
        <f t="shared" si="39"/>
        <v>20</v>
      </c>
      <c r="K62" s="6">
        <f t="shared" si="1"/>
        <v>0</v>
      </c>
      <c r="L62" s="6">
        <v>30</v>
      </c>
      <c r="N62" s="6">
        <f t="shared" si="2"/>
        <v>30</v>
      </c>
      <c r="Q62" s="6">
        <f t="shared" si="3"/>
        <v>0</v>
      </c>
      <c r="R62" s="6">
        <v>10</v>
      </c>
      <c r="T62" s="6">
        <f t="shared" si="50"/>
        <v>10</v>
      </c>
      <c r="U62" s="109"/>
      <c r="W62" s="6">
        <f t="shared" si="19"/>
        <v>0</v>
      </c>
      <c r="X62" s="88">
        <f t="shared" si="4"/>
        <v>60</v>
      </c>
      <c r="Y62" s="41">
        <f t="shared" si="5"/>
        <v>0</v>
      </c>
      <c r="Z62" s="41">
        <f t="shared" si="6"/>
        <v>60</v>
      </c>
      <c r="AA62" s="42">
        <f t="shared" si="7"/>
        <v>10</v>
      </c>
      <c r="AB62" s="42">
        <f t="shared" si="8"/>
        <v>0</v>
      </c>
      <c r="AC62" s="42">
        <f t="shared" si="9"/>
        <v>10</v>
      </c>
      <c r="AD62" s="35" t="s">
        <v>15</v>
      </c>
      <c r="AG62" s="6">
        <f t="shared" si="49"/>
        <v>0</v>
      </c>
      <c r="AJ62" s="98">
        <f t="shared" si="41"/>
        <v>0</v>
      </c>
      <c r="AK62" s="6">
        <v>20</v>
      </c>
      <c r="AM62" s="98">
        <f t="shared" si="42"/>
        <v>20</v>
      </c>
      <c r="AN62" s="6">
        <f t="shared" si="43"/>
        <v>80</v>
      </c>
      <c r="AO62" s="6">
        <f t="shared" si="44"/>
        <v>0</v>
      </c>
      <c r="AP62" s="6">
        <f t="shared" si="45"/>
        <v>80</v>
      </c>
      <c r="AQ62" s="943">
        <f t="shared" si="46"/>
        <v>8.8888888888888893</v>
      </c>
      <c r="AR62" s="943">
        <f t="shared" si="47"/>
        <v>0</v>
      </c>
      <c r="AS62" s="943">
        <f t="shared" si="48"/>
        <v>8.8888888888888893</v>
      </c>
      <c r="BC62" s="64"/>
      <c r="BD62" s="64"/>
      <c r="BE62" s="64"/>
      <c r="BF62" s="64"/>
      <c r="BG62" s="64"/>
      <c r="BH62" s="64"/>
    </row>
    <row r="63" spans="1:60" s="6" customFormat="1">
      <c r="A63" s="1">
        <v>56</v>
      </c>
      <c r="B63" s="3" t="s">
        <v>121</v>
      </c>
      <c r="C63" s="1" t="s">
        <v>89</v>
      </c>
      <c r="D63" s="1" t="s">
        <v>122</v>
      </c>
      <c r="E63" s="2">
        <v>30</v>
      </c>
      <c r="F63" s="6">
        <v>30</v>
      </c>
      <c r="H63" s="6">
        <f t="shared" si="39"/>
        <v>30</v>
      </c>
      <c r="I63" s="6">
        <v>31</v>
      </c>
      <c r="K63" s="6">
        <f t="shared" si="1"/>
        <v>31</v>
      </c>
      <c r="L63" s="6">
        <v>15</v>
      </c>
      <c r="N63" s="6">
        <f t="shared" si="2"/>
        <v>15</v>
      </c>
      <c r="O63" s="6">
        <v>15</v>
      </c>
      <c r="Q63" s="6">
        <f t="shared" si="3"/>
        <v>15</v>
      </c>
      <c r="R63" s="6">
        <v>31</v>
      </c>
      <c r="T63" s="6">
        <f t="shared" si="50"/>
        <v>31</v>
      </c>
      <c r="U63" s="109">
        <v>16</v>
      </c>
      <c r="W63" s="6">
        <f t="shared" si="19"/>
        <v>16</v>
      </c>
      <c r="X63" s="88">
        <f t="shared" si="4"/>
        <v>138</v>
      </c>
      <c r="Y63" s="41">
        <f t="shared" si="5"/>
        <v>0</v>
      </c>
      <c r="Z63" s="41">
        <f t="shared" si="6"/>
        <v>138</v>
      </c>
      <c r="AA63" s="42">
        <f t="shared" si="7"/>
        <v>23</v>
      </c>
      <c r="AB63" s="42">
        <f t="shared" si="8"/>
        <v>0</v>
      </c>
      <c r="AC63" s="42">
        <f t="shared" si="9"/>
        <v>23</v>
      </c>
      <c r="AD63" s="35" t="s">
        <v>15</v>
      </c>
      <c r="AG63" s="6">
        <f t="shared" si="49"/>
        <v>0</v>
      </c>
      <c r="AH63" s="6">
        <v>27</v>
      </c>
      <c r="AJ63" s="98">
        <f t="shared" si="41"/>
        <v>27</v>
      </c>
      <c r="AK63" s="6">
        <v>16</v>
      </c>
      <c r="AM63" s="98">
        <f t="shared" si="42"/>
        <v>16</v>
      </c>
      <c r="AN63" s="6">
        <f t="shared" si="43"/>
        <v>181</v>
      </c>
      <c r="AO63" s="6">
        <f t="shared" si="44"/>
        <v>0</v>
      </c>
      <c r="AP63" s="6">
        <f t="shared" si="45"/>
        <v>181</v>
      </c>
      <c r="AQ63" s="943">
        <f t="shared" si="46"/>
        <v>20.111111111111111</v>
      </c>
      <c r="AR63" s="943">
        <f t="shared" si="47"/>
        <v>0</v>
      </c>
      <c r="AS63" s="943">
        <f t="shared" si="48"/>
        <v>20.111111111111111</v>
      </c>
      <c r="BC63" s="64"/>
      <c r="BD63" s="64"/>
      <c r="BE63" s="64"/>
      <c r="BF63" s="64"/>
      <c r="BG63" s="64"/>
      <c r="BH63" s="64"/>
    </row>
    <row r="64" spans="1:60" s="6" customFormat="1">
      <c r="A64" s="6">
        <v>57</v>
      </c>
      <c r="B64" s="3" t="s">
        <v>123</v>
      </c>
      <c r="C64" s="1" t="s">
        <v>89</v>
      </c>
      <c r="D64" s="1" t="s">
        <v>124</v>
      </c>
      <c r="E64" s="2">
        <v>180</v>
      </c>
      <c r="F64" s="6">
        <v>144</v>
      </c>
      <c r="H64" s="6">
        <f t="shared" si="39"/>
        <v>144</v>
      </c>
      <c r="I64" s="6">
        <v>137</v>
      </c>
      <c r="J64" s="6">
        <v>9</v>
      </c>
      <c r="K64" s="6">
        <f t="shared" si="1"/>
        <v>146</v>
      </c>
      <c r="L64" s="6">
        <v>192</v>
      </c>
      <c r="N64" s="6">
        <f t="shared" si="2"/>
        <v>192</v>
      </c>
      <c r="O64" s="6">
        <v>86</v>
      </c>
      <c r="P64" s="6">
        <v>18</v>
      </c>
      <c r="Q64" s="6">
        <f t="shared" si="3"/>
        <v>104</v>
      </c>
      <c r="R64" s="6">
        <v>93</v>
      </c>
      <c r="T64" s="6">
        <f t="shared" si="50"/>
        <v>93</v>
      </c>
      <c r="U64" s="109">
        <v>74</v>
      </c>
      <c r="W64" s="6">
        <f t="shared" si="19"/>
        <v>74</v>
      </c>
      <c r="X64" s="88">
        <f t="shared" si="4"/>
        <v>726</v>
      </c>
      <c r="Y64" s="41">
        <f t="shared" si="5"/>
        <v>27</v>
      </c>
      <c r="Z64" s="41">
        <f t="shared" si="6"/>
        <v>753</v>
      </c>
      <c r="AA64" s="42">
        <f t="shared" si="7"/>
        <v>121</v>
      </c>
      <c r="AB64" s="42">
        <f t="shared" si="8"/>
        <v>4.5</v>
      </c>
      <c r="AC64" s="42">
        <f t="shared" si="9"/>
        <v>125.5</v>
      </c>
      <c r="AD64" s="35" t="s">
        <v>18</v>
      </c>
      <c r="AE64" s="6">
        <v>137</v>
      </c>
      <c r="AG64" s="6">
        <f t="shared" si="49"/>
        <v>137</v>
      </c>
      <c r="AH64" s="6">
        <v>86</v>
      </c>
      <c r="AJ64" s="98">
        <f t="shared" si="41"/>
        <v>86</v>
      </c>
      <c r="AK64" s="6">
        <v>66</v>
      </c>
      <c r="AM64" s="98">
        <f t="shared" si="42"/>
        <v>66</v>
      </c>
      <c r="AN64" s="6">
        <f t="shared" si="43"/>
        <v>1015</v>
      </c>
      <c r="AO64" s="6">
        <f t="shared" si="44"/>
        <v>27</v>
      </c>
      <c r="AP64" s="6">
        <f t="shared" si="45"/>
        <v>1042</v>
      </c>
      <c r="AQ64" s="943">
        <f t="shared" si="46"/>
        <v>112.77777777777777</v>
      </c>
      <c r="AR64" s="943">
        <f t="shared" si="47"/>
        <v>3</v>
      </c>
      <c r="AS64" s="943">
        <f t="shared" si="48"/>
        <v>115.77777777777777</v>
      </c>
      <c r="BC64" s="64"/>
      <c r="BD64" s="64"/>
      <c r="BE64" s="64"/>
      <c r="BF64" s="64"/>
      <c r="BG64" s="64"/>
      <c r="BH64" s="64"/>
    </row>
    <row r="65" spans="1:60" s="6" customFormat="1">
      <c r="A65" s="1">
        <v>58</v>
      </c>
      <c r="B65" s="3" t="s">
        <v>125</v>
      </c>
      <c r="C65" s="1" t="s">
        <v>89</v>
      </c>
      <c r="D65" s="1" t="s">
        <v>126</v>
      </c>
      <c r="E65" s="2">
        <v>60</v>
      </c>
      <c r="F65" s="6">
        <v>90</v>
      </c>
      <c r="H65" s="6">
        <f t="shared" si="39"/>
        <v>90</v>
      </c>
      <c r="I65" s="6">
        <v>43</v>
      </c>
      <c r="K65" s="6">
        <f t="shared" si="1"/>
        <v>43</v>
      </c>
      <c r="L65" s="6">
        <v>83</v>
      </c>
      <c r="N65" s="6">
        <f t="shared" si="2"/>
        <v>83</v>
      </c>
      <c r="O65" s="6">
        <v>40</v>
      </c>
      <c r="Q65" s="6">
        <f t="shared" si="3"/>
        <v>40</v>
      </c>
      <c r="R65" s="6">
        <v>58</v>
      </c>
      <c r="T65" s="6">
        <f t="shared" si="50"/>
        <v>58</v>
      </c>
      <c r="U65" s="109"/>
      <c r="W65" s="6">
        <f t="shared" si="19"/>
        <v>0</v>
      </c>
      <c r="X65" s="88">
        <f t="shared" si="4"/>
        <v>314</v>
      </c>
      <c r="Y65" s="41">
        <f t="shared" si="5"/>
        <v>0</v>
      </c>
      <c r="Z65" s="41">
        <f t="shared" si="6"/>
        <v>314</v>
      </c>
      <c r="AA65" s="42">
        <f t="shared" si="7"/>
        <v>52.333333333333336</v>
      </c>
      <c r="AB65" s="42">
        <f t="shared" si="8"/>
        <v>0</v>
      </c>
      <c r="AC65" s="42">
        <f t="shared" si="9"/>
        <v>52.333333333333336</v>
      </c>
      <c r="AD65" s="35" t="s">
        <v>18</v>
      </c>
      <c r="AE65" s="6">
        <v>103</v>
      </c>
      <c r="AG65" s="6">
        <f t="shared" si="49"/>
        <v>103</v>
      </c>
      <c r="AH65" s="6">
        <v>40</v>
      </c>
      <c r="AJ65" s="98">
        <f t="shared" si="41"/>
        <v>40</v>
      </c>
      <c r="AK65" s="6">
        <v>90</v>
      </c>
      <c r="AM65" s="98">
        <f t="shared" si="42"/>
        <v>90</v>
      </c>
      <c r="AN65" s="6">
        <f t="shared" si="43"/>
        <v>547</v>
      </c>
      <c r="AO65" s="6">
        <f t="shared" si="44"/>
        <v>0</v>
      </c>
      <c r="AP65" s="6">
        <f t="shared" si="45"/>
        <v>547</v>
      </c>
      <c r="AQ65" s="943">
        <f t="shared" si="46"/>
        <v>60.777777777777779</v>
      </c>
      <c r="AR65" s="943">
        <f t="shared" si="47"/>
        <v>0</v>
      </c>
      <c r="AS65" s="943">
        <f t="shared" si="48"/>
        <v>60.777777777777779</v>
      </c>
      <c r="BC65" s="64"/>
      <c r="BD65" s="64"/>
      <c r="BE65" s="64"/>
      <c r="BF65" s="64"/>
      <c r="BG65" s="64"/>
      <c r="BH65" s="64"/>
    </row>
    <row r="66" spans="1:60" s="6" customFormat="1">
      <c r="A66" s="6">
        <v>59</v>
      </c>
      <c r="B66" s="3" t="s">
        <v>127</v>
      </c>
      <c r="C66" s="1" t="s">
        <v>128</v>
      </c>
      <c r="D66" s="1" t="s">
        <v>129</v>
      </c>
      <c r="E66" s="2">
        <v>100</v>
      </c>
      <c r="F66" s="6">
        <v>58</v>
      </c>
      <c r="H66" s="6">
        <f t="shared" si="39"/>
        <v>58</v>
      </c>
      <c r="I66" s="6">
        <v>130</v>
      </c>
      <c r="K66" s="6">
        <f t="shared" si="1"/>
        <v>130</v>
      </c>
      <c r="L66" s="6">
        <v>40</v>
      </c>
      <c r="N66" s="6">
        <f t="shared" si="2"/>
        <v>40</v>
      </c>
      <c r="O66" s="6">
        <v>125</v>
      </c>
      <c r="P66" s="6">
        <v>6</v>
      </c>
      <c r="Q66" s="6">
        <f t="shared" si="3"/>
        <v>131</v>
      </c>
      <c r="T66" s="6">
        <f t="shared" si="50"/>
        <v>0</v>
      </c>
      <c r="U66" s="109"/>
      <c r="W66" s="6">
        <f t="shared" si="19"/>
        <v>0</v>
      </c>
      <c r="X66" s="88">
        <f t="shared" si="4"/>
        <v>353</v>
      </c>
      <c r="Y66" s="41">
        <f t="shared" si="5"/>
        <v>6</v>
      </c>
      <c r="Z66" s="41">
        <f t="shared" si="6"/>
        <v>359</v>
      </c>
      <c r="AA66" s="42">
        <f t="shared" si="7"/>
        <v>58.833333333333336</v>
      </c>
      <c r="AB66" s="42">
        <f t="shared" si="8"/>
        <v>1</v>
      </c>
      <c r="AC66" s="42">
        <f t="shared" si="9"/>
        <v>59.833333333333336</v>
      </c>
      <c r="AD66" s="35" t="s">
        <v>15</v>
      </c>
      <c r="AE66" s="6">
        <v>88</v>
      </c>
      <c r="AG66" s="6">
        <f t="shared" si="49"/>
        <v>88</v>
      </c>
      <c r="AH66" s="6">
        <v>68</v>
      </c>
      <c r="AJ66" s="98">
        <f t="shared" si="41"/>
        <v>68</v>
      </c>
      <c r="AK66" s="6">
        <v>100</v>
      </c>
      <c r="AM66" s="98">
        <f t="shared" si="42"/>
        <v>100</v>
      </c>
      <c r="AN66" s="6">
        <f t="shared" si="43"/>
        <v>609</v>
      </c>
      <c r="AO66" s="6">
        <f t="shared" si="44"/>
        <v>6</v>
      </c>
      <c r="AP66" s="6">
        <f t="shared" si="45"/>
        <v>615</v>
      </c>
      <c r="AQ66" s="943">
        <f t="shared" si="46"/>
        <v>67.666666666666671</v>
      </c>
      <c r="AR66" s="943">
        <f t="shared" si="47"/>
        <v>0.66666666666666663</v>
      </c>
      <c r="AS66" s="943">
        <f t="shared" si="48"/>
        <v>68.333333333333329</v>
      </c>
      <c r="BC66" s="64"/>
      <c r="BD66" s="64"/>
      <c r="BE66" s="64"/>
      <c r="BF66" s="64"/>
      <c r="BG66" s="64"/>
      <c r="BH66" s="64"/>
    </row>
    <row r="67" spans="1:60" s="6" customFormat="1">
      <c r="A67" s="1">
        <v>60</v>
      </c>
      <c r="B67" s="3" t="s">
        <v>130</v>
      </c>
      <c r="C67" s="1" t="s">
        <v>128</v>
      </c>
      <c r="D67" s="1" t="s">
        <v>131</v>
      </c>
      <c r="E67" s="2">
        <v>20</v>
      </c>
      <c r="F67" s="6">
        <v>20</v>
      </c>
      <c r="H67" s="6">
        <f t="shared" si="39"/>
        <v>20</v>
      </c>
      <c r="I67" s="6">
        <v>39</v>
      </c>
      <c r="K67" s="6">
        <f t="shared" si="1"/>
        <v>39</v>
      </c>
      <c r="L67" s="6">
        <v>20</v>
      </c>
      <c r="N67" s="6">
        <f t="shared" si="2"/>
        <v>20</v>
      </c>
      <c r="Q67" s="6">
        <f t="shared" si="3"/>
        <v>0</v>
      </c>
      <c r="T67" s="6">
        <f t="shared" si="50"/>
        <v>0</v>
      </c>
      <c r="U67" s="109">
        <v>0</v>
      </c>
      <c r="W67" s="6">
        <f t="shared" si="19"/>
        <v>0</v>
      </c>
      <c r="X67" s="88">
        <f t="shared" si="4"/>
        <v>79</v>
      </c>
      <c r="Y67" s="41">
        <f t="shared" si="5"/>
        <v>0</v>
      </c>
      <c r="Z67" s="41">
        <f t="shared" si="6"/>
        <v>79</v>
      </c>
      <c r="AA67" s="42">
        <f t="shared" si="7"/>
        <v>13.166666666666666</v>
      </c>
      <c r="AB67" s="42">
        <f t="shared" si="8"/>
        <v>0</v>
      </c>
      <c r="AC67" s="42">
        <f t="shared" si="9"/>
        <v>13.166666666666666</v>
      </c>
      <c r="AD67" s="35" t="s">
        <v>15</v>
      </c>
      <c r="AG67" s="6">
        <f t="shared" si="49"/>
        <v>0</v>
      </c>
      <c r="AJ67" s="98">
        <f t="shared" si="41"/>
        <v>0</v>
      </c>
      <c r="AK67" s="6">
        <v>22</v>
      </c>
      <c r="AM67" s="98">
        <f t="shared" si="42"/>
        <v>22</v>
      </c>
      <c r="AN67" s="6">
        <f t="shared" si="43"/>
        <v>101</v>
      </c>
      <c r="AO67" s="6">
        <f t="shared" si="44"/>
        <v>0</v>
      </c>
      <c r="AP67" s="6">
        <f t="shared" si="45"/>
        <v>101</v>
      </c>
      <c r="AQ67" s="943">
        <f t="shared" si="46"/>
        <v>11.222222222222221</v>
      </c>
      <c r="AR67" s="943">
        <f t="shared" si="47"/>
        <v>0</v>
      </c>
      <c r="AS67" s="943">
        <f t="shared" si="48"/>
        <v>11.222222222222221</v>
      </c>
      <c r="BC67" s="64"/>
      <c r="BD67" s="64"/>
      <c r="BE67" s="64"/>
      <c r="BF67" s="64"/>
      <c r="BG67" s="64"/>
      <c r="BH67" s="64"/>
    </row>
    <row r="68" spans="1:60" s="6" customFormat="1" ht="15" customHeight="1">
      <c r="A68" s="6">
        <v>61</v>
      </c>
      <c r="B68" s="261" t="s">
        <v>2868</v>
      </c>
      <c r="C68" s="1" t="s">
        <v>128</v>
      </c>
      <c r="D68" s="1" t="s">
        <v>132</v>
      </c>
      <c r="E68" s="2">
        <v>20</v>
      </c>
      <c r="H68" s="6">
        <f t="shared" si="39"/>
        <v>0</v>
      </c>
      <c r="K68" s="6">
        <f t="shared" si="1"/>
        <v>0</v>
      </c>
      <c r="N68" s="6">
        <f t="shared" si="2"/>
        <v>0</v>
      </c>
      <c r="Q68" s="6">
        <f t="shared" si="3"/>
        <v>0</v>
      </c>
      <c r="T68" s="6">
        <f t="shared" si="50"/>
        <v>0</v>
      </c>
      <c r="U68" s="109">
        <v>0</v>
      </c>
      <c r="W68" s="6">
        <f t="shared" si="19"/>
        <v>0</v>
      </c>
      <c r="X68" s="88">
        <f t="shared" si="4"/>
        <v>0</v>
      </c>
      <c r="Y68" s="41">
        <f t="shared" si="5"/>
        <v>0</v>
      </c>
      <c r="Z68" s="41">
        <f t="shared" si="6"/>
        <v>0</v>
      </c>
      <c r="AA68" s="42">
        <f t="shared" si="7"/>
        <v>0</v>
      </c>
      <c r="AB68" s="42">
        <f t="shared" si="8"/>
        <v>0</v>
      </c>
      <c r="AC68" s="42">
        <f t="shared" si="9"/>
        <v>0</v>
      </c>
      <c r="AD68" s="35" t="s">
        <v>15</v>
      </c>
      <c r="AE68" s="900">
        <v>20</v>
      </c>
      <c r="AF68" s="900"/>
      <c r="AH68" s="900"/>
      <c r="AI68" s="900"/>
      <c r="AK68" s="900">
        <v>20</v>
      </c>
      <c r="AL68" s="900"/>
    </row>
    <row r="69" spans="1:60" s="6" customFormat="1">
      <c r="A69" s="1">
        <v>62</v>
      </c>
      <c r="B69" s="3" t="s">
        <v>133</v>
      </c>
      <c r="C69" s="1" t="s">
        <v>128</v>
      </c>
      <c r="D69" s="1" t="s">
        <v>134</v>
      </c>
      <c r="E69" s="2">
        <v>20</v>
      </c>
      <c r="F69" s="6">
        <v>20</v>
      </c>
      <c r="H69" s="6">
        <f t="shared" si="39"/>
        <v>20</v>
      </c>
      <c r="K69" s="6">
        <f t="shared" si="1"/>
        <v>0</v>
      </c>
      <c r="L69" s="6">
        <v>20</v>
      </c>
      <c r="N69" s="6">
        <f t="shared" si="2"/>
        <v>20</v>
      </c>
      <c r="Q69" s="6">
        <f t="shared" si="3"/>
        <v>0</v>
      </c>
      <c r="T69" s="6">
        <f t="shared" si="50"/>
        <v>0</v>
      </c>
      <c r="U69" s="109"/>
      <c r="W69" s="6">
        <f t="shared" si="19"/>
        <v>0</v>
      </c>
      <c r="X69" s="88">
        <f t="shared" si="4"/>
        <v>40</v>
      </c>
      <c r="Y69" s="41">
        <f t="shared" si="5"/>
        <v>0</v>
      </c>
      <c r="Z69" s="41">
        <f t="shared" si="6"/>
        <v>40</v>
      </c>
      <c r="AA69" s="42">
        <f t="shared" si="7"/>
        <v>6.666666666666667</v>
      </c>
      <c r="AB69" s="42">
        <f t="shared" si="8"/>
        <v>0</v>
      </c>
      <c r="AC69" s="42">
        <f t="shared" si="9"/>
        <v>6.666666666666667</v>
      </c>
      <c r="AD69" s="35" t="s">
        <v>15</v>
      </c>
      <c r="AG69" s="6">
        <f t="shared" ref="AG69:AG86" si="51">AE69+AF69</f>
        <v>0</v>
      </c>
      <c r="AJ69" s="98">
        <f t="shared" ref="AJ69:AJ86" si="52">AH69+AI69</f>
        <v>0</v>
      </c>
      <c r="AK69" s="6">
        <v>25</v>
      </c>
      <c r="AM69" s="98">
        <f t="shared" ref="AM69:AM86" si="53">AK69+AL69</f>
        <v>25</v>
      </c>
      <c r="AN69" s="6">
        <f t="shared" ref="AN69:AN86" si="54">X69+AE69+AH69+AK69</f>
        <v>65</v>
      </c>
      <c r="AO69" s="6">
        <f t="shared" ref="AO69:AO86" si="55">Y69+AF69+AI69+AL69</f>
        <v>0</v>
      </c>
      <c r="AP69" s="6">
        <f t="shared" ref="AP69:AP86" si="56">Z69+AG69+AJ69+AM69</f>
        <v>65</v>
      </c>
      <c r="AQ69" s="943">
        <f t="shared" ref="AQ69:AQ86" si="57">AN69/9</f>
        <v>7.2222222222222223</v>
      </c>
      <c r="AR69" s="943">
        <f t="shared" ref="AR69:AR86" si="58">AO69/9</f>
        <v>0</v>
      </c>
      <c r="AS69" s="943">
        <f t="shared" ref="AS69:AS86" si="59">AP69/9</f>
        <v>7.2222222222222223</v>
      </c>
      <c r="BC69" s="64"/>
      <c r="BD69" s="64"/>
      <c r="BE69" s="64"/>
      <c r="BF69" s="64"/>
      <c r="BG69" s="64"/>
      <c r="BH69" s="64"/>
    </row>
    <row r="70" spans="1:60" s="6" customFormat="1">
      <c r="A70" s="6">
        <v>63</v>
      </c>
      <c r="B70" s="3" t="s">
        <v>135</v>
      </c>
      <c r="C70" s="1" t="s">
        <v>128</v>
      </c>
      <c r="D70" s="1" t="s">
        <v>136</v>
      </c>
      <c r="E70" s="2">
        <v>10</v>
      </c>
      <c r="F70" s="6">
        <v>10</v>
      </c>
      <c r="H70" s="6">
        <f t="shared" si="39"/>
        <v>10</v>
      </c>
      <c r="K70" s="6">
        <f t="shared" si="1"/>
        <v>0</v>
      </c>
      <c r="N70" s="6">
        <f t="shared" si="2"/>
        <v>0</v>
      </c>
      <c r="Q70" s="6">
        <f t="shared" si="3"/>
        <v>0</v>
      </c>
      <c r="T70" s="6">
        <f t="shared" si="50"/>
        <v>0</v>
      </c>
      <c r="U70" s="109">
        <v>0</v>
      </c>
      <c r="W70" s="6">
        <f t="shared" si="19"/>
        <v>0</v>
      </c>
      <c r="X70" s="88">
        <f t="shared" si="4"/>
        <v>10</v>
      </c>
      <c r="Y70" s="41">
        <f t="shared" si="5"/>
        <v>0</v>
      </c>
      <c r="Z70" s="41">
        <f t="shared" si="6"/>
        <v>10</v>
      </c>
      <c r="AA70" s="42">
        <f t="shared" si="7"/>
        <v>1.6666666666666667</v>
      </c>
      <c r="AB70" s="42">
        <f t="shared" si="8"/>
        <v>0</v>
      </c>
      <c r="AC70" s="42">
        <f t="shared" si="9"/>
        <v>1.6666666666666667</v>
      </c>
      <c r="AD70" s="35" t="s">
        <v>15</v>
      </c>
      <c r="AG70" s="6">
        <f t="shared" si="51"/>
        <v>0</v>
      </c>
      <c r="AJ70" s="98">
        <f t="shared" si="52"/>
        <v>0</v>
      </c>
      <c r="AK70" s="6">
        <v>10</v>
      </c>
      <c r="AM70" s="98">
        <f t="shared" si="53"/>
        <v>10</v>
      </c>
      <c r="AN70" s="6">
        <f t="shared" si="54"/>
        <v>20</v>
      </c>
      <c r="AO70" s="6">
        <f t="shared" si="55"/>
        <v>0</v>
      </c>
      <c r="AP70" s="6">
        <f t="shared" si="56"/>
        <v>20</v>
      </c>
      <c r="AQ70" s="943">
        <f t="shared" si="57"/>
        <v>2.2222222222222223</v>
      </c>
      <c r="AR70" s="943">
        <f t="shared" si="58"/>
        <v>0</v>
      </c>
      <c r="AS70" s="943">
        <f t="shared" si="59"/>
        <v>2.2222222222222223</v>
      </c>
      <c r="BC70" s="64"/>
      <c r="BD70" s="64"/>
      <c r="BE70" s="64"/>
      <c r="BF70" s="64"/>
      <c r="BG70" s="64"/>
      <c r="BH70" s="64"/>
    </row>
    <row r="71" spans="1:60" s="6" customFormat="1">
      <c r="A71" s="1">
        <v>64</v>
      </c>
      <c r="B71" s="3" t="s">
        <v>137</v>
      </c>
      <c r="C71" s="1" t="s">
        <v>128</v>
      </c>
      <c r="D71" s="1" t="s">
        <v>138</v>
      </c>
      <c r="E71" s="2">
        <v>10</v>
      </c>
      <c r="H71" s="6">
        <f t="shared" si="39"/>
        <v>0</v>
      </c>
      <c r="K71" s="6">
        <f t="shared" si="1"/>
        <v>0</v>
      </c>
      <c r="L71" s="6">
        <v>20</v>
      </c>
      <c r="N71" s="6">
        <f t="shared" si="2"/>
        <v>20</v>
      </c>
      <c r="Q71" s="6">
        <f t="shared" si="3"/>
        <v>0</v>
      </c>
      <c r="T71" s="6">
        <f t="shared" si="50"/>
        <v>0</v>
      </c>
      <c r="U71" s="109">
        <v>0</v>
      </c>
      <c r="W71" s="6">
        <f t="shared" si="19"/>
        <v>0</v>
      </c>
      <c r="X71" s="88">
        <f t="shared" si="4"/>
        <v>20</v>
      </c>
      <c r="Y71" s="41">
        <f t="shared" si="5"/>
        <v>0</v>
      </c>
      <c r="Z71" s="41">
        <f t="shared" si="6"/>
        <v>20</v>
      </c>
      <c r="AA71" s="42">
        <f t="shared" si="7"/>
        <v>3.3333333333333335</v>
      </c>
      <c r="AB71" s="42">
        <f t="shared" si="8"/>
        <v>0</v>
      </c>
      <c r="AC71" s="42">
        <f t="shared" si="9"/>
        <v>3.3333333333333335</v>
      </c>
      <c r="AD71" s="35" t="s">
        <v>15</v>
      </c>
      <c r="AG71" s="6">
        <f t="shared" si="51"/>
        <v>0</v>
      </c>
      <c r="AJ71" s="98">
        <f t="shared" si="52"/>
        <v>0</v>
      </c>
      <c r="AK71" s="6">
        <v>10</v>
      </c>
      <c r="AM71" s="98">
        <f t="shared" si="53"/>
        <v>10</v>
      </c>
      <c r="AN71" s="6">
        <f t="shared" si="54"/>
        <v>30</v>
      </c>
      <c r="AO71" s="6">
        <f t="shared" si="55"/>
        <v>0</v>
      </c>
      <c r="AP71" s="6">
        <f t="shared" si="56"/>
        <v>30</v>
      </c>
      <c r="AQ71" s="943">
        <f t="shared" si="57"/>
        <v>3.3333333333333335</v>
      </c>
      <c r="AR71" s="943">
        <f t="shared" si="58"/>
        <v>0</v>
      </c>
      <c r="AS71" s="943">
        <f t="shared" si="59"/>
        <v>3.3333333333333335</v>
      </c>
      <c r="BC71" s="64"/>
      <c r="BD71" s="64"/>
      <c r="BE71" s="64"/>
      <c r="BF71" s="64"/>
      <c r="BG71" s="64"/>
      <c r="BH71" s="64"/>
    </row>
    <row r="72" spans="1:60" s="6" customFormat="1">
      <c r="A72" s="6">
        <v>65</v>
      </c>
      <c r="B72" s="3" t="s">
        <v>139</v>
      </c>
      <c r="C72" s="1" t="s">
        <v>128</v>
      </c>
      <c r="D72" s="1" t="s">
        <v>140</v>
      </c>
      <c r="E72" s="2">
        <v>15</v>
      </c>
      <c r="F72" s="6">
        <v>20</v>
      </c>
      <c r="H72" s="6">
        <f t="shared" ref="H72:H103" si="60">SUM(F72:G72)</f>
        <v>20</v>
      </c>
      <c r="K72" s="6">
        <f t="shared" ref="K72:K135" si="61">SUM(I72:J72)</f>
        <v>0</v>
      </c>
      <c r="N72" s="6">
        <f t="shared" ref="N72:N135" si="62">SUM(L72:M72)</f>
        <v>0</v>
      </c>
      <c r="Q72" s="6">
        <f t="shared" ref="Q72:Q135" si="63">SUM(O72:P72)</f>
        <v>0</v>
      </c>
      <c r="T72" s="6">
        <f t="shared" si="50"/>
        <v>0</v>
      </c>
      <c r="U72" s="109">
        <v>0</v>
      </c>
      <c r="W72" s="6">
        <f t="shared" si="19"/>
        <v>0</v>
      </c>
      <c r="X72" s="88">
        <f t="shared" si="4"/>
        <v>20</v>
      </c>
      <c r="Y72" s="41">
        <f t="shared" si="5"/>
        <v>0</v>
      </c>
      <c r="Z72" s="41">
        <f t="shared" si="6"/>
        <v>20</v>
      </c>
      <c r="AA72" s="42">
        <f t="shared" si="7"/>
        <v>3.3333333333333335</v>
      </c>
      <c r="AB72" s="42">
        <f t="shared" si="8"/>
        <v>0</v>
      </c>
      <c r="AC72" s="42">
        <f t="shared" si="9"/>
        <v>3.3333333333333335</v>
      </c>
      <c r="AD72" s="35" t="s">
        <v>15</v>
      </c>
      <c r="AG72" s="6">
        <f t="shared" si="51"/>
        <v>0</v>
      </c>
      <c r="AJ72" s="98">
        <f t="shared" si="52"/>
        <v>0</v>
      </c>
      <c r="AK72" s="6">
        <v>18</v>
      </c>
      <c r="AM72" s="98">
        <f t="shared" si="53"/>
        <v>18</v>
      </c>
      <c r="AN72" s="6">
        <f t="shared" si="54"/>
        <v>38</v>
      </c>
      <c r="AO72" s="6">
        <f t="shared" si="55"/>
        <v>0</v>
      </c>
      <c r="AP72" s="6">
        <f t="shared" si="56"/>
        <v>38</v>
      </c>
      <c r="AQ72" s="943">
        <f t="shared" si="57"/>
        <v>4.2222222222222223</v>
      </c>
      <c r="AR72" s="943">
        <f t="shared" si="58"/>
        <v>0</v>
      </c>
      <c r="AS72" s="943">
        <f t="shared" si="59"/>
        <v>4.2222222222222223</v>
      </c>
      <c r="BC72" s="64"/>
      <c r="BD72" s="64"/>
      <c r="BE72" s="64"/>
      <c r="BF72" s="64"/>
      <c r="BG72" s="64"/>
      <c r="BH72" s="64"/>
    </row>
    <row r="73" spans="1:60" s="6" customFormat="1">
      <c r="A73" s="1">
        <v>66</v>
      </c>
      <c r="B73" s="3" t="s">
        <v>141</v>
      </c>
      <c r="C73" s="1" t="s">
        <v>128</v>
      </c>
      <c r="D73" s="1" t="s">
        <v>142</v>
      </c>
      <c r="E73" s="2">
        <v>10</v>
      </c>
      <c r="H73" s="6">
        <f t="shared" si="60"/>
        <v>0</v>
      </c>
      <c r="K73" s="6">
        <f t="shared" si="61"/>
        <v>0</v>
      </c>
      <c r="L73" s="6">
        <v>30</v>
      </c>
      <c r="N73" s="6">
        <f t="shared" si="62"/>
        <v>30</v>
      </c>
      <c r="Q73" s="6">
        <f t="shared" si="63"/>
        <v>0</v>
      </c>
      <c r="T73" s="6">
        <f t="shared" si="50"/>
        <v>0</v>
      </c>
      <c r="U73" s="109"/>
      <c r="W73" s="6">
        <f t="shared" si="19"/>
        <v>0</v>
      </c>
      <c r="X73" s="88">
        <f t="shared" ref="X73:X136" si="64">F73+I73+L73+O73+R73+U73</f>
        <v>30</v>
      </c>
      <c r="Y73" s="41">
        <f t="shared" ref="Y73:Y136" si="65">G73+J73+M73+P73+S73+V73</f>
        <v>0</v>
      </c>
      <c r="Z73" s="41">
        <f t="shared" ref="Z73:Z136" si="66">H73+K73+N73+Q73+T73+W73</f>
        <v>30</v>
      </c>
      <c r="AA73" s="42">
        <f t="shared" ref="AA73:AA136" si="67">X73/6</f>
        <v>5</v>
      </c>
      <c r="AB73" s="42">
        <f t="shared" ref="AB73:AB136" si="68">Y73/6</f>
        <v>0</v>
      </c>
      <c r="AC73" s="42">
        <f t="shared" ref="AC73:AC136" si="69">Z73/6</f>
        <v>5</v>
      </c>
      <c r="AD73" s="35" t="s">
        <v>15</v>
      </c>
      <c r="AG73" s="6">
        <f t="shared" si="51"/>
        <v>0</v>
      </c>
      <c r="AJ73" s="98">
        <f t="shared" si="52"/>
        <v>0</v>
      </c>
      <c r="AK73" s="6">
        <v>10</v>
      </c>
      <c r="AM73" s="98">
        <f t="shared" si="53"/>
        <v>10</v>
      </c>
      <c r="AN73" s="6">
        <f t="shared" si="54"/>
        <v>40</v>
      </c>
      <c r="AO73" s="6">
        <f t="shared" si="55"/>
        <v>0</v>
      </c>
      <c r="AP73" s="6">
        <f t="shared" si="56"/>
        <v>40</v>
      </c>
      <c r="AQ73" s="943">
        <f t="shared" si="57"/>
        <v>4.4444444444444446</v>
      </c>
      <c r="AR73" s="943">
        <f t="shared" si="58"/>
        <v>0</v>
      </c>
      <c r="AS73" s="943">
        <f t="shared" si="59"/>
        <v>4.4444444444444446</v>
      </c>
      <c r="BC73" s="64"/>
      <c r="BD73" s="64"/>
      <c r="BE73" s="64"/>
      <c r="BF73" s="64"/>
      <c r="BG73" s="64"/>
      <c r="BH73" s="64"/>
    </row>
    <row r="74" spans="1:60" s="6" customFormat="1">
      <c r="A74" s="6">
        <v>67</v>
      </c>
      <c r="B74" s="3" t="s">
        <v>143</v>
      </c>
      <c r="C74" s="1" t="s">
        <v>128</v>
      </c>
      <c r="D74" s="1" t="s">
        <v>144</v>
      </c>
      <c r="E74" s="2">
        <v>10</v>
      </c>
      <c r="F74" s="6">
        <v>10</v>
      </c>
      <c r="H74" s="6">
        <f t="shared" si="60"/>
        <v>10</v>
      </c>
      <c r="K74" s="6">
        <f t="shared" si="61"/>
        <v>0</v>
      </c>
      <c r="N74" s="6">
        <f t="shared" si="62"/>
        <v>0</v>
      </c>
      <c r="Q74" s="6">
        <f t="shared" si="63"/>
        <v>0</v>
      </c>
      <c r="T74" s="6">
        <f t="shared" si="50"/>
        <v>0</v>
      </c>
      <c r="U74" s="109">
        <v>0</v>
      </c>
      <c r="W74" s="6">
        <f t="shared" si="19"/>
        <v>0</v>
      </c>
      <c r="X74" s="88">
        <f t="shared" si="64"/>
        <v>10</v>
      </c>
      <c r="Y74" s="41">
        <f t="shared" si="65"/>
        <v>0</v>
      </c>
      <c r="Z74" s="41">
        <f t="shared" si="66"/>
        <v>10</v>
      </c>
      <c r="AA74" s="42">
        <f t="shared" si="67"/>
        <v>1.6666666666666667</v>
      </c>
      <c r="AB74" s="42">
        <f t="shared" si="68"/>
        <v>0</v>
      </c>
      <c r="AC74" s="42">
        <f t="shared" si="69"/>
        <v>1.6666666666666667</v>
      </c>
      <c r="AD74" s="35" t="s">
        <v>15</v>
      </c>
      <c r="AG74" s="6">
        <f t="shared" si="51"/>
        <v>0</v>
      </c>
      <c r="AJ74" s="98">
        <f t="shared" si="52"/>
        <v>0</v>
      </c>
      <c r="AK74" s="6">
        <v>10</v>
      </c>
      <c r="AM74" s="98">
        <f t="shared" si="53"/>
        <v>10</v>
      </c>
      <c r="AN74" s="6">
        <f t="shared" si="54"/>
        <v>20</v>
      </c>
      <c r="AO74" s="6">
        <f t="shared" si="55"/>
        <v>0</v>
      </c>
      <c r="AP74" s="6">
        <f t="shared" si="56"/>
        <v>20</v>
      </c>
      <c r="AQ74" s="943">
        <f t="shared" si="57"/>
        <v>2.2222222222222223</v>
      </c>
      <c r="AR74" s="943">
        <f t="shared" si="58"/>
        <v>0</v>
      </c>
      <c r="AS74" s="943">
        <f t="shared" si="59"/>
        <v>2.2222222222222223</v>
      </c>
      <c r="BC74" s="64"/>
      <c r="BD74" s="64"/>
      <c r="BE74" s="64"/>
      <c r="BF74" s="64"/>
      <c r="BG74" s="64"/>
      <c r="BH74" s="64"/>
    </row>
    <row r="75" spans="1:60" s="6" customFormat="1">
      <c r="A75" s="1">
        <v>68</v>
      </c>
      <c r="B75" s="3" t="s">
        <v>145</v>
      </c>
      <c r="C75" s="1" t="s">
        <v>128</v>
      </c>
      <c r="D75" s="1" t="s">
        <v>146</v>
      </c>
      <c r="E75" s="2">
        <v>10</v>
      </c>
      <c r="F75" s="6">
        <v>10</v>
      </c>
      <c r="H75" s="6">
        <f t="shared" si="60"/>
        <v>10</v>
      </c>
      <c r="K75" s="6">
        <f t="shared" si="61"/>
        <v>0</v>
      </c>
      <c r="L75" s="6">
        <v>20</v>
      </c>
      <c r="N75" s="6">
        <f t="shared" si="62"/>
        <v>20</v>
      </c>
      <c r="Q75" s="6">
        <f t="shared" si="63"/>
        <v>0</v>
      </c>
      <c r="T75" s="6">
        <f t="shared" si="50"/>
        <v>0</v>
      </c>
      <c r="U75" s="109"/>
      <c r="W75" s="6">
        <f t="shared" ref="W75:W138" si="70">SUM(U75:V75)</f>
        <v>0</v>
      </c>
      <c r="X75" s="88">
        <f t="shared" si="64"/>
        <v>30</v>
      </c>
      <c r="Y75" s="41">
        <f t="shared" si="65"/>
        <v>0</v>
      </c>
      <c r="Z75" s="41">
        <f t="shared" si="66"/>
        <v>30</v>
      </c>
      <c r="AA75" s="42">
        <f t="shared" si="67"/>
        <v>5</v>
      </c>
      <c r="AB75" s="42">
        <f t="shared" si="68"/>
        <v>0</v>
      </c>
      <c r="AC75" s="42">
        <f t="shared" si="69"/>
        <v>5</v>
      </c>
      <c r="AD75" s="35" t="s">
        <v>15</v>
      </c>
      <c r="AG75" s="6">
        <f t="shared" si="51"/>
        <v>0</v>
      </c>
      <c r="AJ75" s="98">
        <f t="shared" si="52"/>
        <v>0</v>
      </c>
      <c r="AM75" s="98">
        <f t="shared" si="53"/>
        <v>0</v>
      </c>
      <c r="AN75" s="6">
        <f t="shared" si="54"/>
        <v>30</v>
      </c>
      <c r="AO75" s="6">
        <f t="shared" si="55"/>
        <v>0</v>
      </c>
      <c r="AP75" s="6">
        <f t="shared" si="56"/>
        <v>30</v>
      </c>
      <c r="AQ75" s="943">
        <f t="shared" si="57"/>
        <v>3.3333333333333335</v>
      </c>
      <c r="AR75" s="943">
        <f t="shared" si="58"/>
        <v>0</v>
      </c>
      <c r="AS75" s="943">
        <f t="shared" si="59"/>
        <v>3.3333333333333335</v>
      </c>
      <c r="BC75" s="64"/>
      <c r="BD75" s="64"/>
      <c r="BE75" s="64"/>
      <c r="BF75" s="64"/>
      <c r="BG75" s="64"/>
      <c r="BH75" s="64"/>
    </row>
    <row r="76" spans="1:60" s="6" customFormat="1">
      <c r="A76" s="6">
        <v>69</v>
      </c>
      <c r="B76" s="3" t="s">
        <v>147</v>
      </c>
      <c r="C76" s="1" t="s">
        <v>128</v>
      </c>
      <c r="D76" s="1" t="s">
        <v>148</v>
      </c>
      <c r="E76" s="2">
        <v>30</v>
      </c>
      <c r="F76" s="6">
        <v>15</v>
      </c>
      <c r="H76" s="6">
        <f t="shared" si="60"/>
        <v>15</v>
      </c>
      <c r="K76" s="6">
        <f t="shared" si="61"/>
        <v>0</v>
      </c>
      <c r="N76" s="6">
        <f t="shared" si="62"/>
        <v>0</v>
      </c>
      <c r="Q76" s="6">
        <f t="shared" si="63"/>
        <v>0</v>
      </c>
      <c r="R76" s="6">
        <v>26</v>
      </c>
      <c r="T76" s="6">
        <f t="shared" si="50"/>
        <v>26</v>
      </c>
      <c r="U76" s="109"/>
      <c r="W76" s="6">
        <f t="shared" si="70"/>
        <v>0</v>
      </c>
      <c r="X76" s="88">
        <f t="shared" si="64"/>
        <v>41</v>
      </c>
      <c r="Y76" s="41">
        <f t="shared" si="65"/>
        <v>0</v>
      </c>
      <c r="Z76" s="41">
        <f t="shared" si="66"/>
        <v>41</v>
      </c>
      <c r="AA76" s="42">
        <f t="shared" si="67"/>
        <v>6.833333333333333</v>
      </c>
      <c r="AB76" s="42">
        <f t="shared" si="68"/>
        <v>0</v>
      </c>
      <c r="AC76" s="42">
        <f t="shared" si="69"/>
        <v>6.833333333333333</v>
      </c>
      <c r="AD76" s="35" t="s">
        <v>15</v>
      </c>
      <c r="AE76" s="6">
        <v>18</v>
      </c>
      <c r="AG76" s="6">
        <f t="shared" si="51"/>
        <v>18</v>
      </c>
      <c r="AJ76" s="98">
        <f t="shared" si="52"/>
        <v>0</v>
      </c>
      <c r="AM76" s="98">
        <f t="shared" si="53"/>
        <v>0</v>
      </c>
      <c r="AN76" s="6">
        <f t="shared" si="54"/>
        <v>59</v>
      </c>
      <c r="AO76" s="6">
        <f t="shared" si="55"/>
        <v>0</v>
      </c>
      <c r="AP76" s="6">
        <f t="shared" si="56"/>
        <v>59</v>
      </c>
      <c r="AQ76" s="943">
        <f t="shared" si="57"/>
        <v>6.5555555555555554</v>
      </c>
      <c r="AR76" s="943">
        <f t="shared" si="58"/>
        <v>0</v>
      </c>
      <c r="AS76" s="943">
        <f t="shared" si="59"/>
        <v>6.5555555555555554</v>
      </c>
      <c r="BC76" s="64"/>
      <c r="BD76" s="64"/>
      <c r="BE76" s="64"/>
      <c r="BF76" s="64"/>
      <c r="BG76" s="64"/>
      <c r="BH76" s="64"/>
    </row>
    <row r="77" spans="1:60" s="6" customFormat="1">
      <c r="A77" s="1">
        <v>70</v>
      </c>
      <c r="B77" s="3" t="s">
        <v>149</v>
      </c>
      <c r="C77" s="1" t="s">
        <v>128</v>
      </c>
      <c r="D77" s="1" t="s">
        <v>150</v>
      </c>
      <c r="E77" s="2">
        <v>20</v>
      </c>
      <c r="F77" s="6">
        <v>20</v>
      </c>
      <c r="H77" s="6">
        <f t="shared" si="60"/>
        <v>20</v>
      </c>
      <c r="K77" s="6">
        <f t="shared" si="61"/>
        <v>0</v>
      </c>
      <c r="L77" s="6">
        <v>20</v>
      </c>
      <c r="N77" s="6">
        <f t="shared" si="62"/>
        <v>20</v>
      </c>
      <c r="Q77" s="6">
        <f t="shared" si="63"/>
        <v>0</v>
      </c>
      <c r="T77" s="6">
        <f t="shared" si="50"/>
        <v>0</v>
      </c>
      <c r="U77" s="109">
        <v>20</v>
      </c>
      <c r="W77" s="6">
        <f t="shared" si="70"/>
        <v>20</v>
      </c>
      <c r="X77" s="88">
        <f t="shared" si="64"/>
        <v>60</v>
      </c>
      <c r="Y77" s="41">
        <f t="shared" si="65"/>
        <v>0</v>
      </c>
      <c r="Z77" s="41">
        <f t="shared" si="66"/>
        <v>60</v>
      </c>
      <c r="AA77" s="42">
        <f t="shared" si="67"/>
        <v>10</v>
      </c>
      <c r="AB77" s="42">
        <f t="shared" si="68"/>
        <v>0</v>
      </c>
      <c r="AC77" s="42">
        <f t="shared" si="69"/>
        <v>10</v>
      </c>
      <c r="AD77" s="35" t="s">
        <v>15</v>
      </c>
      <c r="AE77" s="6">
        <v>20</v>
      </c>
      <c r="AG77" s="6">
        <f t="shared" si="51"/>
        <v>20</v>
      </c>
      <c r="AJ77" s="98">
        <f t="shared" si="52"/>
        <v>0</v>
      </c>
      <c r="AM77" s="98">
        <f t="shared" si="53"/>
        <v>0</v>
      </c>
      <c r="AN77" s="6">
        <f t="shared" si="54"/>
        <v>80</v>
      </c>
      <c r="AO77" s="6">
        <f t="shared" si="55"/>
        <v>0</v>
      </c>
      <c r="AP77" s="6">
        <f t="shared" si="56"/>
        <v>80</v>
      </c>
      <c r="AQ77" s="943">
        <f t="shared" si="57"/>
        <v>8.8888888888888893</v>
      </c>
      <c r="AR77" s="943">
        <f t="shared" si="58"/>
        <v>0</v>
      </c>
      <c r="AS77" s="943">
        <f t="shared" si="59"/>
        <v>8.8888888888888893</v>
      </c>
      <c r="BC77" s="64"/>
      <c r="BD77" s="64"/>
      <c r="BE77" s="64"/>
      <c r="BF77" s="64"/>
      <c r="BG77" s="64"/>
      <c r="BH77" s="64"/>
    </row>
    <row r="78" spans="1:60" s="6" customFormat="1">
      <c r="A78" s="6">
        <v>71</v>
      </c>
      <c r="B78" s="3" t="s">
        <v>151</v>
      </c>
      <c r="C78" s="1" t="s">
        <v>128</v>
      </c>
      <c r="D78" s="1" t="s">
        <v>152</v>
      </c>
      <c r="E78" s="2">
        <v>40</v>
      </c>
      <c r="F78" s="6">
        <v>30</v>
      </c>
      <c r="H78" s="6">
        <f t="shared" si="60"/>
        <v>30</v>
      </c>
      <c r="I78" s="6">
        <v>39</v>
      </c>
      <c r="K78" s="6">
        <f t="shared" si="61"/>
        <v>39</v>
      </c>
      <c r="L78" s="6">
        <v>12</v>
      </c>
      <c r="N78" s="6">
        <f t="shared" si="62"/>
        <v>12</v>
      </c>
      <c r="O78" s="6">
        <v>20</v>
      </c>
      <c r="Q78" s="6">
        <f t="shared" si="63"/>
        <v>20</v>
      </c>
      <c r="R78" s="6">
        <v>9</v>
      </c>
      <c r="T78" s="6">
        <f t="shared" si="50"/>
        <v>9</v>
      </c>
      <c r="U78" s="109"/>
      <c r="W78" s="6">
        <f t="shared" si="70"/>
        <v>0</v>
      </c>
      <c r="X78" s="88">
        <f t="shared" si="64"/>
        <v>110</v>
      </c>
      <c r="Y78" s="41">
        <f t="shared" si="65"/>
        <v>0</v>
      </c>
      <c r="Z78" s="41">
        <f t="shared" si="66"/>
        <v>110</v>
      </c>
      <c r="AA78" s="42">
        <f t="shared" si="67"/>
        <v>18.333333333333332</v>
      </c>
      <c r="AB78" s="42">
        <f t="shared" si="68"/>
        <v>0</v>
      </c>
      <c r="AC78" s="42">
        <f t="shared" si="69"/>
        <v>18.333333333333332</v>
      </c>
      <c r="AD78" s="35" t="s">
        <v>18</v>
      </c>
      <c r="AE78" s="6">
        <v>15</v>
      </c>
      <c r="AG78" s="6">
        <f t="shared" si="51"/>
        <v>15</v>
      </c>
      <c r="AJ78" s="98">
        <f t="shared" si="52"/>
        <v>0</v>
      </c>
      <c r="AK78" s="6">
        <v>34</v>
      </c>
      <c r="AM78" s="98">
        <f t="shared" si="53"/>
        <v>34</v>
      </c>
      <c r="AN78" s="6">
        <f t="shared" si="54"/>
        <v>159</v>
      </c>
      <c r="AO78" s="6">
        <f t="shared" si="55"/>
        <v>0</v>
      </c>
      <c r="AP78" s="6">
        <f t="shared" si="56"/>
        <v>159</v>
      </c>
      <c r="AQ78" s="943">
        <f t="shared" si="57"/>
        <v>17.666666666666668</v>
      </c>
      <c r="AR78" s="943">
        <f t="shared" si="58"/>
        <v>0</v>
      </c>
      <c r="AS78" s="943">
        <f t="shared" si="59"/>
        <v>17.666666666666668</v>
      </c>
      <c r="BC78" s="64"/>
      <c r="BD78" s="64"/>
      <c r="BE78" s="64"/>
      <c r="BF78" s="64"/>
      <c r="BG78" s="64"/>
      <c r="BH78" s="64"/>
    </row>
    <row r="79" spans="1:60" s="6" customFormat="1">
      <c r="A79" s="1">
        <v>72</v>
      </c>
      <c r="B79" s="3" t="s">
        <v>153</v>
      </c>
      <c r="C79" s="1" t="s">
        <v>128</v>
      </c>
      <c r="D79" s="1" t="s">
        <v>154</v>
      </c>
      <c r="E79" s="2">
        <v>20</v>
      </c>
      <c r="H79" s="6">
        <f t="shared" si="60"/>
        <v>0</v>
      </c>
      <c r="K79" s="6">
        <f t="shared" si="61"/>
        <v>0</v>
      </c>
      <c r="N79" s="6">
        <f t="shared" si="62"/>
        <v>0</v>
      </c>
      <c r="O79" s="6">
        <v>20</v>
      </c>
      <c r="Q79" s="6">
        <f t="shared" si="63"/>
        <v>20</v>
      </c>
      <c r="R79" s="6">
        <v>20</v>
      </c>
      <c r="T79" s="6">
        <f t="shared" si="50"/>
        <v>20</v>
      </c>
      <c r="U79" s="109"/>
      <c r="W79" s="6">
        <f t="shared" si="70"/>
        <v>0</v>
      </c>
      <c r="X79" s="88">
        <f t="shared" si="64"/>
        <v>40</v>
      </c>
      <c r="Y79" s="41">
        <f t="shared" si="65"/>
        <v>0</v>
      </c>
      <c r="Z79" s="41">
        <f t="shared" si="66"/>
        <v>40</v>
      </c>
      <c r="AA79" s="42">
        <f t="shared" si="67"/>
        <v>6.666666666666667</v>
      </c>
      <c r="AB79" s="42">
        <f t="shared" si="68"/>
        <v>0</v>
      </c>
      <c r="AC79" s="42">
        <f t="shared" si="69"/>
        <v>6.666666666666667</v>
      </c>
      <c r="AD79" s="35" t="s">
        <v>18</v>
      </c>
      <c r="AE79" s="6">
        <v>17</v>
      </c>
      <c r="AG79" s="6">
        <f t="shared" si="51"/>
        <v>17</v>
      </c>
      <c r="AH79" s="6">
        <v>29</v>
      </c>
      <c r="AJ79" s="98">
        <f t="shared" si="52"/>
        <v>29</v>
      </c>
      <c r="AM79" s="98">
        <f t="shared" si="53"/>
        <v>0</v>
      </c>
      <c r="AN79" s="6">
        <f t="shared" si="54"/>
        <v>86</v>
      </c>
      <c r="AO79" s="6">
        <f t="shared" si="55"/>
        <v>0</v>
      </c>
      <c r="AP79" s="6">
        <f t="shared" si="56"/>
        <v>86</v>
      </c>
      <c r="AQ79" s="943">
        <f t="shared" si="57"/>
        <v>9.5555555555555554</v>
      </c>
      <c r="AR79" s="943">
        <f t="shared" si="58"/>
        <v>0</v>
      </c>
      <c r="AS79" s="943">
        <f t="shared" si="59"/>
        <v>9.5555555555555554</v>
      </c>
      <c r="BC79" s="64"/>
      <c r="BD79" s="64"/>
      <c r="BE79" s="64"/>
      <c r="BF79" s="64"/>
      <c r="BG79" s="64"/>
      <c r="BH79" s="64"/>
    </row>
    <row r="80" spans="1:60" s="6" customFormat="1">
      <c r="A80" s="6">
        <v>73</v>
      </c>
      <c r="B80" s="4" t="s">
        <v>155</v>
      </c>
      <c r="C80" s="1" t="s">
        <v>128</v>
      </c>
      <c r="D80" s="1" t="s">
        <v>156</v>
      </c>
      <c r="E80" s="2">
        <v>30</v>
      </c>
      <c r="F80" s="6">
        <v>40</v>
      </c>
      <c r="H80" s="6">
        <f t="shared" si="60"/>
        <v>40</v>
      </c>
      <c r="I80" s="6">
        <v>43</v>
      </c>
      <c r="K80" s="6">
        <f t="shared" si="61"/>
        <v>43</v>
      </c>
      <c r="L80" s="6">
        <v>41</v>
      </c>
      <c r="N80" s="6">
        <f t="shared" si="62"/>
        <v>41</v>
      </c>
      <c r="Q80" s="6">
        <f t="shared" si="63"/>
        <v>0</v>
      </c>
      <c r="T80" s="6">
        <f t="shared" si="50"/>
        <v>0</v>
      </c>
      <c r="U80" s="109">
        <v>30</v>
      </c>
      <c r="W80" s="6">
        <f t="shared" si="70"/>
        <v>30</v>
      </c>
      <c r="X80" s="88">
        <f t="shared" si="64"/>
        <v>154</v>
      </c>
      <c r="Y80" s="41">
        <f t="shared" si="65"/>
        <v>0</v>
      </c>
      <c r="Z80" s="41">
        <f t="shared" si="66"/>
        <v>154</v>
      </c>
      <c r="AA80" s="42">
        <f t="shared" si="67"/>
        <v>25.666666666666668</v>
      </c>
      <c r="AB80" s="42">
        <f t="shared" si="68"/>
        <v>0</v>
      </c>
      <c r="AC80" s="42">
        <f t="shared" si="69"/>
        <v>25.666666666666668</v>
      </c>
      <c r="AD80" s="35" t="s">
        <v>15</v>
      </c>
      <c r="AE80" s="6">
        <v>20</v>
      </c>
      <c r="AG80" s="6">
        <f t="shared" si="51"/>
        <v>20</v>
      </c>
      <c r="AH80" s="6">
        <v>20</v>
      </c>
      <c r="AJ80" s="98">
        <f t="shared" si="52"/>
        <v>20</v>
      </c>
      <c r="AK80" s="6">
        <v>73</v>
      </c>
      <c r="AM80" s="98">
        <f t="shared" si="53"/>
        <v>73</v>
      </c>
      <c r="AN80" s="6">
        <f t="shared" si="54"/>
        <v>267</v>
      </c>
      <c r="AO80" s="6">
        <f t="shared" si="55"/>
        <v>0</v>
      </c>
      <c r="AP80" s="6">
        <f t="shared" si="56"/>
        <v>267</v>
      </c>
      <c r="AQ80" s="943">
        <f t="shared" si="57"/>
        <v>29.666666666666668</v>
      </c>
      <c r="AR80" s="943">
        <f t="shared" si="58"/>
        <v>0</v>
      </c>
      <c r="AS80" s="943">
        <f t="shared" si="59"/>
        <v>29.666666666666668</v>
      </c>
      <c r="BC80" s="64"/>
      <c r="BD80" s="64"/>
      <c r="BE80" s="64"/>
      <c r="BF80" s="64"/>
      <c r="BG80" s="64"/>
      <c r="BH80" s="64"/>
    </row>
    <row r="81" spans="1:60" s="6" customFormat="1">
      <c r="A81" s="1">
        <v>74</v>
      </c>
      <c r="B81" s="5" t="s">
        <v>157</v>
      </c>
      <c r="C81" s="1" t="s">
        <v>128</v>
      </c>
      <c r="D81" s="1" t="s">
        <v>158</v>
      </c>
      <c r="E81" s="2">
        <v>20</v>
      </c>
      <c r="F81" s="6">
        <v>38</v>
      </c>
      <c r="H81" s="6">
        <f t="shared" si="60"/>
        <v>38</v>
      </c>
      <c r="K81" s="6">
        <f t="shared" si="61"/>
        <v>0</v>
      </c>
      <c r="L81" s="6">
        <v>20</v>
      </c>
      <c r="N81" s="6">
        <f t="shared" si="62"/>
        <v>20</v>
      </c>
      <c r="Q81" s="6">
        <f t="shared" si="63"/>
        <v>0</v>
      </c>
      <c r="R81" s="6">
        <v>18</v>
      </c>
      <c r="T81" s="6">
        <f t="shared" si="50"/>
        <v>18</v>
      </c>
      <c r="U81" s="109">
        <v>18</v>
      </c>
      <c r="W81" s="6">
        <f t="shared" si="70"/>
        <v>18</v>
      </c>
      <c r="X81" s="88">
        <f t="shared" si="64"/>
        <v>94</v>
      </c>
      <c r="Y81" s="41">
        <f t="shared" si="65"/>
        <v>0</v>
      </c>
      <c r="Z81" s="41">
        <f t="shared" si="66"/>
        <v>94</v>
      </c>
      <c r="AA81" s="42">
        <f t="shared" si="67"/>
        <v>15.666666666666666</v>
      </c>
      <c r="AB81" s="42">
        <f t="shared" si="68"/>
        <v>0</v>
      </c>
      <c r="AC81" s="42">
        <f t="shared" si="69"/>
        <v>15.666666666666666</v>
      </c>
      <c r="AD81" s="35" t="s">
        <v>15</v>
      </c>
      <c r="AE81" s="6">
        <v>20</v>
      </c>
      <c r="AG81" s="6">
        <f t="shared" si="51"/>
        <v>20</v>
      </c>
      <c r="AJ81" s="98">
        <f t="shared" si="52"/>
        <v>0</v>
      </c>
      <c r="AK81" s="6">
        <v>36</v>
      </c>
      <c r="AM81" s="98">
        <f t="shared" si="53"/>
        <v>36</v>
      </c>
      <c r="AN81" s="6">
        <f t="shared" si="54"/>
        <v>150</v>
      </c>
      <c r="AO81" s="6">
        <f t="shared" si="55"/>
        <v>0</v>
      </c>
      <c r="AP81" s="6">
        <f t="shared" si="56"/>
        <v>150</v>
      </c>
      <c r="AQ81" s="943">
        <f t="shared" si="57"/>
        <v>16.666666666666668</v>
      </c>
      <c r="AR81" s="943">
        <f t="shared" si="58"/>
        <v>0</v>
      </c>
      <c r="AS81" s="943">
        <f t="shared" si="59"/>
        <v>16.666666666666668</v>
      </c>
      <c r="BC81" s="64"/>
      <c r="BD81" s="64"/>
      <c r="BE81" s="64"/>
      <c r="BF81" s="64"/>
      <c r="BG81" s="64"/>
      <c r="BH81" s="64"/>
    </row>
    <row r="82" spans="1:60" s="6" customFormat="1">
      <c r="A82" s="6">
        <v>75</v>
      </c>
      <c r="B82" s="1" t="s">
        <v>159</v>
      </c>
      <c r="C82" s="1" t="s">
        <v>128</v>
      </c>
      <c r="D82" s="1" t="s">
        <v>160</v>
      </c>
      <c r="E82" s="2">
        <v>30</v>
      </c>
      <c r="F82" s="6">
        <v>29</v>
      </c>
      <c r="H82" s="6">
        <f t="shared" si="60"/>
        <v>29</v>
      </c>
      <c r="I82" s="6">
        <v>30</v>
      </c>
      <c r="K82" s="6">
        <f t="shared" si="61"/>
        <v>30</v>
      </c>
      <c r="N82" s="6">
        <f t="shared" si="62"/>
        <v>0</v>
      </c>
      <c r="O82" s="6">
        <v>20</v>
      </c>
      <c r="Q82" s="6">
        <f t="shared" si="63"/>
        <v>20</v>
      </c>
      <c r="T82" s="6">
        <f t="shared" si="50"/>
        <v>0</v>
      </c>
      <c r="U82" s="109">
        <v>20</v>
      </c>
      <c r="W82" s="6">
        <f t="shared" si="70"/>
        <v>20</v>
      </c>
      <c r="X82" s="88">
        <f t="shared" si="64"/>
        <v>99</v>
      </c>
      <c r="Y82" s="41">
        <f t="shared" si="65"/>
        <v>0</v>
      </c>
      <c r="Z82" s="41">
        <f t="shared" si="66"/>
        <v>99</v>
      </c>
      <c r="AA82" s="42">
        <f t="shared" si="67"/>
        <v>16.5</v>
      </c>
      <c r="AB82" s="42">
        <f t="shared" si="68"/>
        <v>0</v>
      </c>
      <c r="AC82" s="42">
        <f t="shared" si="69"/>
        <v>16.5</v>
      </c>
      <c r="AD82" s="35" t="s">
        <v>15</v>
      </c>
      <c r="AE82" s="6">
        <v>20</v>
      </c>
      <c r="AG82" s="6">
        <f t="shared" si="51"/>
        <v>20</v>
      </c>
      <c r="AJ82" s="98">
        <f t="shared" si="52"/>
        <v>0</v>
      </c>
      <c r="AM82" s="98">
        <f t="shared" si="53"/>
        <v>0</v>
      </c>
      <c r="AN82" s="6">
        <f t="shared" si="54"/>
        <v>119</v>
      </c>
      <c r="AO82" s="6">
        <f t="shared" si="55"/>
        <v>0</v>
      </c>
      <c r="AP82" s="6">
        <f t="shared" si="56"/>
        <v>119</v>
      </c>
      <c r="AQ82" s="943">
        <f t="shared" si="57"/>
        <v>13.222222222222221</v>
      </c>
      <c r="AR82" s="943">
        <f t="shared" si="58"/>
        <v>0</v>
      </c>
      <c r="AS82" s="943">
        <f t="shared" si="59"/>
        <v>13.222222222222221</v>
      </c>
      <c r="BC82" s="64"/>
      <c r="BD82" s="64"/>
      <c r="BE82" s="64"/>
      <c r="BF82" s="64"/>
      <c r="BG82" s="64"/>
      <c r="BH82" s="64"/>
    </row>
    <row r="83" spans="1:60" s="6" customFormat="1">
      <c r="A83" s="1">
        <v>76</v>
      </c>
      <c r="B83" s="1" t="s">
        <v>161</v>
      </c>
      <c r="C83" s="1" t="s">
        <v>128</v>
      </c>
      <c r="D83" s="1" t="s">
        <v>162</v>
      </c>
      <c r="E83" s="2">
        <v>150</v>
      </c>
      <c r="F83" s="6">
        <v>96</v>
      </c>
      <c r="G83" s="6">
        <v>38</v>
      </c>
      <c r="H83" s="6">
        <f t="shared" si="60"/>
        <v>134</v>
      </c>
      <c r="I83" s="6">
        <v>58</v>
      </c>
      <c r="J83" s="6">
        <v>42</v>
      </c>
      <c r="K83" s="6">
        <f t="shared" si="61"/>
        <v>100</v>
      </c>
      <c r="L83" s="6">
        <v>56</v>
      </c>
      <c r="M83" s="6">
        <v>58</v>
      </c>
      <c r="N83" s="6">
        <f t="shared" si="62"/>
        <v>114</v>
      </c>
      <c r="O83" s="6">
        <v>148</v>
      </c>
      <c r="P83" s="6">
        <v>56</v>
      </c>
      <c r="Q83" s="6">
        <f t="shared" si="63"/>
        <v>204</v>
      </c>
      <c r="R83" s="6">
        <v>94</v>
      </c>
      <c r="T83" s="6">
        <f t="shared" si="50"/>
        <v>94</v>
      </c>
      <c r="U83" s="109"/>
      <c r="W83" s="6">
        <f t="shared" si="70"/>
        <v>0</v>
      </c>
      <c r="X83" s="88">
        <f t="shared" si="64"/>
        <v>452</v>
      </c>
      <c r="Y83" s="41">
        <f t="shared" si="65"/>
        <v>194</v>
      </c>
      <c r="Z83" s="41">
        <f t="shared" si="66"/>
        <v>646</v>
      </c>
      <c r="AA83" s="42">
        <f t="shared" si="67"/>
        <v>75.333333333333329</v>
      </c>
      <c r="AB83" s="42">
        <f t="shared" si="68"/>
        <v>32.333333333333336</v>
      </c>
      <c r="AC83" s="42">
        <f t="shared" si="69"/>
        <v>107.66666666666667</v>
      </c>
      <c r="AD83" s="35" t="s">
        <v>18</v>
      </c>
      <c r="AE83" s="6">
        <v>150</v>
      </c>
      <c r="AG83" s="6">
        <f t="shared" si="51"/>
        <v>150</v>
      </c>
      <c r="AH83" s="6">
        <v>28</v>
      </c>
      <c r="AJ83" s="98">
        <f t="shared" si="52"/>
        <v>28</v>
      </c>
      <c r="AK83" s="6">
        <v>114</v>
      </c>
      <c r="AL83" s="6">
        <v>18</v>
      </c>
      <c r="AM83" s="98">
        <f t="shared" si="53"/>
        <v>132</v>
      </c>
      <c r="AN83" s="6">
        <f t="shared" si="54"/>
        <v>744</v>
      </c>
      <c r="AO83" s="6">
        <f t="shared" si="55"/>
        <v>212</v>
      </c>
      <c r="AP83" s="6">
        <f t="shared" si="56"/>
        <v>956</v>
      </c>
      <c r="AQ83" s="943">
        <f t="shared" si="57"/>
        <v>82.666666666666671</v>
      </c>
      <c r="AR83" s="943">
        <f t="shared" si="58"/>
        <v>23.555555555555557</v>
      </c>
      <c r="AS83" s="943">
        <f t="shared" si="59"/>
        <v>106.22222222222223</v>
      </c>
      <c r="BC83" s="64"/>
      <c r="BD83" s="64"/>
      <c r="BE83" s="64"/>
      <c r="BF83" s="64"/>
      <c r="BG83" s="64"/>
      <c r="BH83" s="64"/>
    </row>
    <row r="84" spans="1:60" s="6" customFormat="1">
      <c r="A84" s="6">
        <v>77</v>
      </c>
      <c r="B84" s="1" t="s">
        <v>163</v>
      </c>
      <c r="C84" s="1" t="s">
        <v>128</v>
      </c>
      <c r="D84" s="1" t="s">
        <v>164</v>
      </c>
      <c r="E84" s="2">
        <v>30</v>
      </c>
      <c r="F84" s="6">
        <v>30</v>
      </c>
      <c r="H84" s="6">
        <f t="shared" si="60"/>
        <v>30</v>
      </c>
      <c r="I84" s="6">
        <v>35</v>
      </c>
      <c r="K84" s="6">
        <f t="shared" si="61"/>
        <v>35</v>
      </c>
      <c r="L84" s="6">
        <v>40</v>
      </c>
      <c r="N84" s="6">
        <f t="shared" si="62"/>
        <v>40</v>
      </c>
      <c r="Q84" s="6">
        <f t="shared" si="63"/>
        <v>0</v>
      </c>
      <c r="R84" s="6">
        <v>59</v>
      </c>
      <c r="U84" s="109"/>
      <c r="W84" s="6">
        <f t="shared" si="70"/>
        <v>0</v>
      </c>
      <c r="X84" s="88">
        <f t="shared" si="64"/>
        <v>164</v>
      </c>
      <c r="Y84" s="41">
        <f t="shared" si="65"/>
        <v>0</v>
      </c>
      <c r="Z84" s="41">
        <f t="shared" si="66"/>
        <v>105</v>
      </c>
      <c r="AA84" s="42">
        <f t="shared" si="67"/>
        <v>27.333333333333332</v>
      </c>
      <c r="AB84" s="42">
        <f t="shared" si="68"/>
        <v>0</v>
      </c>
      <c r="AC84" s="42">
        <f t="shared" si="69"/>
        <v>17.5</v>
      </c>
      <c r="AD84" s="35" t="s">
        <v>15</v>
      </c>
      <c r="AG84" s="6">
        <f t="shared" si="51"/>
        <v>0</v>
      </c>
      <c r="AH84" s="6">
        <v>30</v>
      </c>
      <c r="AJ84" s="98">
        <f t="shared" si="52"/>
        <v>30</v>
      </c>
      <c r="AM84" s="98">
        <f t="shared" si="53"/>
        <v>0</v>
      </c>
      <c r="AN84" s="6">
        <f t="shared" si="54"/>
        <v>194</v>
      </c>
      <c r="AO84" s="6">
        <f t="shared" si="55"/>
        <v>0</v>
      </c>
      <c r="AP84" s="6">
        <f t="shared" si="56"/>
        <v>135</v>
      </c>
      <c r="AQ84" s="943">
        <f t="shared" si="57"/>
        <v>21.555555555555557</v>
      </c>
      <c r="AR84" s="943">
        <f t="shared" si="58"/>
        <v>0</v>
      </c>
      <c r="AS84" s="943">
        <f t="shared" si="59"/>
        <v>15</v>
      </c>
      <c r="BC84" s="64"/>
      <c r="BD84" s="64"/>
      <c r="BE84" s="64"/>
      <c r="BF84" s="64"/>
      <c r="BG84" s="64"/>
      <c r="BH84" s="64"/>
    </row>
    <row r="85" spans="1:60" s="6" customFormat="1">
      <c r="A85" s="1">
        <v>78</v>
      </c>
      <c r="B85" s="1" t="s">
        <v>165</v>
      </c>
      <c r="C85" s="1" t="s">
        <v>128</v>
      </c>
      <c r="D85" s="1" t="s">
        <v>166</v>
      </c>
      <c r="E85" s="2">
        <v>40</v>
      </c>
      <c r="H85" s="6">
        <f t="shared" si="60"/>
        <v>0</v>
      </c>
      <c r="I85" s="6">
        <v>36</v>
      </c>
      <c r="K85" s="6">
        <f t="shared" si="61"/>
        <v>36</v>
      </c>
      <c r="N85" s="6">
        <f t="shared" si="62"/>
        <v>0</v>
      </c>
      <c r="Q85" s="6">
        <f t="shared" si="63"/>
        <v>0</v>
      </c>
      <c r="R85" s="6">
        <v>36</v>
      </c>
      <c r="U85" s="109"/>
      <c r="W85" s="6">
        <f t="shared" si="70"/>
        <v>0</v>
      </c>
      <c r="X85" s="88">
        <f t="shared" si="64"/>
        <v>72</v>
      </c>
      <c r="Y85" s="41">
        <f t="shared" si="65"/>
        <v>0</v>
      </c>
      <c r="Z85" s="41">
        <f t="shared" si="66"/>
        <v>36</v>
      </c>
      <c r="AA85" s="42">
        <f t="shared" si="67"/>
        <v>12</v>
      </c>
      <c r="AB85" s="42">
        <f t="shared" si="68"/>
        <v>0</v>
      </c>
      <c r="AC85" s="42">
        <f t="shared" si="69"/>
        <v>6</v>
      </c>
      <c r="AD85" s="35" t="s">
        <v>15</v>
      </c>
      <c r="AG85" s="6">
        <f t="shared" si="51"/>
        <v>0</v>
      </c>
      <c r="AH85" s="6">
        <v>18</v>
      </c>
      <c r="AJ85" s="98">
        <f t="shared" si="52"/>
        <v>18</v>
      </c>
      <c r="AK85" s="6">
        <v>46</v>
      </c>
      <c r="AM85" s="98">
        <f t="shared" si="53"/>
        <v>46</v>
      </c>
      <c r="AN85" s="6">
        <f t="shared" si="54"/>
        <v>136</v>
      </c>
      <c r="AO85" s="6">
        <f t="shared" si="55"/>
        <v>0</v>
      </c>
      <c r="AP85" s="6">
        <f t="shared" si="56"/>
        <v>100</v>
      </c>
      <c r="AQ85" s="943">
        <f t="shared" si="57"/>
        <v>15.111111111111111</v>
      </c>
      <c r="AR85" s="943">
        <f t="shared" si="58"/>
        <v>0</v>
      </c>
      <c r="AS85" s="943">
        <f t="shared" si="59"/>
        <v>11.111111111111111</v>
      </c>
      <c r="BC85" s="64"/>
      <c r="BD85" s="64"/>
      <c r="BE85" s="64"/>
      <c r="BF85" s="64"/>
      <c r="BG85" s="64"/>
      <c r="BH85" s="64"/>
    </row>
    <row r="86" spans="1:60" s="6" customFormat="1">
      <c r="A86" s="6">
        <v>79</v>
      </c>
      <c r="B86" s="1" t="s">
        <v>167</v>
      </c>
      <c r="C86" s="1" t="s">
        <v>128</v>
      </c>
      <c r="D86" s="1" t="s">
        <v>168</v>
      </c>
      <c r="E86" s="2">
        <v>10</v>
      </c>
      <c r="F86" s="6">
        <v>10</v>
      </c>
      <c r="H86" s="6">
        <f t="shared" si="60"/>
        <v>10</v>
      </c>
      <c r="I86" s="6">
        <v>20</v>
      </c>
      <c r="K86" s="6">
        <f t="shared" si="61"/>
        <v>20</v>
      </c>
      <c r="L86" s="6">
        <v>11</v>
      </c>
      <c r="N86" s="6">
        <f t="shared" si="62"/>
        <v>11</v>
      </c>
      <c r="Q86" s="6">
        <f t="shared" si="63"/>
        <v>0</v>
      </c>
      <c r="R86" s="6">
        <v>6</v>
      </c>
      <c r="U86" s="109">
        <v>6</v>
      </c>
      <c r="W86" s="6">
        <f t="shared" si="70"/>
        <v>6</v>
      </c>
      <c r="X86" s="88">
        <f t="shared" si="64"/>
        <v>53</v>
      </c>
      <c r="Y86" s="41">
        <f t="shared" si="65"/>
        <v>0</v>
      </c>
      <c r="Z86" s="41">
        <f t="shared" si="66"/>
        <v>47</v>
      </c>
      <c r="AA86" s="42">
        <f t="shared" si="67"/>
        <v>8.8333333333333339</v>
      </c>
      <c r="AB86" s="42">
        <f t="shared" si="68"/>
        <v>0</v>
      </c>
      <c r="AC86" s="42">
        <f t="shared" si="69"/>
        <v>7.833333333333333</v>
      </c>
      <c r="AD86" s="35" t="s">
        <v>15</v>
      </c>
      <c r="AE86" s="6">
        <v>16</v>
      </c>
      <c r="AG86" s="6">
        <f t="shared" si="51"/>
        <v>16</v>
      </c>
      <c r="AH86" s="6">
        <v>6</v>
      </c>
      <c r="AJ86" s="98">
        <f t="shared" si="52"/>
        <v>6</v>
      </c>
      <c r="AK86" s="6">
        <v>10</v>
      </c>
      <c r="AM86" s="98">
        <f t="shared" si="53"/>
        <v>10</v>
      </c>
      <c r="AN86" s="6">
        <f t="shared" si="54"/>
        <v>85</v>
      </c>
      <c r="AO86" s="6">
        <f t="shared" si="55"/>
        <v>0</v>
      </c>
      <c r="AP86" s="6">
        <f t="shared" si="56"/>
        <v>79</v>
      </c>
      <c r="AQ86" s="943">
        <f t="shared" si="57"/>
        <v>9.4444444444444446</v>
      </c>
      <c r="AR86" s="943">
        <f t="shared" si="58"/>
        <v>0</v>
      </c>
      <c r="AS86" s="943">
        <f t="shared" si="59"/>
        <v>8.7777777777777786</v>
      </c>
      <c r="BC86" s="64"/>
      <c r="BD86" s="64"/>
      <c r="BE86" s="64"/>
      <c r="BF86" s="64"/>
      <c r="BG86" s="64"/>
      <c r="BH86" s="64"/>
    </row>
    <row r="87" spans="1:60" s="6" customFormat="1" ht="15" customHeight="1">
      <c r="A87" s="1">
        <v>80</v>
      </c>
      <c r="B87" s="18" t="s">
        <v>2869</v>
      </c>
      <c r="C87" s="1" t="s">
        <v>128</v>
      </c>
      <c r="D87" s="1" t="s">
        <v>169</v>
      </c>
      <c r="E87" s="2">
        <v>40</v>
      </c>
      <c r="H87" s="6">
        <f t="shared" si="60"/>
        <v>0</v>
      </c>
      <c r="K87" s="6">
        <f t="shared" si="61"/>
        <v>0</v>
      </c>
      <c r="N87" s="6">
        <f t="shared" si="62"/>
        <v>0</v>
      </c>
      <c r="Q87" s="6">
        <f t="shared" si="63"/>
        <v>0</v>
      </c>
      <c r="U87" s="109"/>
      <c r="W87" s="6">
        <f t="shared" si="70"/>
        <v>0</v>
      </c>
      <c r="X87" s="88">
        <f t="shared" si="64"/>
        <v>0</v>
      </c>
      <c r="Y87" s="41">
        <f t="shared" si="65"/>
        <v>0</v>
      </c>
      <c r="Z87" s="41">
        <f t="shared" si="66"/>
        <v>0</v>
      </c>
      <c r="AA87" s="42">
        <f t="shared" si="67"/>
        <v>0</v>
      </c>
      <c r="AB87" s="42">
        <f t="shared" si="68"/>
        <v>0</v>
      </c>
      <c r="AC87" s="42">
        <f t="shared" si="69"/>
        <v>0</v>
      </c>
      <c r="AD87" s="35" t="s">
        <v>15</v>
      </c>
      <c r="AE87" s="900"/>
      <c r="AF87" s="900"/>
      <c r="AH87" s="900"/>
      <c r="AI87" s="900"/>
      <c r="AK87" s="900"/>
      <c r="AL87" s="900"/>
    </row>
    <row r="88" spans="1:60" s="6" customFormat="1">
      <c r="A88" s="6">
        <v>81</v>
      </c>
      <c r="B88" s="1" t="s">
        <v>170</v>
      </c>
      <c r="C88" s="1" t="s">
        <v>128</v>
      </c>
      <c r="D88" s="1" t="s">
        <v>171</v>
      </c>
      <c r="E88" s="2">
        <v>20</v>
      </c>
      <c r="H88" s="6">
        <f t="shared" si="60"/>
        <v>0</v>
      </c>
      <c r="I88" s="6">
        <v>20</v>
      </c>
      <c r="K88" s="6">
        <f t="shared" si="61"/>
        <v>20</v>
      </c>
      <c r="L88" s="6">
        <v>20</v>
      </c>
      <c r="N88" s="6">
        <f t="shared" si="62"/>
        <v>20</v>
      </c>
      <c r="O88" s="6">
        <v>56</v>
      </c>
      <c r="Q88" s="6">
        <f t="shared" si="63"/>
        <v>56</v>
      </c>
      <c r="R88" s="6">
        <v>50</v>
      </c>
      <c r="U88" s="109">
        <v>20</v>
      </c>
      <c r="W88" s="6">
        <f t="shared" si="70"/>
        <v>20</v>
      </c>
      <c r="X88" s="88">
        <f t="shared" si="64"/>
        <v>166</v>
      </c>
      <c r="Y88" s="41">
        <f t="shared" si="65"/>
        <v>0</v>
      </c>
      <c r="Z88" s="41">
        <f t="shared" si="66"/>
        <v>116</v>
      </c>
      <c r="AA88" s="42">
        <f t="shared" si="67"/>
        <v>27.666666666666668</v>
      </c>
      <c r="AB88" s="42">
        <f t="shared" si="68"/>
        <v>0</v>
      </c>
      <c r="AC88" s="42">
        <f t="shared" si="69"/>
        <v>19.333333333333332</v>
      </c>
      <c r="AD88" s="35" t="s">
        <v>18</v>
      </c>
      <c r="AE88" s="6">
        <v>38</v>
      </c>
      <c r="AG88" s="6">
        <f t="shared" ref="AG88:AG89" si="71">AE88+AF88</f>
        <v>38</v>
      </c>
      <c r="AJ88" s="98">
        <f t="shared" ref="AJ88:AJ89" si="72">AH88+AI88</f>
        <v>0</v>
      </c>
      <c r="AK88" s="6">
        <v>40</v>
      </c>
      <c r="AM88" s="98">
        <f t="shared" ref="AM88:AM89" si="73">AK88+AL88</f>
        <v>40</v>
      </c>
      <c r="AN88" s="6">
        <f t="shared" ref="AN88:AN89" si="74">X88+AE88+AH88+AK88</f>
        <v>244</v>
      </c>
      <c r="AO88" s="6">
        <f t="shared" ref="AO88:AO89" si="75">Y88+AF88+AI88+AL88</f>
        <v>0</v>
      </c>
      <c r="AP88" s="6">
        <f t="shared" ref="AP88:AP89" si="76">Z88+AG88+AJ88+AM88</f>
        <v>194</v>
      </c>
      <c r="AQ88" s="943">
        <f t="shared" ref="AQ88:AQ89" si="77">AN88/9</f>
        <v>27.111111111111111</v>
      </c>
      <c r="AR88" s="943">
        <f t="shared" ref="AR88:AR89" si="78">AO88/9</f>
        <v>0</v>
      </c>
      <c r="AS88" s="943">
        <f t="shared" ref="AS88:AS89" si="79">AP88/9</f>
        <v>21.555555555555557</v>
      </c>
      <c r="BC88" s="64"/>
      <c r="BD88" s="64"/>
      <c r="BE88" s="64"/>
      <c r="BF88" s="64"/>
      <c r="BG88" s="64"/>
      <c r="BH88" s="64"/>
    </row>
    <row r="89" spans="1:60" s="6" customFormat="1">
      <c r="A89" s="1">
        <v>82</v>
      </c>
      <c r="B89" s="1" t="s">
        <v>172</v>
      </c>
      <c r="C89" s="1" t="s">
        <v>128</v>
      </c>
      <c r="D89" s="1" t="s">
        <v>173</v>
      </c>
      <c r="E89" s="2">
        <v>20</v>
      </c>
      <c r="F89" s="6">
        <v>20</v>
      </c>
      <c r="H89" s="6">
        <f t="shared" si="60"/>
        <v>20</v>
      </c>
      <c r="I89" s="6">
        <v>20</v>
      </c>
      <c r="K89" s="6">
        <f t="shared" si="61"/>
        <v>20</v>
      </c>
      <c r="N89" s="6">
        <f t="shared" si="62"/>
        <v>0</v>
      </c>
      <c r="Q89" s="6">
        <f t="shared" si="63"/>
        <v>0</v>
      </c>
      <c r="U89" s="109">
        <v>0</v>
      </c>
      <c r="W89" s="6">
        <f t="shared" si="70"/>
        <v>0</v>
      </c>
      <c r="X89" s="88">
        <f t="shared" si="64"/>
        <v>40</v>
      </c>
      <c r="Y89" s="41">
        <f t="shared" si="65"/>
        <v>0</v>
      </c>
      <c r="Z89" s="41">
        <f t="shared" si="66"/>
        <v>40</v>
      </c>
      <c r="AA89" s="42">
        <f t="shared" si="67"/>
        <v>6.666666666666667</v>
      </c>
      <c r="AB89" s="42">
        <f t="shared" si="68"/>
        <v>0</v>
      </c>
      <c r="AC89" s="42">
        <f t="shared" si="69"/>
        <v>6.666666666666667</v>
      </c>
      <c r="AD89" s="35" t="s">
        <v>15</v>
      </c>
      <c r="AE89" s="6">
        <v>20</v>
      </c>
      <c r="AG89" s="6">
        <f t="shared" si="71"/>
        <v>20</v>
      </c>
      <c r="AJ89" s="98">
        <f t="shared" si="72"/>
        <v>0</v>
      </c>
      <c r="AK89" s="6">
        <v>20</v>
      </c>
      <c r="AM89" s="98">
        <f t="shared" si="73"/>
        <v>20</v>
      </c>
      <c r="AN89" s="6">
        <f t="shared" si="74"/>
        <v>80</v>
      </c>
      <c r="AO89" s="6">
        <f t="shared" si="75"/>
        <v>0</v>
      </c>
      <c r="AP89" s="6">
        <f t="shared" si="76"/>
        <v>80</v>
      </c>
      <c r="AQ89" s="943">
        <f t="shared" si="77"/>
        <v>8.8888888888888893</v>
      </c>
      <c r="AR89" s="943">
        <f t="shared" si="78"/>
        <v>0</v>
      </c>
      <c r="AS89" s="943">
        <f t="shared" si="79"/>
        <v>8.8888888888888893</v>
      </c>
      <c r="BC89" s="64"/>
      <c r="BD89" s="64"/>
      <c r="BE89" s="64"/>
      <c r="BF89" s="64"/>
      <c r="BG89" s="64"/>
      <c r="BH89" s="64"/>
    </row>
    <row r="90" spans="1:60" s="6" customFormat="1" ht="15" customHeight="1">
      <c r="A90" s="6">
        <v>83</v>
      </c>
      <c r="B90" s="18" t="s">
        <v>174</v>
      </c>
      <c r="C90" s="1" t="s">
        <v>128</v>
      </c>
      <c r="D90" s="1" t="s">
        <v>175</v>
      </c>
      <c r="E90" s="2">
        <v>20</v>
      </c>
      <c r="H90" s="6">
        <f t="shared" si="60"/>
        <v>0</v>
      </c>
      <c r="K90" s="6">
        <f t="shared" si="61"/>
        <v>0</v>
      </c>
      <c r="N90" s="6">
        <f t="shared" si="62"/>
        <v>0</v>
      </c>
      <c r="Q90" s="6">
        <f t="shared" si="63"/>
        <v>0</v>
      </c>
      <c r="U90" s="109"/>
      <c r="V90" s="6">
        <v>15</v>
      </c>
      <c r="W90" s="6">
        <f t="shared" si="70"/>
        <v>15</v>
      </c>
      <c r="X90" s="88">
        <f t="shared" si="64"/>
        <v>0</v>
      </c>
      <c r="Y90" s="41">
        <f t="shared" si="65"/>
        <v>15</v>
      </c>
      <c r="Z90" s="41">
        <f t="shared" si="66"/>
        <v>15</v>
      </c>
      <c r="AA90" s="42">
        <f t="shared" si="67"/>
        <v>0</v>
      </c>
      <c r="AB90" s="42">
        <f t="shared" si="68"/>
        <v>2.5</v>
      </c>
      <c r="AC90" s="42">
        <f t="shared" si="69"/>
        <v>2.5</v>
      </c>
      <c r="AD90" s="35" t="s">
        <v>15</v>
      </c>
      <c r="AE90" s="900">
        <v>20</v>
      </c>
      <c r="AF90" s="900"/>
      <c r="AH90" s="900"/>
      <c r="AI90" s="900"/>
      <c r="AK90" s="900"/>
      <c r="AL90" s="900"/>
    </row>
    <row r="91" spans="1:60" s="6" customFormat="1">
      <c r="A91" s="1">
        <v>84</v>
      </c>
      <c r="B91" s="1" t="s">
        <v>176</v>
      </c>
      <c r="C91" s="1" t="s">
        <v>128</v>
      </c>
      <c r="D91" s="1" t="s">
        <v>177</v>
      </c>
      <c r="E91" s="2">
        <v>20</v>
      </c>
      <c r="F91" s="6">
        <v>20</v>
      </c>
      <c r="H91" s="6">
        <f t="shared" si="60"/>
        <v>20</v>
      </c>
      <c r="K91" s="6">
        <f t="shared" si="61"/>
        <v>0</v>
      </c>
      <c r="N91" s="6">
        <f t="shared" si="62"/>
        <v>0</v>
      </c>
      <c r="Q91" s="6">
        <f t="shared" si="63"/>
        <v>0</v>
      </c>
      <c r="R91" s="6">
        <v>50</v>
      </c>
      <c r="U91" s="109"/>
      <c r="W91" s="6">
        <f t="shared" si="70"/>
        <v>0</v>
      </c>
      <c r="X91" s="88">
        <f t="shared" si="64"/>
        <v>70</v>
      </c>
      <c r="Y91" s="41">
        <f t="shared" si="65"/>
        <v>0</v>
      </c>
      <c r="Z91" s="41">
        <f t="shared" si="66"/>
        <v>20</v>
      </c>
      <c r="AA91" s="42">
        <f t="shared" si="67"/>
        <v>11.666666666666666</v>
      </c>
      <c r="AB91" s="42">
        <f t="shared" si="68"/>
        <v>0</v>
      </c>
      <c r="AC91" s="42">
        <f t="shared" si="69"/>
        <v>3.3333333333333335</v>
      </c>
      <c r="AD91" s="35" t="s">
        <v>15</v>
      </c>
      <c r="AG91" s="6">
        <f>AE91+AF91</f>
        <v>0</v>
      </c>
      <c r="AJ91" s="98">
        <f t="shared" ref="AJ91:AJ98" si="80">AH91+AI91</f>
        <v>0</v>
      </c>
      <c r="AM91" s="98">
        <f t="shared" ref="AM91:AM98" si="81">AK91+AL91</f>
        <v>0</v>
      </c>
      <c r="AN91" s="6">
        <f t="shared" ref="AN91:AN98" si="82">X91+AE91+AH91+AK91</f>
        <v>70</v>
      </c>
      <c r="AO91" s="6">
        <f t="shared" ref="AO91:AO98" si="83">Y91+AF91+AI91+AL91</f>
        <v>0</v>
      </c>
      <c r="AP91" s="6">
        <f t="shared" ref="AP91:AP98" si="84">Z91+AG91+AJ91+AM91</f>
        <v>20</v>
      </c>
      <c r="AQ91" s="943">
        <f t="shared" ref="AQ91:AQ98" si="85">AN91/9</f>
        <v>7.7777777777777777</v>
      </c>
      <c r="AR91" s="943">
        <f t="shared" ref="AR91:AR98" si="86">AO91/9</f>
        <v>0</v>
      </c>
      <c r="AS91" s="943">
        <f t="shared" ref="AS91:AS98" si="87">AP91/9</f>
        <v>2.2222222222222223</v>
      </c>
      <c r="BC91" s="64"/>
      <c r="BD91" s="64"/>
      <c r="BE91" s="64"/>
      <c r="BF91" s="64"/>
      <c r="BG91" s="64"/>
      <c r="BH91" s="64"/>
    </row>
    <row r="92" spans="1:60" s="19" customFormat="1" ht="15.75">
      <c r="A92" s="6">
        <v>85</v>
      </c>
      <c r="B92" s="43" t="s">
        <v>178</v>
      </c>
      <c r="C92" s="19" t="s">
        <v>128</v>
      </c>
      <c r="D92" s="19" t="s">
        <v>179</v>
      </c>
      <c r="E92" s="19">
        <v>351</v>
      </c>
      <c r="F92" s="19">
        <v>400</v>
      </c>
      <c r="H92" s="19">
        <f t="shared" si="60"/>
        <v>400</v>
      </c>
      <c r="I92" s="19">
        <v>408</v>
      </c>
      <c r="K92" s="19">
        <f t="shared" si="61"/>
        <v>408</v>
      </c>
      <c r="L92" s="19">
        <v>90</v>
      </c>
      <c r="N92" s="19">
        <f t="shared" si="62"/>
        <v>90</v>
      </c>
      <c r="O92" s="19">
        <v>480</v>
      </c>
      <c r="Q92" s="19">
        <f t="shared" si="63"/>
        <v>480</v>
      </c>
      <c r="T92" s="19">
        <f>R92+S92</f>
        <v>0</v>
      </c>
      <c r="U92" s="110">
        <v>0</v>
      </c>
      <c r="W92" s="19">
        <f t="shared" si="70"/>
        <v>0</v>
      </c>
      <c r="X92" s="89">
        <f t="shared" si="64"/>
        <v>1378</v>
      </c>
      <c r="Y92" s="44">
        <f t="shared" si="65"/>
        <v>0</v>
      </c>
      <c r="Z92" s="44">
        <f t="shared" si="66"/>
        <v>1378</v>
      </c>
      <c r="AA92" s="45">
        <f t="shared" si="67"/>
        <v>229.66666666666666</v>
      </c>
      <c r="AB92" s="45">
        <f t="shared" si="68"/>
        <v>0</v>
      </c>
      <c r="AC92" s="45">
        <f t="shared" si="69"/>
        <v>229.66666666666666</v>
      </c>
      <c r="AD92" s="46" t="s">
        <v>18</v>
      </c>
      <c r="AE92" s="19">
        <v>0</v>
      </c>
      <c r="AG92" s="19">
        <f>AE92+AF92</f>
        <v>0</v>
      </c>
      <c r="AH92" s="19">
        <v>490</v>
      </c>
      <c r="AJ92" s="100">
        <f t="shared" si="80"/>
        <v>490</v>
      </c>
      <c r="AK92" s="19">
        <v>596</v>
      </c>
      <c r="AM92" s="100">
        <f t="shared" si="81"/>
        <v>596</v>
      </c>
      <c r="AN92" s="19">
        <f t="shared" si="82"/>
        <v>2464</v>
      </c>
      <c r="AO92" s="19">
        <f t="shared" si="83"/>
        <v>0</v>
      </c>
      <c r="AP92" s="19">
        <f t="shared" si="84"/>
        <v>2464</v>
      </c>
      <c r="AQ92" s="703">
        <f t="shared" si="85"/>
        <v>273.77777777777777</v>
      </c>
      <c r="AR92" s="703">
        <f t="shared" si="86"/>
        <v>0</v>
      </c>
      <c r="AS92" s="703">
        <f t="shared" si="87"/>
        <v>273.77777777777777</v>
      </c>
      <c r="BC92" s="64"/>
      <c r="BD92" s="64"/>
      <c r="BE92" s="64"/>
      <c r="BF92" s="64"/>
      <c r="BG92" s="64"/>
      <c r="BH92" s="64"/>
    </row>
    <row r="93" spans="1:60" s="19" customFormat="1" ht="15.75">
      <c r="A93" s="1">
        <v>86</v>
      </c>
      <c r="B93" s="47" t="s">
        <v>180</v>
      </c>
      <c r="C93" s="19" t="s">
        <v>128</v>
      </c>
      <c r="D93" s="19" t="s">
        <v>181</v>
      </c>
      <c r="E93" s="19">
        <v>159</v>
      </c>
      <c r="F93" s="19">
        <v>350</v>
      </c>
      <c r="H93" s="19">
        <f t="shared" si="60"/>
        <v>350</v>
      </c>
      <c r="K93" s="19">
        <f t="shared" si="61"/>
        <v>0</v>
      </c>
      <c r="L93" s="19">
        <v>0</v>
      </c>
      <c r="N93" s="19">
        <f t="shared" si="62"/>
        <v>0</v>
      </c>
      <c r="O93" s="19">
        <v>349</v>
      </c>
      <c r="Q93" s="19">
        <f t="shared" si="63"/>
        <v>349</v>
      </c>
      <c r="T93" s="19">
        <f>R93+S93</f>
        <v>0</v>
      </c>
      <c r="U93" s="110"/>
      <c r="W93" s="19">
        <f t="shared" si="70"/>
        <v>0</v>
      </c>
      <c r="X93" s="89">
        <f t="shared" si="64"/>
        <v>699</v>
      </c>
      <c r="Y93" s="44">
        <f t="shared" si="65"/>
        <v>0</v>
      </c>
      <c r="Z93" s="44">
        <f t="shared" si="66"/>
        <v>699</v>
      </c>
      <c r="AA93" s="45">
        <f t="shared" si="67"/>
        <v>116.5</v>
      </c>
      <c r="AB93" s="45">
        <f t="shared" si="68"/>
        <v>0</v>
      </c>
      <c r="AC93" s="45">
        <f t="shared" si="69"/>
        <v>116.5</v>
      </c>
      <c r="AD93" s="46" t="s">
        <v>18</v>
      </c>
      <c r="AE93" s="19">
        <v>330</v>
      </c>
      <c r="AG93" s="19">
        <f>AE93+AF93</f>
        <v>330</v>
      </c>
      <c r="AH93" s="19">
        <v>96</v>
      </c>
      <c r="AJ93" s="100">
        <f t="shared" si="80"/>
        <v>96</v>
      </c>
      <c r="AK93" s="19">
        <v>241</v>
      </c>
      <c r="AM93" s="100">
        <f t="shared" si="81"/>
        <v>241</v>
      </c>
      <c r="AN93" s="19">
        <f t="shared" si="82"/>
        <v>1366</v>
      </c>
      <c r="AO93" s="19">
        <f t="shared" si="83"/>
        <v>0</v>
      </c>
      <c r="AP93" s="19">
        <f t="shared" si="84"/>
        <v>1366</v>
      </c>
      <c r="AQ93" s="703">
        <f t="shared" si="85"/>
        <v>151.77777777777777</v>
      </c>
      <c r="AR93" s="703">
        <f t="shared" si="86"/>
        <v>0</v>
      </c>
      <c r="AS93" s="703">
        <f t="shared" si="87"/>
        <v>151.77777777777777</v>
      </c>
      <c r="BC93" s="64"/>
      <c r="BD93" s="64"/>
      <c r="BE93" s="64"/>
      <c r="BF93" s="64"/>
      <c r="BG93" s="64"/>
      <c r="BH93" s="64"/>
    </row>
    <row r="94" spans="1:60" s="19" customFormat="1" ht="15.75">
      <c r="A94" s="6">
        <v>87</v>
      </c>
      <c r="B94" s="47" t="s">
        <v>182</v>
      </c>
      <c r="C94" s="19" t="s">
        <v>128</v>
      </c>
      <c r="D94" s="19" t="s">
        <v>183</v>
      </c>
      <c r="E94" s="19">
        <v>252</v>
      </c>
      <c r="F94" s="19">
        <v>203</v>
      </c>
      <c r="H94" s="19">
        <f t="shared" si="60"/>
        <v>203</v>
      </c>
      <c r="I94" s="19">
        <v>208</v>
      </c>
      <c r="K94" s="19">
        <f t="shared" si="61"/>
        <v>208</v>
      </c>
      <c r="L94" s="19">
        <v>156</v>
      </c>
      <c r="N94" s="19">
        <f t="shared" si="62"/>
        <v>156</v>
      </c>
      <c r="O94" s="19">
        <v>208</v>
      </c>
      <c r="Q94" s="19">
        <f t="shared" si="63"/>
        <v>208</v>
      </c>
      <c r="R94" s="19">
        <v>260</v>
      </c>
      <c r="T94" s="19">
        <f>R94+S94</f>
        <v>260</v>
      </c>
      <c r="U94" s="110">
        <v>304</v>
      </c>
      <c r="W94" s="19">
        <f t="shared" si="70"/>
        <v>304</v>
      </c>
      <c r="X94" s="89">
        <f t="shared" si="64"/>
        <v>1339</v>
      </c>
      <c r="Y94" s="44">
        <f t="shared" si="65"/>
        <v>0</v>
      </c>
      <c r="Z94" s="44">
        <f t="shared" si="66"/>
        <v>1339</v>
      </c>
      <c r="AA94" s="45">
        <f t="shared" si="67"/>
        <v>223.16666666666666</v>
      </c>
      <c r="AB94" s="45">
        <f t="shared" si="68"/>
        <v>0</v>
      </c>
      <c r="AC94" s="45">
        <f t="shared" si="69"/>
        <v>223.16666666666666</v>
      </c>
      <c r="AD94" s="46" t="s">
        <v>18</v>
      </c>
      <c r="AE94" s="19">
        <v>0</v>
      </c>
      <c r="AG94" s="19">
        <f>AE94+AF94</f>
        <v>0</v>
      </c>
      <c r="AH94" s="19">
        <v>154</v>
      </c>
      <c r="AJ94" s="100">
        <f t="shared" si="80"/>
        <v>154</v>
      </c>
      <c r="AM94" s="100">
        <f t="shared" si="81"/>
        <v>0</v>
      </c>
      <c r="AN94" s="19">
        <f t="shared" si="82"/>
        <v>1493</v>
      </c>
      <c r="AO94" s="19">
        <f t="shared" si="83"/>
        <v>0</v>
      </c>
      <c r="AP94" s="19">
        <f t="shared" si="84"/>
        <v>1493</v>
      </c>
      <c r="AQ94" s="703">
        <f t="shared" si="85"/>
        <v>165.88888888888889</v>
      </c>
      <c r="AR94" s="703">
        <f t="shared" si="86"/>
        <v>0</v>
      </c>
      <c r="AS94" s="703">
        <f t="shared" si="87"/>
        <v>165.88888888888889</v>
      </c>
      <c r="BC94" s="64"/>
      <c r="BD94" s="64"/>
      <c r="BE94" s="64"/>
      <c r="BF94" s="64"/>
      <c r="BG94" s="64"/>
      <c r="BH94" s="64"/>
    </row>
    <row r="95" spans="1:60" s="6" customFormat="1">
      <c r="A95" s="1">
        <v>88</v>
      </c>
      <c r="B95" s="4" t="s">
        <v>184</v>
      </c>
      <c r="C95" s="1" t="s">
        <v>185</v>
      </c>
      <c r="D95" s="1" t="s">
        <v>186</v>
      </c>
      <c r="E95" s="2">
        <v>20</v>
      </c>
      <c r="H95" s="6">
        <f t="shared" si="60"/>
        <v>0</v>
      </c>
      <c r="K95" s="6">
        <f t="shared" si="61"/>
        <v>0</v>
      </c>
      <c r="L95" s="6">
        <v>18</v>
      </c>
      <c r="N95" s="6">
        <f t="shared" si="62"/>
        <v>18</v>
      </c>
      <c r="Q95" s="6">
        <f t="shared" si="63"/>
        <v>0</v>
      </c>
      <c r="U95" s="109">
        <v>20</v>
      </c>
      <c r="W95" s="6">
        <f t="shared" si="70"/>
        <v>20</v>
      </c>
      <c r="X95" s="88">
        <f t="shared" si="64"/>
        <v>38</v>
      </c>
      <c r="Y95" s="41">
        <f t="shared" si="65"/>
        <v>0</v>
      </c>
      <c r="Z95" s="41">
        <f t="shared" si="66"/>
        <v>38</v>
      </c>
      <c r="AA95" s="42">
        <f t="shared" si="67"/>
        <v>6.333333333333333</v>
      </c>
      <c r="AB95" s="42">
        <f t="shared" si="68"/>
        <v>0</v>
      </c>
      <c r="AC95" s="42">
        <f t="shared" si="69"/>
        <v>6.333333333333333</v>
      </c>
      <c r="AD95" s="35" t="s">
        <v>15</v>
      </c>
      <c r="AE95" s="6">
        <v>9</v>
      </c>
      <c r="AG95" s="6">
        <f t="shared" ref="AG95:AG98" si="88">AE95+AF95</f>
        <v>9</v>
      </c>
      <c r="AH95" s="6">
        <v>9</v>
      </c>
      <c r="AJ95" s="98">
        <f t="shared" si="80"/>
        <v>9</v>
      </c>
      <c r="AK95" s="6">
        <v>36</v>
      </c>
      <c r="AM95" s="98">
        <f t="shared" si="81"/>
        <v>36</v>
      </c>
      <c r="AN95" s="6">
        <f t="shared" si="82"/>
        <v>92</v>
      </c>
      <c r="AO95" s="6">
        <f t="shared" si="83"/>
        <v>0</v>
      </c>
      <c r="AP95" s="6">
        <f t="shared" si="84"/>
        <v>92</v>
      </c>
      <c r="AQ95" s="943">
        <f t="shared" si="85"/>
        <v>10.222222222222221</v>
      </c>
      <c r="AR95" s="943">
        <f t="shared" si="86"/>
        <v>0</v>
      </c>
      <c r="AS95" s="943">
        <f t="shared" si="87"/>
        <v>10.222222222222221</v>
      </c>
      <c r="BC95" s="64"/>
      <c r="BD95" s="64"/>
      <c r="BE95" s="64"/>
      <c r="BF95" s="64"/>
      <c r="BG95" s="64"/>
      <c r="BH95" s="64"/>
    </row>
    <row r="96" spans="1:60" s="6" customFormat="1">
      <c r="A96" s="6">
        <v>89</v>
      </c>
      <c r="B96" s="4" t="s">
        <v>187</v>
      </c>
      <c r="C96" s="1" t="s">
        <v>185</v>
      </c>
      <c r="D96" s="1" t="s">
        <v>188</v>
      </c>
      <c r="E96" s="2">
        <v>30</v>
      </c>
      <c r="H96" s="6">
        <f t="shared" si="60"/>
        <v>0</v>
      </c>
      <c r="K96" s="6">
        <f t="shared" si="61"/>
        <v>0</v>
      </c>
      <c r="N96" s="6">
        <f t="shared" si="62"/>
        <v>0</v>
      </c>
      <c r="O96" s="6">
        <v>30</v>
      </c>
      <c r="Q96" s="6">
        <f t="shared" si="63"/>
        <v>30</v>
      </c>
      <c r="U96" s="109"/>
      <c r="W96" s="6">
        <f t="shared" si="70"/>
        <v>0</v>
      </c>
      <c r="X96" s="88">
        <f t="shared" si="64"/>
        <v>30</v>
      </c>
      <c r="Y96" s="41">
        <f t="shared" si="65"/>
        <v>0</v>
      </c>
      <c r="Z96" s="41">
        <f t="shared" si="66"/>
        <v>30</v>
      </c>
      <c r="AA96" s="42">
        <f t="shared" si="67"/>
        <v>5</v>
      </c>
      <c r="AB96" s="42">
        <f t="shared" si="68"/>
        <v>0</v>
      </c>
      <c r="AC96" s="42">
        <f t="shared" si="69"/>
        <v>5</v>
      </c>
      <c r="AD96" s="35" t="s">
        <v>15</v>
      </c>
      <c r="AG96" s="6">
        <f t="shared" si="88"/>
        <v>0</v>
      </c>
      <c r="AJ96" s="98">
        <f t="shared" si="80"/>
        <v>0</v>
      </c>
      <c r="AK96" s="6">
        <v>30</v>
      </c>
      <c r="AM96" s="98">
        <f t="shared" si="81"/>
        <v>30</v>
      </c>
      <c r="AN96" s="6">
        <f t="shared" si="82"/>
        <v>60</v>
      </c>
      <c r="AO96" s="6">
        <f t="shared" si="83"/>
        <v>0</v>
      </c>
      <c r="AP96" s="6">
        <f t="shared" si="84"/>
        <v>60</v>
      </c>
      <c r="AQ96" s="943">
        <f t="shared" si="85"/>
        <v>6.666666666666667</v>
      </c>
      <c r="AR96" s="943">
        <f t="shared" si="86"/>
        <v>0</v>
      </c>
      <c r="AS96" s="943">
        <f t="shared" si="87"/>
        <v>6.666666666666667</v>
      </c>
      <c r="BC96" s="64"/>
      <c r="BD96" s="64"/>
      <c r="BE96" s="64"/>
      <c r="BF96" s="64"/>
      <c r="BG96" s="64"/>
      <c r="BH96" s="64"/>
    </row>
    <row r="97" spans="1:60" s="6" customFormat="1">
      <c r="A97" s="1">
        <v>90</v>
      </c>
      <c r="B97" s="4" t="s">
        <v>189</v>
      </c>
      <c r="C97" s="1" t="s">
        <v>185</v>
      </c>
      <c r="D97" s="1" t="s">
        <v>190</v>
      </c>
      <c r="E97" s="2">
        <v>30</v>
      </c>
      <c r="H97" s="6">
        <f t="shared" si="60"/>
        <v>0</v>
      </c>
      <c r="I97" s="6">
        <v>18</v>
      </c>
      <c r="K97" s="6">
        <f t="shared" si="61"/>
        <v>18</v>
      </c>
      <c r="L97" s="6">
        <v>36</v>
      </c>
      <c r="N97" s="6">
        <f t="shared" si="62"/>
        <v>36</v>
      </c>
      <c r="Q97" s="6">
        <f t="shared" si="63"/>
        <v>0</v>
      </c>
      <c r="U97" s="109"/>
      <c r="W97" s="6">
        <f t="shared" si="70"/>
        <v>0</v>
      </c>
      <c r="X97" s="88">
        <f t="shared" si="64"/>
        <v>54</v>
      </c>
      <c r="Y97" s="41">
        <f t="shared" si="65"/>
        <v>0</v>
      </c>
      <c r="Z97" s="41">
        <f t="shared" si="66"/>
        <v>54</v>
      </c>
      <c r="AA97" s="42">
        <f t="shared" si="67"/>
        <v>9</v>
      </c>
      <c r="AB97" s="42">
        <f t="shared" si="68"/>
        <v>0</v>
      </c>
      <c r="AC97" s="42">
        <f t="shared" si="69"/>
        <v>9</v>
      </c>
      <c r="AD97" s="35" t="s">
        <v>15</v>
      </c>
      <c r="AE97" s="6">
        <v>18</v>
      </c>
      <c r="AG97" s="6">
        <f t="shared" si="88"/>
        <v>18</v>
      </c>
      <c r="AJ97" s="98">
        <f t="shared" si="80"/>
        <v>0</v>
      </c>
      <c r="AM97" s="98">
        <f t="shared" si="81"/>
        <v>0</v>
      </c>
      <c r="AN97" s="6">
        <f t="shared" si="82"/>
        <v>72</v>
      </c>
      <c r="AO97" s="6">
        <f t="shared" si="83"/>
        <v>0</v>
      </c>
      <c r="AP97" s="6">
        <f t="shared" si="84"/>
        <v>72</v>
      </c>
      <c r="AQ97" s="943">
        <f t="shared" si="85"/>
        <v>8</v>
      </c>
      <c r="AR97" s="943">
        <f t="shared" si="86"/>
        <v>0</v>
      </c>
      <c r="AS97" s="943">
        <f t="shared" si="87"/>
        <v>8</v>
      </c>
      <c r="BC97" s="64"/>
      <c r="BD97" s="64"/>
      <c r="BE97" s="64"/>
      <c r="BF97" s="64"/>
      <c r="BG97" s="64"/>
      <c r="BH97" s="64"/>
    </row>
    <row r="98" spans="1:60" s="6" customFormat="1">
      <c r="A98" s="6">
        <v>91</v>
      </c>
      <c r="B98" s="4" t="s">
        <v>191</v>
      </c>
      <c r="C98" s="1" t="s">
        <v>185</v>
      </c>
      <c r="D98" s="1" t="s">
        <v>192</v>
      </c>
      <c r="E98" s="2">
        <v>10</v>
      </c>
      <c r="F98" s="6">
        <v>10</v>
      </c>
      <c r="H98" s="6">
        <f t="shared" si="60"/>
        <v>10</v>
      </c>
      <c r="K98" s="6">
        <f t="shared" si="61"/>
        <v>0</v>
      </c>
      <c r="N98" s="6">
        <f t="shared" si="62"/>
        <v>0</v>
      </c>
      <c r="Q98" s="6">
        <f t="shared" si="63"/>
        <v>0</v>
      </c>
      <c r="U98" s="109">
        <v>0</v>
      </c>
      <c r="W98" s="6">
        <f t="shared" si="70"/>
        <v>0</v>
      </c>
      <c r="X98" s="88">
        <f t="shared" si="64"/>
        <v>10</v>
      </c>
      <c r="Y98" s="41">
        <f t="shared" si="65"/>
        <v>0</v>
      </c>
      <c r="Z98" s="41">
        <f t="shared" si="66"/>
        <v>10</v>
      </c>
      <c r="AA98" s="42">
        <f t="shared" si="67"/>
        <v>1.6666666666666667</v>
      </c>
      <c r="AB98" s="42">
        <f t="shared" si="68"/>
        <v>0</v>
      </c>
      <c r="AC98" s="42">
        <f t="shared" si="69"/>
        <v>1.6666666666666667</v>
      </c>
      <c r="AD98" s="35" t="s">
        <v>15</v>
      </c>
      <c r="AG98" s="6">
        <f t="shared" si="88"/>
        <v>0</v>
      </c>
      <c r="AJ98" s="98">
        <f t="shared" si="80"/>
        <v>0</v>
      </c>
      <c r="AM98" s="98">
        <f t="shared" si="81"/>
        <v>0</v>
      </c>
      <c r="AN98" s="6">
        <f t="shared" si="82"/>
        <v>10</v>
      </c>
      <c r="AO98" s="6">
        <f t="shared" si="83"/>
        <v>0</v>
      </c>
      <c r="AP98" s="6">
        <f t="shared" si="84"/>
        <v>10</v>
      </c>
      <c r="AQ98" s="943">
        <f t="shared" si="85"/>
        <v>1.1111111111111112</v>
      </c>
      <c r="AR98" s="943">
        <f t="shared" si="86"/>
        <v>0</v>
      </c>
      <c r="AS98" s="943">
        <f t="shared" si="87"/>
        <v>1.1111111111111112</v>
      </c>
      <c r="BC98" s="64"/>
      <c r="BD98" s="64"/>
      <c r="BE98" s="64"/>
      <c r="BF98" s="64"/>
      <c r="BG98" s="64"/>
      <c r="BH98" s="64"/>
    </row>
    <row r="99" spans="1:60" s="6" customFormat="1" ht="15" customHeight="1">
      <c r="A99" s="1">
        <v>92</v>
      </c>
      <c r="B99" s="261" t="s">
        <v>2870</v>
      </c>
      <c r="C99" s="1" t="s">
        <v>185</v>
      </c>
      <c r="D99" s="1" t="s">
        <v>193</v>
      </c>
      <c r="E99" s="2">
        <v>20</v>
      </c>
      <c r="H99" s="6">
        <f t="shared" si="60"/>
        <v>0</v>
      </c>
      <c r="K99" s="6">
        <f t="shared" si="61"/>
        <v>0</v>
      </c>
      <c r="N99" s="6">
        <f t="shared" si="62"/>
        <v>0</v>
      </c>
      <c r="Q99" s="6">
        <f t="shared" si="63"/>
        <v>0</v>
      </c>
      <c r="U99" s="109"/>
      <c r="W99" s="6">
        <f t="shared" si="70"/>
        <v>0</v>
      </c>
      <c r="X99" s="88">
        <f t="shared" si="64"/>
        <v>0</v>
      </c>
      <c r="Y99" s="41">
        <f t="shared" si="65"/>
        <v>0</v>
      </c>
      <c r="Z99" s="41">
        <f t="shared" si="66"/>
        <v>0</v>
      </c>
      <c r="AA99" s="42">
        <f t="shared" si="67"/>
        <v>0</v>
      </c>
      <c r="AB99" s="42">
        <f t="shared" si="68"/>
        <v>0</v>
      </c>
      <c r="AC99" s="42">
        <f t="shared" si="69"/>
        <v>0</v>
      </c>
      <c r="AD99" s="35" t="s">
        <v>15</v>
      </c>
      <c r="AE99" s="900"/>
      <c r="AF99" s="900"/>
      <c r="AH99" s="900"/>
      <c r="AI99" s="900"/>
      <c r="AK99" s="900"/>
      <c r="AL99" s="900"/>
    </row>
    <row r="100" spans="1:60" s="6" customFormat="1">
      <c r="A100" s="6">
        <v>93</v>
      </c>
      <c r="B100" s="4" t="s">
        <v>194</v>
      </c>
      <c r="C100" s="1" t="s">
        <v>185</v>
      </c>
      <c r="D100" s="1" t="s">
        <v>195</v>
      </c>
      <c r="E100" s="2">
        <v>10</v>
      </c>
      <c r="H100" s="6">
        <f t="shared" si="60"/>
        <v>0</v>
      </c>
      <c r="K100" s="6">
        <f t="shared" si="61"/>
        <v>0</v>
      </c>
      <c r="N100" s="6">
        <f t="shared" si="62"/>
        <v>0</v>
      </c>
      <c r="O100" s="6">
        <v>10</v>
      </c>
      <c r="Q100" s="6">
        <f t="shared" si="63"/>
        <v>10</v>
      </c>
      <c r="R100" s="6">
        <v>10</v>
      </c>
      <c r="U100" s="109">
        <v>0</v>
      </c>
      <c r="W100" s="6">
        <f t="shared" si="70"/>
        <v>0</v>
      </c>
      <c r="X100" s="88">
        <f t="shared" si="64"/>
        <v>20</v>
      </c>
      <c r="Y100" s="41">
        <f t="shared" si="65"/>
        <v>0</v>
      </c>
      <c r="Z100" s="41">
        <f t="shared" si="66"/>
        <v>10</v>
      </c>
      <c r="AA100" s="42">
        <f t="shared" si="67"/>
        <v>3.3333333333333335</v>
      </c>
      <c r="AB100" s="42">
        <f t="shared" si="68"/>
        <v>0</v>
      </c>
      <c r="AC100" s="42">
        <f t="shared" si="69"/>
        <v>1.6666666666666667</v>
      </c>
      <c r="AD100" s="35" t="s">
        <v>15</v>
      </c>
      <c r="AE100" s="6">
        <v>10</v>
      </c>
      <c r="AG100" s="6">
        <f t="shared" ref="AG100:AG112" si="89">AE100+AF100</f>
        <v>10</v>
      </c>
      <c r="AJ100" s="98">
        <f t="shared" ref="AJ100:AJ112" si="90">AH100+AI100</f>
        <v>0</v>
      </c>
      <c r="AM100" s="98">
        <f t="shared" ref="AM100:AM112" si="91">AK100+AL100</f>
        <v>0</v>
      </c>
      <c r="AN100" s="6">
        <f t="shared" ref="AN100:AN112" si="92">X100+AE100+AH100+AK100</f>
        <v>30</v>
      </c>
      <c r="AO100" s="6">
        <f t="shared" ref="AO100:AO112" si="93">Y100+AF100+AI100+AL100</f>
        <v>0</v>
      </c>
      <c r="AP100" s="6">
        <f t="shared" ref="AP100:AP112" si="94">Z100+AG100+AJ100+AM100</f>
        <v>20</v>
      </c>
      <c r="AQ100" s="943">
        <f t="shared" ref="AQ100:AQ112" si="95">AN100/9</f>
        <v>3.3333333333333335</v>
      </c>
      <c r="AR100" s="943">
        <f t="shared" ref="AR100:AR112" si="96">AO100/9</f>
        <v>0</v>
      </c>
      <c r="AS100" s="943">
        <f t="shared" ref="AS100:AS112" si="97">AP100/9</f>
        <v>2.2222222222222223</v>
      </c>
      <c r="BC100" s="64"/>
      <c r="BD100" s="64"/>
      <c r="BE100" s="64"/>
      <c r="BF100" s="64"/>
      <c r="BG100" s="64"/>
      <c r="BH100" s="64"/>
    </row>
    <row r="101" spans="1:60" s="6" customFormat="1">
      <c r="A101" s="1">
        <v>94</v>
      </c>
      <c r="B101" s="4" t="s">
        <v>196</v>
      </c>
      <c r="C101" s="1" t="s">
        <v>185</v>
      </c>
      <c r="D101" s="1" t="s">
        <v>197</v>
      </c>
      <c r="E101" s="2">
        <v>20</v>
      </c>
      <c r="F101" s="6">
        <v>20</v>
      </c>
      <c r="H101" s="6">
        <f t="shared" si="60"/>
        <v>20</v>
      </c>
      <c r="I101" s="6">
        <v>10</v>
      </c>
      <c r="K101" s="6">
        <f t="shared" si="61"/>
        <v>10</v>
      </c>
      <c r="L101" s="6">
        <v>10</v>
      </c>
      <c r="N101" s="6">
        <f t="shared" si="62"/>
        <v>10</v>
      </c>
      <c r="O101" s="6">
        <v>10</v>
      </c>
      <c r="Q101" s="6">
        <f t="shared" si="63"/>
        <v>10</v>
      </c>
      <c r="R101" s="6">
        <v>10</v>
      </c>
      <c r="U101" s="109">
        <v>20</v>
      </c>
      <c r="W101" s="6">
        <f t="shared" si="70"/>
        <v>20</v>
      </c>
      <c r="X101" s="88">
        <f t="shared" si="64"/>
        <v>80</v>
      </c>
      <c r="Y101" s="41">
        <f t="shared" si="65"/>
        <v>0</v>
      </c>
      <c r="Z101" s="41">
        <f t="shared" si="66"/>
        <v>70</v>
      </c>
      <c r="AA101" s="42">
        <f t="shared" si="67"/>
        <v>13.333333333333334</v>
      </c>
      <c r="AB101" s="42">
        <f t="shared" si="68"/>
        <v>0</v>
      </c>
      <c r="AC101" s="42">
        <f t="shared" si="69"/>
        <v>11.666666666666666</v>
      </c>
      <c r="AD101" s="35" t="s">
        <v>15</v>
      </c>
      <c r="AG101" s="6">
        <f t="shared" si="89"/>
        <v>0</v>
      </c>
      <c r="AJ101" s="98">
        <f t="shared" si="90"/>
        <v>0</v>
      </c>
      <c r="AK101" s="6">
        <v>30</v>
      </c>
      <c r="AM101" s="98">
        <f t="shared" si="91"/>
        <v>30</v>
      </c>
      <c r="AN101" s="6">
        <f t="shared" si="92"/>
        <v>110</v>
      </c>
      <c r="AO101" s="6">
        <f t="shared" si="93"/>
        <v>0</v>
      </c>
      <c r="AP101" s="6">
        <f t="shared" si="94"/>
        <v>100</v>
      </c>
      <c r="AQ101" s="943">
        <f t="shared" si="95"/>
        <v>12.222222222222221</v>
      </c>
      <c r="AR101" s="943">
        <f t="shared" si="96"/>
        <v>0</v>
      </c>
      <c r="AS101" s="943">
        <f t="shared" si="97"/>
        <v>11.111111111111111</v>
      </c>
      <c r="BC101" s="64"/>
      <c r="BD101" s="64"/>
      <c r="BE101" s="64"/>
      <c r="BF101" s="64"/>
      <c r="BG101" s="64"/>
      <c r="BH101" s="64"/>
    </row>
    <row r="102" spans="1:60" s="6" customFormat="1">
      <c r="A102" s="6">
        <v>95</v>
      </c>
      <c r="B102" s="4" t="s">
        <v>198</v>
      </c>
      <c r="C102" s="1" t="s">
        <v>185</v>
      </c>
      <c r="D102" s="1" t="s">
        <v>199</v>
      </c>
      <c r="E102" s="2">
        <v>120</v>
      </c>
      <c r="F102" s="6">
        <v>59</v>
      </c>
      <c r="H102" s="6">
        <f t="shared" si="60"/>
        <v>59</v>
      </c>
      <c r="I102" s="6">
        <v>235</v>
      </c>
      <c r="K102" s="6">
        <f t="shared" si="61"/>
        <v>235</v>
      </c>
      <c r="L102" s="6">
        <v>94</v>
      </c>
      <c r="N102" s="6">
        <f t="shared" si="62"/>
        <v>94</v>
      </c>
      <c r="O102" s="6">
        <v>25</v>
      </c>
      <c r="Q102" s="6">
        <f t="shared" si="63"/>
        <v>25</v>
      </c>
      <c r="R102" s="6">
        <v>60</v>
      </c>
      <c r="T102" s="6">
        <f>R102+S102</f>
        <v>60</v>
      </c>
      <c r="U102" s="109"/>
      <c r="W102" s="6">
        <f t="shared" si="70"/>
        <v>0</v>
      </c>
      <c r="X102" s="88">
        <f t="shared" si="64"/>
        <v>473</v>
      </c>
      <c r="Y102" s="41">
        <f t="shared" si="65"/>
        <v>0</v>
      </c>
      <c r="Z102" s="41">
        <f t="shared" si="66"/>
        <v>473</v>
      </c>
      <c r="AA102" s="42">
        <f t="shared" si="67"/>
        <v>78.833333333333329</v>
      </c>
      <c r="AB102" s="42">
        <f t="shared" si="68"/>
        <v>0</v>
      </c>
      <c r="AC102" s="42">
        <f t="shared" si="69"/>
        <v>78.833333333333329</v>
      </c>
      <c r="AD102" s="35" t="s">
        <v>15</v>
      </c>
      <c r="AE102" s="6">
        <v>18</v>
      </c>
      <c r="AG102" s="6">
        <f t="shared" si="89"/>
        <v>18</v>
      </c>
      <c r="AH102" s="6">
        <v>96</v>
      </c>
      <c r="AJ102" s="98">
        <f t="shared" si="90"/>
        <v>96</v>
      </c>
      <c r="AK102" s="6">
        <v>125</v>
      </c>
      <c r="AM102" s="98">
        <f t="shared" si="91"/>
        <v>125</v>
      </c>
      <c r="AN102" s="6">
        <f t="shared" si="92"/>
        <v>712</v>
      </c>
      <c r="AO102" s="6">
        <f t="shared" si="93"/>
        <v>0</v>
      </c>
      <c r="AP102" s="6">
        <f t="shared" si="94"/>
        <v>712</v>
      </c>
      <c r="AQ102" s="943">
        <f t="shared" si="95"/>
        <v>79.111111111111114</v>
      </c>
      <c r="AR102" s="943">
        <f t="shared" si="96"/>
        <v>0</v>
      </c>
      <c r="AS102" s="943">
        <f t="shared" si="97"/>
        <v>79.111111111111114</v>
      </c>
      <c r="BC102" s="64"/>
      <c r="BD102" s="64"/>
      <c r="BE102" s="64"/>
      <c r="BF102" s="64"/>
      <c r="BG102" s="64"/>
      <c r="BH102" s="64"/>
    </row>
    <row r="103" spans="1:60" s="6" customFormat="1">
      <c r="A103" s="1">
        <v>96</v>
      </c>
      <c r="B103" s="4" t="s">
        <v>174</v>
      </c>
      <c r="C103" s="1" t="s">
        <v>185</v>
      </c>
      <c r="D103" s="1" t="s">
        <v>200</v>
      </c>
      <c r="E103" s="2">
        <v>30</v>
      </c>
      <c r="H103" s="6">
        <f t="shared" si="60"/>
        <v>0</v>
      </c>
      <c r="K103" s="6">
        <f t="shared" si="61"/>
        <v>0</v>
      </c>
      <c r="L103" s="6">
        <v>18</v>
      </c>
      <c r="N103" s="6">
        <f t="shared" si="62"/>
        <v>18</v>
      </c>
      <c r="O103" s="6">
        <v>30</v>
      </c>
      <c r="Q103" s="6">
        <f t="shared" si="63"/>
        <v>30</v>
      </c>
      <c r="R103" s="6">
        <v>18</v>
      </c>
      <c r="U103" s="109"/>
      <c r="W103" s="6">
        <f t="shared" si="70"/>
        <v>0</v>
      </c>
      <c r="X103" s="88">
        <f t="shared" si="64"/>
        <v>66</v>
      </c>
      <c r="Y103" s="41">
        <f t="shared" si="65"/>
        <v>0</v>
      </c>
      <c r="Z103" s="41">
        <f t="shared" si="66"/>
        <v>48</v>
      </c>
      <c r="AA103" s="42">
        <f t="shared" si="67"/>
        <v>11</v>
      </c>
      <c r="AB103" s="42">
        <f t="shared" si="68"/>
        <v>0</v>
      </c>
      <c r="AC103" s="42">
        <f t="shared" si="69"/>
        <v>8</v>
      </c>
      <c r="AD103" s="35" t="s">
        <v>15</v>
      </c>
      <c r="AG103" s="6">
        <f t="shared" si="89"/>
        <v>0</v>
      </c>
      <c r="AJ103" s="98">
        <f t="shared" si="90"/>
        <v>0</v>
      </c>
      <c r="AK103" s="6">
        <v>25</v>
      </c>
      <c r="AM103" s="98">
        <f t="shared" si="91"/>
        <v>25</v>
      </c>
      <c r="AN103" s="6">
        <f t="shared" si="92"/>
        <v>91</v>
      </c>
      <c r="AO103" s="6">
        <f t="shared" si="93"/>
        <v>0</v>
      </c>
      <c r="AP103" s="6">
        <f t="shared" si="94"/>
        <v>73</v>
      </c>
      <c r="AQ103" s="943">
        <f t="shared" si="95"/>
        <v>10.111111111111111</v>
      </c>
      <c r="AR103" s="943">
        <f t="shared" si="96"/>
        <v>0</v>
      </c>
      <c r="AS103" s="943">
        <f t="shared" si="97"/>
        <v>8.1111111111111107</v>
      </c>
      <c r="BC103" s="64"/>
      <c r="BD103" s="64"/>
      <c r="BE103" s="64"/>
      <c r="BF103" s="64"/>
      <c r="BG103" s="64"/>
      <c r="BH103" s="64"/>
    </row>
    <row r="104" spans="1:60" s="6" customFormat="1">
      <c r="A104" s="6">
        <v>97</v>
      </c>
      <c r="B104" s="4" t="s">
        <v>201</v>
      </c>
      <c r="C104" s="1" t="s">
        <v>185</v>
      </c>
      <c r="D104" s="1" t="s">
        <v>202</v>
      </c>
      <c r="E104" s="2">
        <v>100</v>
      </c>
      <c r="F104" s="6">
        <v>76</v>
      </c>
      <c r="G104" s="6">
        <v>53</v>
      </c>
      <c r="H104" s="6">
        <f t="shared" ref="H104:H135" si="98">SUM(F104:G104)</f>
        <v>129</v>
      </c>
      <c r="K104" s="6">
        <f t="shared" si="61"/>
        <v>0</v>
      </c>
      <c r="L104" s="6">
        <v>84</v>
      </c>
      <c r="N104" s="6">
        <f t="shared" si="62"/>
        <v>84</v>
      </c>
      <c r="O104" s="6">
        <v>16</v>
      </c>
      <c r="Q104" s="6">
        <f t="shared" si="63"/>
        <v>16</v>
      </c>
      <c r="R104" s="6">
        <v>36</v>
      </c>
      <c r="U104" s="109">
        <v>49</v>
      </c>
      <c r="W104" s="6">
        <f t="shared" si="70"/>
        <v>49</v>
      </c>
      <c r="X104" s="88">
        <f t="shared" si="64"/>
        <v>261</v>
      </c>
      <c r="Y104" s="41">
        <f t="shared" si="65"/>
        <v>53</v>
      </c>
      <c r="Z104" s="41">
        <f t="shared" si="66"/>
        <v>278</v>
      </c>
      <c r="AA104" s="42">
        <f t="shared" si="67"/>
        <v>43.5</v>
      </c>
      <c r="AB104" s="42">
        <f t="shared" si="68"/>
        <v>8.8333333333333339</v>
      </c>
      <c r="AC104" s="42">
        <f t="shared" si="69"/>
        <v>46.333333333333336</v>
      </c>
      <c r="AD104" s="35" t="s">
        <v>15</v>
      </c>
      <c r="AE104" s="6">
        <v>61</v>
      </c>
      <c r="AG104" s="6">
        <f t="shared" si="89"/>
        <v>61</v>
      </c>
      <c r="AH104" s="6">
        <v>56</v>
      </c>
      <c r="AJ104" s="98">
        <f t="shared" si="90"/>
        <v>56</v>
      </c>
      <c r="AK104" s="6">
        <v>56</v>
      </c>
      <c r="AM104" s="98">
        <f t="shared" si="91"/>
        <v>56</v>
      </c>
      <c r="AN104" s="6">
        <f t="shared" si="92"/>
        <v>434</v>
      </c>
      <c r="AO104" s="6">
        <f t="shared" si="93"/>
        <v>53</v>
      </c>
      <c r="AP104" s="6">
        <f t="shared" si="94"/>
        <v>451</v>
      </c>
      <c r="AQ104" s="943">
        <f t="shared" si="95"/>
        <v>48.222222222222221</v>
      </c>
      <c r="AR104" s="943">
        <f t="shared" si="96"/>
        <v>5.8888888888888893</v>
      </c>
      <c r="AS104" s="943">
        <f t="shared" si="97"/>
        <v>50.111111111111114</v>
      </c>
      <c r="BC104" s="64"/>
      <c r="BD104" s="64"/>
      <c r="BE104" s="64"/>
      <c r="BF104" s="64"/>
      <c r="BG104" s="64"/>
      <c r="BH104" s="64"/>
    </row>
    <row r="105" spans="1:60" s="6" customFormat="1">
      <c r="A105" s="1">
        <v>98</v>
      </c>
      <c r="B105" s="3" t="s">
        <v>203</v>
      </c>
      <c r="C105" s="1" t="s">
        <v>185</v>
      </c>
      <c r="D105" s="1" t="s">
        <v>204</v>
      </c>
      <c r="E105" s="2">
        <v>30</v>
      </c>
      <c r="F105" s="6">
        <v>20</v>
      </c>
      <c r="H105" s="6">
        <f t="shared" si="98"/>
        <v>20</v>
      </c>
      <c r="I105" s="6">
        <v>20</v>
      </c>
      <c r="K105" s="6">
        <f t="shared" si="61"/>
        <v>20</v>
      </c>
      <c r="L105" s="6">
        <v>36</v>
      </c>
      <c r="N105" s="6">
        <f t="shared" si="62"/>
        <v>36</v>
      </c>
      <c r="Q105" s="6">
        <f t="shared" si="63"/>
        <v>0</v>
      </c>
      <c r="R105" s="6">
        <v>18</v>
      </c>
      <c r="S105" s="6">
        <v>6</v>
      </c>
      <c r="U105" s="109">
        <v>20</v>
      </c>
      <c r="W105" s="6">
        <f t="shared" si="70"/>
        <v>20</v>
      </c>
      <c r="X105" s="88">
        <f t="shared" si="64"/>
        <v>114</v>
      </c>
      <c r="Y105" s="41">
        <f t="shared" si="65"/>
        <v>6</v>
      </c>
      <c r="Z105" s="41">
        <f t="shared" si="66"/>
        <v>96</v>
      </c>
      <c r="AA105" s="42">
        <f t="shared" si="67"/>
        <v>19</v>
      </c>
      <c r="AB105" s="42">
        <f t="shared" si="68"/>
        <v>1</v>
      </c>
      <c r="AC105" s="42">
        <f t="shared" si="69"/>
        <v>16</v>
      </c>
      <c r="AD105" s="35" t="s">
        <v>15</v>
      </c>
      <c r="AE105" s="6">
        <v>20</v>
      </c>
      <c r="AG105" s="6">
        <f t="shared" si="89"/>
        <v>20</v>
      </c>
      <c r="AH105" s="6">
        <v>38</v>
      </c>
      <c r="AJ105" s="98">
        <f t="shared" si="90"/>
        <v>38</v>
      </c>
      <c r="AK105" s="6">
        <v>20</v>
      </c>
      <c r="AM105" s="98">
        <f t="shared" si="91"/>
        <v>20</v>
      </c>
      <c r="AN105" s="6">
        <f t="shared" si="92"/>
        <v>192</v>
      </c>
      <c r="AO105" s="6">
        <f t="shared" si="93"/>
        <v>6</v>
      </c>
      <c r="AP105" s="6">
        <f t="shared" si="94"/>
        <v>174</v>
      </c>
      <c r="AQ105" s="943">
        <f t="shared" si="95"/>
        <v>21.333333333333332</v>
      </c>
      <c r="AR105" s="943">
        <f t="shared" si="96"/>
        <v>0.66666666666666663</v>
      </c>
      <c r="AS105" s="943">
        <f t="shared" si="97"/>
        <v>19.333333333333332</v>
      </c>
      <c r="BC105" s="64"/>
      <c r="BD105" s="64"/>
      <c r="BE105" s="64"/>
      <c r="BF105" s="64"/>
      <c r="BG105" s="64"/>
      <c r="BH105" s="64"/>
    </row>
    <row r="106" spans="1:60" s="6" customFormat="1">
      <c r="A106" s="6">
        <v>99</v>
      </c>
      <c r="B106" s="3" t="s">
        <v>205</v>
      </c>
      <c r="C106" s="1" t="s">
        <v>185</v>
      </c>
      <c r="D106" s="1" t="s">
        <v>206</v>
      </c>
      <c r="E106" s="2">
        <v>20</v>
      </c>
      <c r="H106" s="6">
        <f t="shared" si="98"/>
        <v>0</v>
      </c>
      <c r="K106" s="6">
        <f t="shared" si="61"/>
        <v>0</v>
      </c>
      <c r="L106" s="6">
        <v>36</v>
      </c>
      <c r="N106" s="6">
        <f t="shared" si="62"/>
        <v>36</v>
      </c>
      <c r="Q106" s="6">
        <f t="shared" si="63"/>
        <v>0</v>
      </c>
      <c r="R106" s="6">
        <v>27</v>
      </c>
      <c r="U106" s="109">
        <v>0</v>
      </c>
      <c r="W106" s="6">
        <f t="shared" si="70"/>
        <v>0</v>
      </c>
      <c r="X106" s="88">
        <f t="shared" si="64"/>
        <v>63</v>
      </c>
      <c r="Y106" s="41">
        <f t="shared" si="65"/>
        <v>0</v>
      </c>
      <c r="Z106" s="41">
        <f t="shared" si="66"/>
        <v>36</v>
      </c>
      <c r="AA106" s="42">
        <f t="shared" si="67"/>
        <v>10.5</v>
      </c>
      <c r="AB106" s="42">
        <f t="shared" si="68"/>
        <v>0</v>
      </c>
      <c r="AC106" s="42">
        <f t="shared" si="69"/>
        <v>6</v>
      </c>
      <c r="AD106" s="35" t="s">
        <v>15</v>
      </c>
      <c r="AG106" s="6">
        <f t="shared" si="89"/>
        <v>0</v>
      </c>
      <c r="AJ106" s="98">
        <f t="shared" si="90"/>
        <v>0</v>
      </c>
      <c r="AM106" s="98">
        <f t="shared" si="91"/>
        <v>0</v>
      </c>
      <c r="AN106" s="6">
        <f t="shared" si="92"/>
        <v>63</v>
      </c>
      <c r="AO106" s="6">
        <f t="shared" si="93"/>
        <v>0</v>
      </c>
      <c r="AP106" s="6">
        <f t="shared" si="94"/>
        <v>36</v>
      </c>
      <c r="AQ106" s="943">
        <f t="shared" si="95"/>
        <v>7</v>
      </c>
      <c r="AR106" s="943">
        <f t="shared" si="96"/>
        <v>0</v>
      </c>
      <c r="AS106" s="943">
        <f t="shared" si="97"/>
        <v>4</v>
      </c>
      <c r="BC106" s="64"/>
      <c r="BD106" s="64"/>
      <c r="BE106" s="64"/>
      <c r="BF106" s="64"/>
      <c r="BG106" s="64"/>
      <c r="BH106" s="64"/>
    </row>
    <row r="107" spans="1:60" s="6" customFormat="1">
      <c r="A107" s="1">
        <v>100</v>
      </c>
      <c r="B107" s="3" t="s">
        <v>207</v>
      </c>
      <c r="C107" s="1" t="s">
        <v>185</v>
      </c>
      <c r="D107" s="1" t="s">
        <v>208</v>
      </c>
      <c r="E107" s="2">
        <v>20</v>
      </c>
      <c r="F107" s="6">
        <v>10</v>
      </c>
      <c r="H107" s="6">
        <f t="shared" si="98"/>
        <v>10</v>
      </c>
      <c r="I107" s="6">
        <v>10</v>
      </c>
      <c r="K107" s="6">
        <f t="shared" si="61"/>
        <v>10</v>
      </c>
      <c r="N107" s="6">
        <f t="shared" si="62"/>
        <v>0</v>
      </c>
      <c r="Q107" s="6">
        <f t="shared" si="63"/>
        <v>0</v>
      </c>
      <c r="U107" s="109">
        <v>10</v>
      </c>
      <c r="W107" s="6">
        <f t="shared" si="70"/>
        <v>10</v>
      </c>
      <c r="X107" s="88">
        <f t="shared" si="64"/>
        <v>30</v>
      </c>
      <c r="Y107" s="41">
        <f t="shared" si="65"/>
        <v>0</v>
      </c>
      <c r="Z107" s="41">
        <f t="shared" si="66"/>
        <v>30</v>
      </c>
      <c r="AA107" s="42">
        <f t="shared" si="67"/>
        <v>5</v>
      </c>
      <c r="AB107" s="42">
        <f t="shared" si="68"/>
        <v>0</v>
      </c>
      <c r="AC107" s="42">
        <f t="shared" si="69"/>
        <v>5</v>
      </c>
      <c r="AD107" s="35" t="s">
        <v>15</v>
      </c>
      <c r="AG107" s="6">
        <f t="shared" si="89"/>
        <v>0</v>
      </c>
      <c r="AH107" s="6">
        <v>10</v>
      </c>
      <c r="AJ107" s="98">
        <f t="shared" si="90"/>
        <v>10</v>
      </c>
      <c r="AM107" s="98">
        <f t="shared" si="91"/>
        <v>0</v>
      </c>
      <c r="AN107" s="6">
        <f t="shared" si="92"/>
        <v>40</v>
      </c>
      <c r="AO107" s="6">
        <f t="shared" si="93"/>
        <v>0</v>
      </c>
      <c r="AP107" s="6">
        <f t="shared" si="94"/>
        <v>40</v>
      </c>
      <c r="AQ107" s="943">
        <f t="shared" si="95"/>
        <v>4.4444444444444446</v>
      </c>
      <c r="AR107" s="943">
        <f t="shared" si="96"/>
        <v>0</v>
      </c>
      <c r="AS107" s="943">
        <f t="shared" si="97"/>
        <v>4.4444444444444446</v>
      </c>
      <c r="BC107" s="64"/>
      <c r="BD107" s="64"/>
      <c r="BE107" s="64"/>
      <c r="BF107" s="64"/>
      <c r="BG107" s="64"/>
      <c r="BH107" s="64"/>
    </row>
    <row r="108" spans="1:60" s="6" customFormat="1">
      <c r="A108" s="6">
        <v>101</v>
      </c>
      <c r="B108" s="3" t="s">
        <v>209</v>
      </c>
      <c r="C108" s="1" t="s">
        <v>185</v>
      </c>
      <c r="D108" s="1" t="s">
        <v>210</v>
      </c>
      <c r="E108" s="2">
        <v>20</v>
      </c>
      <c r="H108" s="6">
        <f t="shared" si="98"/>
        <v>0</v>
      </c>
      <c r="K108" s="6">
        <f t="shared" si="61"/>
        <v>0</v>
      </c>
      <c r="L108" s="6">
        <v>13</v>
      </c>
      <c r="N108" s="6">
        <f t="shared" si="62"/>
        <v>13</v>
      </c>
      <c r="Q108" s="6">
        <f t="shared" si="63"/>
        <v>0</v>
      </c>
      <c r="T108" s="6">
        <f t="shared" ref="T108:T110" si="99">SUM(R108:S108)</f>
        <v>0</v>
      </c>
      <c r="U108" s="109">
        <v>0</v>
      </c>
      <c r="W108" s="6">
        <f t="shared" si="70"/>
        <v>0</v>
      </c>
      <c r="X108" s="88">
        <f t="shared" si="64"/>
        <v>13</v>
      </c>
      <c r="Y108" s="41">
        <f t="shared" si="65"/>
        <v>0</v>
      </c>
      <c r="Z108" s="41">
        <f t="shared" si="66"/>
        <v>13</v>
      </c>
      <c r="AA108" s="42">
        <f t="shared" si="67"/>
        <v>2.1666666666666665</v>
      </c>
      <c r="AB108" s="42">
        <f t="shared" si="68"/>
        <v>0</v>
      </c>
      <c r="AC108" s="42">
        <f t="shared" si="69"/>
        <v>2.1666666666666665</v>
      </c>
      <c r="AD108" s="35" t="s">
        <v>15</v>
      </c>
      <c r="AG108" s="6">
        <f t="shared" si="89"/>
        <v>0</v>
      </c>
      <c r="AJ108" s="98">
        <f t="shared" si="90"/>
        <v>0</v>
      </c>
      <c r="AK108" s="6">
        <v>20</v>
      </c>
      <c r="AM108" s="98">
        <f t="shared" si="91"/>
        <v>20</v>
      </c>
      <c r="AN108" s="6">
        <f t="shared" si="92"/>
        <v>33</v>
      </c>
      <c r="AO108" s="6">
        <f t="shared" si="93"/>
        <v>0</v>
      </c>
      <c r="AP108" s="6">
        <f t="shared" si="94"/>
        <v>33</v>
      </c>
      <c r="AQ108" s="943">
        <f t="shared" si="95"/>
        <v>3.6666666666666665</v>
      </c>
      <c r="AR108" s="943">
        <f t="shared" si="96"/>
        <v>0</v>
      </c>
      <c r="AS108" s="943">
        <f t="shared" si="97"/>
        <v>3.6666666666666665</v>
      </c>
      <c r="BC108" s="64"/>
      <c r="BD108" s="64"/>
      <c r="BE108" s="64"/>
      <c r="BF108" s="64"/>
      <c r="BG108" s="64"/>
      <c r="BH108" s="64"/>
    </row>
    <row r="109" spans="1:60" s="6" customFormat="1">
      <c r="A109" s="1">
        <v>102</v>
      </c>
      <c r="B109" s="3" t="s">
        <v>211</v>
      </c>
      <c r="C109" s="1" t="s">
        <v>185</v>
      </c>
      <c r="D109" s="1" t="s">
        <v>212</v>
      </c>
      <c r="E109" s="2">
        <v>10</v>
      </c>
      <c r="F109" s="6">
        <v>10</v>
      </c>
      <c r="H109" s="6">
        <f t="shared" si="98"/>
        <v>10</v>
      </c>
      <c r="K109" s="6">
        <f t="shared" si="61"/>
        <v>0</v>
      </c>
      <c r="N109" s="6">
        <f t="shared" si="62"/>
        <v>0</v>
      </c>
      <c r="Q109" s="6">
        <f t="shared" si="63"/>
        <v>0</v>
      </c>
      <c r="T109" s="6">
        <f t="shared" si="99"/>
        <v>0</v>
      </c>
      <c r="U109" s="109"/>
      <c r="W109" s="6">
        <f t="shared" si="70"/>
        <v>0</v>
      </c>
      <c r="X109" s="88">
        <f t="shared" si="64"/>
        <v>10</v>
      </c>
      <c r="Y109" s="41">
        <f t="shared" si="65"/>
        <v>0</v>
      </c>
      <c r="Z109" s="41">
        <f t="shared" si="66"/>
        <v>10</v>
      </c>
      <c r="AA109" s="42">
        <f t="shared" si="67"/>
        <v>1.6666666666666667</v>
      </c>
      <c r="AB109" s="42">
        <f t="shared" si="68"/>
        <v>0</v>
      </c>
      <c r="AC109" s="42">
        <f t="shared" si="69"/>
        <v>1.6666666666666667</v>
      </c>
      <c r="AD109" s="35" t="s">
        <v>15</v>
      </c>
      <c r="AG109" s="6">
        <f t="shared" si="89"/>
        <v>0</v>
      </c>
      <c r="AH109" s="6">
        <v>5</v>
      </c>
      <c r="AJ109" s="98">
        <f t="shared" si="90"/>
        <v>5</v>
      </c>
      <c r="AM109" s="98">
        <f t="shared" si="91"/>
        <v>0</v>
      </c>
      <c r="AN109" s="6">
        <f t="shared" si="92"/>
        <v>15</v>
      </c>
      <c r="AO109" s="6">
        <f t="shared" si="93"/>
        <v>0</v>
      </c>
      <c r="AP109" s="6">
        <f t="shared" si="94"/>
        <v>15</v>
      </c>
      <c r="AQ109" s="943">
        <f t="shared" si="95"/>
        <v>1.6666666666666667</v>
      </c>
      <c r="AR109" s="943">
        <f t="shared" si="96"/>
        <v>0</v>
      </c>
      <c r="AS109" s="943">
        <f t="shared" si="97"/>
        <v>1.6666666666666667</v>
      </c>
      <c r="BC109" s="64"/>
      <c r="BD109" s="64"/>
      <c r="BE109" s="64"/>
      <c r="BF109" s="64"/>
      <c r="BG109" s="64"/>
      <c r="BH109" s="64"/>
    </row>
    <row r="110" spans="1:60" s="6" customFormat="1">
      <c r="A110" s="6">
        <v>103</v>
      </c>
      <c r="B110" s="3" t="s">
        <v>213</v>
      </c>
      <c r="C110" s="1" t="s">
        <v>185</v>
      </c>
      <c r="D110" s="1" t="s">
        <v>214</v>
      </c>
      <c r="E110" s="2">
        <v>40</v>
      </c>
      <c r="H110" s="6">
        <f t="shared" si="98"/>
        <v>0</v>
      </c>
      <c r="I110" s="6">
        <v>86</v>
      </c>
      <c r="J110" s="6">
        <v>6</v>
      </c>
      <c r="K110" s="6">
        <f t="shared" si="61"/>
        <v>92</v>
      </c>
      <c r="N110" s="6">
        <f t="shared" si="62"/>
        <v>0</v>
      </c>
      <c r="Q110" s="6">
        <f t="shared" si="63"/>
        <v>0</v>
      </c>
      <c r="T110" s="6">
        <f t="shared" si="99"/>
        <v>0</v>
      </c>
      <c r="U110" s="109"/>
      <c r="W110" s="6">
        <f t="shared" si="70"/>
        <v>0</v>
      </c>
      <c r="X110" s="88">
        <f t="shared" si="64"/>
        <v>86</v>
      </c>
      <c r="Y110" s="41">
        <f t="shared" si="65"/>
        <v>6</v>
      </c>
      <c r="Z110" s="41">
        <f t="shared" si="66"/>
        <v>92</v>
      </c>
      <c r="AA110" s="42">
        <f t="shared" si="67"/>
        <v>14.333333333333334</v>
      </c>
      <c r="AB110" s="42">
        <f t="shared" si="68"/>
        <v>1</v>
      </c>
      <c r="AC110" s="42">
        <f t="shared" si="69"/>
        <v>15.333333333333334</v>
      </c>
      <c r="AD110" s="35" t="s">
        <v>15</v>
      </c>
      <c r="AF110" s="6">
        <v>9</v>
      </c>
      <c r="AG110" s="6">
        <f t="shared" si="89"/>
        <v>9</v>
      </c>
      <c r="AJ110" s="98">
        <f t="shared" si="90"/>
        <v>0</v>
      </c>
      <c r="AM110" s="98">
        <f t="shared" si="91"/>
        <v>0</v>
      </c>
      <c r="AN110" s="6">
        <f t="shared" si="92"/>
        <v>86</v>
      </c>
      <c r="AO110" s="6">
        <f t="shared" si="93"/>
        <v>15</v>
      </c>
      <c r="AP110" s="6">
        <f t="shared" si="94"/>
        <v>101</v>
      </c>
      <c r="AQ110" s="943">
        <f t="shared" si="95"/>
        <v>9.5555555555555554</v>
      </c>
      <c r="AR110" s="943">
        <f t="shared" si="96"/>
        <v>1.6666666666666667</v>
      </c>
      <c r="AS110" s="943">
        <f t="shared" si="97"/>
        <v>11.222222222222221</v>
      </c>
      <c r="BC110" s="64"/>
      <c r="BD110" s="64"/>
      <c r="BE110" s="64"/>
      <c r="BF110" s="64"/>
      <c r="BG110" s="64"/>
      <c r="BH110" s="64"/>
    </row>
    <row r="111" spans="1:60" s="6" customFormat="1">
      <c r="A111" s="1">
        <v>104</v>
      </c>
      <c r="B111" s="3" t="s">
        <v>215</v>
      </c>
      <c r="C111" s="1" t="s">
        <v>185</v>
      </c>
      <c r="D111" s="1" t="s">
        <v>216</v>
      </c>
      <c r="E111" s="2">
        <v>20</v>
      </c>
      <c r="F111" s="6">
        <v>6</v>
      </c>
      <c r="H111" s="6">
        <f t="shared" si="98"/>
        <v>6</v>
      </c>
      <c r="K111" s="6">
        <f t="shared" si="61"/>
        <v>0</v>
      </c>
      <c r="N111" s="6">
        <f t="shared" si="62"/>
        <v>0</v>
      </c>
      <c r="Q111" s="6">
        <f t="shared" si="63"/>
        <v>0</v>
      </c>
      <c r="U111" s="109"/>
      <c r="W111" s="6">
        <f t="shared" si="70"/>
        <v>0</v>
      </c>
      <c r="X111" s="88">
        <f t="shared" si="64"/>
        <v>6</v>
      </c>
      <c r="Y111" s="41">
        <f t="shared" si="65"/>
        <v>0</v>
      </c>
      <c r="Z111" s="41">
        <f t="shared" si="66"/>
        <v>6</v>
      </c>
      <c r="AA111" s="42">
        <f t="shared" si="67"/>
        <v>1</v>
      </c>
      <c r="AB111" s="42">
        <f t="shared" si="68"/>
        <v>0</v>
      </c>
      <c r="AC111" s="42">
        <f t="shared" si="69"/>
        <v>1</v>
      </c>
      <c r="AD111" s="35" t="s">
        <v>15</v>
      </c>
      <c r="AE111" s="6">
        <v>5</v>
      </c>
      <c r="AG111" s="6">
        <f t="shared" si="89"/>
        <v>5</v>
      </c>
      <c r="AH111" s="6">
        <v>5</v>
      </c>
      <c r="AJ111" s="98">
        <f t="shared" si="90"/>
        <v>5</v>
      </c>
      <c r="AM111" s="98">
        <f t="shared" si="91"/>
        <v>0</v>
      </c>
      <c r="AN111" s="6">
        <f t="shared" si="92"/>
        <v>16</v>
      </c>
      <c r="AO111" s="6">
        <f t="shared" si="93"/>
        <v>0</v>
      </c>
      <c r="AP111" s="6">
        <f t="shared" si="94"/>
        <v>16</v>
      </c>
      <c r="AQ111" s="943">
        <f t="shared" si="95"/>
        <v>1.7777777777777777</v>
      </c>
      <c r="AR111" s="943">
        <f t="shared" si="96"/>
        <v>0</v>
      </c>
      <c r="AS111" s="943">
        <f t="shared" si="97"/>
        <v>1.7777777777777777</v>
      </c>
      <c r="BC111" s="64"/>
      <c r="BD111" s="64"/>
      <c r="BE111" s="64"/>
      <c r="BF111" s="64"/>
      <c r="BG111" s="64"/>
      <c r="BH111" s="64"/>
    </row>
    <row r="112" spans="1:60" s="6" customFormat="1">
      <c r="A112" s="6">
        <v>105</v>
      </c>
      <c r="B112" s="3" t="s">
        <v>217</v>
      </c>
      <c r="C112" s="1" t="s">
        <v>185</v>
      </c>
      <c r="D112" s="1" t="s">
        <v>218</v>
      </c>
      <c r="E112" s="2">
        <v>15</v>
      </c>
      <c r="F112" s="6">
        <v>35</v>
      </c>
      <c r="H112" s="6">
        <f t="shared" si="98"/>
        <v>35</v>
      </c>
      <c r="I112" s="6">
        <v>13</v>
      </c>
      <c r="K112" s="6">
        <f t="shared" si="61"/>
        <v>13</v>
      </c>
      <c r="L112" s="6">
        <v>12</v>
      </c>
      <c r="N112" s="6">
        <f t="shared" si="62"/>
        <v>12</v>
      </c>
      <c r="Q112" s="6">
        <f t="shared" si="63"/>
        <v>0</v>
      </c>
      <c r="R112" s="6">
        <v>8</v>
      </c>
      <c r="T112" s="6">
        <f t="shared" ref="T112:T174" si="100">SUM(R112:S112)</f>
        <v>8</v>
      </c>
      <c r="U112" s="109">
        <v>10</v>
      </c>
      <c r="W112" s="6">
        <f t="shared" si="70"/>
        <v>10</v>
      </c>
      <c r="X112" s="88">
        <f t="shared" si="64"/>
        <v>78</v>
      </c>
      <c r="Y112" s="41">
        <f t="shared" si="65"/>
        <v>0</v>
      </c>
      <c r="Z112" s="41">
        <f t="shared" si="66"/>
        <v>78</v>
      </c>
      <c r="AA112" s="42">
        <f t="shared" si="67"/>
        <v>13</v>
      </c>
      <c r="AB112" s="42">
        <f t="shared" si="68"/>
        <v>0</v>
      </c>
      <c r="AC112" s="42">
        <f t="shared" si="69"/>
        <v>13</v>
      </c>
      <c r="AD112" s="35" t="s">
        <v>15</v>
      </c>
      <c r="AE112" s="6">
        <v>15</v>
      </c>
      <c r="AG112" s="6">
        <f t="shared" si="89"/>
        <v>15</v>
      </c>
      <c r="AJ112" s="98">
        <f t="shared" si="90"/>
        <v>0</v>
      </c>
      <c r="AK112" s="6">
        <v>15</v>
      </c>
      <c r="AM112" s="98">
        <f t="shared" si="91"/>
        <v>15</v>
      </c>
      <c r="AN112" s="6">
        <f t="shared" si="92"/>
        <v>108</v>
      </c>
      <c r="AO112" s="6">
        <f t="shared" si="93"/>
        <v>0</v>
      </c>
      <c r="AP112" s="6">
        <f t="shared" si="94"/>
        <v>108</v>
      </c>
      <c r="AQ112" s="943">
        <f t="shared" si="95"/>
        <v>12</v>
      </c>
      <c r="AR112" s="943">
        <f t="shared" si="96"/>
        <v>0</v>
      </c>
      <c r="AS112" s="943">
        <f t="shared" si="97"/>
        <v>12</v>
      </c>
      <c r="BC112" s="64"/>
      <c r="BD112" s="64"/>
      <c r="BE112" s="64"/>
      <c r="BF112" s="64"/>
      <c r="BG112" s="64"/>
      <c r="BH112" s="64"/>
    </row>
    <row r="113" spans="1:60" s="6" customFormat="1" ht="15" customHeight="1">
      <c r="A113" s="1">
        <v>106</v>
      </c>
      <c r="B113" s="261" t="s">
        <v>2872</v>
      </c>
      <c r="C113" s="1" t="s">
        <v>185</v>
      </c>
      <c r="D113" s="1" t="s">
        <v>219</v>
      </c>
      <c r="E113" s="2">
        <v>20</v>
      </c>
      <c r="H113" s="6">
        <f t="shared" si="98"/>
        <v>0</v>
      </c>
      <c r="K113" s="6">
        <f t="shared" si="61"/>
        <v>0</v>
      </c>
      <c r="N113" s="6">
        <f t="shared" si="62"/>
        <v>0</v>
      </c>
      <c r="Q113" s="6">
        <f t="shared" si="63"/>
        <v>0</v>
      </c>
      <c r="T113" s="6">
        <f t="shared" si="100"/>
        <v>0</v>
      </c>
      <c r="U113" s="109"/>
      <c r="W113" s="6">
        <f t="shared" si="70"/>
        <v>0</v>
      </c>
      <c r="X113" s="88">
        <f t="shared" si="64"/>
        <v>0</v>
      </c>
      <c r="Y113" s="41">
        <f t="shared" si="65"/>
        <v>0</v>
      </c>
      <c r="Z113" s="41">
        <f t="shared" si="66"/>
        <v>0</v>
      </c>
      <c r="AA113" s="42">
        <f t="shared" si="67"/>
        <v>0</v>
      </c>
      <c r="AB113" s="42">
        <f t="shared" si="68"/>
        <v>0</v>
      </c>
      <c r="AC113" s="42">
        <f t="shared" si="69"/>
        <v>0</v>
      </c>
      <c r="AD113" s="35" t="s">
        <v>15</v>
      </c>
      <c r="AE113" s="900"/>
      <c r="AF113" s="900"/>
      <c r="AH113" s="900"/>
      <c r="AI113" s="900"/>
      <c r="AK113" s="900">
        <v>20</v>
      </c>
      <c r="AL113" s="900"/>
    </row>
    <row r="114" spans="1:60" s="6" customFormat="1">
      <c r="A114" s="6">
        <v>107</v>
      </c>
      <c r="B114" s="3" t="s">
        <v>220</v>
      </c>
      <c r="C114" s="1" t="s">
        <v>185</v>
      </c>
      <c r="D114" s="1" t="s">
        <v>221</v>
      </c>
      <c r="E114" s="2">
        <v>20</v>
      </c>
      <c r="F114" s="6">
        <v>20</v>
      </c>
      <c r="H114" s="6">
        <f t="shared" si="98"/>
        <v>20</v>
      </c>
      <c r="K114" s="6">
        <f t="shared" si="61"/>
        <v>0</v>
      </c>
      <c r="N114" s="6">
        <f t="shared" si="62"/>
        <v>0</v>
      </c>
      <c r="Q114" s="6">
        <f t="shared" si="63"/>
        <v>0</v>
      </c>
      <c r="T114" s="6">
        <f t="shared" si="100"/>
        <v>0</v>
      </c>
      <c r="U114" s="109">
        <v>0</v>
      </c>
      <c r="W114" s="6">
        <f t="shared" si="70"/>
        <v>0</v>
      </c>
      <c r="X114" s="88">
        <f t="shared" si="64"/>
        <v>20</v>
      </c>
      <c r="Y114" s="41">
        <f t="shared" si="65"/>
        <v>0</v>
      </c>
      <c r="Z114" s="41">
        <f t="shared" si="66"/>
        <v>20</v>
      </c>
      <c r="AA114" s="42">
        <f t="shared" si="67"/>
        <v>3.3333333333333335</v>
      </c>
      <c r="AB114" s="42">
        <f t="shared" si="68"/>
        <v>0</v>
      </c>
      <c r="AC114" s="42">
        <f t="shared" si="69"/>
        <v>3.3333333333333335</v>
      </c>
      <c r="AD114" s="35" t="s">
        <v>15</v>
      </c>
      <c r="AE114" s="6">
        <v>5</v>
      </c>
      <c r="AG114" s="6">
        <f t="shared" ref="AG114:AG125" si="101">AE114+AF114</f>
        <v>5</v>
      </c>
      <c r="AH114" s="6">
        <v>5</v>
      </c>
      <c r="AJ114" s="98">
        <f t="shared" ref="AJ114:AJ127" si="102">AH114+AI114</f>
        <v>5</v>
      </c>
      <c r="AM114" s="98">
        <f t="shared" ref="AM114:AM127" si="103">AK114+AL114</f>
        <v>0</v>
      </c>
      <c r="AN114" s="6">
        <f t="shared" ref="AN114:AN127" si="104">X114+AE114+AH114+AK114</f>
        <v>30</v>
      </c>
      <c r="AO114" s="6">
        <f t="shared" ref="AO114:AO127" si="105">Y114+AF114+AI114+AL114</f>
        <v>0</v>
      </c>
      <c r="AP114" s="6">
        <f t="shared" ref="AP114:AP127" si="106">Z114+AG114+AJ114+AM114</f>
        <v>30</v>
      </c>
      <c r="AQ114" s="943">
        <f t="shared" ref="AQ114:AQ127" si="107">AN114/9</f>
        <v>3.3333333333333335</v>
      </c>
      <c r="AR114" s="943">
        <f t="shared" ref="AR114:AR127" si="108">AO114/9</f>
        <v>0</v>
      </c>
      <c r="AS114" s="943">
        <f t="shared" ref="AS114:AS127" si="109">AP114/9</f>
        <v>3.3333333333333335</v>
      </c>
      <c r="BC114" s="64"/>
      <c r="BD114" s="64"/>
      <c r="BE114" s="64"/>
      <c r="BF114" s="64"/>
      <c r="BG114" s="64"/>
      <c r="BH114" s="64"/>
    </row>
    <row r="115" spans="1:60" s="6" customFormat="1">
      <c r="A115" s="1">
        <v>108</v>
      </c>
      <c r="B115" s="3" t="s">
        <v>222</v>
      </c>
      <c r="C115" s="1" t="s">
        <v>185</v>
      </c>
      <c r="D115" s="1" t="s">
        <v>223</v>
      </c>
      <c r="E115" s="2">
        <v>60</v>
      </c>
      <c r="G115" s="6">
        <v>60</v>
      </c>
      <c r="H115" s="6">
        <f t="shared" si="98"/>
        <v>60</v>
      </c>
      <c r="I115" s="6">
        <v>97</v>
      </c>
      <c r="K115" s="6">
        <f t="shared" si="61"/>
        <v>97</v>
      </c>
      <c r="N115" s="6">
        <f t="shared" si="62"/>
        <v>0</v>
      </c>
      <c r="O115" s="6">
        <v>50</v>
      </c>
      <c r="Q115" s="6">
        <f t="shared" si="63"/>
        <v>50</v>
      </c>
      <c r="R115" s="6">
        <v>90</v>
      </c>
      <c r="T115" s="6">
        <f t="shared" si="100"/>
        <v>90</v>
      </c>
      <c r="U115" s="109"/>
      <c r="W115" s="6">
        <f t="shared" si="70"/>
        <v>0</v>
      </c>
      <c r="X115" s="88">
        <f t="shared" si="64"/>
        <v>237</v>
      </c>
      <c r="Y115" s="41">
        <f t="shared" si="65"/>
        <v>60</v>
      </c>
      <c r="Z115" s="41">
        <f t="shared" si="66"/>
        <v>297</v>
      </c>
      <c r="AA115" s="42">
        <f t="shared" si="67"/>
        <v>39.5</v>
      </c>
      <c r="AB115" s="42">
        <f t="shared" si="68"/>
        <v>10</v>
      </c>
      <c r="AC115" s="42">
        <f t="shared" si="69"/>
        <v>49.5</v>
      </c>
      <c r="AD115" s="35" t="s">
        <v>18</v>
      </c>
      <c r="AG115" s="6">
        <f t="shared" si="101"/>
        <v>0</v>
      </c>
      <c r="AH115" s="6">
        <v>138</v>
      </c>
      <c r="AJ115" s="98">
        <f t="shared" si="102"/>
        <v>138</v>
      </c>
      <c r="AK115" s="6">
        <v>122</v>
      </c>
      <c r="AM115" s="98">
        <f t="shared" si="103"/>
        <v>122</v>
      </c>
      <c r="AN115" s="6">
        <f t="shared" si="104"/>
        <v>497</v>
      </c>
      <c r="AO115" s="6">
        <f t="shared" si="105"/>
        <v>60</v>
      </c>
      <c r="AP115" s="6">
        <f t="shared" si="106"/>
        <v>557</v>
      </c>
      <c r="AQ115" s="943">
        <f t="shared" si="107"/>
        <v>55.222222222222221</v>
      </c>
      <c r="AR115" s="943">
        <f t="shared" si="108"/>
        <v>6.666666666666667</v>
      </c>
      <c r="AS115" s="943">
        <f t="shared" si="109"/>
        <v>61.888888888888886</v>
      </c>
      <c r="BC115" s="64"/>
      <c r="BD115" s="64"/>
      <c r="BE115" s="64"/>
      <c r="BF115" s="64"/>
      <c r="BG115" s="64"/>
      <c r="BH115" s="64"/>
    </row>
    <row r="116" spans="1:60" s="6" customFormat="1">
      <c r="A116" s="6">
        <v>109</v>
      </c>
      <c r="B116" s="3" t="s">
        <v>224</v>
      </c>
      <c r="C116" s="1" t="s">
        <v>185</v>
      </c>
      <c r="D116" s="1" t="s">
        <v>225</v>
      </c>
      <c r="E116" s="2">
        <v>20</v>
      </c>
      <c r="F116" s="6">
        <v>20</v>
      </c>
      <c r="H116" s="6">
        <f t="shared" si="98"/>
        <v>20</v>
      </c>
      <c r="K116" s="6">
        <f t="shared" si="61"/>
        <v>0</v>
      </c>
      <c r="N116" s="6">
        <f t="shared" si="62"/>
        <v>0</v>
      </c>
      <c r="Q116" s="6">
        <f t="shared" si="63"/>
        <v>0</v>
      </c>
      <c r="T116" s="6">
        <f t="shared" si="100"/>
        <v>0</v>
      </c>
      <c r="U116" s="109"/>
      <c r="W116" s="6">
        <f t="shared" si="70"/>
        <v>0</v>
      </c>
      <c r="X116" s="88">
        <f t="shared" si="64"/>
        <v>20</v>
      </c>
      <c r="Y116" s="41">
        <f t="shared" si="65"/>
        <v>0</v>
      </c>
      <c r="Z116" s="41">
        <f t="shared" si="66"/>
        <v>20</v>
      </c>
      <c r="AA116" s="42">
        <f t="shared" si="67"/>
        <v>3.3333333333333335</v>
      </c>
      <c r="AB116" s="42">
        <f t="shared" si="68"/>
        <v>0</v>
      </c>
      <c r="AC116" s="42">
        <f t="shared" si="69"/>
        <v>3.3333333333333335</v>
      </c>
      <c r="AD116" s="35" t="s">
        <v>15</v>
      </c>
      <c r="AG116" s="6">
        <f t="shared" si="101"/>
        <v>0</v>
      </c>
      <c r="AH116" s="6">
        <v>5</v>
      </c>
      <c r="AJ116" s="98">
        <f t="shared" si="102"/>
        <v>5</v>
      </c>
      <c r="AK116" s="6">
        <v>20</v>
      </c>
      <c r="AM116" s="98">
        <f t="shared" si="103"/>
        <v>20</v>
      </c>
      <c r="AN116" s="6">
        <f t="shared" si="104"/>
        <v>45</v>
      </c>
      <c r="AO116" s="6">
        <f t="shared" si="105"/>
        <v>0</v>
      </c>
      <c r="AP116" s="6">
        <f t="shared" si="106"/>
        <v>45</v>
      </c>
      <c r="AQ116" s="943">
        <f t="shared" si="107"/>
        <v>5</v>
      </c>
      <c r="AR116" s="943">
        <f t="shared" si="108"/>
        <v>0</v>
      </c>
      <c r="AS116" s="943">
        <f t="shared" si="109"/>
        <v>5</v>
      </c>
      <c r="BC116" s="64"/>
      <c r="BD116" s="64"/>
      <c r="BE116" s="64"/>
      <c r="BF116" s="64"/>
      <c r="BG116" s="64"/>
      <c r="BH116" s="64"/>
    </row>
    <row r="117" spans="1:60" s="6" customFormat="1">
      <c r="A117" s="1">
        <v>110</v>
      </c>
      <c r="B117" s="3" t="s">
        <v>226</v>
      </c>
      <c r="C117" s="1" t="s">
        <v>185</v>
      </c>
      <c r="D117" s="1" t="s">
        <v>227</v>
      </c>
      <c r="E117" s="2">
        <v>30</v>
      </c>
      <c r="F117" s="6">
        <v>28</v>
      </c>
      <c r="H117" s="6">
        <f t="shared" si="98"/>
        <v>28</v>
      </c>
      <c r="I117" s="6">
        <v>36</v>
      </c>
      <c r="K117" s="6">
        <f t="shared" si="61"/>
        <v>36</v>
      </c>
      <c r="L117" s="6">
        <v>38</v>
      </c>
      <c r="N117" s="6">
        <f t="shared" si="62"/>
        <v>38</v>
      </c>
      <c r="Q117" s="6">
        <f t="shared" si="63"/>
        <v>0</v>
      </c>
      <c r="R117" s="6">
        <v>18</v>
      </c>
      <c r="T117" s="6">
        <f t="shared" si="100"/>
        <v>18</v>
      </c>
      <c r="U117" s="109">
        <v>26</v>
      </c>
      <c r="W117" s="6">
        <f t="shared" si="70"/>
        <v>26</v>
      </c>
      <c r="X117" s="88">
        <f t="shared" si="64"/>
        <v>146</v>
      </c>
      <c r="Y117" s="41">
        <f t="shared" si="65"/>
        <v>0</v>
      </c>
      <c r="Z117" s="41">
        <f t="shared" si="66"/>
        <v>146</v>
      </c>
      <c r="AA117" s="42">
        <f t="shared" si="67"/>
        <v>24.333333333333332</v>
      </c>
      <c r="AB117" s="42">
        <f t="shared" si="68"/>
        <v>0</v>
      </c>
      <c r="AC117" s="42">
        <f t="shared" si="69"/>
        <v>24.333333333333332</v>
      </c>
      <c r="AD117" s="35" t="s">
        <v>15</v>
      </c>
      <c r="AE117" s="6">
        <v>38</v>
      </c>
      <c r="AG117" s="6">
        <f t="shared" si="101"/>
        <v>38</v>
      </c>
      <c r="AJ117" s="98">
        <f t="shared" si="102"/>
        <v>0</v>
      </c>
      <c r="AK117" s="6">
        <v>20</v>
      </c>
      <c r="AM117" s="98">
        <f t="shared" si="103"/>
        <v>20</v>
      </c>
      <c r="AN117" s="6">
        <f t="shared" si="104"/>
        <v>204</v>
      </c>
      <c r="AO117" s="6">
        <f t="shared" si="105"/>
        <v>0</v>
      </c>
      <c r="AP117" s="6">
        <f t="shared" si="106"/>
        <v>204</v>
      </c>
      <c r="AQ117" s="943">
        <f t="shared" si="107"/>
        <v>22.666666666666668</v>
      </c>
      <c r="AR117" s="943">
        <f t="shared" si="108"/>
        <v>0</v>
      </c>
      <c r="AS117" s="943">
        <f t="shared" si="109"/>
        <v>22.666666666666668</v>
      </c>
      <c r="BC117" s="64"/>
      <c r="BD117" s="64"/>
      <c r="BE117" s="64"/>
      <c r="BF117" s="64"/>
      <c r="BG117" s="64"/>
      <c r="BH117" s="64"/>
    </row>
    <row r="118" spans="1:60" s="6" customFormat="1">
      <c r="A118" s="6">
        <v>111</v>
      </c>
      <c r="B118" s="3" t="s">
        <v>228</v>
      </c>
      <c r="C118" s="1" t="s">
        <v>185</v>
      </c>
      <c r="D118" s="1" t="s">
        <v>229</v>
      </c>
      <c r="E118" s="2">
        <v>20</v>
      </c>
      <c r="F118" s="6">
        <v>20</v>
      </c>
      <c r="H118" s="6">
        <f t="shared" si="98"/>
        <v>20</v>
      </c>
      <c r="K118" s="6">
        <f t="shared" si="61"/>
        <v>0</v>
      </c>
      <c r="N118" s="6">
        <f t="shared" si="62"/>
        <v>0</v>
      </c>
      <c r="Q118" s="6">
        <f t="shared" si="63"/>
        <v>0</v>
      </c>
      <c r="T118" s="6">
        <f t="shared" si="100"/>
        <v>0</v>
      </c>
      <c r="U118" s="109"/>
      <c r="W118" s="6">
        <f t="shared" si="70"/>
        <v>0</v>
      </c>
      <c r="X118" s="88">
        <f t="shared" si="64"/>
        <v>20</v>
      </c>
      <c r="Y118" s="41">
        <f t="shared" si="65"/>
        <v>0</v>
      </c>
      <c r="Z118" s="41">
        <f t="shared" si="66"/>
        <v>20</v>
      </c>
      <c r="AA118" s="42">
        <f t="shared" si="67"/>
        <v>3.3333333333333335</v>
      </c>
      <c r="AB118" s="42">
        <f t="shared" si="68"/>
        <v>0</v>
      </c>
      <c r="AC118" s="42">
        <f t="shared" si="69"/>
        <v>3.3333333333333335</v>
      </c>
      <c r="AD118" s="35" t="s">
        <v>15</v>
      </c>
      <c r="AG118" s="6">
        <f t="shared" si="101"/>
        <v>0</v>
      </c>
      <c r="AJ118" s="98">
        <f t="shared" si="102"/>
        <v>0</v>
      </c>
      <c r="AM118" s="98">
        <f t="shared" si="103"/>
        <v>0</v>
      </c>
      <c r="AN118" s="6">
        <f t="shared" si="104"/>
        <v>20</v>
      </c>
      <c r="AO118" s="6">
        <f t="shared" si="105"/>
        <v>0</v>
      </c>
      <c r="AP118" s="6">
        <f t="shared" si="106"/>
        <v>20</v>
      </c>
      <c r="AQ118" s="943">
        <f t="shared" si="107"/>
        <v>2.2222222222222223</v>
      </c>
      <c r="AR118" s="943">
        <f t="shared" si="108"/>
        <v>0</v>
      </c>
      <c r="AS118" s="943">
        <f t="shared" si="109"/>
        <v>2.2222222222222223</v>
      </c>
      <c r="BC118" s="64"/>
      <c r="BD118" s="64"/>
      <c r="BE118" s="64"/>
      <c r="BF118" s="64"/>
      <c r="BG118" s="64"/>
      <c r="BH118" s="64"/>
    </row>
    <row r="119" spans="1:60" s="6" customFormat="1">
      <c r="A119" s="1">
        <v>112</v>
      </c>
      <c r="B119" s="3" t="s">
        <v>230</v>
      </c>
      <c r="C119" s="1" t="s">
        <v>185</v>
      </c>
      <c r="D119" s="1" t="s">
        <v>231</v>
      </c>
      <c r="E119" s="2">
        <v>10</v>
      </c>
      <c r="F119" s="6">
        <v>16</v>
      </c>
      <c r="H119" s="6">
        <f t="shared" si="98"/>
        <v>16</v>
      </c>
      <c r="K119" s="6">
        <f t="shared" si="61"/>
        <v>0</v>
      </c>
      <c r="N119" s="6">
        <f t="shared" si="62"/>
        <v>0</v>
      </c>
      <c r="Q119" s="6">
        <f t="shared" si="63"/>
        <v>0</v>
      </c>
      <c r="T119" s="6">
        <f t="shared" si="100"/>
        <v>0</v>
      </c>
      <c r="U119" s="109"/>
      <c r="W119" s="6">
        <f t="shared" si="70"/>
        <v>0</v>
      </c>
      <c r="X119" s="88">
        <f t="shared" si="64"/>
        <v>16</v>
      </c>
      <c r="Y119" s="41">
        <f t="shared" si="65"/>
        <v>0</v>
      </c>
      <c r="Z119" s="41">
        <f t="shared" si="66"/>
        <v>16</v>
      </c>
      <c r="AA119" s="42">
        <f t="shared" si="67"/>
        <v>2.6666666666666665</v>
      </c>
      <c r="AB119" s="42">
        <f t="shared" si="68"/>
        <v>0</v>
      </c>
      <c r="AC119" s="42">
        <f t="shared" si="69"/>
        <v>2.6666666666666665</v>
      </c>
      <c r="AD119" s="35" t="s">
        <v>15</v>
      </c>
      <c r="AG119" s="6">
        <f t="shared" si="101"/>
        <v>0</v>
      </c>
      <c r="AJ119" s="98">
        <f t="shared" si="102"/>
        <v>0</v>
      </c>
      <c r="AM119" s="98">
        <f t="shared" si="103"/>
        <v>0</v>
      </c>
      <c r="AN119" s="6">
        <f t="shared" si="104"/>
        <v>16</v>
      </c>
      <c r="AO119" s="6">
        <f t="shared" si="105"/>
        <v>0</v>
      </c>
      <c r="AP119" s="6">
        <f t="shared" si="106"/>
        <v>16</v>
      </c>
      <c r="AQ119" s="943">
        <f t="shared" si="107"/>
        <v>1.7777777777777777</v>
      </c>
      <c r="AR119" s="943">
        <f t="shared" si="108"/>
        <v>0</v>
      </c>
      <c r="AS119" s="943">
        <f t="shared" si="109"/>
        <v>1.7777777777777777</v>
      </c>
      <c r="BC119" s="64"/>
      <c r="BD119" s="64"/>
      <c r="BE119" s="64"/>
      <c r="BF119" s="64"/>
      <c r="BG119" s="64"/>
      <c r="BH119" s="64"/>
    </row>
    <row r="120" spans="1:60" s="6" customFormat="1">
      <c r="A120" s="6">
        <v>113</v>
      </c>
      <c r="B120" s="3" t="s">
        <v>232</v>
      </c>
      <c r="C120" s="1" t="s">
        <v>185</v>
      </c>
      <c r="D120" s="1" t="s">
        <v>233</v>
      </c>
      <c r="E120" s="2">
        <v>10</v>
      </c>
      <c r="F120" s="6">
        <v>10</v>
      </c>
      <c r="H120" s="6">
        <f t="shared" si="98"/>
        <v>10</v>
      </c>
      <c r="K120" s="6">
        <f t="shared" si="61"/>
        <v>0</v>
      </c>
      <c r="N120" s="6">
        <f t="shared" si="62"/>
        <v>0</v>
      </c>
      <c r="Q120" s="6">
        <f t="shared" si="63"/>
        <v>0</v>
      </c>
      <c r="T120" s="6">
        <f t="shared" si="100"/>
        <v>0</v>
      </c>
      <c r="U120" s="109"/>
      <c r="W120" s="6">
        <f t="shared" si="70"/>
        <v>0</v>
      </c>
      <c r="X120" s="88">
        <f t="shared" si="64"/>
        <v>10</v>
      </c>
      <c r="Y120" s="41">
        <f t="shared" si="65"/>
        <v>0</v>
      </c>
      <c r="Z120" s="41">
        <f t="shared" si="66"/>
        <v>10</v>
      </c>
      <c r="AA120" s="42">
        <f t="shared" si="67"/>
        <v>1.6666666666666667</v>
      </c>
      <c r="AB120" s="42">
        <f t="shared" si="68"/>
        <v>0</v>
      </c>
      <c r="AC120" s="42">
        <f t="shared" si="69"/>
        <v>1.6666666666666667</v>
      </c>
      <c r="AD120" s="35" t="s">
        <v>15</v>
      </c>
      <c r="AG120" s="6">
        <f t="shared" si="101"/>
        <v>0</v>
      </c>
      <c r="AH120" s="6">
        <v>23</v>
      </c>
      <c r="AJ120" s="98">
        <f t="shared" si="102"/>
        <v>23</v>
      </c>
      <c r="AK120" s="6">
        <v>16</v>
      </c>
      <c r="AM120" s="98">
        <f t="shared" si="103"/>
        <v>16</v>
      </c>
      <c r="AN120" s="6">
        <f t="shared" si="104"/>
        <v>49</v>
      </c>
      <c r="AO120" s="6">
        <f t="shared" si="105"/>
        <v>0</v>
      </c>
      <c r="AP120" s="6">
        <f t="shared" si="106"/>
        <v>49</v>
      </c>
      <c r="AQ120" s="943">
        <f t="shared" si="107"/>
        <v>5.4444444444444446</v>
      </c>
      <c r="AR120" s="943">
        <f t="shared" si="108"/>
        <v>0</v>
      </c>
      <c r="AS120" s="943">
        <f t="shared" si="109"/>
        <v>5.4444444444444446</v>
      </c>
      <c r="BC120" s="64"/>
      <c r="BD120" s="64"/>
      <c r="BE120" s="64"/>
      <c r="BF120" s="64"/>
      <c r="BG120" s="64"/>
      <c r="BH120" s="64"/>
    </row>
    <row r="121" spans="1:60" s="6" customFormat="1">
      <c r="A121" s="1">
        <v>114</v>
      </c>
      <c r="B121" s="3" t="s">
        <v>234</v>
      </c>
      <c r="C121" s="1" t="s">
        <v>185</v>
      </c>
      <c r="D121" s="1" t="s">
        <v>235</v>
      </c>
      <c r="E121" s="2">
        <v>10</v>
      </c>
      <c r="F121" s="6">
        <v>10</v>
      </c>
      <c r="H121" s="6">
        <f t="shared" si="98"/>
        <v>10</v>
      </c>
      <c r="K121" s="6">
        <f t="shared" si="61"/>
        <v>0</v>
      </c>
      <c r="N121" s="6">
        <f t="shared" si="62"/>
        <v>0</v>
      </c>
      <c r="Q121" s="6">
        <f t="shared" si="63"/>
        <v>0</v>
      </c>
      <c r="T121" s="6">
        <f t="shared" si="100"/>
        <v>0</v>
      </c>
      <c r="U121" s="109"/>
      <c r="W121" s="6">
        <f t="shared" si="70"/>
        <v>0</v>
      </c>
      <c r="X121" s="88">
        <f t="shared" si="64"/>
        <v>10</v>
      </c>
      <c r="Y121" s="41">
        <f t="shared" si="65"/>
        <v>0</v>
      </c>
      <c r="Z121" s="41">
        <f t="shared" si="66"/>
        <v>10</v>
      </c>
      <c r="AA121" s="42">
        <f t="shared" si="67"/>
        <v>1.6666666666666667</v>
      </c>
      <c r="AB121" s="42">
        <f t="shared" si="68"/>
        <v>0</v>
      </c>
      <c r="AC121" s="42">
        <f t="shared" si="69"/>
        <v>1.6666666666666667</v>
      </c>
      <c r="AD121" s="35" t="s">
        <v>15</v>
      </c>
      <c r="AE121" s="6">
        <v>18</v>
      </c>
      <c r="AG121" s="6">
        <f t="shared" si="101"/>
        <v>18</v>
      </c>
      <c r="AH121" s="6">
        <v>5</v>
      </c>
      <c r="AJ121" s="98">
        <f t="shared" si="102"/>
        <v>5</v>
      </c>
      <c r="AK121" s="6">
        <v>10</v>
      </c>
      <c r="AM121" s="98">
        <f t="shared" si="103"/>
        <v>10</v>
      </c>
      <c r="AN121" s="6">
        <f t="shared" si="104"/>
        <v>43</v>
      </c>
      <c r="AO121" s="6">
        <f t="shared" si="105"/>
        <v>0</v>
      </c>
      <c r="AP121" s="6">
        <f t="shared" si="106"/>
        <v>43</v>
      </c>
      <c r="AQ121" s="943">
        <f t="shared" si="107"/>
        <v>4.7777777777777777</v>
      </c>
      <c r="AR121" s="943">
        <f t="shared" si="108"/>
        <v>0</v>
      </c>
      <c r="AS121" s="943">
        <f t="shared" si="109"/>
        <v>4.7777777777777777</v>
      </c>
      <c r="BC121" s="64"/>
      <c r="BD121" s="64"/>
      <c r="BE121" s="64"/>
      <c r="BF121" s="64"/>
      <c r="BG121" s="64"/>
      <c r="BH121" s="64"/>
    </row>
    <row r="122" spans="1:60" s="6" customFormat="1">
      <c r="A122" s="6">
        <v>115</v>
      </c>
      <c r="B122" s="3" t="s">
        <v>236</v>
      </c>
      <c r="C122" s="1" t="s">
        <v>185</v>
      </c>
      <c r="D122" s="1" t="s">
        <v>237</v>
      </c>
      <c r="E122" s="2">
        <v>100</v>
      </c>
      <c r="F122" s="6">
        <v>60</v>
      </c>
      <c r="H122" s="6">
        <f t="shared" si="98"/>
        <v>60</v>
      </c>
      <c r="I122" s="6">
        <v>96</v>
      </c>
      <c r="K122" s="6">
        <f t="shared" si="61"/>
        <v>96</v>
      </c>
      <c r="L122" s="6">
        <v>18</v>
      </c>
      <c r="N122" s="6">
        <f t="shared" si="62"/>
        <v>18</v>
      </c>
      <c r="Q122" s="6">
        <f t="shared" si="63"/>
        <v>0</v>
      </c>
      <c r="R122" s="6">
        <v>101</v>
      </c>
      <c r="T122" s="6">
        <f t="shared" si="100"/>
        <v>101</v>
      </c>
      <c r="U122" s="109"/>
      <c r="W122" s="6">
        <f t="shared" si="70"/>
        <v>0</v>
      </c>
      <c r="X122" s="88">
        <f t="shared" si="64"/>
        <v>275</v>
      </c>
      <c r="Y122" s="41">
        <f t="shared" si="65"/>
        <v>0</v>
      </c>
      <c r="Z122" s="41">
        <f t="shared" si="66"/>
        <v>275</v>
      </c>
      <c r="AA122" s="42">
        <f t="shared" si="67"/>
        <v>45.833333333333336</v>
      </c>
      <c r="AB122" s="42">
        <f t="shared" si="68"/>
        <v>0</v>
      </c>
      <c r="AC122" s="42">
        <f t="shared" si="69"/>
        <v>45.833333333333336</v>
      </c>
      <c r="AD122" s="35" t="s">
        <v>15</v>
      </c>
      <c r="AE122" s="6">
        <v>78</v>
      </c>
      <c r="AG122" s="6">
        <f t="shared" si="101"/>
        <v>78</v>
      </c>
      <c r="AH122" s="6">
        <v>38</v>
      </c>
      <c r="AJ122" s="98">
        <f t="shared" si="102"/>
        <v>38</v>
      </c>
      <c r="AK122" s="6">
        <v>85</v>
      </c>
      <c r="AM122" s="98">
        <f t="shared" si="103"/>
        <v>85</v>
      </c>
      <c r="AN122" s="6">
        <f t="shared" si="104"/>
        <v>476</v>
      </c>
      <c r="AO122" s="6">
        <f t="shared" si="105"/>
        <v>0</v>
      </c>
      <c r="AP122" s="6">
        <f t="shared" si="106"/>
        <v>476</v>
      </c>
      <c r="AQ122" s="943">
        <f t="shared" si="107"/>
        <v>52.888888888888886</v>
      </c>
      <c r="AR122" s="943">
        <f t="shared" si="108"/>
        <v>0</v>
      </c>
      <c r="AS122" s="943">
        <f t="shared" si="109"/>
        <v>52.888888888888886</v>
      </c>
      <c r="BC122" s="64"/>
      <c r="BD122" s="64"/>
      <c r="BE122" s="64"/>
      <c r="BF122" s="64"/>
      <c r="BG122" s="64"/>
      <c r="BH122" s="64"/>
    </row>
    <row r="123" spans="1:60" s="6" customFormat="1">
      <c r="A123" s="1">
        <v>116</v>
      </c>
      <c r="B123" s="3" t="s">
        <v>238</v>
      </c>
      <c r="C123" s="1" t="s">
        <v>185</v>
      </c>
      <c r="D123" s="1" t="s">
        <v>239</v>
      </c>
      <c r="E123" s="2">
        <v>120</v>
      </c>
      <c r="F123" s="6">
        <v>190</v>
      </c>
      <c r="G123" s="6">
        <v>56</v>
      </c>
      <c r="H123" s="6">
        <f t="shared" si="98"/>
        <v>246</v>
      </c>
      <c r="K123" s="6">
        <f t="shared" si="61"/>
        <v>0</v>
      </c>
      <c r="N123" s="6">
        <f t="shared" si="62"/>
        <v>0</v>
      </c>
      <c r="Q123" s="6">
        <f t="shared" si="63"/>
        <v>0</v>
      </c>
      <c r="T123" s="6">
        <f t="shared" si="100"/>
        <v>0</v>
      </c>
      <c r="U123" s="109"/>
      <c r="W123" s="6">
        <f t="shared" si="70"/>
        <v>0</v>
      </c>
      <c r="X123" s="88">
        <f t="shared" si="64"/>
        <v>190</v>
      </c>
      <c r="Y123" s="41">
        <f t="shared" si="65"/>
        <v>56</v>
      </c>
      <c r="Z123" s="41">
        <f t="shared" si="66"/>
        <v>246</v>
      </c>
      <c r="AA123" s="42">
        <f t="shared" si="67"/>
        <v>31.666666666666668</v>
      </c>
      <c r="AB123" s="42">
        <f t="shared" si="68"/>
        <v>9.3333333333333339</v>
      </c>
      <c r="AC123" s="42">
        <f t="shared" si="69"/>
        <v>41</v>
      </c>
      <c r="AD123" s="35" t="s">
        <v>18</v>
      </c>
      <c r="AE123" s="6">
        <v>136</v>
      </c>
      <c r="AG123" s="6">
        <f t="shared" si="101"/>
        <v>136</v>
      </c>
      <c r="AJ123" s="98">
        <f t="shared" si="102"/>
        <v>0</v>
      </c>
      <c r="AM123" s="98">
        <f t="shared" si="103"/>
        <v>0</v>
      </c>
      <c r="AN123" s="6">
        <f t="shared" si="104"/>
        <v>326</v>
      </c>
      <c r="AO123" s="6">
        <f t="shared" si="105"/>
        <v>56</v>
      </c>
      <c r="AP123" s="6">
        <f t="shared" si="106"/>
        <v>382</v>
      </c>
      <c r="AQ123" s="943">
        <f t="shared" si="107"/>
        <v>36.222222222222221</v>
      </c>
      <c r="AR123" s="943">
        <f t="shared" si="108"/>
        <v>6.2222222222222223</v>
      </c>
      <c r="AS123" s="943">
        <f t="shared" si="109"/>
        <v>42.444444444444443</v>
      </c>
      <c r="BC123" s="64"/>
      <c r="BD123" s="64"/>
      <c r="BE123" s="64"/>
      <c r="BF123" s="64"/>
      <c r="BG123" s="64"/>
      <c r="BH123" s="64"/>
    </row>
    <row r="124" spans="1:60" s="6" customFormat="1">
      <c r="A124" s="6">
        <v>117</v>
      </c>
      <c r="B124" s="4" t="s">
        <v>240</v>
      </c>
      <c r="C124" s="1"/>
      <c r="D124" s="1"/>
      <c r="E124" s="2"/>
      <c r="F124" s="6">
        <v>50</v>
      </c>
      <c r="H124" s="6">
        <f t="shared" si="98"/>
        <v>50</v>
      </c>
      <c r="K124" s="6">
        <f t="shared" si="61"/>
        <v>0</v>
      </c>
      <c r="L124" s="6">
        <v>36</v>
      </c>
      <c r="N124" s="6">
        <f t="shared" si="62"/>
        <v>36</v>
      </c>
      <c r="Q124" s="6">
        <f t="shared" si="63"/>
        <v>0</v>
      </c>
      <c r="R124" s="6">
        <v>36</v>
      </c>
      <c r="T124" s="6">
        <f t="shared" si="100"/>
        <v>36</v>
      </c>
      <c r="U124" s="109"/>
      <c r="W124" s="6">
        <f t="shared" si="70"/>
        <v>0</v>
      </c>
      <c r="X124" s="88">
        <f t="shared" si="64"/>
        <v>122</v>
      </c>
      <c r="Y124" s="41">
        <f t="shared" si="65"/>
        <v>0</v>
      </c>
      <c r="Z124" s="41">
        <f t="shared" si="66"/>
        <v>122</v>
      </c>
      <c r="AA124" s="42">
        <f t="shared" si="67"/>
        <v>20.333333333333332</v>
      </c>
      <c r="AB124" s="42">
        <f t="shared" si="68"/>
        <v>0</v>
      </c>
      <c r="AC124" s="42">
        <f t="shared" si="69"/>
        <v>20.333333333333332</v>
      </c>
      <c r="AD124" s="35"/>
      <c r="AF124" s="6">
        <v>18</v>
      </c>
      <c r="AG124" s="6">
        <f t="shared" si="101"/>
        <v>18</v>
      </c>
      <c r="AH124" s="6">
        <v>43</v>
      </c>
      <c r="AJ124" s="98">
        <f t="shared" si="102"/>
        <v>43</v>
      </c>
      <c r="AK124" s="6">
        <v>36</v>
      </c>
      <c r="AM124" s="98">
        <f t="shared" si="103"/>
        <v>36</v>
      </c>
      <c r="AN124" s="6">
        <f t="shared" si="104"/>
        <v>201</v>
      </c>
      <c r="AO124" s="6">
        <f t="shared" si="105"/>
        <v>18</v>
      </c>
      <c r="AP124" s="6">
        <f t="shared" si="106"/>
        <v>219</v>
      </c>
      <c r="AQ124" s="943">
        <f t="shared" si="107"/>
        <v>22.333333333333332</v>
      </c>
      <c r="AR124" s="943">
        <f t="shared" si="108"/>
        <v>2</v>
      </c>
      <c r="AS124" s="943">
        <f t="shared" si="109"/>
        <v>24.333333333333332</v>
      </c>
      <c r="BC124" s="64"/>
      <c r="BD124" s="64"/>
      <c r="BE124" s="64"/>
      <c r="BF124" s="64"/>
      <c r="BG124" s="64"/>
      <c r="BH124" s="64"/>
    </row>
    <row r="125" spans="1:60" s="6" customFormat="1">
      <c r="A125" s="1">
        <v>118</v>
      </c>
      <c r="B125" s="4" t="s">
        <v>241</v>
      </c>
      <c r="C125" s="1" t="s">
        <v>185</v>
      </c>
      <c r="D125" s="1" t="s">
        <v>242</v>
      </c>
      <c r="E125" s="2">
        <v>60</v>
      </c>
      <c r="H125" s="6">
        <f t="shared" si="98"/>
        <v>0</v>
      </c>
      <c r="I125" s="6">
        <v>41</v>
      </c>
      <c r="K125" s="6">
        <f t="shared" si="61"/>
        <v>41</v>
      </c>
      <c r="N125" s="6">
        <f t="shared" si="62"/>
        <v>0</v>
      </c>
      <c r="Q125" s="6">
        <f t="shared" si="63"/>
        <v>0</v>
      </c>
      <c r="R125" s="6">
        <v>107</v>
      </c>
      <c r="S125" s="6">
        <v>36</v>
      </c>
      <c r="T125" s="6">
        <f t="shared" si="100"/>
        <v>143</v>
      </c>
      <c r="U125" s="109"/>
      <c r="W125" s="6">
        <f t="shared" si="70"/>
        <v>0</v>
      </c>
      <c r="X125" s="88">
        <f t="shared" si="64"/>
        <v>148</v>
      </c>
      <c r="Y125" s="41">
        <f t="shared" si="65"/>
        <v>36</v>
      </c>
      <c r="Z125" s="41">
        <f t="shared" si="66"/>
        <v>184</v>
      </c>
      <c r="AA125" s="42">
        <f t="shared" si="67"/>
        <v>24.666666666666668</v>
      </c>
      <c r="AB125" s="42">
        <f t="shared" si="68"/>
        <v>6</v>
      </c>
      <c r="AC125" s="42">
        <f t="shared" si="69"/>
        <v>30.666666666666668</v>
      </c>
      <c r="AD125" s="35" t="s">
        <v>15</v>
      </c>
      <c r="AG125" s="6">
        <f t="shared" si="101"/>
        <v>0</v>
      </c>
      <c r="AH125" s="6">
        <v>50</v>
      </c>
      <c r="AJ125" s="98">
        <f t="shared" si="102"/>
        <v>50</v>
      </c>
      <c r="AK125" s="6">
        <v>73</v>
      </c>
      <c r="AM125" s="98">
        <f t="shared" si="103"/>
        <v>73</v>
      </c>
      <c r="AN125" s="6">
        <f t="shared" si="104"/>
        <v>271</v>
      </c>
      <c r="AO125" s="6">
        <f t="shared" si="105"/>
        <v>36</v>
      </c>
      <c r="AP125" s="6">
        <f t="shared" si="106"/>
        <v>307</v>
      </c>
      <c r="AQ125" s="943">
        <f t="shared" si="107"/>
        <v>30.111111111111111</v>
      </c>
      <c r="AR125" s="943">
        <f t="shared" si="108"/>
        <v>4</v>
      </c>
      <c r="AS125" s="943">
        <f t="shared" si="109"/>
        <v>34.111111111111114</v>
      </c>
      <c r="BC125" s="64"/>
      <c r="BD125" s="64"/>
      <c r="BE125" s="64"/>
      <c r="BF125" s="64"/>
      <c r="BG125" s="64"/>
      <c r="BH125" s="64"/>
    </row>
    <row r="126" spans="1:60" s="19" customFormat="1" ht="15.75">
      <c r="A126" s="6">
        <v>119</v>
      </c>
      <c r="B126" s="43" t="s">
        <v>243</v>
      </c>
      <c r="C126" s="19" t="s">
        <v>185</v>
      </c>
      <c r="D126" s="19" t="s">
        <v>244</v>
      </c>
      <c r="E126" s="19">
        <v>498</v>
      </c>
      <c r="F126" s="19">
        <v>635</v>
      </c>
      <c r="H126" s="19">
        <f t="shared" si="98"/>
        <v>635</v>
      </c>
      <c r="I126" s="19">
        <v>76</v>
      </c>
      <c r="K126" s="19">
        <f t="shared" si="61"/>
        <v>76</v>
      </c>
      <c r="L126" s="19">
        <v>184</v>
      </c>
      <c r="N126" s="19">
        <f t="shared" si="62"/>
        <v>184</v>
      </c>
      <c r="O126" s="19">
        <v>166</v>
      </c>
      <c r="Q126" s="19">
        <f t="shared" si="63"/>
        <v>166</v>
      </c>
      <c r="T126" s="19">
        <f t="shared" si="100"/>
        <v>0</v>
      </c>
      <c r="U126" s="110">
        <v>1960</v>
      </c>
      <c r="W126" s="19">
        <f t="shared" si="70"/>
        <v>1960</v>
      </c>
      <c r="X126" s="89">
        <f t="shared" si="64"/>
        <v>3021</v>
      </c>
      <c r="Y126" s="44">
        <f t="shared" si="65"/>
        <v>0</v>
      </c>
      <c r="Z126" s="44">
        <f t="shared" si="66"/>
        <v>3021</v>
      </c>
      <c r="AA126" s="45">
        <f t="shared" si="67"/>
        <v>503.5</v>
      </c>
      <c r="AB126" s="45">
        <f t="shared" si="68"/>
        <v>0</v>
      </c>
      <c r="AC126" s="45">
        <f t="shared" si="69"/>
        <v>503.5</v>
      </c>
      <c r="AD126" s="46" t="s">
        <v>18</v>
      </c>
      <c r="AE126" s="19">
        <v>0</v>
      </c>
      <c r="AG126" s="19">
        <f>AE126+AF126</f>
        <v>0</v>
      </c>
      <c r="AH126" s="19">
        <v>684</v>
      </c>
      <c r="AJ126" s="100">
        <f t="shared" si="102"/>
        <v>684</v>
      </c>
      <c r="AM126" s="100">
        <f t="shared" si="103"/>
        <v>0</v>
      </c>
      <c r="AN126" s="19">
        <f t="shared" si="104"/>
        <v>3705</v>
      </c>
      <c r="AO126" s="19">
        <f t="shared" si="105"/>
        <v>0</v>
      </c>
      <c r="AP126" s="19">
        <f t="shared" si="106"/>
        <v>3705</v>
      </c>
      <c r="AQ126" s="703">
        <f t="shared" si="107"/>
        <v>411.66666666666669</v>
      </c>
      <c r="AR126" s="703">
        <f t="shared" si="108"/>
        <v>0</v>
      </c>
      <c r="AS126" s="703">
        <f t="shared" si="109"/>
        <v>411.66666666666669</v>
      </c>
      <c r="BC126" s="64"/>
      <c r="BD126" s="64"/>
      <c r="BE126" s="64"/>
      <c r="BF126" s="64"/>
      <c r="BG126" s="64"/>
      <c r="BH126" s="64"/>
    </row>
    <row r="127" spans="1:60" s="19" customFormat="1" ht="15.75">
      <c r="A127" s="1">
        <v>120</v>
      </c>
      <c r="B127" s="43" t="s">
        <v>245</v>
      </c>
      <c r="C127" s="19" t="s">
        <v>185</v>
      </c>
      <c r="D127" s="19" t="s">
        <v>246</v>
      </c>
      <c r="E127" s="19">
        <v>878</v>
      </c>
      <c r="F127" s="19">
        <v>1340</v>
      </c>
      <c r="H127" s="19">
        <f t="shared" si="98"/>
        <v>1340</v>
      </c>
      <c r="K127" s="19">
        <f t="shared" si="61"/>
        <v>0</v>
      </c>
      <c r="L127" s="19">
        <v>1000</v>
      </c>
      <c r="N127" s="19">
        <f t="shared" si="62"/>
        <v>1000</v>
      </c>
      <c r="O127" s="19">
        <v>290</v>
      </c>
      <c r="Q127" s="19">
        <f t="shared" si="63"/>
        <v>290</v>
      </c>
      <c r="R127" s="19">
        <v>584</v>
      </c>
      <c r="T127" s="19">
        <f t="shared" si="100"/>
        <v>584</v>
      </c>
      <c r="U127" s="110">
        <v>3074</v>
      </c>
      <c r="W127" s="19">
        <f t="shared" si="70"/>
        <v>3074</v>
      </c>
      <c r="X127" s="89">
        <f t="shared" si="64"/>
        <v>6288</v>
      </c>
      <c r="Y127" s="44">
        <f t="shared" si="65"/>
        <v>0</v>
      </c>
      <c r="Z127" s="44">
        <f t="shared" si="66"/>
        <v>6288</v>
      </c>
      <c r="AA127" s="45">
        <f t="shared" si="67"/>
        <v>1048</v>
      </c>
      <c r="AB127" s="45">
        <f t="shared" si="68"/>
        <v>0</v>
      </c>
      <c r="AC127" s="45">
        <f t="shared" si="69"/>
        <v>1048</v>
      </c>
      <c r="AD127" s="46" t="s">
        <v>18</v>
      </c>
      <c r="AE127" s="19">
        <v>0</v>
      </c>
      <c r="AG127" s="19">
        <f>AE127+AF127</f>
        <v>0</v>
      </c>
      <c r="AH127" s="19">
        <v>1208</v>
      </c>
      <c r="AJ127" s="100">
        <f t="shared" si="102"/>
        <v>1208</v>
      </c>
      <c r="AK127" s="19">
        <v>540</v>
      </c>
      <c r="AM127" s="100">
        <f t="shared" si="103"/>
        <v>540</v>
      </c>
      <c r="AN127" s="19">
        <f t="shared" si="104"/>
        <v>8036</v>
      </c>
      <c r="AO127" s="19">
        <f t="shared" si="105"/>
        <v>0</v>
      </c>
      <c r="AP127" s="19">
        <f t="shared" si="106"/>
        <v>8036</v>
      </c>
      <c r="AQ127" s="703">
        <f t="shared" si="107"/>
        <v>892.88888888888891</v>
      </c>
      <c r="AR127" s="703">
        <f t="shared" si="108"/>
        <v>0</v>
      </c>
      <c r="AS127" s="703">
        <f t="shared" si="109"/>
        <v>892.88888888888891</v>
      </c>
      <c r="BC127" s="64"/>
      <c r="BD127" s="64"/>
      <c r="BE127" s="64"/>
      <c r="BF127" s="64"/>
      <c r="BG127" s="64"/>
      <c r="BH127" s="64"/>
    </row>
    <row r="128" spans="1:60" s="6" customFormat="1" ht="15" customHeight="1">
      <c r="A128" s="6">
        <v>121</v>
      </c>
      <c r="B128" s="261" t="s">
        <v>2871</v>
      </c>
      <c r="C128" s="1" t="s">
        <v>247</v>
      </c>
      <c r="D128" s="1" t="s">
        <v>248</v>
      </c>
      <c r="E128" s="2">
        <v>60</v>
      </c>
      <c r="H128" s="6">
        <f t="shared" si="98"/>
        <v>0</v>
      </c>
      <c r="K128" s="6">
        <f t="shared" si="61"/>
        <v>0</v>
      </c>
      <c r="N128" s="6">
        <f t="shared" si="62"/>
        <v>0</v>
      </c>
      <c r="Q128" s="6">
        <f t="shared" si="63"/>
        <v>0</v>
      </c>
      <c r="T128" s="6">
        <f t="shared" si="100"/>
        <v>0</v>
      </c>
      <c r="U128" s="109"/>
      <c r="W128" s="6">
        <f t="shared" si="70"/>
        <v>0</v>
      </c>
      <c r="X128" s="88">
        <f t="shared" si="64"/>
        <v>0</v>
      </c>
      <c r="Y128" s="41">
        <f t="shared" si="65"/>
        <v>0</v>
      </c>
      <c r="Z128" s="41">
        <f t="shared" si="66"/>
        <v>0</v>
      </c>
      <c r="AA128" s="42">
        <f t="shared" si="67"/>
        <v>0</v>
      </c>
      <c r="AB128" s="42">
        <f t="shared" si="68"/>
        <v>0</v>
      </c>
      <c r="AC128" s="42">
        <f t="shared" si="69"/>
        <v>0</v>
      </c>
      <c r="AD128" s="35" t="s">
        <v>15</v>
      </c>
      <c r="AE128" s="900">
        <v>40</v>
      </c>
      <c r="AF128" s="900"/>
      <c r="AH128" s="900">
        <v>40</v>
      </c>
      <c r="AI128" s="900"/>
      <c r="AK128" s="900">
        <v>9</v>
      </c>
      <c r="AL128" s="900"/>
    </row>
    <row r="129" spans="1:60" s="6" customFormat="1" ht="15" customHeight="1">
      <c r="A129" s="1">
        <v>122</v>
      </c>
      <c r="B129" s="4" t="s">
        <v>249</v>
      </c>
      <c r="C129" s="1" t="s">
        <v>247</v>
      </c>
      <c r="D129" s="1" t="s">
        <v>250</v>
      </c>
      <c r="E129" s="2">
        <v>20</v>
      </c>
      <c r="H129" s="6">
        <f t="shared" si="98"/>
        <v>0</v>
      </c>
      <c r="K129" s="6">
        <f t="shared" si="61"/>
        <v>0</v>
      </c>
      <c r="N129" s="6">
        <f t="shared" si="62"/>
        <v>0</v>
      </c>
      <c r="Q129" s="6">
        <f t="shared" si="63"/>
        <v>0</v>
      </c>
      <c r="T129" s="6">
        <f t="shared" si="100"/>
        <v>0</v>
      </c>
      <c r="U129" s="109"/>
      <c r="W129" s="6">
        <f t="shared" si="70"/>
        <v>0</v>
      </c>
      <c r="X129" s="88">
        <f t="shared" si="64"/>
        <v>0</v>
      </c>
      <c r="Y129" s="41">
        <f t="shared" si="65"/>
        <v>0</v>
      </c>
      <c r="Z129" s="41">
        <f t="shared" si="66"/>
        <v>0</v>
      </c>
      <c r="AA129" s="42">
        <f t="shared" si="67"/>
        <v>0</v>
      </c>
      <c r="AB129" s="42">
        <f t="shared" si="68"/>
        <v>0</v>
      </c>
      <c r="AC129" s="42">
        <f t="shared" si="69"/>
        <v>0</v>
      </c>
      <c r="AD129" s="35" t="s">
        <v>15</v>
      </c>
      <c r="AE129" s="900">
        <v>25</v>
      </c>
      <c r="AF129" s="900"/>
      <c r="AH129" s="900"/>
      <c r="AI129" s="900"/>
      <c r="AK129" s="900">
        <v>25</v>
      </c>
      <c r="AL129" s="900"/>
    </row>
    <row r="130" spans="1:60" s="6" customFormat="1">
      <c r="A130" s="6">
        <v>123</v>
      </c>
      <c r="B130" s="4" t="s">
        <v>251</v>
      </c>
      <c r="C130" s="1" t="s">
        <v>247</v>
      </c>
      <c r="D130" s="1" t="s">
        <v>252</v>
      </c>
      <c r="E130" s="2">
        <v>10</v>
      </c>
      <c r="F130" s="6">
        <v>10</v>
      </c>
      <c r="H130" s="6">
        <f t="shared" si="98"/>
        <v>10</v>
      </c>
      <c r="K130" s="6">
        <f t="shared" si="61"/>
        <v>0</v>
      </c>
      <c r="N130" s="6">
        <f t="shared" si="62"/>
        <v>0</v>
      </c>
      <c r="Q130" s="6">
        <f t="shared" si="63"/>
        <v>0</v>
      </c>
      <c r="R130" s="6">
        <v>20</v>
      </c>
      <c r="T130" s="6">
        <f t="shared" si="100"/>
        <v>20</v>
      </c>
      <c r="U130" s="109"/>
      <c r="W130" s="6">
        <f t="shared" si="70"/>
        <v>0</v>
      </c>
      <c r="X130" s="88">
        <f t="shared" si="64"/>
        <v>30</v>
      </c>
      <c r="Y130" s="41">
        <f t="shared" si="65"/>
        <v>0</v>
      </c>
      <c r="Z130" s="41">
        <f t="shared" si="66"/>
        <v>30</v>
      </c>
      <c r="AA130" s="42">
        <f t="shared" si="67"/>
        <v>5</v>
      </c>
      <c r="AB130" s="42">
        <f t="shared" si="68"/>
        <v>0</v>
      </c>
      <c r="AC130" s="42">
        <f t="shared" si="69"/>
        <v>5</v>
      </c>
      <c r="AD130" s="35" t="s">
        <v>15</v>
      </c>
      <c r="AG130" s="6">
        <f t="shared" ref="AG130:AG141" si="110">AE130+AF130</f>
        <v>0</v>
      </c>
      <c r="AJ130" s="98">
        <f t="shared" ref="AJ130:AJ141" si="111">AH130+AI130</f>
        <v>0</v>
      </c>
      <c r="AM130" s="98">
        <f t="shared" ref="AM130:AM141" si="112">AK130+AL130</f>
        <v>0</v>
      </c>
      <c r="AN130" s="6">
        <f t="shared" ref="AN130:AN141" si="113">X130+AE130+AH130+AK130</f>
        <v>30</v>
      </c>
      <c r="AO130" s="6">
        <f t="shared" ref="AO130:AO141" si="114">Y130+AF130+AI130+AL130</f>
        <v>0</v>
      </c>
      <c r="AP130" s="6">
        <f t="shared" ref="AP130:AP141" si="115">Z130+AG130+AJ130+AM130</f>
        <v>30</v>
      </c>
      <c r="AQ130" s="943">
        <f t="shared" ref="AQ130:AQ141" si="116">AN130/9</f>
        <v>3.3333333333333335</v>
      </c>
      <c r="AR130" s="943">
        <f t="shared" ref="AR130:AR141" si="117">AO130/9</f>
        <v>0</v>
      </c>
      <c r="AS130" s="943">
        <f t="shared" ref="AS130:AS141" si="118">AP130/9</f>
        <v>3.3333333333333335</v>
      </c>
      <c r="BC130" s="64"/>
      <c r="BD130" s="64"/>
      <c r="BE130" s="64"/>
      <c r="BF130" s="64"/>
      <c r="BG130" s="64"/>
      <c r="BH130" s="64"/>
    </row>
    <row r="131" spans="1:60" s="6" customFormat="1">
      <c r="A131" s="1">
        <v>124</v>
      </c>
      <c r="B131" s="4" t="s">
        <v>253</v>
      </c>
      <c r="C131" s="1" t="s">
        <v>247</v>
      </c>
      <c r="D131" s="1" t="s">
        <v>254</v>
      </c>
      <c r="E131" s="2">
        <v>20</v>
      </c>
      <c r="F131" s="6">
        <v>10</v>
      </c>
      <c r="H131" s="6">
        <f t="shared" si="98"/>
        <v>10</v>
      </c>
      <c r="I131" s="6">
        <v>19</v>
      </c>
      <c r="K131" s="6">
        <f t="shared" si="61"/>
        <v>19</v>
      </c>
      <c r="L131" s="6">
        <v>5</v>
      </c>
      <c r="N131" s="6">
        <f t="shared" si="62"/>
        <v>5</v>
      </c>
      <c r="O131" s="6">
        <v>5</v>
      </c>
      <c r="Q131" s="6">
        <f t="shared" si="63"/>
        <v>5</v>
      </c>
      <c r="R131" s="6">
        <v>10</v>
      </c>
      <c r="T131" s="6">
        <f t="shared" si="100"/>
        <v>10</v>
      </c>
      <c r="U131" s="109"/>
      <c r="W131" s="6">
        <f t="shared" si="70"/>
        <v>0</v>
      </c>
      <c r="X131" s="88">
        <f t="shared" si="64"/>
        <v>49</v>
      </c>
      <c r="Y131" s="41">
        <f t="shared" si="65"/>
        <v>0</v>
      </c>
      <c r="Z131" s="41">
        <f t="shared" si="66"/>
        <v>49</v>
      </c>
      <c r="AA131" s="42">
        <f t="shared" si="67"/>
        <v>8.1666666666666661</v>
      </c>
      <c r="AB131" s="42">
        <f t="shared" si="68"/>
        <v>0</v>
      </c>
      <c r="AC131" s="42">
        <f t="shared" si="69"/>
        <v>8.1666666666666661</v>
      </c>
      <c r="AD131" s="35" t="s">
        <v>15</v>
      </c>
      <c r="AE131" s="6">
        <v>24</v>
      </c>
      <c r="AG131" s="6">
        <f t="shared" si="110"/>
        <v>24</v>
      </c>
      <c r="AJ131" s="98">
        <f t="shared" si="111"/>
        <v>0</v>
      </c>
      <c r="AK131" s="6">
        <v>5</v>
      </c>
      <c r="AM131" s="98">
        <f t="shared" si="112"/>
        <v>5</v>
      </c>
      <c r="AN131" s="6">
        <f t="shared" si="113"/>
        <v>78</v>
      </c>
      <c r="AO131" s="6">
        <f t="shared" si="114"/>
        <v>0</v>
      </c>
      <c r="AP131" s="6">
        <f t="shared" si="115"/>
        <v>78</v>
      </c>
      <c r="AQ131" s="943">
        <f t="shared" si="116"/>
        <v>8.6666666666666661</v>
      </c>
      <c r="AR131" s="943">
        <f t="shared" si="117"/>
        <v>0</v>
      </c>
      <c r="AS131" s="943">
        <f t="shared" si="118"/>
        <v>8.6666666666666661</v>
      </c>
      <c r="BC131" s="64"/>
      <c r="BD131" s="64"/>
      <c r="BE131" s="64"/>
      <c r="BF131" s="64"/>
      <c r="BG131" s="64"/>
      <c r="BH131" s="64"/>
    </row>
    <row r="132" spans="1:60" s="6" customFormat="1">
      <c r="A132" s="6">
        <v>125</v>
      </c>
      <c r="B132" s="4" t="s">
        <v>255</v>
      </c>
      <c r="C132" s="1" t="s">
        <v>247</v>
      </c>
      <c r="D132" s="1" t="s">
        <v>256</v>
      </c>
      <c r="E132" s="2">
        <v>100</v>
      </c>
      <c r="F132" s="6">
        <v>36</v>
      </c>
      <c r="H132" s="6">
        <f t="shared" si="98"/>
        <v>36</v>
      </c>
      <c r="I132" s="6">
        <v>38</v>
      </c>
      <c r="K132" s="6">
        <f t="shared" si="61"/>
        <v>38</v>
      </c>
      <c r="L132" s="6">
        <v>146</v>
      </c>
      <c r="N132" s="6">
        <f t="shared" si="62"/>
        <v>146</v>
      </c>
      <c r="Q132" s="6">
        <f t="shared" si="63"/>
        <v>0</v>
      </c>
      <c r="R132" s="6">
        <v>54</v>
      </c>
      <c r="T132" s="6">
        <f t="shared" si="100"/>
        <v>54</v>
      </c>
      <c r="U132" s="109"/>
      <c r="W132" s="6">
        <f t="shared" si="70"/>
        <v>0</v>
      </c>
      <c r="X132" s="88">
        <f t="shared" si="64"/>
        <v>274</v>
      </c>
      <c r="Y132" s="41">
        <f t="shared" si="65"/>
        <v>0</v>
      </c>
      <c r="Z132" s="41">
        <f t="shared" si="66"/>
        <v>274</v>
      </c>
      <c r="AA132" s="42">
        <f t="shared" si="67"/>
        <v>45.666666666666664</v>
      </c>
      <c r="AB132" s="42">
        <f t="shared" si="68"/>
        <v>0</v>
      </c>
      <c r="AC132" s="42">
        <f t="shared" si="69"/>
        <v>45.666666666666664</v>
      </c>
      <c r="AD132" s="35" t="s">
        <v>15</v>
      </c>
      <c r="AE132" s="6">
        <v>56</v>
      </c>
      <c r="AG132" s="6">
        <f t="shared" si="110"/>
        <v>56</v>
      </c>
      <c r="AJ132" s="98">
        <f t="shared" si="111"/>
        <v>0</v>
      </c>
      <c r="AK132" s="6">
        <v>54</v>
      </c>
      <c r="AM132" s="98">
        <f t="shared" si="112"/>
        <v>54</v>
      </c>
      <c r="AN132" s="6">
        <f t="shared" si="113"/>
        <v>384</v>
      </c>
      <c r="AO132" s="6">
        <f t="shared" si="114"/>
        <v>0</v>
      </c>
      <c r="AP132" s="6">
        <f t="shared" si="115"/>
        <v>384</v>
      </c>
      <c r="AQ132" s="943">
        <f t="shared" si="116"/>
        <v>42.666666666666664</v>
      </c>
      <c r="AR132" s="943">
        <f t="shared" si="117"/>
        <v>0</v>
      </c>
      <c r="AS132" s="943">
        <f t="shared" si="118"/>
        <v>42.666666666666664</v>
      </c>
      <c r="BC132" s="64"/>
      <c r="BD132" s="64"/>
      <c r="BE132" s="64"/>
      <c r="BF132" s="64"/>
      <c r="BG132" s="64"/>
      <c r="BH132" s="64"/>
    </row>
    <row r="133" spans="1:60" s="6" customFormat="1">
      <c r="A133" s="1">
        <v>126</v>
      </c>
      <c r="B133" s="4" t="s">
        <v>257</v>
      </c>
      <c r="C133" s="1" t="s">
        <v>247</v>
      </c>
      <c r="D133" s="1" t="s">
        <v>258</v>
      </c>
      <c r="E133" s="2">
        <v>100</v>
      </c>
      <c r="H133" s="6">
        <f t="shared" si="98"/>
        <v>0</v>
      </c>
      <c r="K133" s="6">
        <f t="shared" si="61"/>
        <v>0</v>
      </c>
      <c r="N133" s="6">
        <f t="shared" si="62"/>
        <v>0</v>
      </c>
      <c r="O133" s="6">
        <v>48</v>
      </c>
      <c r="Q133" s="6">
        <f t="shared" si="63"/>
        <v>48</v>
      </c>
      <c r="R133" s="6">
        <v>50</v>
      </c>
      <c r="T133" s="6">
        <f t="shared" si="100"/>
        <v>50</v>
      </c>
      <c r="U133" s="109"/>
      <c r="W133" s="6">
        <f t="shared" si="70"/>
        <v>0</v>
      </c>
      <c r="X133" s="88">
        <f t="shared" si="64"/>
        <v>98</v>
      </c>
      <c r="Y133" s="41">
        <f t="shared" si="65"/>
        <v>0</v>
      </c>
      <c r="Z133" s="41">
        <f t="shared" si="66"/>
        <v>98</v>
      </c>
      <c r="AA133" s="42">
        <f t="shared" si="67"/>
        <v>16.333333333333332</v>
      </c>
      <c r="AB133" s="42">
        <f t="shared" si="68"/>
        <v>0</v>
      </c>
      <c r="AC133" s="42">
        <f t="shared" si="69"/>
        <v>16.333333333333332</v>
      </c>
      <c r="AD133" s="35" t="s">
        <v>18</v>
      </c>
      <c r="AE133" s="6">
        <v>116</v>
      </c>
      <c r="AF133" s="6">
        <v>4</v>
      </c>
      <c r="AG133" s="6">
        <f t="shared" si="110"/>
        <v>120</v>
      </c>
      <c r="AH133" s="6">
        <v>100</v>
      </c>
      <c r="AJ133" s="98">
        <f t="shared" si="111"/>
        <v>100</v>
      </c>
      <c r="AM133" s="98">
        <f t="shared" si="112"/>
        <v>0</v>
      </c>
      <c r="AN133" s="6">
        <f t="shared" si="113"/>
        <v>314</v>
      </c>
      <c r="AO133" s="6">
        <f t="shared" si="114"/>
        <v>4</v>
      </c>
      <c r="AP133" s="6">
        <f t="shared" si="115"/>
        <v>318</v>
      </c>
      <c r="AQ133" s="943">
        <f t="shared" si="116"/>
        <v>34.888888888888886</v>
      </c>
      <c r="AR133" s="943">
        <f t="shared" si="117"/>
        <v>0.44444444444444442</v>
      </c>
      <c r="AS133" s="943">
        <f t="shared" si="118"/>
        <v>35.333333333333336</v>
      </c>
      <c r="BC133" s="64"/>
      <c r="BD133" s="64"/>
      <c r="BE133" s="64"/>
      <c r="BF133" s="64"/>
      <c r="BG133" s="64"/>
      <c r="BH133" s="64"/>
    </row>
    <row r="134" spans="1:60" s="6" customFormat="1">
      <c r="A134" s="6">
        <v>127</v>
      </c>
      <c r="B134" s="4" t="s">
        <v>259</v>
      </c>
      <c r="C134" s="1" t="s">
        <v>247</v>
      </c>
      <c r="D134" s="1" t="s">
        <v>260</v>
      </c>
      <c r="E134" s="2">
        <v>20</v>
      </c>
      <c r="H134" s="6">
        <f t="shared" si="98"/>
        <v>0</v>
      </c>
      <c r="K134" s="6">
        <f t="shared" si="61"/>
        <v>0</v>
      </c>
      <c r="L134" s="6">
        <v>9</v>
      </c>
      <c r="N134" s="6">
        <f t="shared" si="62"/>
        <v>9</v>
      </c>
      <c r="Q134" s="6">
        <f t="shared" si="63"/>
        <v>0</v>
      </c>
      <c r="T134" s="6">
        <f t="shared" si="100"/>
        <v>0</v>
      </c>
      <c r="U134" s="109"/>
      <c r="W134" s="6">
        <f t="shared" si="70"/>
        <v>0</v>
      </c>
      <c r="X134" s="88">
        <f t="shared" si="64"/>
        <v>9</v>
      </c>
      <c r="Y134" s="41">
        <f t="shared" si="65"/>
        <v>0</v>
      </c>
      <c r="Z134" s="41">
        <f t="shared" si="66"/>
        <v>9</v>
      </c>
      <c r="AA134" s="42">
        <f t="shared" si="67"/>
        <v>1.5</v>
      </c>
      <c r="AB134" s="42">
        <f t="shared" si="68"/>
        <v>0</v>
      </c>
      <c r="AC134" s="42">
        <f t="shared" si="69"/>
        <v>1.5</v>
      </c>
      <c r="AD134" s="35" t="s">
        <v>15</v>
      </c>
      <c r="AE134" s="6">
        <v>13</v>
      </c>
      <c r="AG134" s="6">
        <f t="shared" si="110"/>
        <v>13</v>
      </c>
      <c r="AJ134" s="98">
        <f t="shared" si="111"/>
        <v>0</v>
      </c>
      <c r="AM134" s="98">
        <f t="shared" si="112"/>
        <v>0</v>
      </c>
      <c r="AN134" s="6">
        <f t="shared" si="113"/>
        <v>22</v>
      </c>
      <c r="AO134" s="6">
        <f t="shared" si="114"/>
        <v>0</v>
      </c>
      <c r="AP134" s="6">
        <f t="shared" si="115"/>
        <v>22</v>
      </c>
      <c r="AQ134" s="943">
        <f t="shared" si="116"/>
        <v>2.4444444444444446</v>
      </c>
      <c r="AR134" s="943">
        <f t="shared" si="117"/>
        <v>0</v>
      </c>
      <c r="AS134" s="943">
        <f t="shared" si="118"/>
        <v>2.4444444444444446</v>
      </c>
      <c r="BC134" s="64"/>
      <c r="BD134" s="64"/>
      <c r="BE134" s="64"/>
      <c r="BF134" s="64"/>
      <c r="BG134" s="64"/>
      <c r="BH134" s="64"/>
    </row>
    <row r="135" spans="1:60" s="6" customFormat="1">
      <c r="A135" s="1">
        <v>128</v>
      </c>
      <c r="B135" s="4" t="s">
        <v>261</v>
      </c>
      <c r="C135" s="1" t="s">
        <v>247</v>
      </c>
      <c r="D135" s="1" t="s">
        <v>262</v>
      </c>
      <c r="E135" s="2">
        <v>20</v>
      </c>
      <c r="H135" s="6">
        <f t="shared" si="98"/>
        <v>0</v>
      </c>
      <c r="I135" s="6">
        <v>14</v>
      </c>
      <c r="K135" s="6">
        <f t="shared" si="61"/>
        <v>14</v>
      </c>
      <c r="L135" s="6">
        <v>16</v>
      </c>
      <c r="N135" s="6">
        <f t="shared" si="62"/>
        <v>16</v>
      </c>
      <c r="O135" s="6">
        <v>17</v>
      </c>
      <c r="Q135" s="6">
        <f t="shared" si="63"/>
        <v>17</v>
      </c>
      <c r="R135" s="6">
        <v>15</v>
      </c>
      <c r="T135" s="6">
        <f t="shared" si="100"/>
        <v>15</v>
      </c>
      <c r="U135" s="109"/>
      <c r="W135" s="6">
        <f t="shared" si="70"/>
        <v>0</v>
      </c>
      <c r="X135" s="88">
        <f t="shared" si="64"/>
        <v>62</v>
      </c>
      <c r="Y135" s="41">
        <f t="shared" si="65"/>
        <v>0</v>
      </c>
      <c r="Z135" s="41">
        <f t="shared" si="66"/>
        <v>62</v>
      </c>
      <c r="AA135" s="42">
        <f t="shared" si="67"/>
        <v>10.333333333333334</v>
      </c>
      <c r="AB135" s="42">
        <f t="shared" si="68"/>
        <v>0</v>
      </c>
      <c r="AC135" s="42">
        <f t="shared" si="69"/>
        <v>10.333333333333334</v>
      </c>
      <c r="AD135" s="35" t="s">
        <v>15</v>
      </c>
      <c r="AE135" s="6">
        <v>16</v>
      </c>
      <c r="AG135" s="6">
        <f t="shared" si="110"/>
        <v>16</v>
      </c>
      <c r="AJ135" s="98">
        <f t="shared" si="111"/>
        <v>0</v>
      </c>
      <c r="AK135" s="6">
        <v>20</v>
      </c>
      <c r="AM135" s="98">
        <f t="shared" si="112"/>
        <v>20</v>
      </c>
      <c r="AN135" s="6">
        <f t="shared" si="113"/>
        <v>98</v>
      </c>
      <c r="AO135" s="6">
        <f t="shared" si="114"/>
        <v>0</v>
      </c>
      <c r="AP135" s="6">
        <f t="shared" si="115"/>
        <v>98</v>
      </c>
      <c r="AQ135" s="943">
        <f t="shared" si="116"/>
        <v>10.888888888888889</v>
      </c>
      <c r="AR135" s="943">
        <f t="shared" si="117"/>
        <v>0</v>
      </c>
      <c r="AS135" s="943">
        <f t="shared" si="118"/>
        <v>10.888888888888889</v>
      </c>
      <c r="BC135" s="64"/>
      <c r="BD135" s="64"/>
      <c r="BE135" s="64"/>
      <c r="BF135" s="64"/>
      <c r="BG135" s="64"/>
      <c r="BH135" s="64"/>
    </row>
    <row r="136" spans="1:60" s="6" customFormat="1">
      <c r="A136" s="6">
        <v>129</v>
      </c>
      <c r="B136" s="4" t="s">
        <v>263</v>
      </c>
      <c r="C136" s="1" t="s">
        <v>247</v>
      </c>
      <c r="D136" s="1" t="s">
        <v>264</v>
      </c>
      <c r="E136" s="2">
        <v>20</v>
      </c>
      <c r="F136" s="6">
        <v>20</v>
      </c>
      <c r="H136" s="6">
        <f t="shared" ref="H136:H167" si="119">SUM(F136:G136)</f>
        <v>20</v>
      </c>
      <c r="I136" s="6">
        <v>20</v>
      </c>
      <c r="J136" s="6">
        <v>27</v>
      </c>
      <c r="K136" s="6">
        <f t="shared" ref="K136:K175" si="120">SUM(I136:J136)</f>
        <v>47</v>
      </c>
      <c r="N136" s="6">
        <f t="shared" ref="N136:N175" si="121">SUM(L136:M136)</f>
        <v>0</v>
      </c>
      <c r="O136" s="6">
        <v>20</v>
      </c>
      <c r="P136" s="6">
        <v>15</v>
      </c>
      <c r="Q136" s="6">
        <f t="shared" ref="Q136:Q174" si="122">SUM(O136:P136)</f>
        <v>35</v>
      </c>
      <c r="S136" s="6">
        <v>15</v>
      </c>
      <c r="T136" s="6">
        <f t="shared" si="100"/>
        <v>15</v>
      </c>
      <c r="U136" s="109">
        <v>20</v>
      </c>
      <c r="V136" s="6">
        <v>21</v>
      </c>
      <c r="W136" s="6">
        <f t="shared" si="70"/>
        <v>41</v>
      </c>
      <c r="X136" s="88">
        <f t="shared" si="64"/>
        <v>80</v>
      </c>
      <c r="Y136" s="41">
        <f t="shared" si="65"/>
        <v>78</v>
      </c>
      <c r="Z136" s="41">
        <f t="shared" si="66"/>
        <v>158</v>
      </c>
      <c r="AA136" s="42">
        <f t="shared" si="67"/>
        <v>13.333333333333334</v>
      </c>
      <c r="AB136" s="42">
        <f t="shared" si="68"/>
        <v>13</v>
      </c>
      <c r="AC136" s="42">
        <f t="shared" si="69"/>
        <v>26.333333333333332</v>
      </c>
      <c r="AD136" s="35" t="s">
        <v>15</v>
      </c>
      <c r="AG136" s="6">
        <f t="shared" si="110"/>
        <v>0</v>
      </c>
      <c r="AJ136" s="98">
        <f t="shared" si="111"/>
        <v>0</v>
      </c>
      <c r="AM136" s="98">
        <f t="shared" si="112"/>
        <v>0</v>
      </c>
      <c r="AN136" s="6">
        <f t="shared" si="113"/>
        <v>80</v>
      </c>
      <c r="AO136" s="6">
        <f t="shared" si="114"/>
        <v>78</v>
      </c>
      <c r="AP136" s="6">
        <f t="shared" si="115"/>
        <v>158</v>
      </c>
      <c r="AQ136" s="943">
        <f t="shared" si="116"/>
        <v>8.8888888888888893</v>
      </c>
      <c r="AR136" s="943">
        <f t="shared" si="117"/>
        <v>8.6666666666666661</v>
      </c>
      <c r="AS136" s="943">
        <f t="shared" si="118"/>
        <v>17.555555555555557</v>
      </c>
      <c r="BC136" s="64"/>
      <c r="BD136" s="64"/>
      <c r="BE136" s="64"/>
      <c r="BF136" s="64"/>
      <c r="BG136" s="64"/>
      <c r="BH136" s="64"/>
    </row>
    <row r="137" spans="1:60" s="6" customFormat="1">
      <c r="A137" s="1">
        <v>130</v>
      </c>
      <c r="B137" s="4" t="s">
        <v>265</v>
      </c>
      <c r="C137" s="1" t="s">
        <v>247</v>
      </c>
      <c r="D137" s="1" t="s">
        <v>266</v>
      </c>
      <c r="E137" s="2">
        <v>40</v>
      </c>
      <c r="F137" s="6">
        <v>56</v>
      </c>
      <c r="H137" s="6">
        <f t="shared" si="119"/>
        <v>56</v>
      </c>
      <c r="I137" s="6">
        <v>148</v>
      </c>
      <c r="K137" s="6">
        <f t="shared" si="120"/>
        <v>148</v>
      </c>
      <c r="L137" s="6">
        <v>150</v>
      </c>
      <c r="N137" s="6">
        <f t="shared" si="121"/>
        <v>150</v>
      </c>
      <c r="Q137" s="6">
        <f t="shared" si="122"/>
        <v>0</v>
      </c>
      <c r="R137" s="6">
        <v>57</v>
      </c>
      <c r="T137" s="6">
        <f t="shared" si="100"/>
        <v>57</v>
      </c>
      <c r="U137" s="109"/>
      <c r="W137" s="6">
        <f t="shared" si="70"/>
        <v>0</v>
      </c>
      <c r="X137" s="88">
        <f t="shared" ref="X137:X177" si="123">F137+I137+L137+O137+R137+U137</f>
        <v>411</v>
      </c>
      <c r="Y137" s="41">
        <f t="shared" ref="Y137:Y175" si="124">G137+J137+M137+P137+S137+V137</f>
        <v>0</v>
      </c>
      <c r="Z137" s="41">
        <f t="shared" ref="Z137:Z178" si="125">H137+K137+N137+Q137+T137+W137</f>
        <v>411</v>
      </c>
      <c r="AA137" s="42">
        <f t="shared" ref="AA137:AA175" si="126">X137/6</f>
        <v>68.5</v>
      </c>
      <c r="AB137" s="42">
        <f t="shared" ref="AB137:AB175" si="127">Y137/6</f>
        <v>0</v>
      </c>
      <c r="AC137" s="42">
        <f t="shared" ref="AC137:AC175" si="128">Z137/6</f>
        <v>68.5</v>
      </c>
      <c r="AD137" s="35" t="s">
        <v>15</v>
      </c>
      <c r="AG137" s="6">
        <f t="shared" si="110"/>
        <v>0</v>
      </c>
      <c r="AJ137" s="98">
        <f t="shared" si="111"/>
        <v>0</v>
      </c>
      <c r="AM137" s="98">
        <f t="shared" si="112"/>
        <v>0</v>
      </c>
      <c r="AN137" s="6">
        <f t="shared" si="113"/>
        <v>411</v>
      </c>
      <c r="AO137" s="6">
        <f t="shared" si="114"/>
        <v>0</v>
      </c>
      <c r="AP137" s="6">
        <f t="shared" si="115"/>
        <v>411</v>
      </c>
      <c r="AQ137" s="943">
        <f t="shared" si="116"/>
        <v>45.666666666666664</v>
      </c>
      <c r="AR137" s="943">
        <f t="shared" si="117"/>
        <v>0</v>
      </c>
      <c r="AS137" s="943">
        <f t="shared" si="118"/>
        <v>45.666666666666664</v>
      </c>
      <c r="BC137" s="64"/>
      <c r="BD137" s="64"/>
      <c r="BE137" s="64"/>
      <c r="BF137" s="64"/>
      <c r="BG137" s="64"/>
      <c r="BH137" s="64"/>
    </row>
    <row r="138" spans="1:60" s="6" customFormat="1">
      <c r="A138" s="6">
        <v>131</v>
      </c>
      <c r="B138" s="4" t="s">
        <v>267</v>
      </c>
      <c r="C138" s="1" t="s">
        <v>247</v>
      </c>
      <c r="D138" s="1" t="s">
        <v>268</v>
      </c>
      <c r="E138" s="2">
        <v>30</v>
      </c>
      <c r="H138" s="6">
        <f t="shared" si="119"/>
        <v>0</v>
      </c>
      <c r="I138" s="6">
        <v>25</v>
      </c>
      <c r="K138" s="6">
        <f t="shared" si="120"/>
        <v>25</v>
      </c>
      <c r="N138" s="6">
        <f t="shared" si="121"/>
        <v>0</v>
      </c>
      <c r="Q138" s="6">
        <f t="shared" si="122"/>
        <v>0</v>
      </c>
      <c r="T138" s="6">
        <f t="shared" si="100"/>
        <v>0</v>
      </c>
      <c r="U138" s="109">
        <v>11</v>
      </c>
      <c r="W138" s="6">
        <f t="shared" si="70"/>
        <v>11</v>
      </c>
      <c r="X138" s="88">
        <f t="shared" si="123"/>
        <v>36</v>
      </c>
      <c r="Y138" s="41">
        <f t="shared" si="124"/>
        <v>0</v>
      </c>
      <c r="Z138" s="41">
        <f t="shared" si="125"/>
        <v>36</v>
      </c>
      <c r="AA138" s="42">
        <f t="shared" si="126"/>
        <v>6</v>
      </c>
      <c r="AB138" s="42">
        <f t="shared" si="127"/>
        <v>0</v>
      </c>
      <c r="AC138" s="42">
        <f t="shared" si="128"/>
        <v>6</v>
      </c>
      <c r="AD138" s="35" t="s">
        <v>18</v>
      </c>
      <c r="AG138" s="6">
        <f t="shared" si="110"/>
        <v>0</v>
      </c>
      <c r="AH138" s="6">
        <v>16</v>
      </c>
      <c r="AJ138" s="98">
        <f t="shared" si="111"/>
        <v>16</v>
      </c>
      <c r="AK138" s="6">
        <v>9</v>
      </c>
      <c r="AM138" s="98">
        <f t="shared" si="112"/>
        <v>9</v>
      </c>
      <c r="AN138" s="6">
        <f t="shared" si="113"/>
        <v>61</v>
      </c>
      <c r="AO138" s="6">
        <f t="shared" si="114"/>
        <v>0</v>
      </c>
      <c r="AP138" s="6">
        <f t="shared" si="115"/>
        <v>61</v>
      </c>
      <c r="AQ138" s="943">
        <f t="shared" si="116"/>
        <v>6.7777777777777777</v>
      </c>
      <c r="AR138" s="943">
        <f t="shared" si="117"/>
        <v>0</v>
      </c>
      <c r="AS138" s="943">
        <f t="shared" si="118"/>
        <v>6.7777777777777777</v>
      </c>
      <c r="BC138" s="64"/>
      <c r="BD138" s="64"/>
      <c r="BE138" s="64"/>
      <c r="BF138" s="64"/>
      <c r="BG138" s="64"/>
      <c r="BH138" s="64"/>
    </row>
    <row r="139" spans="1:60" s="6" customFormat="1">
      <c r="A139" s="1">
        <v>132</v>
      </c>
      <c r="B139" s="4" t="s">
        <v>269</v>
      </c>
      <c r="C139" s="1" t="s">
        <v>247</v>
      </c>
      <c r="D139" s="1" t="s">
        <v>270</v>
      </c>
      <c r="E139" s="2">
        <v>35</v>
      </c>
      <c r="F139" s="6">
        <v>49</v>
      </c>
      <c r="H139" s="6">
        <f t="shared" si="119"/>
        <v>49</v>
      </c>
      <c r="I139" s="6">
        <v>6</v>
      </c>
      <c r="K139" s="6">
        <f t="shared" si="120"/>
        <v>6</v>
      </c>
      <c r="N139" s="6">
        <f t="shared" si="121"/>
        <v>0</v>
      </c>
      <c r="O139" s="6">
        <v>21</v>
      </c>
      <c r="Q139" s="6">
        <f t="shared" si="122"/>
        <v>21</v>
      </c>
      <c r="R139" s="6">
        <v>41</v>
      </c>
      <c r="T139" s="6">
        <f t="shared" si="100"/>
        <v>41</v>
      </c>
      <c r="U139" s="109">
        <v>16</v>
      </c>
      <c r="W139" s="6">
        <f t="shared" ref="W139:W174" si="129">SUM(U139:V139)</f>
        <v>16</v>
      </c>
      <c r="X139" s="88">
        <f t="shared" si="123"/>
        <v>133</v>
      </c>
      <c r="Y139" s="41">
        <f t="shared" si="124"/>
        <v>0</v>
      </c>
      <c r="Z139" s="41">
        <f t="shared" si="125"/>
        <v>133</v>
      </c>
      <c r="AA139" s="42">
        <f t="shared" si="126"/>
        <v>22.166666666666668</v>
      </c>
      <c r="AB139" s="42">
        <f t="shared" si="127"/>
        <v>0</v>
      </c>
      <c r="AC139" s="42">
        <f t="shared" si="128"/>
        <v>22.166666666666668</v>
      </c>
      <c r="AD139" s="35" t="s">
        <v>15</v>
      </c>
      <c r="AE139" s="6">
        <v>64</v>
      </c>
      <c r="AG139" s="6">
        <f t="shared" si="110"/>
        <v>64</v>
      </c>
      <c r="AJ139" s="98">
        <f t="shared" si="111"/>
        <v>0</v>
      </c>
      <c r="AK139" s="6">
        <v>6</v>
      </c>
      <c r="AM139" s="98">
        <f t="shared" si="112"/>
        <v>6</v>
      </c>
      <c r="AN139" s="6">
        <f t="shared" si="113"/>
        <v>203</v>
      </c>
      <c r="AO139" s="6">
        <f t="shared" si="114"/>
        <v>0</v>
      </c>
      <c r="AP139" s="6">
        <f t="shared" si="115"/>
        <v>203</v>
      </c>
      <c r="AQ139" s="943">
        <f t="shared" si="116"/>
        <v>22.555555555555557</v>
      </c>
      <c r="AR139" s="943">
        <f t="shared" si="117"/>
        <v>0</v>
      </c>
      <c r="AS139" s="943">
        <f t="shared" si="118"/>
        <v>22.555555555555557</v>
      </c>
      <c r="BC139" s="64"/>
      <c r="BD139" s="64"/>
      <c r="BE139" s="64"/>
      <c r="BF139" s="64"/>
      <c r="BG139" s="64"/>
      <c r="BH139" s="64"/>
    </row>
    <row r="140" spans="1:60" s="6" customFormat="1">
      <c r="A140" s="6">
        <v>133</v>
      </c>
      <c r="B140" s="4" t="s">
        <v>271</v>
      </c>
      <c r="C140" s="1" t="s">
        <v>247</v>
      </c>
      <c r="D140" s="1" t="s">
        <v>272</v>
      </c>
      <c r="E140" s="2">
        <v>10</v>
      </c>
      <c r="F140" s="6">
        <v>13</v>
      </c>
      <c r="H140" s="6">
        <f t="shared" si="119"/>
        <v>13</v>
      </c>
      <c r="K140" s="6">
        <f t="shared" si="120"/>
        <v>0</v>
      </c>
      <c r="L140" s="6">
        <v>15</v>
      </c>
      <c r="N140" s="6">
        <f t="shared" si="121"/>
        <v>15</v>
      </c>
      <c r="O140" s="6">
        <v>10</v>
      </c>
      <c r="Q140" s="6">
        <f t="shared" si="122"/>
        <v>10</v>
      </c>
      <c r="R140" s="6">
        <v>20</v>
      </c>
      <c r="T140" s="6">
        <f t="shared" si="100"/>
        <v>20</v>
      </c>
      <c r="U140" s="109"/>
      <c r="W140" s="6">
        <f t="shared" si="129"/>
        <v>0</v>
      </c>
      <c r="X140" s="88">
        <f t="shared" si="123"/>
        <v>58</v>
      </c>
      <c r="Y140" s="41">
        <f t="shared" si="124"/>
        <v>0</v>
      </c>
      <c r="Z140" s="41">
        <f t="shared" si="125"/>
        <v>58</v>
      </c>
      <c r="AA140" s="42">
        <f t="shared" si="126"/>
        <v>9.6666666666666661</v>
      </c>
      <c r="AB140" s="42">
        <f t="shared" si="127"/>
        <v>0</v>
      </c>
      <c r="AC140" s="42">
        <f t="shared" si="128"/>
        <v>9.6666666666666661</v>
      </c>
      <c r="AD140" s="35" t="s">
        <v>15</v>
      </c>
      <c r="AE140" s="6">
        <v>11</v>
      </c>
      <c r="AG140" s="6">
        <f t="shared" si="110"/>
        <v>11</v>
      </c>
      <c r="AH140" s="6">
        <v>10</v>
      </c>
      <c r="AJ140" s="98">
        <f t="shared" si="111"/>
        <v>10</v>
      </c>
      <c r="AK140" s="6">
        <v>10</v>
      </c>
      <c r="AM140" s="98">
        <f t="shared" si="112"/>
        <v>10</v>
      </c>
      <c r="AN140" s="6">
        <f t="shared" si="113"/>
        <v>89</v>
      </c>
      <c r="AO140" s="6">
        <f t="shared" si="114"/>
        <v>0</v>
      </c>
      <c r="AP140" s="6">
        <f t="shared" si="115"/>
        <v>89</v>
      </c>
      <c r="AQ140" s="943">
        <f t="shared" si="116"/>
        <v>9.8888888888888893</v>
      </c>
      <c r="AR140" s="943">
        <f t="shared" si="117"/>
        <v>0</v>
      </c>
      <c r="AS140" s="943">
        <f t="shared" si="118"/>
        <v>9.8888888888888893</v>
      </c>
      <c r="BC140" s="64"/>
      <c r="BD140" s="64"/>
      <c r="BE140" s="64"/>
      <c r="BF140" s="64"/>
      <c r="BG140" s="64"/>
      <c r="BH140" s="64"/>
    </row>
    <row r="141" spans="1:60" s="6" customFormat="1">
      <c r="A141" s="1">
        <v>134</v>
      </c>
      <c r="B141" s="4" t="s">
        <v>273</v>
      </c>
      <c r="C141" s="1" t="s">
        <v>247</v>
      </c>
      <c r="D141" s="1" t="s">
        <v>274</v>
      </c>
      <c r="E141" s="2">
        <v>20</v>
      </c>
      <c r="H141" s="6">
        <f t="shared" si="119"/>
        <v>0</v>
      </c>
      <c r="K141" s="6">
        <f t="shared" si="120"/>
        <v>0</v>
      </c>
      <c r="L141" s="6">
        <v>33</v>
      </c>
      <c r="N141" s="6">
        <f t="shared" si="121"/>
        <v>33</v>
      </c>
      <c r="Q141" s="6">
        <f t="shared" si="122"/>
        <v>0</v>
      </c>
      <c r="R141" s="6">
        <v>28</v>
      </c>
      <c r="T141" s="6">
        <f t="shared" si="100"/>
        <v>28</v>
      </c>
      <c r="U141" s="109">
        <v>29</v>
      </c>
      <c r="W141" s="6">
        <f t="shared" si="129"/>
        <v>29</v>
      </c>
      <c r="X141" s="88">
        <f t="shared" si="123"/>
        <v>90</v>
      </c>
      <c r="Y141" s="41">
        <f t="shared" si="124"/>
        <v>0</v>
      </c>
      <c r="Z141" s="41">
        <f t="shared" si="125"/>
        <v>90</v>
      </c>
      <c r="AA141" s="42">
        <f t="shared" si="126"/>
        <v>15</v>
      </c>
      <c r="AB141" s="42">
        <f t="shared" si="127"/>
        <v>0</v>
      </c>
      <c r="AC141" s="42">
        <f t="shared" si="128"/>
        <v>15</v>
      </c>
      <c r="AD141" s="35" t="s">
        <v>15</v>
      </c>
      <c r="AE141" s="6">
        <v>28</v>
      </c>
      <c r="AG141" s="6">
        <f t="shared" si="110"/>
        <v>28</v>
      </c>
      <c r="AJ141" s="98">
        <f t="shared" si="111"/>
        <v>0</v>
      </c>
      <c r="AK141" s="6">
        <v>28</v>
      </c>
      <c r="AM141" s="98">
        <f t="shared" si="112"/>
        <v>28</v>
      </c>
      <c r="AN141" s="6">
        <f t="shared" si="113"/>
        <v>146</v>
      </c>
      <c r="AO141" s="6">
        <f t="shared" si="114"/>
        <v>0</v>
      </c>
      <c r="AP141" s="6">
        <f t="shared" si="115"/>
        <v>146</v>
      </c>
      <c r="AQ141" s="943">
        <f t="shared" si="116"/>
        <v>16.222222222222221</v>
      </c>
      <c r="AR141" s="943">
        <f t="shared" si="117"/>
        <v>0</v>
      </c>
      <c r="AS141" s="943">
        <f t="shared" si="118"/>
        <v>16.222222222222221</v>
      </c>
      <c r="BC141" s="64"/>
      <c r="BD141" s="64"/>
      <c r="BE141" s="64"/>
      <c r="BF141" s="64"/>
      <c r="BG141" s="64"/>
      <c r="BH141" s="64"/>
    </row>
    <row r="142" spans="1:60" s="6" customFormat="1" ht="15" customHeight="1">
      <c r="A142" s="6">
        <v>135</v>
      </c>
      <c r="B142" s="261" t="s">
        <v>2873</v>
      </c>
      <c r="C142" s="1" t="s">
        <v>247</v>
      </c>
      <c r="D142" s="1" t="s">
        <v>275</v>
      </c>
      <c r="E142" s="2">
        <v>20</v>
      </c>
      <c r="H142" s="6">
        <f t="shared" si="119"/>
        <v>0</v>
      </c>
      <c r="K142" s="6">
        <f t="shared" si="120"/>
        <v>0</v>
      </c>
      <c r="N142" s="6">
        <f t="shared" si="121"/>
        <v>0</v>
      </c>
      <c r="Q142" s="6">
        <f t="shared" si="122"/>
        <v>0</v>
      </c>
      <c r="T142" s="6">
        <f t="shared" si="100"/>
        <v>0</v>
      </c>
      <c r="U142" s="109"/>
      <c r="W142" s="6">
        <f t="shared" si="129"/>
        <v>0</v>
      </c>
      <c r="X142" s="88">
        <f t="shared" si="123"/>
        <v>0</v>
      </c>
      <c r="Y142" s="41">
        <f t="shared" si="124"/>
        <v>0</v>
      </c>
      <c r="Z142" s="41">
        <f t="shared" si="125"/>
        <v>0</v>
      </c>
      <c r="AA142" s="42">
        <f t="shared" si="126"/>
        <v>0</v>
      </c>
      <c r="AB142" s="42">
        <f t="shared" si="127"/>
        <v>0</v>
      </c>
      <c r="AC142" s="42">
        <f t="shared" si="128"/>
        <v>0</v>
      </c>
      <c r="AD142" s="35" t="s">
        <v>15</v>
      </c>
      <c r="AE142" s="900"/>
      <c r="AF142" s="900"/>
      <c r="AH142" s="900"/>
      <c r="AI142" s="900"/>
      <c r="AK142" s="900"/>
      <c r="AL142" s="900"/>
    </row>
    <row r="143" spans="1:60" s="6" customFormat="1">
      <c r="A143" s="1">
        <v>136</v>
      </c>
      <c r="B143" s="4" t="s">
        <v>207</v>
      </c>
      <c r="C143" s="1" t="s">
        <v>247</v>
      </c>
      <c r="D143" s="1" t="s">
        <v>276</v>
      </c>
      <c r="E143" s="2">
        <v>10</v>
      </c>
      <c r="F143" s="6">
        <v>10</v>
      </c>
      <c r="H143" s="6">
        <f t="shared" si="119"/>
        <v>10</v>
      </c>
      <c r="K143" s="6">
        <f t="shared" si="120"/>
        <v>0</v>
      </c>
      <c r="L143" s="6">
        <v>10</v>
      </c>
      <c r="N143" s="6">
        <f t="shared" si="121"/>
        <v>10</v>
      </c>
      <c r="Q143" s="6">
        <f t="shared" si="122"/>
        <v>0</v>
      </c>
      <c r="T143" s="6">
        <f t="shared" si="100"/>
        <v>0</v>
      </c>
      <c r="U143" s="109"/>
      <c r="W143" s="6">
        <f t="shared" si="129"/>
        <v>0</v>
      </c>
      <c r="X143" s="88">
        <f t="shared" si="123"/>
        <v>20</v>
      </c>
      <c r="Y143" s="41">
        <f t="shared" si="124"/>
        <v>0</v>
      </c>
      <c r="Z143" s="41">
        <f t="shared" si="125"/>
        <v>20</v>
      </c>
      <c r="AA143" s="42">
        <f t="shared" si="126"/>
        <v>3.3333333333333335</v>
      </c>
      <c r="AB143" s="42">
        <f t="shared" si="127"/>
        <v>0</v>
      </c>
      <c r="AC143" s="42">
        <f t="shared" si="128"/>
        <v>3.3333333333333335</v>
      </c>
      <c r="AD143" s="35" t="s">
        <v>15</v>
      </c>
      <c r="AG143" s="6">
        <f>AE143+AF143</f>
        <v>0</v>
      </c>
      <c r="AJ143" s="98">
        <f>AH143+AI143</f>
        <v>0</v>
      </c>
      <c r="AM143" s="98">
        <f>AK143+AL143</f>
        <v>0</v>
      </c>
      <c r="AN143" s="6">
        <f t="shared" ref="AN143:AP143" si="130">X143+AE143+AH143+AK143</f>
        <v>20</v>
      </c>
      <c r="AO143" s="6">
        <f t="shared" si="130"/>
        <v>0</v>
      </c>
      <c r="AP143" s="6">
        <f t="shared" si="130"/>
        <v>20</v>
      </c>
      <c r="AQ143" s="943">
        <f>AN143/9</f>
        <v>2.2222222222222223</v>
      </c>
      <c r="AR143" s="943">
        <f>AO143/9</f>
        <v>0</v>
      </c>
      <c r="AS143" s="943">
        <f>AP143/9</f>
        <v>2.2222222222222223</v>
      </c>
      <c r="BC143" s="64"/>
      <c r="BD143" s="64"/>
      <c r="BE143" s="64"/>
      <c r="BF143" s="64"/>
      <c r="BG143" s="64"/>
      <c r="BH143" s="64"/>
    </row>
    <row r="144" spans="1:60" s="6" customFormat="1" ht="15" customHeight="1">
      <c r="A144" s="6">
        <v>137</v>
      </c>
      <c r="B144" s="261" t="s">
        <v>2874</v>
      </c>
      <c r="C144" s="1" t="s">
        <v>247</v>
      </c>
      <c r="D144" s="1" t="s">
        <v>277</v>
      </c>
      <c r="E144" s="2">
        <v>20</v>
      </c>
      <c r="H144" s="6">
        <f t="shared" si="119"/>
        <v>0</v>
      </c>
      <c r="K144" s="6">
        <f t="shared" si="120"/>
        <v>0</v>
      </c>
      <c r="N144" s="6">
        <f t="shared" si="121"/>
        <v>0</v>
      </c>
      <c r="Q144" s="6">
        <f t="shared" si="122"/>
        <v>0</v>
      </c>
      <c r="T144" s="6">
        <f t="shared" si="100"/>
        <v>0</v>
      </c>
      <c r="U144" s="109"/>
      <c r="W144" s="6">
        <f t="shared" si="129"/>
        <v>0</v>
      </c>
      <c r="X144" s="88">
        <f t="shared" si="123"/>
        <v>0</v>
      </c>
      <c r="Y144" s="41">
        <f t="shared" si="124"/>
        <v>0</v>
      </c>
      <c r="Z144" s="41">
        <f t="shared" si="125"/>
        <v>0</v>
      </c>
      <c r="AA144" s="42">
        <f t="shared" si="126"/>
        <v>0</v>
      </c>
      <c r="AB144" s="42">
        <f t="shared" si="127"/>
        <v>0</v>
      </c>
      <c r="AC144" s="42">
        <f t="shared" si="128"/>
        <v>0</v>
      </c>
      <c r="AD144" s="35" t="s">
        <v>15</v>
      </c>
      <c r="AE144" s="900"/>
      <c r="AF144" s="900"/>
      <c r="AH144" s="900">
        <v>27</v>
      </c>
      <c r="AI144" s="900"/>
      <c r="AK144" s="900">
        <v>34</v>
      </c>
      <c r="AL144" s="900"/>
    </row>
    <row r="145" spans="1:60" s="6" customFormat="1">
      <c r="A145" s="1">
        <v>138</v>
      </c>
      <c r="B145" s="4" t="s">
        <v>278</v>
      </c>
      <c r="C145" s="1" t="s">
        <v>247</v>
      </c>
      <c r="D145" s="1" t="s">
        <v>279</v>
      </c>
      <c r="E145" s="2">
        <v>40</v>
      </c>
      <c r="F145" s="6">
        <v>40</v>
      </c>
      <c r="H145" s="6">
        <f t="shared" si="119"/>
        <v>40</v>
      </c>
      <c r="K145" s="6">
        <f t="shared" si="120"/>
        <v>0</v>
      </c>
      <c r="N145" s="6">
        <f t="shared" si="121"/>
        <v>0</v>
      </c>
      <c r="Q145" s="6">
        <f t="shared" si="122"/>
        <v>0</v>
      </c>
      <c r="T145" s="6">
        <f t="shared" si="100"/>
        <v>0</v>
      </c>
      <c r="U145" s="109">
        <v>0</v>
      </c>
      <c r="W145" s="6">
        <f t="shared" si="129"/>
        <v>0</v>
      </c>
      <c r="X145" s="88">
        <f t="shared" si="123"/>
        <v>40</v>
      </c>
      <c r="Y145" s="41">
        <f t="shared" si="124"/>
        <v>0</v>
      </c>
      <c r="Z145" s="41">
        <f t="shared" si="125"/>
        <v>40</v>
      </c>
      <c r="AA145" s="42">
        <f t="shared" si="126"/>
        <v>6.666666666666667</v>
      </c>
      <c r="AB145" s="42">
        <f t="shared" si="127"/>
        <v>0</v>
      </c>
      <c r="AC145" s="42">
        <f t="shared" si="128"/>
        <v>6.666666666666667</v>
      </c>
      <c r="AD145" s="35" t="s">
        <v>15</v>
      </c>
      <c r="AG145" s="6">
        <f t="shared" ref="AG145:AG149" si="131">AE145+AF145</f>
        <v>0</v>
      </c>
      <c r="AJ145" s="98">
        <f t="shared" ref="AJ145:AJ149" si="132">AH145+AI145</f>
        <v>0</v>
      </c>
      <c r="AK145" s="6">
        <v>30</v>
      </c>
      <c r="AM145" s="98">
        <f t="shared" ref="AM145:AM149" si="133">AK145+AL145</f>
        <v>30</v>
      </c>
      <c r="AN145" s="6">
        <f t="shared" ref="AN145:AN149" si="134">X145+AE145+AH145+AK145</f>
        <v>70</v>
      </c>
      <c r="AO145" s="6">
        <f t="shared" ref="AO145:AO149" si="135">Y145+AF145+AI145+AL145</f>
        <v>0</v>
      </c>
      <c r="AP145" s="6">
        <f t="shared" ref="AP145:AP149" si="136">Z145+AG145+AJ145+AM145</f>
        <v>70</v>
      </c>
      <c r="AQ145" s="943">
        <f t="shared" ref="AQ145:AQ149" si="137">AN145/9</f>
        <v>7.7777777777777777</v>
      </c>
      <c r="AR145" s="943">
        <f t="shared" ref="AR145:AR149" si="138">AO145/9</f>
        <v>0</v>
      </c>
      <c r="AS145" s="943">
        <f t="shared" ref="AS145:AS149" si="139">AP145/9</f>
        <v>7.7777777777777777</v>
      </c>
      <c r="BC145" s="64"/>
      <c r="BD145" s="64"/>
      <c r="BE145" s="64"/>
      <c r="BF145" s="64"/>
      <c r="BG145" s="64"/>
      <c r="BH145" s="64"/>
    </row>
    <row r="146" spans="1:60" s="6" customFormat="1">
      <c r="A146" s="6">
        <v>139</v>
      </c>
      <c r="B146" s="4" t="s">
        <v>280</v>
      </c>
      <c r="C146" s="1" t="s">
        <v>247</v>
      </c>
      <c r="D146" s="1" t="s">
        <v>281</v>
      </c>
      <c r="E146" s="2">
        <v>24</v>
      </c>
      <c r="F146" s="6">
        <v>25</v>
      </c>
      <c r="H146" s="6">
        <f t="shared" si="119"/>
        <v>25</v>
      </c>
      <c r="I146" s="6">
        <v>38</v>
      </c>
      <c r="K146" s="6">
        <f t="shared" si="120"/>
        <v>38</v>
      </c>
      <c r="L146" s="6">
        <v>36</v>
      </c>
      <c r="N146" s="6">
        <f t="shared" si="121"/>
        <v>36</v>
      </c>
      <c r="O146" s="6">
        <v>18</v>
      </c>
      <c r="Q146" s="6">
        <f t="shared" si="122"/>
        <v>18</v>
      </c>
      <c r="T146" s="6">
        <f t="shared" si="100"/>
        <v>0</v>
      </c>
      <c r="U146" s="109">
        <v>36</v>
      </c>
      <c r="W146" s="6">
        <f t="shared" si="129"/>
        <v>36</v>
      </c>
      <c r="X146" s="88">
        <f t="shared" si="123"/>
        <v>153</v>
      </c>
      <c r="Y146" s="41">
        <f t="shared" si="124"/>
        <v>0</v>
      </c>
      <c r="Z146" s="41">
        <f t="shared" si="125"/>
        <v>153</v>
      </c>
      <c r="AA146" s="42">
        <f t="shared" si="126"/>
        <v>25.5</v>
      </c>
      <c r="AB146" s="42">
        <f t="shared" si="127"/>
        <v>0</v>
      </c>
      <c r="AC146" s="42">
        <f t="shared" si="128"/>
        <v>25.5</v>
      </c>
      <c r="AD146" s="35" t="s">
        <v>15</v>
      </c>
      <c r="AE146" s="6">
        <v>37</v>
      </c>
      <c r="AG146" s="6">
        <f t="shared" si="131"/>
        <v>37</v>
      </c>
      <c r="AH146" s="6">
        <v>48</v>
      </c>
      <c r="AJ146" s="98">
        <f t="shared" si="132"/>
        <v>48</v>
      </c>
      <c r="AM146" s="98">
        <f t="shared" si="133"/>
        <v>0</v>
      </c>
      <c r="AN146" s="6">
        <f t="shared" si="134"/>
        <v>238</v>
      </c>
      <c r="AO146" s="6">
        <f t="shared" si="135"/>
        <v>0</v>
      </c>
      <c r="AP146" s="6">
        <f t="shared" si="136"/>
        <v>238</v>
      </c>
      <c r="AQ146" s="943">
        <f t="shared" si="137"/>
        <v>26.444444444444443</v>
      </c>
      <c r="AR146" s="943">
        <f t="shared" si="138"/>
        <v>0</v>
      </c>
      <c r="AS146" s="943">
        <f t="shared" si="139"/>
        <v>26.444444444444443</v>
      </c>
      <c r="BC146" s="64"/>
      <c r="BD146" s="64"/>
      <c r="BE146" s="64"/>
      <c r="BF146" s="64"/>
      <c r="BG146" s="64"/>
      <c r="BH146" s="64"/>
    </row>
    <row r="147" spans="1:60" s="6" customFormat="1">
      <c r="A147" s="1">
        <v>140</v>
      </c>
      <c r="B147" s="4" t="s">
        <v>282</v>
      </c>
      <c r="C147" s="1" t="s">
        <v>247</v>
      </c>
      <c r="D147" s="1" t="s">
        <v>283</v>
      </c>
      <c r="E147" s="2">
        <v>25</v>
      </c>
      <c r="F147" s="6">
        <v>20</v>
      </c>
      <c r="H147" s="6">
        <f t="shared" si="119"/>
        <v>20</v>
      </c>
      <c r="I147" s="6">
        <v>26</v>
      </c>
      <c r="K147" s="6">
        <f t="shared" si="120"/>
        <v>26</v>
      </c>
      <c r="N147" s="6">
        <f t="shared" si="121"/>
        <v>0</v>
      </c>
      <c r="O147" s="6">
        <v>26</v>
      </c>
      <c r="Q147" s="6">
        <f t="shared" si="122"/>
        <v>26</v>
      </c>
      <c r="R147" s="6">
        <v>29</v>
      </c>
      <c r="T147" s="6">
        <f t="shared" si="100"/>
        <v>29</v>
      </c>
      <c r="U147" s="109">
        <v>27</v>
      </c>
      <c r="W147" s="6">
        <f t="shared" si="129"/>
        <v>27</v>
      </c>
      <c r="X147" s="88">
        <f t="shared" si="123"/>
        <v>128</v>
      </c>
      <c r="Y147" s="41">
        <f t="shared" si="124"/>
        <v>0</v>
      </c>
      <c r="Z147" s="41">
        <f t="shared" si="125"/>
        <v>128</v>
      </c>
      <c r="AA147" s="42">
        <f t="shared" si="126"/>
        <v>21.333333333333332</v>
      </c>
      <c r="AB147" s="42">
        <f t="shared" si="127"/>
        <v>0</v>
      </c>
      <c r="AC147" s="42">
        <f t="shared" si="128"/>
        <v>21.333333333333332</v>
      </c>
      <c r="AD147" s="35" t="s">
        <v>15</v>
      </c>
      <c r="AE147" s="6">
        <v>19</v>
      </c>
      <c r="AG147" s="6">
        <f t="shared" si="131"/>
        <v>19</v>
      </c>
      <c r="AH147" s="6">
        <v>27</v>
      </c>
      <c r="AJ147" s="98">
        <f t="shared" si="132"/>
        <v>27</v>
      </c>
      <c r="AK147" s="6">
        <v>26</v>
      </c>
      <c r="AM147" s="98">
        <f t="shared" si="133"/>
        <v>26</v>
      </c>
      <c r="AN147" s="6">
        <f t="shared" si="134"/>
        <v>200</v>
      </c>
      <c r="AO147" s="6">
        <f t="shared" si="135"/>
        <v>0</v>
      </c>
      <c r="AP147" s="6">
        <f t="shared" si="136"/>
        <v>200</v>
      </c>
      <c r="AQ147" s="943">
        <f t="shared" si="137"/>
        <v>22.222222222222221</v>
      </c>
      <c r="AR147" s="943">
        <f t="shared" si="138"/>
        <v>0</v>
      </c>
      <c r="AS147" s="943">
        <f t="shared" si="139"/>
        <v>22.222222222222221</v>
      </c>
      <c r="BC147" s="64"/>
      <c r="BD147" s="64"/>
      <c r="BE147" s="64"/>
      <c r="BF147" s="64"/>
      <c r="BG147" s="64"/>
      <c r="BH147" s="64"/>
    </row>
    <row r="148" spans="1:60" s="6" customFormat="1">
      <c r="A148" s="6">
        <v>141</v>
      </c>
      <c r="B148" s="4" t="s">
        <v>284</v>
      </c>
      <c r="C148" s="1" t="s">
        <v>247</v>
      </c>
      <c r="D148" s="1" t="s">
        <v>285</v>
      </c>
      <c r="E148" s="2">
        <v>20</v>
      </c>
      <c r="F148" s="6">
        <v>25</v>
      </c>
      <c r="H148" s="6">
        <f t="shared" si="119"/>
        <v>25</v>
      </c>
      <c r="I148" s="6">
        <v>50</v>
      </c>
      <c r="K148" s="6">
        <f t="shared" si="120"/>
        <v>50</v>
      </c>
      <c r="L148" s="6">
        <v>53</v>
      </c>
      <c r="N148" s="6">
        <f t="shared" si="121"/>
        <v>53</v>
      </c>
      <c r="O148" s="6">
        <v>38</v>
      </c>
      <c r="Q148" s="6">
        <f t="shared" si="122"/>
        <v>38</v>
      </c>
      <c r="T148" s="6">
        <f t="shared" si="100"/>
        <v>0</v>
      </c>
      <c r="U148" s="109"/>
      <c r="W148" s="6">
        <f t="shared" si="129"/>
        <v>0</v>
      </c>
      <c r="X148" s="88">
        <f t="shared" si="123"/>
        <v>166</v>
      </c>
      <c r="Y148" s="41">
        <f t="shared" si="124"/>
        <v>0</v>
      </c>
      <c r="Z148" s="41">
        <f t="shared" si="125"/>
        <v>166</v>
      </c>
      <c r="AA148" s="42">
        <f t="shared" si="126"/>
        <v>27.666666666666668</v>
      </c>
      <c r="AB148" s="42">
        <f t="shared" si="127"/>
        <v>0</v>
      </c>
      <c r="AC148" s="42">
        <f t="shared" si="128"/>
        <v>27.666666666666668</v>
      </c>
      <c r="AD148" s="35" t="s">
        <v>286</v>
      </c>
      <c r="AE148" s="6">
        <v>35</v>
      </c>
      <c r="AG148" s="6">
        <f t="shared" si="131"/>
        <v>35</v>
      </c>
      <c r="AH148" s="6">
        <v>30</v>
      </c>
      <c r="AJ148" s="98">
        <f t="shared" si="132"/>
        <v>30</v>
      </c>
      <c r="AK148" s="6">
        <v>29</v>
      </c>
      <c r="AM148" s="98">
        <f t="shared" si="133"/>
        <v>29</v>
      </c>
      <c r="AN148" s="6">
        <f t="shared" si="134"/>
        <v>260</v>
      </c>
      <c r="AO148" s="6">
        <f t="shared" si="135"/>
        <v>0</v>
      </c>
      <c r="AP148" s="6">
        <f t="shared" si="136"/>
        <v>260</v>
      </c>
      <c r="AQ148" s="943">
        <f t="shared" si="137"/>
        <v>28.888888888888889</v>
      </c>
      <c r="AR148" s="943">
        <f t="shared" si="138"/>
        <v>0</v>
      </c>
      <c r="AS148" s="943">
        <f t="shared" si="139"/>
        <v>28.888888888888889</v>
      </c>
      <c r="BC148" s="64"/>
      <c r="BD148" s="64"/>
      <c r="BE148" s="64"/>
      <c r="BF148" s="64"/>
      <c r="BG148" s="64"/>
      <c r="BH148" s="64"/>
    </row>
    <row r="149" spans="1:60" s="6" customFormat="1">
      <c r="A149" s="1">
        <v>142</v>
      </c>
      <c r="B149" s="4" t="s">
        <v>287</v>
      </c>
      <c r="C149" s="1" t="s">
        <v>247</v>
      </c>
      <c r="D149" s="1" t="s">
        <v>288</v>
      </c>
      <c r="E149" s="2">
        <v>100</v>
      </c>
      <c r="F149" s="6">
        <v>18</v>
      </c>
      <c r="G149" s="6">
        <v>18</v>
      </c>
      <c r="H149" s="6">
        <f t="shared" si="119"/>
        <v>36</v>
      </c>
      <c r="I149" s="6">
        <v>190</v>
      </c>
      <c r="K149" s="6">
        <f t="shared" si="120"/>
        <v>190</v>
      </c>
      <c r="L149" s="6">
        <v>25</v>
      </c>
      <c r="N149" s="6">
        <f t="shared" si="121"/>
        <v>25</v>
      </c>
      <c r="O149" s="6">
        <v>162</v>
      </c>
      <c r="Q149" s="6">
        <f t="shared" si="122"/>
        <v>162</v>
      </c>
      <c r="R149" s="6">
        <v>40</v>
      </c>
      <c r="T149" s="6">
        <f t="shared" si="100"/>
        <v>40</v>
      </c>
      <c r="U149" s="109"/>
      <c r="W149" s="6">
        <f t="shared" si="129"/>
        <v>0</v>
      </c>
      <c r="X149" s="88">
        <f t="shared" si="123"/>
        <v>435</v>
      </c>
      <c r="Y149" s="41">
        <f t="shared" si="124"/>
        <v>18</v>
      </c>
      <c r="Z149" s="41">
        <f t="shared" si="125"/>
        <v>453</v>
      </c>
      <c r="AA149" s="42">
        <f t="shared" si="126"/>
        <v>72.5</v>
      </c>
      <c r="AB149" s="42">
        <f t="shared" si="127"/>
        <v>3</v>
      </c>
      <c r="AC149" s="42">
        <f t="shared" si="128"/>
        <v>75.5</v>
      </c>
      <c r="AD149" s="35" t="s">
        <v>15</v>
      </c>
      <c r="AG149" s="6">
        <f t="shared" si="131"/>
        <v>0</v>
      </c>
      <c r="AJ149" s="98">
        <f t="shared" si="132"/>
        <v>0</v>
      </c>
      <c r="AM149" s="98">
        <f t="shared" si="133"/>
        <v>0</v>
      </c>
      <c r="AN149" s="6">
        <f t="shared" si="134"/>
        <v>435</v>
      </c>
      <c r="AO149" s="6">
        <f t="shared" si="135"/>
        <v>18</v>
      </c>
      <c r="AP149" s="6">
        <f t="shared" si="136"/>
        <v>453</v>
      </c>
      <c r="AQ149" s="943">
        <f t="shared" si="137"/>
        <v>48.333333333333336</v>
      </c>
      <c r="AR149" s="943">
        <f t="shared" si="138"/>
        <v>2</v>
      </c>
      <c r="AS149" s="943">
        <f t="shared" si="139"/>
        <v>50.333333333333336</v>
      </c>
      <c r="BC149" s="64"/>
      <c r="BD149" s="64"/>
      <c r="BE149" s="64"/>
      <c r="BF149" s="64"/>
      <c r="BG149" s="64"/>
      <c r="BH149" s="64"/>
    </row>
    <row r="150" spans="1:60" s="6" customFormat="1" ht="15" customHeight="1">
      <c r="A150" s="6">
        <v>143</v>
      </c>
      <c r="B150" s="4"/>
      <c r="C150" s="1" t="s">
        <v>247</v>
      </c>
      <c r="D150" s="1"/>
      <c r="E150" s="2"/>
      <c r="H150" s="6">
        <f t="shared" si="119"/>
        <v>0</v>
      </c>
      <c r="K150" s="6">
        <f t="shared" si="120"/>
        <v>0</v>
      </c>
      <c r="N150" s="6">
        <f t="shared" si="121"/>
        <v>0</v>
      </c>
      <c r="Q150" s="6">
        <f t="shared" si="122"/>
        <v>0</v>
      </c>
      <c r="T150" s="6">
        <f t="shared" si="100"/>
        <v>0</v>
      </c>
      <c r="U150" s="109"/>
      <c r="W150" s="6">
        <f t="shared" si="129"/>
        <v>0</v>
      </c>
      <c r="X150" s="88">
        <f t="shared" si="123"/>
        <v>0</v>
      </c>
      <c r="Y150" s="41">
        <f t="shared" si="124"/>
        <v>0</v>
      </c>
      <c r="Z150" s="41">
        <f t="shared" si="125"/>
        <v>0</v>
      </c>
      <c r="AA150" s="42">
        <f t="shared" si="126"/>
        <v>0</v>
      </c>
      <c r="AB150" s="42">
        <f t="shared" si="127"/>
        <v>0</v>
      </c>
      <c r="AC150" s="42">
        <f t="shared" si="128"/>
        <v>0</v>
      </c>
      <c r="AD150" s="35" t="s">
        <v>289</v>
      </c>
      <c r="AE150" s="900"/>
      <c r="AF150" s="900"/>
      <c r="AH150" s="900"/>
      <c r="AI150" s="900"/>
      <c r="AK150" s="900"/>
      <c r="AL150" s="900"/>
    </row>
    <row r="151" spans="1:60" s="19" customFormat="1" ht="15.75">
      <c r="A151" s="1">
        <v>144</v>
      </c>
      <c r="B151" s="43" t="s">
        <v>290</v>
      </c>
      <c r="C151" s="19" t="s">
        <v>247</v>
      </c>
      <c r="D151" s="19" t="s">
        <v>291</v>
      </c>
      <c r="E151" s="19">
        <v>216</v>
      </c>
      <c r="F151" s="19">
        <v>454</v>
      </c>
      <c r="H151" s="19">
        <f t="shared" si="119"/>
        <v>454</v>
      </c>
      <c r="I151" s="19">
        <v>428</v>
      </c>
      <c r="J151" s="19">
        <v>36</v>
      </c>
      <c r="K151" s="19">
        <f t="shared" si="120"/>
        <v>464</v>
      </c>
      <c r="L151" s="19">
        <v>418</v>
      </c>
      <c r="M151" s="19">
        <v>36</v>
      </c>
      <c r="N151" s="19">
        <f t="shared" si="121"/>
        <v>454</v>
      </c>
      <c r="O151" s="19">
        <v>292</v>
      </c>
      <c r="P151" s="19">
        <v>15</v>
      </c>
      <c r="Q151" s="19">
        <f t="shared" si="122"/>
        <v>307</v>
      </c>
      <c r="R151" s="19">
        <v>600</v>
      </c>
      <c r="S151" s="19">
        <v>6</v>
      </c>
      <c r="T151" s="19">
        <f t="shared" si="100"/>
        <v>606</v>
      </c>
      <c r="U151" s="110">
        <v>512</v>
      </c>
      <c r="W151" s="19">
        <f t="shared" si="129"/>
        <v>512</v>
      </c>
      <c r="X151" s="89">
        <f t="shared" si="123"/>
        <v>2704</v>
      </c>
      <c r="Y151" s="44">
        <f t="shared" si="124"/>
        <v>93</v>
      </c>
      <c r="Z151" s="44">
        <f t="shared" si="125"/>
        <v>2797</v>
      </c>
      <c r="AA151" s="45">
        <f t="shared" si="126"/>
        <v>450.66666666666669</v>
      </c>
      <c r="AB151" s="45">
        <f t="shared" si="127"/>
        <v>15.5</v>
      </c>
      <c r="AC151" s="45">
        <f t="shared" si="128"/>
        <v>466.16666666666669</v>
      </c>
      <c r="AD151" s="46" t="s">
        <v>18</v>
      </c>
      <c r="AE151" s="19">
        <v>300</v>
      </c>
      <c r="AF151" s="19">
        <v>18</v>
      </c>
      <c r="AG151" s="19">
        <f>AE151+AF151</f>
        <v>318</v>
      </c>
      <c r="AH151" s="19">
        <v>344</v>
      </c>
      <c r="AI151" s="19">
        <v>18</v>
      </c>
      <c r="AJ151" s="100">
        <f t="shared" ref="AJ151:AJ158" si="140">AH151+AI151</f>
        <v>362</v>
      </c>
      <c r="AK151" s="19">
        <v>594</v>
      </c>
      <c r="AL151" s="19">
        <v>6</v>
      </c>
      <c r="AM151" s="100">
        <f t="shared" ref="AM151:AM158" si="141">AK151+AL151</f>
        <v>600</v>
      </c>
      <c r="AN151" s="19">
        <f t="shared" ref="AN151:AN158" si="142">X151+AE151+AH151+AK151</f>
        <v>3942</v>
      </c>
      <c r="AO151" s="19">
        <f t="shared" ref="AO151:AO158" si="143">Y151+AF151+AI151+AL151</f>
        <v>135</v>
      </c>
      <c r="AP151" s="19">
        <f t="shared" ref="AP151:AP158" si="144">Z151+AG151+AJ151+AM151</f>
        <v>4077</v>
      </c>
      <c r="AQ151" s="703">
        <f t="shared" ref="AQ151:AQ158" si="145">AN151/9</f>
        <v>438</v>
      </c>
      <c r="AR151" s="703">
        <f t="shared" ref="AR151:AR158" si="146">AO151/9</f>
        <v>15</v>
      </c>
      <c r="AS151" s="703">
        <f t="shared" ref="AS151:AS158" si="147">AP151/9</f>
        <v>453</v>
      </c>
      <c r="BC151" s="64"/>
      <c r="BD151" s="64"/>
      <c r="BE151" s="64"/>
      <c r="BF151" s="64"/>
      <c r="BG151" s="64"/>
      <c r="BH151" s="64"/>
    </row>
    <row r="152" spans="1:60" s="6" customFormat="1">
      <c r="A152" s="6">
        <v>145</v>
      </c>
      <c r="B152" s="3" t="s">
        <v>292</v>
      </c>
      <c r="C152" s="1" t="s">
        <v>293</v>
      </c>
      <c r="D152" s="1" t="s">
        <v>294</v>
      </c>
      <c r="E152" s="2">
        <v>30</v>
      </c>
      <c r="H152" s="6">
        <f t="shared" si="119"/>
        <v>0</v>
      </c>
      <c r="K152" s="6">
        <f t="shared" si="120"/>
        <v>0</v>
      </c>
      <c r="L152" s="6">
        <v>22</v>
      </c>
      <c r="N152" s="6">
        <f t="shared" si="121"/>
        <v>22</v>
      </c>
      <c r="O152" s="6">
        <v>50</v>
      </c>
      <c r="Q152" s="6">
        <f t="shared" si="122"/>
        <v>50</v>
      </c>
      <c r="T152" s="6">
        <f t="shared" si="100"/>
        <v>0</v>
      </c>
      <c r="U152" s="109">
        <v>30</v>
      </c>
      <c r="W152" s="6">
        <f t="shared" si="129"/>
        <v>30</v>
      </c>
      <c r="X152" s="88">
        <f t="shared" si="123"/>
        <v>102</v>
      </c>
      <c r="Y152" s="41">
        <f t="shared" si="124"/>
        <v>0</v>
      </c>
      <c r="Z152" s="41">
        <f t="shared" si="125"/>
        <v>102</v>
      </c>
      <c r="AA152" s="42">
        <f t="shared" si="126"/>
        <v>17</v>
      </c>
      <c r="AB152" s="42">
        <f t="shared" si="127"/>
        <v>0</v>
      </c>
      <c r="AC152" s="42">
        <f t="shared" si="128"/>
        <v>17</v>
      </c>
      <c r="AD152" s="35" t="s">
        <v>15</v>
      </c>
      <c r="AG152" s="6">
        <f t="shared" ref="AG152:AG158" si="148">AE152+AF152</f>
        <v>0</v>
      </c>
      <c r="AH152" s="6">
        <v>76</v>
      </c>
      <c r="AJ152" s="98">
        <f t="shared" si="140"/>
        <v>76</v>
      </c>
      <c r="AM152" s="98">
        <f t="shared" si="141"/>
        <v>0</v>
      </c>
      <c r="AN152" s="6">
        <f t="shared" si="142"/>
        <v>178</v>
      </c>
      <c r="AO152" s="6">
        <f t="shared" si="143"/>
        <v>0</v>
      </c>
      <c r="AP152" s="6">
        <f t="shared" si="144"/>
        <v>178</v>
      </c>
      <c r="AQ152" s="943">
        <f t="shared" si="145"/>
        <v>19.777777777777779</v>
      </c>
      <c r="AR152" s="943">
        <f t="shared" si="146"/>
        <v>0</v>
      </c>
      <c r="AS152" s="943">
        <f t="shared" si="147"/>
        <v>19.777777777777779</v>
      </c>
      <c r="BC152" s="64"/>
      <c r="BD152" s="64"/>
      <c r="BE152" s="64"/>
      <c r="BF152" s="64"/>
      <c r="BG152" s="64"/>
      <c r="BH152" s="64"/>
    </row>
    <row r="153" spans="1:60" s="6" customFormat="1">
      <c r="A153" s="1">
        <v>146</v>
      </c>
      <c r="B153" s="3" t="s">
        <v>295</v>
      </c>
      <c r="C153" s="1" t="s">
        <v>293</v>
      </c>
      <c r="D153" s="1" t="s">
        <v>296</v>
      </c>
      <c r="E153" s="2">
        <v>20</v>
      </c>
      <c r="F153" s="6">
        <v>20</v>
      </c>
      <c r="H153" s="6">
        <f t="shared" si="119"/>
        <v>20</v>
      </c>
      <c r="K153" s="6">
        <f t="shared" si="120"/>
        <v>0</v>
      </c>
      <c r="N153" s="6">
        <f t="shared" si="121"/>
        <v>0</v>
      </c>
      <c r="Q153" s="6">
        <f t="shared" si="122"/>
        <v>0</v>
      </c>
      <c r="T153" s="6">
        <f t="shared" si="100"/>
        <v>0</v>
      </c>
      <c r="U153" s="109"/>
      <c r="W153" s="6">
        <f t="shared" si="129"/>
        <v>0</v>
      </c>
      <c r="X153" s="88">
        <f t="shared" si="123"/>
        <v>20</v>
      </c>
      <c r="Y153" s="41">
        <f t="shared" si="124"/>
        <v>0</v>
      </c>
      <c r="Z153" s="41">
        <f t="shared" si="125"/>
        <v>20</v>
      </c>
      <c r="AA153" s="42">
        <f t="shared" si="126"/>
        <v>3.3333333333333335</v>
      </c>
      <c r="AB153" s="42">
        <f t="shared" si="127"/>
        <v>0</v>
      </c>
      <c r="AC153" s="42">
        <f t="shared" si="128"/>
        <v>3.3333333333333335</v>
      </c>
      <c r="AD153" s="35" t="s">
        <v>15</v>
      </c>
      <c r="AG153" s="6">
        <f t="shared" si="148"/>
        <v>0</v>
      </c>
      <c r="AJ153" s="98">
        <f t="shared" si="140"/>
        <v>0</v>
      </c>
      <c r="AK153" s="6">
        <v>20</v>
      </c>
      <c r="AM153" s="98">
        <f t="shared" si="141"/>
        <v>20</v>
      </c>
      <c r="AN153" s="6">
        <f t="shared" si="142"/>
        <v>40</v>
      </c>
      <c r="AO153" s="6">
        <f t="shared" si="143"/>
        <v>0</v>
      </c>
      <c r="AP153" s="6">
        <f t="shared" si="144"/>
        <v>40</v>
      </c>
      <c r="AQ153" s="943">
        <f t="shared" si="145"/>
        <v>4.4444444444444446</v>
      </c>
      <c r="AR153" s="943">
        <f t="shared" si="146"/>
        <v>0</v>
      </c>
      <c r="AS153" s="943">
        <f t="shared" si="147"/>
        <v>4.4444444444444446</v>
      </c>
      <c r="BC153" s="64"/>
      <c r="BD153" s="64"/>
      <c r="BE153" s="64"/>
      <c r="BF153" s="64"/>
      <c r="BG153" s="64"/>
      <c r="BH153" s="64"/>
    </row>
    <row r="154" spans="1:60" s="6" customFormat="1">
      <c r="A154" s="6">
        <v>147</v>
      </c>
      <c r="B154" s="4" t="s">
        <v>297</v>
      </c>
      <c r="C154" s="1" t="s">
        <v>293</v>
      </c>
      <c r="D154" s="1" t="s">
        <v>298</v>
      </c>
      <c r="E154" s="2">
        <v>120</v>
      </c>
      <c r="F154" s="6">
        <v>120</v>
      </c>
      <c r="G154" s="6">
        <v>36</v>
      </c>
      <c r="H154" s="6">
        <f t="shared" si="119"/>
        <v>156</v>
      </c>
      <c r="I154" s="6">
        <v>388</v>
      </c>
      <c r="J154" s="6">
        <v>72</v>
      </c>
      <c r="K154" s="6">
        <f t="shared" si="120"/>
        <v>460</v>
      </c>
      <c r="L154" s="6">
        <v>140</v>
      </c>
      <c r="M154" s="6">
        <v>36</v>
      </c>
      <c r="N154" s="6">
        <f t="shared" si="121"/>
        <v>176</v>
      </c>
      <c r="Q154" s="6">
        <f t="shared" si="122"/>
        <v>0</v>
      </c>
      <c r="R154" s="6">
        <v>40</v>
      </c>
      <c r="S154" s="6">
        <v>46</v>
      </c>
      <c r="T154" s="6">
        <f t="shared" si="100"/>
        <v>86</v>
      </c>
      <c r="U154" s="109"/>
      <c r="V154" s="6">
        <v>36</v>
      </c>
      <c r="W154" s="6">
        <f t="shared" si="129"/>
        <v>36</v>
      </c>
      <c r="X154" s="88">
        <f t="shared" si="123"/>
        <v>688</v>
      </c>
      <c r="Y154" s="41">
        <f t="shared" si="124"/>
        <v>226</v>
      </c>
      <c r="Z154" s="41">
        <f t="shared" si="125"/>
        <v>914</v>
      </c>
      <c r="AA154" s="42">
        <f t="shared" si="126"/>
        <v>114.66666666666667</v>
      </c>
      <c r="AB154" s="42">
        <f t="shared" si="127"/>
        <v>37.666666666666664</v>
      </c>
      <c r="AC154" s="42">
        <f t="shared" si="128"/>
        <v>152.33333333333334</v>
      </c>
      <c r="AD154" s="35" t="s">
        <v>18</v>
      </c>
      <c r="AE154" s="6">
        <v>176</v>
      </c>
      <c r="AF154" s="6">
        <v>36</v>
      </c>
      <c r="AG154" s="6">
        <f t="shared" si="148"/>
        <v>212</v>
      </c>
      <c r="AH154" s="6">
        <v>100</v>
      </c>
      <c r="AI154" s="6">
        <v>20</v>
      </c>
      <c r="AJ154" s="98">
        <f t="shared" si="140"/>
        <v>120</v>
      </c>
      <c r="AK154" s="6">
        <v>120</v>
      </c>
      <c r="AL154" s="6">
        <v>72</v>
      </c>
      <c r="AM154" s="98">
        <f t="shared" si="141"/>
        <v>192</v>
      </c>
      <c r="AN154" s="6">
        <f t="shared" si="142"/>
        <v>1084</v>
      </c>
      <c r="AO154" s="6">
        <f t="shared" si="143"/>
        <v>354</v>
      </c>
      <c r="AP154" s="6">
        <f t="shared" si="144"/>
        <v>1438</v>
      </c>
      <c r="AQ154" s="943">
        <f t="shared" si="145"/>
        <v>120.44444444444444</v>
      </c>
      <c r="AR154" s="943">
        <f t="shared" si="146"/>
        <v>39.333333333333336</v>
      </c>
      <c r="AS154" s="943">
        <f t="shared" si="147"/>
        <v>159.77777777777777</v>
      </c>
      <c r="BC154" s="64"/>
      <c r="BD154" s="64"/>
      <c r="BE154" s="64"/>
      <c r="BF154" s="64"/>
      <c r="BG154" s="64"/>
      <c r="BH154" s="64"/>
    </row>
    <row r="155" spans="1:60" s="6" customFormat="1">
      <c r="A155" s="1">
        <v>148</v>
      </c>
      <c r="B155" s="3" t="s">
        <v>299</v>
      </c>
      <c r="C155" s="1" t="s">
        <v>293</v>
      </c>
      <c r="D155" s="1" t="s">
        <v>300</v>
      </c>
      <c r="E155" s="2">
        <v>10</v>
      </c>
      <c r="F155" s="6">
        <v>10</v>
      </c>
      <c r="H155" s="6">
        <f t="shared" si="119"/>
        <v>10</v>
      </c>
      <c r="K155" s="6">
        <f t="shared" si="120"/>
        <v>0</v>
      </c>
      <c r="L155" s="6">
        <v>40</v>
      </c>
      <c r="N155" s="6">
        <f t="shared" si="121"/>
        <v>40</v>
      </c>
      <c r="Q155" s="6">
        <f t="shared" si="122"/>
        <v>0</v>
      </c>
      <c r="T155" s="6">
        <f t="shared" si="100"/>
        <v>0</v>
      </c>
      <c r="U155" s="109"/>
      <c r="W155" s="6">
        <f t="shared" si="129"/>
        <v>0</v>
      </c>
      <c r="X155" s="88">
        <f t="shared" si="123"/>
        <v>50</v>
      </c>
      <c r="Y155" s="41">
        <f t="shared" si="124"/>
        <v>0</v>
      </c>
      <c r="Z155" s="41">
        <f t="shared" si="125"/>
        <v>50</v>
      </c>
      <c r="AA155" s="42">
        <f t="shared" si="126"/>
        <v>8.3333333333333339</v>
      </c>
      <c r="AB155" s="42">
        <f t="shared" si="127"/>
        <v>0</v>
      </c>
      <c r="AC155" s="42">
        <f t="shared" si="128"/>
        <v>8.3333333333333339</v>
      </c>
      <c r="AD155" s="35" t="s">
        <v>15</v>
      </c>
      <c r="AG155" s="6">
        <f t="shared" si="148"/>
        <v>0</v>
      </c>
      <c r="AJ155" s="98">
        <f t="shared" si="140"/>
        <v>0</v>
      </c>
      <c r="AM155" s="98">
        <f t="shared" si="141"/>
        <v>0</v>
      </c>
      <c r="AN155" s="6">
        <f t="shared" si="142"/>
        <v>50</v>
      </c>
      <c r="AO155" s="6">
        <f t="shared" si="143"/>
        <v>0</v>
      </c>
      <c r="AP155" s="6">
        <f t="shared" si="144"/>
        <v>50</v>
      </c>
      <c r="AQ155" s="943">
        <f t="shared" si="145"/>
        <v>5.5555555555555554</v>
      </c>
      <c r="AR155" s="943">
        <f t="shared" si="146"/>
        <v>0</v>
      </c>
      <c r="AS155" s="943">
        <f t="shared" si="147"/>
        <v>5.5555555555555554</v>
      </c>
      <c r="BC155" s="64"/>
      <c r="BD155" s="64"/>
      <c r="BE155" s="64"/>
      <c r="BF155" s="64"/>
      <c r="BG155" s="64"/>
      <c r="BH155" s="64"/>
    </row>
    <row r="156" spans="1:60" s="6" customFormat="1">
      <c r="A156" s="6">
        <v>149</v>
      </c>
      <c r="B156" s="3" t="s">
        <v>301</v>
      </c>
      <c r="C156" s="1" t="s">
        <v>293</v>
      </c>
      <c r="D156" s="1" t="s">
        <v>302</v>
      </c>
      <c r="E156" s="2">
        <v>180</v>
      </c>
      <c r="F156" s="6">
        <v>150</v>
      </c>
      <c r="H156" s="6">
        <f t="shared" si="119"/>
        <v>150</v>
      </c>
      <c r="I156" s="6">
        <v>54</v>
      </c>
      <c r="J156" s="6">
        <v>54</v>
      </c>
      <c r="K156" s="6">
        <f t="shared" si="120"/>
        <v>108</v>
      </c>
      <c r="L156" s="6">
        <v>100</v>
      </c>
      <c r="M156" s="6">
        <v>62</v>
      </c>
      <c r="N156" s="6">
        <f t="shared" si="121"/>
        <v>162</v>
      </c>
      <c r="O156" s="6">
        <v>118</v>
      </c>
      <c r="P156" s="6">
        <f>72-64</f>
        <v>8</v>
      </c>
      <c r="Q156" s="6">
        <f t="shared" si="122"/>
        <v>126</v>
      </c>
      <c r="T156" s="6">
        <f t="shared" si="100"/>
        <v>0</v>
      </c>
      <c r="U156" s="109"/>
      <c r="V156" s="6">
        <v>36</v>
      </c>
      <c r="W156" s="6">
        <f t="shared" si="129"/>
        <v>36</v>
      </c>
      <c r="X156" s="88">
        <f t="shared" si="123"/>
        <v>422</v>
      </c>
      <c r="Y156" s="41">
        <f t="shared" si="124"/>
        <v>160</v>
      </c>
      <c r="Z156" s="41">
        <f t="shared" si="125"/>
        <v>582</v>
      </c>
      <c r="AA156" s="42">
        <f t="shared" si="126"/>
        <v>70.333333333333329</v>
      </c>
      <c r="AB156" s="42">
        <f t="shared" si="127"/>
        <v>26.666666666666668</v>
      </c>
      <c r="AC156" s="42">
        <f t="shared" si="128"/>
        <v>97</v>
      </c>
      <c r="AD156" s="35" t="s">
        <v>18</v>
      </c>
      <c r="AE156" s="6">
        <f>168-98</f>
        <v>70</v>
      </c>
      <c r="AF156" s="6">
        <v>36</v>
      </c>
      <c r="AG156" s="6">
        <f t="shared" si="148"/>
        <v>106</v>
      </c>
      <c r="AJ156" s="98">
        <f t="shared" si="140"/>
        <v>0</v>
      </c>
      <c r="AK156" s="6">
        <v>142</v>
      </c>
      <c r="AL156" s="6">
        <v>36</v>
      </c>
      <c r="AM156" s="98">
        <f t="shared" si="141"/>
        <v>178</v>
      </c>
      <c r="AN156" s="6">
        <f t="shared" si="142"/>
        <v>634</v>
      </c>
      <c r="AO156" s="6">
        <f t="shared" si="143"/>
        <v>232</v>
      </c>
      <c r="AP156" s="6">
        <f t="shared" si="144"/>
        <v>866</v>
      </c>
      <c r="AQ156" s="943">
        <f t="shared" si="145"/>
        <v>70.444444444444443</v>
      </c>
      <c r="AR156" s="943">
        <f t="shared" si="146"/>
        <v>25.777777777777779</v>
      </c>
      <c r="AS156" s="943">
        <f t="shared" si="147"/>
        <v>96.222222222222229</v>
      </c>
      <c r="BC156" s="64"/>
      <c r="BD156" s="64"/>
      <c r="BE156" s="64"/>
      <c r="BF156" s="64"/>
      <c r="BG156" s="64"/>
      <c r="BH156" s="64"/>
    </row>
    <row r="157" spans="1:60" s="6" customFormat="1">
      <c r="A157" s="1">
        <v>150</v>
      </c>
      <c r="B157" s="4" t="s">
        <v>303</v>
      </c>
      <c r="C157" s="1" t="s">
        <v>293</v>
      </c>
      <c r="D157" s="1" t="s">
        <v>304</v>
      </c>
      <c r="E157" s="2">
        <v>40</v>
      </c>
      <c r="F157" s="6">
        <v>76</v>
      </c>
      <c r="H157" s="6">
        <f t="shared" si="119"/>
        <v>76</v>
      </c>
      <c r="K157" s="6">
        <f t="shared" si="120"/>
        <v>0</v>
      </c>
      <c r="L157" s="6">
        <v>60</v>
      </c>
      <c r="N157" s="6">
        <f t="shared" si="121"/>
        <v>60</v>
      </c>
      <c r="O157" s="6">
        <v>60</v>
      </c>
      <c r="Q157" s="6">
        <f t="shared" si="122"/>
        <v>60</v>
      </c>
      <c r="T157" s="6">
        <f t="shared" si="100"/>
        <v>0</v>
      </c>
      <c r="U157" s="109"/>
      <c r="W157" s="6">
        <f t="shared" si="129"/>
        <v>0</v>
      </c>
      <c r="X157" s="88">
        <f t="shared" si="123"/>
        <v>196</v>
      </c>
      <c r="Y157" s="41">
        <f t="shared" si="124"/>
        <v>0</v>
      </c>
      <c r="Z157" s="41">
        <f t="shared" si="125"/>
        <v>196</v>
      </c>
      <c r="AA157" s="42">
        <f t="shared" si="126"/>
        <v>32.666666666666664</v>
      </c>
      <c r="AB157" s="42">
        <f t="shared" si="127"/>
        <v>0</v>
      </c>
      <c r="AC157" s="42">
        <f t="shared" si="128"/>
        <v>32.666666666666664</v>
      </c>
      <c r="AD157" s="35" t="s">
        <v>18</v>
      </c>
      <c r="AG157" s="6">
        <f t="shared" si="148"/>
        <v>0</v>
      </c>
      <c r="AH157" s="6">
        <v>40</v>
      </c>
      <c r="AJ157" s="98">
        <f t="shared" si="140"/>
        <v>40</v>
      </c>
      <c r="AM157" s="98">
        <f t="shared" si="141"/>
        <v>0</v>
      </c>
      <c r="AN157" s="6">
        <f t="shared" si="142"/>
        <v>236</v>
      </c>
      <c r="AO157" s="6">
        <f t="shared" si="143"/>
        <v>0</v>
      </c>
      <c r="AP157" s="6">
        <f t="shared" si="144"/>
        <v>236</v>
      </c>
      <c r="AQ157" s="943">
        <f t="shared" si="145"/>
        <v>26.222222222222221</v>
      </c>
      <c r="AR157" s="943">
        <f t="shared" si="146"/>
        <v>0</v>
      </c>
      <c r="AS157" s="943">
        <f t="shared" si="147"/>
        <v>26.222222222222221</v>
      </c>
      <c r="BC157" s="64"/>
      <c r="BD157" s="64"/>
      <c r="BE157" s="64"/>
      <c r="BF157" s="64"/>
      <c r="BG157" s="64"/>
      <c r="BH157" s="64"/>
    </row>
    <row r="158" spans="1:60" s="6" customFormat="1">
      <c r="A158" s="6">
        <v>151</v>
      </c>
      <c r="B158" s="4" t="s">
        <v>305</v>
      </c>
      <c r="C158" s="1" t="s">
        <v>293</v>
      </c>
      <c r="D158" s="1" t="s">
        <v>306</v>
      </c>
      <c r="E158" s="2">
        <v>30</v>
      </c>
      <c r="F158" s="6">
        <v>38</v>
      </c>
      <c r="H158" s="6">
        <f t="shared" si="119"/>
        <v>38</v>
      </c>
      <c r="I158" s="6">
        <v>40</v>
      </c>
      <c r="K158" s="6">
        <f t="shared" si="120"/>
        <v>40</v>
      </c>
      <c r="L158" s="6">
        <v>58</v>
      </c>
      <c r="N158" s="6">
        <f t="shared" si="121"/>
        <v>58</v>
      </c>
      <c r="O158" s="6">
        <v>36</v>
      </c>
      <c r="Q158" s="6">
        <f t="shared" si="122"/>
        <v>36</v>
      </c>
      <c r="T158" s="6">
        <f t="shared" si="100"/>
        <v>0</v>
      </c>
      <c r="U158" s="109">
        <v>10</v>
      </c>
      <c r="W158" s="6">
        <f t="shared" si="129"/>
        <v>10</v>
      </c>
      <c r="X158" s="88">
        <f t="shared" si="123"/>
        <v>182</v>
      </c>
      <c r="Y158" s="41">
        <f t="shared" si="124"/>
        <v>0</v>
      </c>
      <c r="Z158" s="41">
        <f t="shared" si="125"/>
        <v>182</v>
      </c>
      <c r="AA158" s="42">
        <f t="shared" si="126"/>
        <v>30.333333333333332</v>
      </c>
      <c r="AB158" s="42">
        <f t="shared" si="127"/>
        <v>0</v>
      </c>
      <c r="AC158" s="42">
        <f t="shared" si="128"/>
        <v>30.333333333333332</v>
      </c>
      <c r="AD158" s="35" t="s">
        <v>15</v>
      </c>
      <c r="AG158" s="6">
        <f t="shared" si="148"/>
        <v>0</v>
      </c>
      <c r="AJ158" s="98">
        <f t="shared" si="140"/>
        <v>0</v>
      </c>
      <c r="AK158" s="6">
        <v>20</v>
      </c>
      <c r="AM158" s="98">
        <f t="shared" si="141"/>
        <v>20</v>
      </c>
      <c r="AN158" s="6">
        <f t="shared" si="142"/>
        <v>202</v>
      </c>
      <c r="AO158" s="6">
        <f t="shared" si="143"/>
        <v>0</v>
      </c>
      <c r="AP158" s="6">
        <f t="shared" si="144"/>
        <v>202</v>
      </c>
      <c r="AQ158" s="943">
        <f t="shared" si="145"/>
        <v>22.444444444444443</v>
      </c>
      <c r="AR158" s="943">
        <f t="shared" si="146"/>
        <v>0</v>
      </c>
      <c r="AS158" s="943">
        <f t="shared" si="147"/>
        <v>22.444444444444443</v>
      </c>
      <c r="BC158" s="64"/>
      <c r="BD158" s="64"/>
      <c r="BE158" s="64"/>
      <c r="BF158" s="64"/>
      <c r="BG158" s="64"/>
      <c r="BH158" s="64"/>
    </row>
    <row r="159" spans="1:60" s="6" customFormat="1" ht="15" customHeight="1">
      <c r="A159" s="1">
        <v>152</v>
      </c>
      <c r="B159" s="261" t="s">
        <v>2875</v>
      </c>
      <c r="C159" s="1" t="s">
        <v>293</v>
      </c>
      <c r="D159" s="1" t="s">
        <v>307</v>
      </c>
      <c r="E159" s="2">
        <v>10</v>
      </c>
      <c r="H159" s="6">
        <f t="shared" si="119"/>
        <v>0</v>
      </c>
      <c r="K159" s="6">
        <f t="shared" si="120"/>
        <v>0</v>
      </c>
      <c r="N159" s="6">
        <f t="shared" si="121"/>
        <v>0</v>
      </c>
      <c r="Q159" s="6">
        <f t="shared" si="122"/>
        <v>0</v>
      </c>
      <c r="T159" s="6">
        <f t="shared" si="100"/>
        <v>0</v>
      </c>
      <c r="U159" s="109">
        <v>0</v>
      </c>
      <c r="W159" s="6">
        <f t="shared" si="129"/>
        <v>0</v>
      </c>
      <c r="X159" s="88">
        <f t="shared" si="123"/>
        <v>0</v>
      </c>
      <c r="Y159" s="41">
        <f t="shared" si="124"/>
        <v>0</v>
      </c>
      <c r="Z159" s="41">
        <f t="shared" si="125"/>
        <v>0</v>
      </c>
      <c r="AA159" s="42">
        <f t="shared" si="126"/>
        <v>0</v>
      </c>
      <c r="AB159" s="42">
        <f t="shared" si="127"/>
        <v>0</v>
      </c>
      <c r="AC159" s="42">
        <f t="shared" si="128"/>
        <v>0</v>
      </c>
      <c r="AD159" s="35" t="s">
        <v>15</v>
      </c>
      <c r="AE159" s="900"/>
      <c r="AF159" s="900"/>
      <c r="AH159" s="900"/>
      <c r="AI159" s="900"/>
      <c r="AK159" s="900">
        <v>10</v>
      </c>
      <c r="AL159" s="900"/>
    </row>
    <row r="160" spans="1:60" s="6" customFormat="1">
      <c r="A160" s="6">
        <v>153</v>
      </c>
      <c r="B160" s="3" t="s">
        <v>308</v>
      </c>
      <c r="C160" s="1" t="s">
        <v>293</v>
      </c>
      <c r="D160" s="1" t="s">
        <v>309</v>
      </c>
      <c r="E160" s="2">
        <v>100</v>
      </c>
      <c r="F160" s="6">
        <v>56</v>
      </c>
      <c r="H160" s="6">
        <f t="shared" si="119"/>
        <v>56</v>
      </c>
      <c r="K160" s="6">
        <f t="shared" si="120"/>
        <v>0</v>
      </c>
      <c r="L160" s="6">
        <v>96</v>
      </c>
      <c r="N160" s="6">
        <f t="shared" si="121"/>
        <v>96</v>
      </c>
      <c r="O160" s="6">
        <v>18</v>
      </c>
      <c r="Q160" s="6">
        <f t="shared" si="122"/>
        <v>18</v>
      </c>
      <c r="R160" s="6">
        <v>132</v>
      </c>
      <c r="T160" s="6">
        <f t="shared" si="100"/>
        <v>132</v>
      </c>
      <c r="U160" s="109"/>
      <c r="W160" s="6">
        <f t="shared" si="129"/>
        <v>0</v>
      </c>
      <c r="X160" s="88">
        <f t="shared" si="123"/>
        <v>302</v>
      </c>
      <c r="Y160" s="41">
        <f t="shared" si="124"/>
        <v>0</v>
      </c>
      <c r="Z160" s="41">
        <f t="shared" si="125"/>
        <v>302</v>
      </c>
      <c r="AA160" s="42">
        <f t="shared" si="126"/>
        <v>50.333333333333336</v>
      </c>
      <c r="AB160" s="42">
        <f t="shared" si="127"/>
        <v>0</v>
      </c>
      <c r="AC160" s="42">
        <f t="shared" si="128"/>
        <v>50.333333333333336</v>
      </c>
      <c r="AD160" s="35" t="s">
        <v>15</v>
      </c>
      <c r="AG160" s="6">
        <f t="shared" ref="AG160:AG172" si="149">AE160+AF160</f>
        <v>0</v>
      </c>
      <c r="AJ160" s="98">
        <f t="shared" ref="AJ160:AJ172" si="150">AH160+AI160</f>
        <v>0</v>
      </c>
      <c r="AM160" s="98">
        <f t="shared" ref="AM160:AM172" si="151">AK160+AL160</f>
        <v>0</v>
      </c>
      <c r="AN160" s="6">
        <f t="shared" ref="AN160:AN172" si="152">X160+AE160+AH160+AK160</f>
        <v>302</v>
      </c>
      <c r="AO160" s="6">
        <f t="shared" ref="AO160:AO172" si="153">Y160+AF160+AI160+AL160</f>
        <v>0</v>
      </c>
      <c r="AP160" s="6">
        <f t="shared" ref="AP160:AP172" si="154">Z160+AG160+AJ160+AM160</f>
        <v>302</v>
      </c>
      <c r="AQ160" s="943">
        <f t="shared" ref="AQ160:AQ172" si="155">AN160/9</f>
        <v>33.555555555555557</v>
      </c>
      <c r="AR160" s="943">
        <f t="shared" ref="AR160:AR172" si="156">AO160/9</f>
        <v>0</v>
      </c>
      <c r="AS160" s="943">
        <f t="shared" ref="AS160:AS172" si="157">AP160/9</f>
        <v>33.555555555555557</v>
      </c>
      <c r="BC160" s="64"/>
      <c r="BD160" s="64"/>
      <c r="BE160" s="64"/>
      <c r="BF160" s="64"/>
      <c r="BG160" s="64"/>
      <c r="BH160" s="64"/>
    </row>
    <row r="161" spans="1:60" s="6" customFormat="1">
      <c r="A161" s="1">
        <v>154</v>
      </c>
      <c r="B161" s="3" t="s">
        <v>310</v>
      </c>
      <c r="C161" s="1" t="s">
        <v>293</v>
      </c>
      <c r="D161" s="1" t="s">
        <v>311</v>
      </c>
      <c r="E161" s="2">
        <v>20</v>
      </c>
      <c r="F161" s="6">
        <v>20</v>
      </c>
      <c r="H161" s="6">
        <f t="shared" si="119"/>
        <v>20</v>
      </c>
      <c r="K161" s="6">
        <f t="shared" si="120"/>
        <v>0</v>
      </c>
      <c r="L161" s="6">
        <v>20</v>
      </c>
      <c r="N161" s="6">
        <f t="shared" si="121"/>
        <v>20</v>
      </c>
      <c r="Q161" s="6">
        <f t="shared" si="122"/>
        <v>0</v>
      </c>
      <c r="R161" s="6">
        <v>20</v>
      </c>
      <c r="T161" s="6">
        <f t="shared" si="100"/>
        <v>20</v>
      </c>
      <c r="U161" s="109"/>
      <c r="W161" s="6">
        <f t="shared" si="129"/>
        <v>0</v>
      </c>
      <c r="X161" s="88">
        <f t="shared" si="123"/>
        <v>60</v>
      </c>
      <c r="Y161" s="41">
        <f t="shared" si="124"/>
        <v>0</v>
      </c>
      <c r="Z161" s="41">
        <f t="shared" si="125"/>
        <v>60</v>
      </c>
      <c r="AA161" s="42">
        <f t="shared" si="126"/>
        <v>10</v>
      </c>
      <c r="AB161" s="42">
        <f t="shared" si="127"/>
        <v>0</v>
      </c>
      <c r="AC161" s="42">
        <f t="shared" si="128"/>
        <v>10</v>
      </c>
      <c r="AD161" s="35" t="s">
        <v>15</v>
      </c>
      <c r="AE161" s="6">
        <v>20</v>
      </c>
      <c r="AG161" s="6">
        <f t="shared" si="149"/>
        <v>20</v>
      </c>
      <c r="AJ161" s="98">
        <f t="shared" si="150"/>
        <v>0</v>
      </c>
      <c r="AK161" s="6">
        <v>20</v>
      </c>
      <c r="AM161" s="98">
        <f t="shared" si="151"/>
        <v>20</v>
      </c>
      <c r="AN161" s="6">
        <f t="shared" si="152"/>
        <v>100</v>
      </c>
      <c r="AO161" s="6">
        <f t="shared" si="153"/>
        <v>0</v>
      </c>
      <c r="AP161" s="6">
        <f t="shared" si="154"/>
        <v>100</v>
      </c>
      <c r="AQ161" s="943">
        <f t="shared" si="155"/>
        <v>11.111111111111111</v>
      </c>
      <c r="AR161" s="943">
        <f t="shared" si="156"/>
        <v>0</v>
      </c>
      <c r="AS161" s="943">
        <f t="shared" si="157"/>
        <v>11.111111111111111</v>
      </c>
      <c r="BC161" s="64"/>
      <c r="BD161" s="64"/>
      <c r="BE161" s="64"/>
      <c r="BF161" s="64"/>
      <c r="BG161" s="64"/>
      <c r="BH161" s="64"/>
    </row>
    <row r="162" spans="1:60" s="6" customFormat="1">
      <c r="A162" s="6">
        <v>155</v>
      </c>
      <c r="B162" s="3" t="s">
        <v>312</v>
      </c>
      <c r="C162" s="1" t="s">
        <v>293</v>
      </c>
      <c r="D162" s="1" t="s">
        <v>313</v>
      </c>
      <c r="E162" s="2">
        <v>20</v>
      </c>
      <c r="H162" s="6">
        <f t="shared" si="119"/>
        <v>0</v>
      </c>
      <c r="K162" s="6">
        <f t="shared" si="120"/>
        <v>0</v>
      </c>
      <c r="L162" s="6">
        <v>25</v>
      </c>
      <c r="N162" s="6">
        <f t="shared" si="121"/>
        <v>25</v>
      </c>
      <c r="O162" s="6">
        <v>18</v>
      </c>
      <c r="Q162" s="6">
        <f t="shared" si="122"/>
        <v>18</v>
      </c>
      <c r="R162" s="6">
        <v>20</v>
      </c>
      <c r="T162" s="6">
        <f t="shared" si="100"/>
        <v>20</v>
      </c>
      <c r="U162" s="109"/>
      <c r="W162" s="6">
        <f t="shared" si="129"/>
        <v>0</v>
      </c>
      <c r="X162" s="88">
        <f t="shared" si="123"/>
        <v>63</v>
      </c>
      <c r="Y162" s="41">
        <f t="shared" si="124"/>
        <v>0</v>
      </c>
      <c r="Z162" s="41">
        <f t="shared" si="125"/>
        <v>63</v>
      </c>
      <c r="AA162" s="42">
        <f t="shared" si="126"/>
        <v>10.5</v>
      </c>
      <c r="AB162" s="42">
        <f t="shared" si="127"/>
        <v>0</v>
      </c>
      <c r="AC162" s="42">
        <f t="shared" si="128"/>
        <v>10.5</v>
      </c>
      <c r="AD162" s="35" t="s">
        <v>15</v>
      </c>
      <c r="AE162" s="6">
        <v>15</v>
      </c>
      <c r="AG162" s="6">
        <f t="shared" si="149"/>
        <v>15</v>
      </c>
      <c r="AH162" s="6">
        <v>15</v>
      </c>
      <c r="AJ162" s="98">
        <f t="shared" si="150"/>
        <v>15</v>
      </c>
      <c r="AM162" s="98">
        <f t="shared" si="151"/>
        <v>0</v>
      </c>
      <c r="AN162" s="6">
        <f t="shared" si="152"/>
        <v>93</v>
      </c>
      <c r="AO162" s="6">
        <f t="shared" si="153"/>
        <v>0</v>
      </c>
      <c r="AP162" s="6">
        <f t="shared" si="154"/>
        <v>93</v>
      </c>
      <c r="AQ162" s="943">
        <f t="shared" si="155"/>
        <v>10.333333333333334</v>
      </c>
      <c r="AR162" s="943">
        <f t="shared" si="156"/>
        <v>0</v>
      </c>
      <c r="AS162" s="943">
        <f t="shared" si="157"/>
        <v>10.333333333333334</v>
      </c>
      <c r="BC162" s="64"/>
      <c r="BD162" s="64"/>
      <c r="BE162" s="64"/>
      <c r="BF162" s="64"/>
      <c r="BG162" s="64"/>
      <c r="BH162" s="64"/>
    </row>
    <row r="163" spans="1:60" s="6" customFormat="1">
      <c r="A163" s="1">
        <v>156</v>
      </c>
      <c r="B163" s="3" t="s">
        <v>314</v>
      </c>
      <c r="C163" s="1" t="s">
        <v>293</v>
      </c>
      <c r="D163" s="1" t="s">
        <v>315</v>
      </c>
      <c r="E163" s="2">
        <v>185</v>
      </c>
      <c r="F163" s="6">
        <v>356</v>
      </c>
      <c r="H163" s="6">
        <f t="shared" si="119"/>
        <v>356</v>
      </c>
      <c r="K163" s="6">
        <f t="shared" si="120"/>
        <v>0</v>
      </c>
      <c r="L163" s="6">
        <v>316</v>
      </c>
      <c r="N163" s="6">
        <f t="shared" si="121"/>
        <v>316</v>
      </c>
      <c r="Q163" s="6">
        <f t="shared" si="122"/>
        <v>0</v>
      </c>
      <c r="T163" s="6">
        <f t="shared" si="100"/>
        <v>0</v>
      </c>
      <c r="U163" s="109"/>
      <c r="W163" s="6">
        <f t="shared" si="129"/>
        <v>0</v>
      </c>
      <c r="X163" s="88">
        <f t="shared" si="123"/>
        <v>672</v>
      </c>
      <c r="Y163" s="41">
        <f t="shared" si="124"/>
        <v>0</v>
      </c>
      <c r="Z163" s="41">
        <f t="shared" si="125"/>
        <v>672</v>
      </c>
      <c r="AA163" s="42">
        <f t="shared" si="126"/>
        <v>112</v>
      </c>
      <c r="AB163" s="42">
        <f t="shared" si="127"/>
        <v>0</v>
      </c>
      <c r="AC163" s="42">
        <f t="shared" si="128"/>
        <v>112</v>
      </c>
      <c r="AD163" s="35" t="s">
        <v>15</v>
      </c>
      <c r="AG163" s="6">
        <f t="shared" si="149"/>
        <v>0</v>
      </c>
      <c r="AJ163" s="98">
        <f t="shared" si="150"/>
        <v>0</v>
      </c>
      <c r="AM163" s="98">
        <f t="shared" si="151"/>
        <v>0</v>
      </c>
      <c r="AN163" s="6">
        <f t="shared" si="152"/>
        <v>672</v>
      </c>
      <c r="AO163" s="6">
        <f t="shared" si="153"/>
        <v>0</v>
      </c>
      <c r="AP163" s="6">
        <f t="shared" si="154"/>
        <v>672</v>
      </c>
      <c r="AQ163" s="943">
        <f t="shared" si="155"/>
        <v>74.666666666666671</v>
      </c>
      <c r="AR163" s="943">
        <f t="shared" si="156"/>
        <v>0</v>
      </c>
      <c r="AS163" s="943">
        <f t="shared" si="157"/>
        <v>74.666666666666671</v>
      </c>
      <c r="BC163" s="64"/>
      <c r="BD163" s="64"/>
      <c r="BE163" s="64"/>
      <c r="BF163" s="64"/>
      <c r="BG163" s="64"/>
      <c r="BH163" s="64"/>
    </row>
    <row r="164" spans="1:60" s="6" customFormat="1">
      <c r="A164" s="6">
        <v>157</v>
      </c>
      <c r="B164" s="3" t="s">
        <v>316</v>
      </c>
      <c r="C164" s="1" t="s">
        <v>293</v>
      </c>
      <c r="D164" s="1" t="s">
        <v>317</v>
      </c>
      <c r="E164" s="2">
        <v>10</v>
      </c>
      <c r="F164" s="6">
        <v>10</v>
      </c>
      <c r="H164" s="6">
        <f t="shared" si="119"/>
        <v>10</v>
      </c>
      <c r="K164" s="6">
        <f t="shared" si="120"/>
        <v>0</v>
      </c>
      <c r="L164" s="6">
        <v>10</v>
      </c>
      <c r="N164" s="6">
        <f t="shared" si="121"/>
        <v>10</v>
      </c>
      <c r="Q164" s="6">
        <f t="shared" si="122"/>
        <v>0</v>
      </c>
      <c r="T164" s="6">
        <f t="shared" si="100"/>
        <v>0</v>
      </c>
      <c r="U164" s="109"/>
      <c r="W164" s="6">
        <f t="shared" si="129"/>
        <v>0</v>
      </c>
      <c r="X164" s="88">
        <f t="shared" si="123"/>
        <v>20</v>
      </c>
      <c r="Y164" s="41">
        <f t="shared" si="124"/>
        <v>0</v>
      </c>
      <c r="Z164" s="41">
        <f t="shared" si="125"/>
        <v>20</v>
      </c>
      <c r="AA164" s="42">
        <f t="shared" si="126"/>
        <v>3.3333333333333335</v>
      </c>
      <c r="AB164" s="42">
        <f t="shared" si="127"/>
        <v>0</v>
      </c>
      <c r="AC164" s="42">
        <f t="shared" si="128"/>
        <v>3.3333333333333335</v>
      </c>
      <c r="AD164" s="35" t="s">
        <v>15</v>
      </c>
      <c r="AG164" s="6">
        <f t="shared" si="149"/>
        <v>0</v>
      </c>
      <c r="AJ164" s="98">
        <f t="shared" si="150"/>
        <v>0</v>
      </c>
      <c r="AK164" s="6">
        <v>10</v>
      </c>
      <c r="AM164" s="98">
        <f t="shared" si="151"/>
        <v>10</v>
      </c>
      <c r="AN164" s="6">
        <f t="shared" si="152"/>
        <v>30</v>
      </c>
      <c r="AO164" s="6">
        <f t="shared" si="153"/>
        <v>0</v>
      </c>
      <c r="AP164" s="6">
        <f t="shared" si="154"/>
        <v>30</v>
      </c>
      <c r="AQ164" s="943">
        <f t="shared" si="155"/>
        <v>3.3333333333333335</v>
      </c>
      <c r="AR164" s="943">
        <f t="shared" si="156"/>
        <v>0</v>
      </c>
      <c r="AS164" s="943">
        <f t="shared" si="157"/>
        <v>3.3333333333333335</v>
      </c>
      <c r="BC164" s="64"/>
      <c r="BD164" s="64"/>
      <c r="BE164" s="64"/>
      <c r="BF164" s="64"/>
      <c r="BG164" s="64"/>
      <c r="BH164" s="64"/>
    </row>
    <row r="165" spans="1:60" s="6" customFormat="1">
      <c r="A165" s="1">
        <v>158</v>
      </c>
      <c r="B165" s="3" t="s">
        <v>318</v>
      </c>
      <c r="C165" s="1" t="s">
        <v>293</v>
      </c>
      <c r="D165" s="1" t="s">
        <v>319</v>
      </c>
      <c r="E165" s="2">
        <v>10</v>
      </c>
      <c r="F165" s="6">
        <v>10</v>
      </c>
      <c r="H165" s="6">
        <f t="shared" si="119"/>
        <v>10</v>
      </c>
      <c r="K165" s="6">
        <f t="shared" si="120"/>
        <v>0</v>
      </c>
      <c r="L165" s="6">
        <v>20</v>
      </c>
      <c r="N165" s="6">
        <f t="shared" si="121"/>
        <v>20</v>
      </c>
      <c r="Q165" s="6">
        <f t="shared" si="122"/>
        <v>0</v>
      </c>
      <c r="T165" s="6">
        <f t="shared" si="100"/>
        <v>0</v>
      </c>
      <c r="U165" s="109">
        <v>20</v>
      </c>
      <c r="W165" s="6">
        <f t="shared" si="129"/>
        <v>20</v>
      </c>
      <c r="X165" s="88">
        <f t="shared" si="123"/>
        <v>50</v>
      </c>
      <c r="Y165" s="41">
        <f t="shared" si="124"/>
        <v>0</v>
      </c>
      <c r="Z165" s="41">
        <f t="shared" si="125"/>
        <v>50</v>
      </c>
      <c r="AA165" s="42">
        <f t="shared" si="126"/>
        <v>8.3333333333333339</v>
      </c>
      <c r="AB165" s="42">
        <f t="shared" si="127"/>
        <v>0</v>
      </c>
      <c r="AC165" s="42">
        <f t="shared" si="128"/>
        <v>8.3333333333333339</v>
      </c>
      <c r="AD165" s="35" t="s">
        <v>15</v>
      </c>
      <c r="AG165" s="6">
        <f t="shared" si="149"/>
        <v>0</v>
      </c>
      <c r="AJ165" s="98">
        <f t="shared" si="150"/>
        <v>0</v>
      </c>
      <c r="AM165" s="98">
        <f t="shared" si="151"/>
        <v>0</v>
      </c>
      <c r="AN165" s="6">
        <f t="shared" si="152"/>
        <v>50</v>
      </c>
      <c r="AO165" s="6">
        <f t="shared" si="153"/>
        <v>0</v>
      </c>
      <c r="AP165" s="6">
        <f t="shared" si="154"/>
        <v>50</v>
      </c>
      <c r="AQ165" s="943">
        <f t="shared" si="155"/>
        <v>5.5555555555555554</v>
      </c>
      <c r="AR165" s="943">
        <f t="shared" si="156"/>
        <v>0</v>
      </c>
      <c r="AS165" s="943">
        <f t="shared" si="157"/>
        <v>5.5555555555555554</v>
      </c>
      <c r="BC165" s="64"/>
      <c r="BD165" s="64"/>
      <c r="BE165" s="64"/>
      <c r="BF165" s="64"/>
      <c r="BG165" s="64"/>
      <c r="BH165" s="64"/>
    </row>
    <row r="166" spans="1:60" s="6" customFormat="1">
      <c r="A166" s="6">
        <v>159</v>
      </c>
      <c r="B166" s="3" t="s">
        <v>320</v>
      </c>
      <c r="C166" s="1" t="s">
        <v>293</v>
      </c>
      <c r="D166" s="1" t="s">
        <v>321</v>
      </c>
      <c r="E166" s="2">
        <v>30</v>
      </c>
      <c r="H166" s="6">
        <f t="shared" si="119"/>
        <v>0</v>
      </c>
      <c r="K166" s="6">
        <f t="shared" si="120"/>
        <v>0</v>
      </c>
      <c r="L166" s="6">
        <v>136</v>
      </c>
      <c r="M166" s="6">
        <v>42</v>
      </c>
      <c r="N166" s="6">
        <f t="shared" si="121"/>
        <v>178</v>
      </c>
      <c r="O166" s="6">
        <v>82</v>
      </c>
      <c r="Q166" s="6">
        <f t="shared" si="122"/>
        <v>82</v>
      </c>
      <c r="T166" s="6">
        <f t="shared" si="100"/>
        <v>0</v>
      </c>
      <c r="U166" s="109"/>
      <c r="W166" s="6">
        <f t="shared" si="129"/>
        <v>0</v>
      </c>
      <c r="X166" s="88">
        <f t="shared" si="123"/>
        <v>218</v>
      </c>
      <c r="Y166" s="41">
        <f t="shared" si="124"/>
        <v>42</v>
      </c>
      <c r="Z166" s="41">
        <f t="shared" si="125"/>
        <v>260</v>
      </c>
      <c r="AA166" s="42">
        <f t="shared" si="126"/>
        <v>36.333333333333336</v>
      </c>
      <c r="AB166" s="42">
        <f t="shared" si="127"/>
        <v>7</v>
      </c>
      <c r="AC166" s="42">
        <f t="shared" si="128"/>
        <v>43.333333333333336</v>
      </c>
      <c r="AD166" s="35" t="s">
        <v>15</v>
      </c>
      <c r="AE166" s="6">
        <v>18</v>
      </c>
      <c r="AF166" s="6">
        <v>18</v>
      </c>
      <c r="AG166" s="6">
        <f t="shared" si="149"/>
        <v>36</v>
      </c>
      <c r="AJ166" s="98">
        <f t="shared" si="150"/>
        <v>0</v>
      </c>
      <c r="AK166" s="6">
        <v>40</v>
      </c>
      <c r="AM166" s="98">
        <f t="shared" si="151"/>
        <v>40</v>
      </c>
      <c r="AN166" s="6">
        <f t="shared" si="152"/>
        <v>276</v>
      </c>
      <c r="AO166" s="6">
        <f t="shared" si="153"/>
        <v>60</v>
      </c>
      <c r="AP166" s="6">
        <f t="shared" si="154"/>
        <v>336</v>
      </c>
      <c r="AQ166" s="943">
        <f t="shared" si="155"/>
        <v>30.666666666666668</v>
      </c>
      <c r="AR166" s="943">
        <f t="shared" si="156"/>
        <v>6.666666666666667</v>
      </c>
      <c r="AS166" s="943">
        <f t="shared" si="157"/>
        <v>37.333333333333336</v>
      </c>
      <c r="BC166" s="64"/>
      <c r="BD166" s="64"/>
      <c r="BE166" s="64"/>
      <c r="BF166" s="64"/>
      <c r="BG166" s="64"/>
      <c r="BH166" s="64"/>
    </row>
    <row r="167" spans="1:60" s="6" customFormat="1">
      <c r="A167" s="1">
        <v>160</v>
      </c>
      <c r="B167" s="3" t="s">
        <v>322</v>
      </c>
      <c r="C167" s="1" t="s">
        <v>293</v>
      </c>
      <c r="D167" s="1" t="s">
        <v>323</v>
      </c>
      <c r="E167" s="2">
        <v>20</v>
      </c>
      <c r="H167" s="6">
        <f t="shared" si="119"/>
        <v>0</v>
      </c>
      <c r="K167" s="6">
        <f t="shared" si="120"/>
        <v>0</v>
      </c>
      <c r="L167" s="6">
        <v>40</v>
      </c>
      <c r="N167" s="6">
        <f t="shared" si="121"/>
        <v>40</v>
      </c>
      <c r="Q167" s="6">
        <f t="shared" si="122"/>
        <v>0</v>
      </c>
      <c r="T167" s="6">
        <f t="shared" si="100"/>
        <v>0</v>
      </c>
      <c r="U167" s="109"/>
      <c r="W167" s="6">
        <f t="shared" si="129"/>
        <v>0</v>
      </c>
      <c r="X167" s="88">
        <f t="shared" si="123"/>
        <v>40</v>
      </c>
      <c r="Y167" s="41">
        <f t="shared" si="124"/>
        <v>0</v>
      </c>
      <c r="Z167" s="41">
        <f t="shared" si="125"/>
        <v>40</v>
      </c>
      <c r="AA167" s="42">
        <f t="shared" si="126"/>
        <v>6.666666666666667</v>
      </c>
      <c r="AB167" s="42">
        <f t="shared" si="127"/>
        <v>0</v>
      </c>
      <c r="AC167" s="42">
        <f t="shared" si="128"/>
        <v>6.666666666666667</v>
      </c>
      <c r="AD167" s="35" t="s">
        <v>15</v>
      </c>
      <c r="AG167" s="6">
        <f t="shared" si="149"/>
        <v>0</v>
      </c>
      <c r="AH167" s="6">
        <v>20</v>
      </c>
      <c r="AJ167" s="98">
        <f t="shared" si="150"/>
        <v>20</v>
      </c>
      <c r="AK167" s="6">
        <v>40</v>
      </c>
      <c r="AM167" s="98">
        <f t="shared" si="151"/>
        <v>40</v>
      </c>
      <c r="AN167" s="6">
        <f t="shared" si="152"/>
        <v>100</v>
      </c>
      <c r="AO167" s="6">
        <f t="shared" si="153"/>
        <v>0</v>
      </c>
      <c r="AP167" s="6">
        <f t="shared" si="154"/>
        <v>100</v>
      </c>
      <c r="AQ167" s="943">
        <f t="shared" si="155"/>
        <v>11.111111111111111</v>
      </c>
      <c r="AR167" s="943">
        <f t="shared" si="156"/>
        <v>0</v>
      </c>
      <c r="AS167" s="943">
        <f t="shared" si="157"/>
        <v>11.111111111111111</v>
      </c>
      <c r="BC167" s="64"/>
      <c r="BD167" s="64"/>
      <c r="BE167" s="64"/>
      <c r="BF167" s="64"/>
      <c r="BG167" s="64"/>
      <c r="BH167" s="64"/>
    </row>
    <row r="168" spans="1:60" s="6" customFormat="1">
      <c r="A168" s="6">
        <v>161</v>
      </c>
      <c r="B168" s="3" t="s">
        <v>324</v>
      </c>
      <c r="C168" s="1" t="s">
        <v>293</v>
      </c>
      <c r="D168" s="1" t="s">
        <v>325</v>
      </c>
      <c r="E168" s="2">
        <v>10</v>
      </c>
      <c r="F168" s="6">
        <v>10</v>
      </c>
      <c r="H168" s="6">
        <f t="shared" ref="H168:H175" si="158">SUM(F168:G168)</f>
        <v>10</v>
      </c>
      <c r="I168" s="6">
        <v>8</v>
      </c>
      <c r="K168" s="6">
        <f t="shared" si="120"/>
        <v>8</v>
      </c>
      <c r="L168" s="6">
        <v>18</v>
      </c>
      <c r="N168" s="6">
        <f t="shared" si="121"/>
        <v>18</v>
      </c>
      <c r="Q168" s="6">
        <f t="shared" si="122"/>
        <v>0</v>
      </c>
      <c r="T168" s="6">
        <f t="shared" si="100"/>
        <v>0</v>
      </c>
      <c r="U168" s="109">
        <v>6</v>
      </c>
      <c r="W168" s="6">
        <f t="shared" si="129"/>
        <v>6</v>
      </c>
      <c r="X168" s="88">
        <f t="shared" si="123"/>
        <v>42</v>
      </c>
      <c r="Y168" s="41">
        <f t="shared" si="124"/>
        <v>0</v>
      </c>
      <c r="Z168" s="41">
        <f t="shared" si="125"/>
        <v>42</v>
      </c>
      <c r="AA168" s="42">
        <f t="shared" si="126"/>
        <v>7</v>
      </c>
      <c r="AB168" s="42">
        <f t="shared" si="127"/>
        <v>0</v>
      </c>
      <c r="AC168" s="42">
        <f t="shared" si="128"/>
        <v>7</v>
      </c>
      <c r="AD168" s="35" t="s">
        <v>15</v>
      </c>
      <c r="AG168" s="6">
        <f t="shared" si="149"/>
        <v>0</v>
      </c>
      <c r="AH168" s="6">
        <v>5</v>
      </c>
      <c r="AJ168" s="98">
        <f t="shared" si="150"/>
        <v>5</v>
      </c>
      <c r="AK168" s="6">
        <v>17</v>
      </c>
      <c r="AM168" s="98">
        <f t="shared" si="151"/>
        <v>17</v>
      </c>
      <c r="AN168" s="6">
        <f t="shared" si="152"/>
        <v>64</v>
      </c>
      <c r="AO168" s="6">
        <f t="shared" si="153"/>
        <v>0</v>
      </c>
      <c r="AP168" s="6">
        <f t="shared" si="154"/>
        <v>64</v>
      </c>
      <c r="AQ168" s="943">
        <f t="shared" si="155"/>
        <v>7.1111111111111107</v>
      </c>
      <c r="AR168" s="943">
        <f t="shared" si="156"/>
        <v>0</v>
      </c>
      <c r="AS168" s="943">
        <f t="shared" si="157"/>
        <v>7.1111111111111107</v>
      </c>
      <c r="BC168" s="64"/>
      <c r="BD168" s="64"/>
      <c r="BE168" s="64"/>
      <c r="BF168" s="64"/>
      <c r="BG168" s="64"/>
      <c r="BH168" s="64"/>
    </row>
    <row r="169" spans="1:60" s="6" customFormat="1">
      <c r="A169" s="1">
        <v>162</v>
      </c>
      <c r="B169" s="3" t="s">
        <v>326</v>
      </c>
      <c r="C169" s="1" t="s">
        <v>293</v>
      </c>
      <c r="D169" s="1" t="s">
        <v>327</v>
      </c>
      <c r="E169" s="2">
        <v>20</v>
      </c>
      <c r="H169" s="6">
        <f t="shared" si="158"/>
        <v>0</v>
      </c>
      <c r="I169" s="6">
        <v>27</v>
      </c>
      <c r="K169" s="6">
        <f t="shared" si="120"/>
        <v>27</v>
      </c>
      <c r="L169" s="6">
        <v>30</v>
      </c>
      <c r="N169" s="6">
        <f t="shared" si="121"/>
        <v>30</v>
      </c>
      <c r="Q169" s="6">
        <f t="shared" si="122"/>
        <v>0</v>
      </c>
      <c r="T169" s="6">
        <f t="shared" si="100"/>
        <v>0</v>
      </c>
      <c r="U169" s="109">
        <v>20</v>
      </c>
      <c r="W169" s="6">
        <f t="shared" si="129"/>
        <v>20</v>
      </c>
      <c r="X169" s="88">
        <f t="shared" si="123"/>
        <v>77</v>
      </c>
      <c r="Y169" s="41">
        <f t="shared" si="124"/>
        <v>0</v>
      </c>
      <c r="Z169" s="41">
        <f t="shared" si="125"/>
        <v>77</v>
      </c>
      <c r="AA169" s="42">
        <f t="shared" si="126"/>
        <v>12.833333333333334</v>
      </c>
      <c r="AB169" s="42">
        <f t="shared" si="127"/>
        <v>0</v>
      </c>
      <c r="AC169" s="42">
        <f t="shared" si="128"/>
        <v>12.833333333333334</v>
      </c>
      <c r="AD169" s="35" t="s">
        <v>15</v>
      </c>
      <c r="AE169" s="6">
        <v>35</v>
      </c>
      <c r="AG169" s="6">
        <f t="shared" si="149"/>
        <v>35</v>
      </c>
      <c r="AH169" s="6">
        <v>40</v>
      </c>
      <c r="AJ169" s="98">
        <f t="shared" si="150"/>
        <v>40</v>
      </c>
      <c r="AK169" s="6">
        <v>40</v>
      </c>
      <c r="AM169" s="98">
        <f t="shared" si="151"/>
        <v>40</v>
      </c>
      <c r="AN169" s="6">
        <f t="shared" si="152"/>
        <v>192</v>
      </c>
      <c r="AO169" s="6">
        <f t="shared" si="153"/>
        <v>0</v>
      </c>
      <c r="AP169" s="6">
        <f t="shared" si="154"/>
        <v>192</v>
      </c>
      <c r="AQ169" s="943">
        <f t="shared" si="155"/>
        <v>21.333333333333332</v>
      </c>
      <c r="AR169" s="943">
        <f t="shared" si="156"/>
        <v>0</v>
      </c>
      <c r="AS169" s="943">
        <f t="shared" si="157"/>
        <v>21.333333333333332</v>
      </c>
      <c r="BC169" s="64"/>
      <c r="BD169" s="64"/>
      <c r="BE169" s="64"/>
      <c r="BF169" s="64"/>
      <c r="BG169" s="64"/>
      <c r="BH169" s="64"/>
    </row>
    <row r="170" spans="1:60" s="6" customFormat="1">
      <c r="A170" s="6">
        <v>163</v>
      </c>
      <c r="B170" s="3" t="s">
        <v>328</v>
      </c>
      <c r="C170" s="1" t="s">
        <v>293</v>
      </c>
      <c r="D170" s="1" t="s">
        <v>329</v>
      </c>
      <c r="E170" s="2">
        <v>20</v>
      </c>
      <c r="F170" s="6">
        <v>20</v>
      </c>
      <c r="H170" s="6">
        <f t="shared" si="158"/>
        <v>20</v>
      </c>
      <c r="K170" s="6">
        <f t="shared" si="120"/>
        <v>0</v>
      </c>
      <c r="N170" s="6">
        <f t="shared" si="121"/>
        <v>0</v>
      </c>
      <c r="O170" s="6">
        <v>16</v>
      </c>
      <c r="Q170" s="6">
        <f t="shared" si="122"/>
        <v>16</v>
      </c>
      <c r="T170" s="6">
        <f t="shared" si="100"/>
        <v>0</v>
      </c>
      <c r="U170" s="109">
        <v>0</v>
      </c>
      <c r="W170" s="6">
        <f t="shared" si="129"/>
        <v>0</v>
      </c>
      <c r="X170" s="88">
        <f t="shared" si="123"/>
        <v>36</v>
      </c>
      <c r="Y170" s="41">
        <f t="shared" si="124"/>
        <v>0</v>
      </c>
      <c r="Z170" s="41">
        <f t="shared" si="125"/>
        <v>36</v>
      </c>
      <c r="AA170" s="42">
        <f t="shared" si="126"/>
        <v>6</v>
      </c>
      <c r="AB170" s="42">
        <f t="shared" si="127"/>
        <v>0</v>
      </c>
      <c r="AC170" s="42">
        <f t="shared" si="128"/>
        <v>6</v>
      </c>
      <c r="AD170" s="35" t="s">
        <v>15</v>
      </c>
      <c r="AE170" s="6">
        <v>10</v>
      </c>
      <c r="AG170" s="6">
        <f t="shared" si="149"/>
        <v>10</v>
      </c>
      <c r="AJ170" s="98">
        <f t="shared" si="150"/>
        <v>0</v>
      </c>
      <c r="AK170" s="6">
        <v>18</v>
      </c>
      <c r="AM170" s="98">
        <f t="shared" si="151"/>
        <v>18</v>
      </c>
      <c r="AN170" s="6">
        <f t="shared" si="152"/>
        <v>64</v>
      </c>
      <c r="AO170" s="6">
        <f t="shared" si="153"/>
        <v>0</v>
      </c>
      <c r="AP170" s="6">
        <f t="shared" si="154"/>
        <v>64</v>
      </c>
      <c r="AQ170" s="943">
        <f t="shared" si="155"/>
        <v>7.1111111111111107</v>
      </c>
      <c r="AR170" s="943">
        <f t="shared" si="156"/>
        <v>0</v>
      </c>
      <c r="AS170" s="943">
        <f t="shared" si="157"/>
        <v>7.1111111111111107</v>
      </c>
      <c r="BC170" s="64"/>
      <c r="BD170" s="64"/>
      <c r="BE170" s="64"/>
      <c r="BF170" s="64"/>
      <c r="BG170" s="64"/>
      <c r="BH170" s="64"/>
    </row>
    <row r="171" spans="1:60" s="6" customFormat="1">
      <c r="A171" s="1">
        <v>164</v>
      </c>
      <c r="B171" s="3" t="s">
        <v>330</v>
      </c>
      <c r="C171" s="1" t="s">
        <v>293</v>
      </c>
      <c r="D171" s="1" t="s">
        <v>331</v>
      </c>
      <c r="E171" s="2">
        <v>10</v>
      </c>
      <c r="F171" s="6">
        <v>10</v>
      </c>
      <c r="H171" s="6">
        <f t="shared" si="158"/>
        <v>10</v>
      </c>
      <c r="K171" s="6">
        <f t="shared" si="120"/>
        <v>0</v>
      </c>
      <c r="L171" s="6">
        <v>28</v>
      </c>
      <c r="N171" s="6">
        <f t="shared" si="121"/>
        <v>28</v>
      </c>
      <c r="Q171" s="6">
        <f t="shared" si="122"/>
        <v>0</v>
      </c>
      <c r="R171" s="6">
        <v>10</v>
      </c>
      <c r="T171" s="6">
        <f t="shared" si="100"/>
        <v>10</v>
      </c>
      <c r="U171" s="109">
        <v>14</v>
      </c>
      <c r="W171" s="6">
        <f t="shared" si="129"/>
        <v>14</v>
      </c>
      <c r="X171" s="88">
        <f t="shared" si="123"/>
        <v>62</v>
      </c>
      <c r="Y171" s="41">
        <f t="shared" si="124"/>
        <v>0</v>
      </c>
      <c r="Z171" s="41">
        <f t="shared" si="125"/>
        <v>62</v>
      </c>
      <c r="AA171" s="42">
        <f t="shared" si="126"/>
        <v>10.333333333333334</v>
      </c>
      <c r="AB171" s="42">
        <f t="shared" si="127"/>
        <v>0</v>
      </c>
      <c r="AC171" s="42">
        <f t="shared" si="128"/>
        <v>10.333333333333334</v>
      </c>
      <c r="AD171" s="35" t="s">
        <v>15</v>
      </c>
      <c r="AG171" s="6">
        <f t="shared" si="149"/>
        <v>0</v>
      </c>
      <c r="AJ171" s="98">
        <f t="shared" si="150"/>
        <v>0</v>
      </c>
      <c r="AM171" s="98">
        <f t="shared" si="151"/>
        <v>0</v>
      </c>
      <c r="AN171" s="6">
        <f t="shared" si="152"/>
        <v>62</v>
      </c>
      <c r="AO171" s="6">
        <f t="shared" si="153"/>
        <v>0</v>
      </c>
      <c r="AP171" s="6">
        <f t="shared" si="154"/>
        <v>62</v>
      </c>
      <c r="AQ171" s="943">
        <f t="shared" si="155"/>
        <v>6.8888888888888893</v>
      </c>
      <c r="AR171" s="943">
        <f t="shared" si="156"/>
        <v>0</v>
      </c>
      <c r="AS171" s="943">
        <f t="shared" si="157"/>
        <v>6.8888888888888893</v>
      </c>
      <c r="BC171" s="64"/>
      <c r="BD171" s="64"/>
      <c r="BE171" s="64"/>
      <c r="BF171" s="64"/>
      <c r="BG171" s="64"/>
      <c r="BH171" s="64"/>
    </row>
    <row r="172" spans="1:60" s="6" customFormat="1">
      <c r="A172" s="6">
        <v>165</v>
      </c>
      <c r="B172" s="3" t="s">
        <v>332</v>
      </c>
      <c r="C172" s="1" t="s">
        <v>293</v>
      </c>
      <c r="D172" s="1" t="s">
        <v>333</v>
      </c>
      <c r="E172" s="2">
        <v>20</v>
      </c>
      <c r="H172" s="6">
        <f t="shared" si="158"/>
        <v>0</v>
      </c>
      <c r="I172" s="6">
        <v>20</v>
      </c>
      <c r="K172" s="6">
        <f t="shared" si="120"/>
        <v>20</v>
      </c>
      <c r="L172" s="6">
        <v>38</v>
      </c>
      <c r="N172" s="6">
        <f t="shared" si="121"/>
        <v>38</v>
      </c>
      <c r="O172" s="6">
        <v>20</v>
      </c>
      <c r="Q172" s="6">
        <f t="shared" si="122"/>
        <v>20</v>
      </c>
      <c r="R172" s="6">
        <v>18</v>
      </c>
      <c r="T172" s="6">
        <f t="shared" si="100"/>
        <v>18</v>
      </c>
      <c r="U172" s="109">
        <v>50</v>
      </c>
      <c r="W172" s="6">
        <f t="shared" si="129"/>
        <v>50</v>
      </c>
      <c r="X172" s="88">
        <f t="shared" si="123"/>
        <v>146</v>
      </c>
      <c r="Y172" s="41">
        <f t="shared" si="124"/>
        <v>0</v>
      </c>
      <c r="Z172" s="41">
        <f t="shared" si="125"/>
        <v>146</v>
      </c>
      <c r="AA172" s="42">
        <f t="shared" si="126"/>
        <v>24.333333333333332</v>
      </c>
      <c r="AB172" s="42">
        <f t="shared" si="127"/>
        <v>0</v>
      </c>
      <c r="AC172" s="42">
        <f t="shared" si="128"/>
        <v>24.333333333333332</v>
      </c>
      <c r="AD172" s="35" t="s">
        <v>15</v>
      </c>
      <c r="AG172" s="6">
        <f t="shared" si="149"/>
        <v>0</v>
      </c>
      <c r="AJ172" s="98">
        <f t="shared" si="150"/>
        <v>0</v>
      </c>
      <c r="AK172" s="6">
        <v>18</v>
      </c>
      <c r="AM172" s="98">
        <f t="shared" si="151"/>
        <v>18</v>
      </c>
      <c r="AN172" s="6">
        <f t="shared" si="152"/>
        <v>164</v>
      </c>
      <c r="AO172" s="6">
        <f t="shared" si="153"/>
        <v>0</v>
      </c>
      <c r="AP172" s="6">
        <f t="shared" si="154"/>
        <v>164</v>
      </c>
      <c r="AQ172" s="943">
        <f t="shared" si="155"/>
        <v>18.222222222222221</v>
      </c>
      <c r="AR172" s="943">
        <f t="shared" si="156"/>
        <v>0</v>
      </c>
      <c r="AS172" s="943">
        <f t="shared" si="157"/>
        <v>18.222222222222221</v>
      </c>
      <c r="BC172" s="64"/>
      <c r="BD172" s="64"/>
      <c r="BE172" s="64"/>
      <c r="BF172" s="64"/>
      <c r="BG172" s="64"/>
      <c r="BH172" s="64"/>
    </row>
    <row r="173" spans="1:60" s="6" customFormat="1">
      <c r="A173" s="1">
        <v>166</v>
      </c>
      <c r="B173" s="4" t="s">
        <v>334</v>
      </c>
      <c r="C173" s="1" t="s">
        <v>335</v>
      </c>
      <c r="D173" s="1"/>
      <c r="E173" s="2"/>
      <c r="H173" s="6">
        <f t="shared" si="158"/>
        <v>0</v>
      </c>
      <c r="I173" s="6">
        <f>3520-260</f>
        <v>3260</v>
      </c>
      <c r="K173" s="6">
        <f t="shared" si="120"/>
        <v>3260</v>
      </c>
      <c r="L173" s="6">
        <v>1800</v>
      </c>
      <c r="N173" s="6">
        <f t="shared" si="121"/>
        <v>1800</v>
      </c>
      <c r="Q173" s="6">
        <f t="shared" si="122"/>
        <v>0</v>
      </c>
      <c r="T173" s="6">
        <f t="shared" si="100"/>
        <v>0</v>
      </c>
      <c r="U173" s="109"/>
      <c r="W173" s="6">
        <f t="shared" si="129"/>
        <v>0</v>
      </c>
      <c r="X173" s="88"/>
      <c r="Y173" s="41">
        <f t="shared" si="124"/>
        <v>0</v>
      </c>
      <c r="Z173" s="41"/>
      <c r="AA173" s="42">
        <f t="shared" si="126"/>
        <v>0</v>
      </c>
      <c r="AB173" s="42">
        <f t="shared" si="127"/>
        <v>0</v>
      </c>
      <c r="AC173" s="42">
        <f t="shared" si="128"/>
        <v>0</v>
      </c>
      <c r="AD173" s="35"/>
      <c r="AE173" s="901"/>
      <c r="AF173" s="901"/>
      <c r="AH173" s="901"/>
      <c r="AI173" s="901"/>
      <c r="AK173" s="901"/>
      <c r="AL173" s="901"/>
    </row>
    <row r="174" spans="1:60" s="6" customFormat="1" ht="15" customHeight="1">
      <c r="A174" s="6">
        <v>167</v>
      </c>
      <c r="B174" s="1" t="s">
        <v>336</v>
      </c>
      <c r="C174" s="1" t="s">
        <v>293</v>
      </c>
      <c r="D174" s="1" t="s">
        <v>337</v>
      </c>
      <c r="E174" s="2">
        <v>20</v>
      </c>
      <c r="H174" s="6">
        <f t="shared" si="158"/>
        <v>0</v>
      </c>
      <c r="K174" s="6">
        <f t="shared" si="120"/>
        <v>0</v>
      </c>
      <c r="N174" s="6">
        <f t="shared" si="121"/>
        <v>0</v>
      </c>
      <c r="Q174" s="6">
        <f t="shared" si="122"/>
        <v>0</v>
      </c>
      <c r="T174" s="6">
        <f t="shared" si="100"/>
        <v>0</v>
      </c>
      <c r="U174" s="109"/>
      <c r="W174" s="6">
        <f t="shared" si="129"/>
        <v>0</v>
      </c>
      <c r="X174" s="88">
        <f t="shared" si="123"/>
        <v>0</v>
      </c>
      <c r="Y174" s="41">
        <f t="shared" si="124"/>
        <v>0</v>
      </c>
      <c r="Z174" s="41">
        <f t="shared" si="125"/>
        <v>0</v>
      </c>
      <c r="AA174" s="42">
        <f t="shared" si="126"/>
        <v>0</v>
      </c>
      <c r="AB174" s="42">
        <f t="shared" si="127"/>
        <v>0</v>
      </c>
      <c r="AC174" s="42">
        <f t="shared" si="128"/>
        <v>0</v>
      </c>
      <c r="AD174" s="35" t="s">
        <v>15</v>
      </c>
      <c r="AE174" s="901">
        <v>10</v>
      </c>
      <c r="AF174" s="901">
        <v>3</v>
      </c>
      <c r="AH174" s="901">
        <v>10</v>
      </c>
      <c r="AI174" s="901"/>
      <c r="AK174" s="901">
        <v>10</v>
      </c>
      <c r="AL174" s="901">
        <v>3</v>
      </c>
    </row>
    <row r="175" spans="1:60" s="6" customFormat="1">
      <c r="A175" s="46"/>
      <c r="B175" s="46" t="s">
        <v>11</v>
      </c>
      <c r="C175" s="19"/>
      <c r="D175" s="19"/>
      <c r="E175" s="19">
        <f t="shared" ref="E175" si="159">SUBTOTAL(9,E11:E174)</f>
        <v>9067</v>
      </c>
      <c r="F175" s="19">
        <f>SUM(F12:F174)</f>
        <v>8064</v>
      </c>
      <c r="G175" s="19">
        <f>SUM(G12:G174)</f>
        <v>290</v>
      </c>
      <c r="H175" s="19">
        <f t="shared" si="158"/>
        <v>8354</v>
      </c>
      <c r="I175" s="19">
        <f>SUM(I12:I174)</f>
        <v>10006</v>
      </c>
      <c r="J175" s="19">
        <f>SUM(J12:J174)</f>
        <v>387</v>
      </c>
      <c r="K175" s="19">
        <f t="shared" si="120"/>
        <v>10393</v>
      </c>
      <c r="L175" s="19">
        <f>SUM(L12:L174)</f>
        <v>9838</v>
      </c>
      <c r="M175" s="19">
        <f>SUM(M12:M174)</f>
        <v>320</v>
      </c>
      <c r="N175" s="19">
        <f t="shared" si="121"/>
        <v>10158</v>
      </c>
      <c r="O175" s="19">
        <f>SUM(O12:O174)</f>
        <v>6092</v>
      </c>
      <c r="P175" s="19">
        <f>SUM(P12:P174)</f>
        <v>340</v>
      </c>
      <c r="Q175" s="19">
        <f t="shared" ref="Q175" si="160">SUM(O175:P175)</f>
        <v>6432</v>
      </c>
      <c r="R175" s="19">
        <f>SUM(R12:R174)</f>
        <v>5586</v>
      </c>
      <c r="S175" s="19">
        <f>SUM(S12:S174)</f>
        <v>212</v>
      </c>
      <c r="T175" s="19">
        <f t="shared" ref="T175" si="161">SUM(R175:S175)</f>
        <v>5798</v>
      </c>
      <c r="U175" s="111">
        <f>SUM(U12:U174)</f>
        <v>7499</v>
      </c>
      <c r="V175" s="19">
        <f>SUM(V12:V174)</f>
        <v>240</v>
      </c>
      <c r="W175" s="19">
        <f t="shared" ref="W175" si="162">SUM(U175:V175)</f>
        <v>7739</v>
      </c>
      <c r="X175" s="89">
        <f t="shared" si="123"/>
        <v>47085</v>
      </c>
      <c r="Y175" s="44">
        <f t="shared" si="124"/>
        <v>1789</v>
      </c>
      <c r="Z175" s="44">
        <f t="shared" si="125"/>
        <v>48874</v>
      </c>
      <c r="AA175" s="45">
        <f t="shared" si="126"/>
        <v>7847.5</v>
      </c>
      <c r="AB175" s="45">
        <f t="shared" si="127"/>
        <v>298.16666666666669</v>
      </c>
      <c r="AC175" s="45">
        <f t="shared" si="128"/>
        <v>8145.666666666667</v>
      </c>
      <c r="AE175" s="111">
        <f>SUM(AE12:AE174)</f>
        <v>4430</v>
      </c>
      <c r="AF175" s="19">
        <f>SUM(AF12:AF174)</f>
        <v>248</v>
      </c>
      <c r="AG175" s="19">
        <f>AE175+AF175</f>
        <v>4678</v>
      </c>
      <c r="AH175" s="111">
        <f>SUM(AH12:AH174)</f>
        <v>6624</v>
      </c>
      <c r="AI175" s="19">
        <f>SUM(AI12:AI174)</f>
        <v>294</v>
      </c>
      <c r="AJ175" s="19">
        <f>AH175+AI175</f>
        <v>6918</v>
      </c>
      <c r="AK175" s="111">
        <f>SUM(AK12:AK174)</f>
        <v>6838</v>
      </c>
      <c r="AL175" s="19">
        <f>SUM(AL12:AL174)</f>
        <v>247</v>
      </c>
      <c r="AM175" s="19">
        <f>AK175+AL175</f>
        <v>7085</v>
      </c>
      <c r="AN175" s="111">
        <f>SUM(AN12:AN174)</f>
        <v>59597</v>
      </c>
      <c r="AO175" s="19">
        <f>SUM(AO12:AO174)</f>
        <v>2557</v>
      </c>
      <c r="AP175" s="19">
        <f>AN175+AO175</f>
        <v>62154</v>
      </c>
      <c r="AQ175" s="704">
        <f>SUM(AQ12:AQ174)</f>
        <v>6621.8888888888887</v>
      </c>
      <c r="AR175" s="703">
        <f>SUM(AR12:AR174)</f>
        <v>284.11111111111109</v>
      </c>
      <c r="AS175" s="703">
        <f>AQ175+AR175</f>
        <v>6906</v>
      </c>
      <c r="AT175" s="111">
        <f>SUM(AT12:AT174)</f>
        <v>0</v>
      </c>
      <c r="AU175" s="19">
        <f>SUM(AU12:AU174)</f>
        <v>0</v>
      </c>
      <c r="AV175" s="19"/>
      <c r="AW175" s="19"/>
      <c r="AX175" s="19"/>
      <c r="AY175" s="19"/>
      <c r="AZ175" s="19"/>
      <c r="BA175" s="19"/>
      <c r="BB175" s="19">
        <f>AT175+AU175</f>
        <v>0</v>
      </c>
      <c r="BC175" s="64"/>
      <c r="BD175" s="64"/>
      <c r="BE175" s="64"/>
      <c r="BF175" s="64"/>
      <c r="BG175" s="64"/>
      <c r="BH175" s="64"/>
    </row>
    <row r="176" spans="1:60" ht="14.65" thickBot="1"/>
    <row r="177" spans="1:60" ht="15.75">
      <c r="A177" s="75"/>
      <c r="B177" s="76" t="s">
        <v>338</v>
      </c>
      <c r="C177" s="259" t="s">
        <v>1962</v>
      </c>
      <c r="D177" s="83"/>
      <c r="E177" s="210">
        <f t="shared" ref="E177" si="163">E151+E127+E126+E93+E92+E46+E45</f>
        <v>2416</v>
      </c>
      <c r="F177" s="251">
        <f>F45+F46+F92+F93+F94+F126+F127+F151</f>
        <v>3758</v>
      </c>
      <c r="G177" s="251">
        <f>G45+G46+G92+G93+G94+G126+G127+G151</f>
        <v>0</v>
      </c>
      <c r="H177" s="215">
        <f>F177+G177</f>
        <v>3758</v>
      </c>
      <c r="I177" s="251">
        <f>I45+I46+I92+I93+I94+I126+I127+I151</f>
        <v>1592</v>
      </c>
      <c r="J177" s="251">
        <f>J45+J46+J92+J93+J94+J126+J127+J151</f>
        <v>154</v>
      </c>
      <c r="K177" s="215">
        <f>I177+J177</f>
        <v>1746</v>
      </c>
      <c r="L177" s="251">
        <f>L45+L46+L92+L93+L94+L126+L127+L151</f>
        <v>2304</v>
      </c>
      <c r="M177" s="251">
        <f>M45+M46+M92+M93+M94+M126+M127+M151</f>
        <v>112</v>
      </c>
      <c r="N177" s="215">
        <f>L177+M177</f>
        <v>2416</v>
      </c>
      <c r="O177" s="251">
        <f>O45+O46+O92+O93+O94+O126+O127+O151</f>
        <v>2395</v>
      </c>
      <c r="P177" s="251">
        <f>P45+P46+P92+P93+P94+P126+P127+P151</f>
        <v>15</v>
      </c>
      <c r="Q177" s="215">
        <f>O177+P177</f>
        <v>2410</v>
      </c>
      <c r="R177" s="251">
        <f>R45+R46+R92+R93+R94+R126+R127+R151</f>
        <v>1980</v>
      </c>
      <c r="S177" s="251">
        <f>S45+S46+S92+S93+S94+S126+S127+S151</f>
        <v>6</v>
      </c>
      <c r="T177" s="215">
        <f>R177+S177</f>
        <v>1986</v>
      </c>
      <c r="U177" s="251">
        <f>U45+U46+U92+U93+U94+U126+U127+U151</f>
        <v>6368</v>
      </c>
      <c r="V177" s="251">
        <f>V45+V46+V92+V93+V94+V126+V127+V151</f>
        <v>76</v>
      </c>
      <c r="W177" s="215">
        <f>U177+V177</f>
        <v>6444</v>
      </c>
      <c r="X177" s="252">
        <f t="shared" si="123"/>
        <v>18397</v>
      </c>
      <c r="Y177" s="253">
        <f t="shared" ref="Y177" si="164">G177+J177+M177+P177+S177+V177</f>
        <v>363</v>
      </c>
      <c r="Z177" s="254">
        <f t="shared" si="125"/>
        <v>18760</v>
      </c>
      <c r="AA177" s="255">
        <f t="shared" ref="AA177" si="165">X177/6</f>
        <v>3066.1666666666665</v>
      </c>
      <c r="AB177" s="256">
        <f t="shared" ref="AB177" si="166">Y177/6</f>
        <v>60.5</v>
      </c>
      <c r="AC177" s="257">
        <f t="shared" ref="AC177:AC178" si="167">Z177/6</f>
        <v>3126.6666666666665</v>
      </c>
      <c r="AE177" s="251">
        <f>AE45+AE46+AE92+AE93+AE94+AE126+AE127+AE151</f>
        <v>726</v>
      </c>
      <c r="AF177" s="251">
        <f>AF45+AF46+AF92+AF93+AF94+AF126+AF127+AF151</f>
        <v>18</v>
      </c>
      <c r="AG177" s="215">
        <f>AE177+AF177</f>
        <v>744</v>
      </c>
      <c r="AH177" s="251">
        <f>AH45+AH46+AH92+AH93+AH94+AH126+AH127+AH151</f>
        <v>3356</v>
      </c>
      <c r="AI177" s="251">
        <f>AI45+AI46+AI92+AI93+AI94+AI126+AI127+AI151</f>
        <v>154</v>
      </c>
      <c r="AJ177" s="215">
        <f>AH177+AI177</f>
        <v>3510</v>
      </c>
      <c r="AK177" s="251">
        <f>AK45+AK46+AK92+AK93+AK94+AK126+AK127+AK151</f>
        <v>2455</v>
      </c>
      <c r="AL177" s="251">
        <f>AL45+AL46+AL92+AL93+AL94+AL126+AL127+AL151</f>
        <v>6</v>
      </c>
      <c r="AM177" s="215">
        <f>AK177+AL177</f>
        <v>2461</v>
      </c>
      <c r="AN177" s="251">
        <f>AN45+AN46+AN92+AN93+AN94+AN126+AN127+AN151</f>
        <v>24934</v>
      </c>
      <c r="AO177" s="251">
        <f>AO45+AO46+AO92+AO93+AO94+AO126+AO127+AO151</f>
        <v>541</v>
      </c>
      <c r="AP177" s="215">
        <f>AN177+AO177</f>
        <v>25475</v>
      </c>
      <c r="AQ177" s="948">
        <f>AQ45+AQ46+AQ92+AQ93+AQ94+AQ126+AQ127+AQ151</f>
        <v>2770.4444444444443</v>
      </c>
      <c r="AR177" s="948">
        <f>AR45+AR46+AR92+AR93+AR94+AR126+AR127+AR151</f>
        <v>60.111111111111107</v>
      </c>
      <c r="AS177" s="940">
        <f>AQ177+AR177</f>
        <v>2830.5555555555557</v>
      </c>
      <c r="AT177" s="251">
        <f>AT45+AT46+AT92+AT93+AT94+AT126+AT127+AT151</f>
        <v>0</v>
      </c>
      <c r="AU177" s="251">
        <f>AU45+AU46+AU92+AU93+AU94+AU126+AU127+AU151</f>
        <v>0</v>
      </c>
      <c r="AV177" s="938"/>
      <c r="AW177" s="938"/>
      <c r="AX177" s="938"/>
      <c r="AY177" s="938"/>
      <c r="AZ177" s="938"/>
      <c r="BA177" s="938"/>
      <c r="BB177" s="215">
        <f>AT177+AU177</f>
        <v>0</v>
      </c>
      <c r="BC177" s="251">
        <f>BC45+BC46+BC92+BC93+BC94+BC126+BC127+BC151</f>
        <v>0</v>
      </c>
      <c r="BD177" s="251">
        <f>BD45+BD46+BD92+BD93+BD94+BD126+BD127+BD151</f>
        <v>0</v>
      </c>
      <c r="BE177" s="215">
        <f>BC177+BD177</f>
        <v>0</v>
      </c>
      <c r="BF177" s="251">
        <f>BF45+BF46+BF92+BF93+BF94+BF126+BF127+BF151</f>
        <v>0</v>
      </c>
      <c r="BG177" s="251">
        <f>BG45+BG46+BG92+BG93+BG94+BG126+BG127+BG151</f>
        <v>0</v>
      </c>
      <c r="BH177" s="215">
        <f>BF177+BG177</f>
        <v>0</v>
      </c>
    </row>
    <row r="178" spans="1:60">
      <c r="A178" s="78"/>
      <c r="B178" s="7" t="s">
        <v>339</v>
      </c>
      <c r="C178" s="112" t="s">
        <v>1963</v>
      </c>
      <c r="D178" s="15"/>
      <c r="E178" s="258">
        <f>E175-E177</f>
        <v>6651</v>
      </c>
      <c r="F178" s="78">
        <f>F175-F177</f>
        <v>4306</v>
      </c>
      <c r="G178" s="78">
        <f>G175-G177</f>
        <v>290</v>
      </c>
      <c r="H178" s="84">
        <f>F178+G178</f>
        <v>4596</v>
      </c>
      <c r="I178" s="78">
        <f>I175-I177</f>
        <v>8414</v>
      </c>
      <c r="J178" s="78">
        <f>J175-J177</f>
        <v>233</v>
      </c>
      <c r="K178" s="79">
        <f>I178+J178</f>
        <v>8647</v>
      </c>
      <c r="L178" s="78">
        <f>L175-L177</f>
        <v>7534</v>
      </c>
      <c r="M178" s="78">
        <f>M175-M177</f>
        <v>208</v>
      </c>
      <c r="N178" s="84">
        <f>L178+M178</f>
        <v>7742</v>
      </c>
      <c r="O178" s="78">
        <f>O175-O177</f>
        <v>3697</v>
      </c>
      <c r="P178" s="78">
        <f>P175-P177</f>
        <v>325</v>
      </c>
      <c r="Q178" s="84">
        <f>O178+P178</f>
        <v>4022</v>
      </c>
      <c r="R178" s="78">
        <f>R175-R177</f>
        <v>3606</v>
      </c>
      <c r="S178" s="78">
        <f>S175-S177</f>
        <v>206</v>
      </c>
      <c r="T178" s="79">
        <f>R178+S178</f>
        <v>3812</v>
      </c>
      <c r="U178" s="78">
        <f>U175-U177</f>
        <v>1131</v>
      </c>
      <c r="V178" s="78">
        <f>V175-V177</f>
        <v>164</v>
      </c>
      <c r="W178" s="79">
        <f>U178+V178</f>
        <v>1295</v>
      </c>
      <c r="X178" s="239">
        <f>F178+I178+L178+O178+R178+U178</f>
        <v>28688</v>
      </c>
      <c r="Y178" s="240">
        <f>G178+J178+M178+P178+S178+V178</f>
        <v>1426</v>
      </c>
      <c r="Z178" s="241">
        <f t="shared" si="125"/>
        <v>30114</v>
      </c>
      <c r="AA178" s="242">
        <f>X178/6</f>
        <v>4781.333333333333</v>
      </c>
      <c r="AB178" s="243">
        <f>Y178/6</f>
        <v>237.66666666666666</v>
      </c>
      <c r="AC178" s="244">
        <f t="shared" si="167"/>
        <v>5019</v>
      </c>
      <c r="AE178" s="78">
        <f>AE175-AE177</f>
        <v>3704</v>
      </c>
      <c r="AF178" s="78">
        <f>AF175-AF177</f>
        <v>230</v>
      </c>
      <c r="AG178" s="79">
        <f>AE178+AF178</f>
        <v>3934</v>
      </c>
      <c r="AH178" s="78">
        <f>AH175-AH177</f>
        <v>3268</v>
      </c>
      <c r="AI178" s="78">
        <f>AI175-AI177</f>
        <v>140</v>
      </c>
      <c r="AJ178" s="79">
        <f>AH178+AI178</f>
        <v>3408</v>
      </c>
      <c r="AK178" s="78">
        <f>AK175-AK177</f>
        <v>4383</v>
      </c>
      <c r="AL178" s="78">
        <f>AL175-AL177</f>
        <v>241</v>
      </c>
      <c r="AM178" s="79">
        <f>AK178+AL178</f>
        <v>4624</v>
      </c>
      <c r="AN178" s="78">
        <f>AN175-AN177</f>
        <v>34663</v>
      </c>
      <c r="AO178" s="78">
        <f>AO175-AO177</f>
        <v>2016</v>
      </c>
      <c r="AP178" s="79">
        <f>AN178+AO178</f>
        <v>36679</v>
      </c>
      <c r="AQ178" s="942">
        <f>AQ175-AQ177</f>
        <v>3851.4444444444443</v>
      </c>
      <c r="AR178" s="942">
        <f>AR175-AR177</f>
        <v>223.99999999999997</v>
      </c>
      <c r="AS178" s="944">
        <f>AQ178+AR178</f>
        <v>4075.4444444444443</v>
      </c>
      <c r="AT178" s="78">
        <f>AT175-AT177</f>
        <v>0</v>
      </c>
      <c r="AU178" s="78">
        <f>AU175-AU177</f>
        <v>0</v>
      </c>
      <c r="AV178" s="906"/>
      <c r="AW178" s="906"/>
      <c r="AX178" s="906"/>
      <c r="AY178" s="906"/>
      <c r="AZ178" s="906"/>
      <c r="BA178" s="906"/>
      <c r="BB178" s="79">
        <f>AT178+AU178</f>
        <v>0</v>
      </c>
      <c r="BC178" s="78">
        <f>BC175-BC177</f>
        <v>0</v>
      </c>
      <c r="BD178" s="78">
        <f>BD175-BD177</f>
        <v>0</v>
      </c>
      <c r="BE178" s="79">
        <f>BC178+BD178</f>
        <v>0</v>
      </c>
      <c r="BF178" s="78">
        <f>BF175-BF177</f>
        <v>0</v>
      </c>
      <c r="BG178" s="78">
        <f>BG175-BG177</f>
        <v>0</v>
      </c>
      <c r="BH178" s="79">
        <f>BF178+BG178</f>
        <v>0</v>
      </c>
    </row>
    <row r="179" spans="1:60">
      <c r="A179" s="78"/>
      <c r="B179" s="7" t="s">
        <v>340</v>
      </c>
      <c r="C179" s="6"/>
      <c r="D179" s="15"/>
      <c r="E179" s="86">
        <f>E178/E175%</f>
        <v>73.353920811734866</v>
      </c>
      <c r="F179" s="219">
        <f t="shared" ref="F179:AC179" si="168">F178/F175%</f>
        <v>53.397817460317462</v>
      </c>
      <c r="G179" s="217">
        <f t="shared" si="168"/>
        <v>100</v>
      </c>
      <c r="H179" s="218">
        <f t="shared" si="168"/>
        <v>55.01556140770888</v>
      </c>
      <c r="I179" s="219">
        <f t="shared" si="168"/>
        <v>84.08954627223666</v>
      </c>
      <c r="J179" s="217">
        <f t="shared" si="168"/>
        <v>60.206718346253226</v>
      </c>
      <c r="K179" s="218">
        <f t="shared" si="168"/>
        <v>83.200230924660829</v>
      </c>
      <c r="L179" s="219">
        <f t="shared" si="168"/>
        <v>76.58060581418988</v>
      </c>
      <c r="M179" s="217">
        <f t="shared" si="168"/>
        <v>65</v>
      </c>
      <c r="N179" s="218">
        <f t="shared" si="168"/>
        <v>76.215790509942906</v>
      </c>
      <c r="O179" s="219">
        <f t="shared" si="168"/>
        <v>60.686145764937621</v>
      </c>
      <c r="P179" s="217">
        <f t="shared" si="168"/>
        <v>95.588235294117652</v>
      </c>
      <c r="Q179" s="218">
        <f t="shared" si="168"/>
        <v>62.531094527363187</v>
      </c>
      <c r="R179" s="219">
        <f t="shared" si="168"/>
        <v>64.554242749731472</v>
      </c>
      <c r="S179" s="217">
        <f t="shared" si="168"/>
        <v>97.169811320754718</v>
      </c>
      <c r="T179" s="218">
        <f t="shared" si="168"/>
        <v>65.746809244567089</v>
      </c>
      <c r="U179" s="219">
        <f t="shared" si="168"/>
        <v>15.082010934791306</v>
      </c>
      <c r="V179" s="217">
        <f t="shared" si="168"/>
        <v>68.333333333333343</v>
      </c>
      <c r="W179" s="218">
        <f t="shared" si="168"/>
        <v>16.733428091484686</v>
      </c>
      <c r="X179" s="220">
        <f t="shared" si="168"/>
        <v>60.92810873951364</v>
      </c>
      <c r="Y179" s="221">
        <f t="shared" si="168"/>
        <v>79.709334823923982</v>
      </c>
      <c r="Z179" s="222">
        <f t="shared" si="168"/>
        <v>61.615582927527925</v>
      </c>
      <c r="AA179" s="245">
        <f t="shared" si="168"/>
        <v>60.928108739513647</v>
      </c>
      <c r="AB179" s="246">
        <f t="shared" si="168"/>
        <v>79.709334823923967</v>
      </c>
      <c r="AC179" s="247">
        <f t="shared" si="168"/>
        <v>61.615582927527932</v>
      </c>
      <c r="AE179" s="219">
        <f t="shared" ref="AE179:BH179" si="169">AE178/AE175%</f>
        <v>83.611738148984202</v>
      </c>
      <c r="AF179" s="217">
        <f t="shared" si="169"/>
        <v>92.741935483870975</v>
      </c>
      <c r="AG179" s="218">
        <f t="shared" si="169"/>
        <v>84.095767421975196</v>
      </c>
      <c r="AH179" s="219">
        <f t="shared" si="169"/>
        <v>49.335748792270536</v>
      </c>
      <c r="AI179" s="217">
        <f t="shared" si="169"/>
        <v>47.61904761904762</v>
      </c>
      <c r="AJ179" s="218">
        <f t="shared" si="169"/>
        <v>49.262792714657408</v>
      </c>
      <c r="AK179" s="219">
        <f t="shared" si="169"/>
        <v>64.097689382860494</v>
      </c>
      <c r="AL179" s="217">
        <f t="shared" si="169"/>
        <v>97.570850202429142</v>
      </c>
      <c r="AM179" s="218">
        <f t="shared" si="169"/>
        <v>65.264643613267467</v>
      </c>
      <c r="AN179" s="219">
        <f t="shared" si="169"/>
        <v>58.162323606892961</v>
      </c>
      <c r="AO179" s="217">
        <f t="shared" si="169"/>
        <v>78.842393429800552</v>
      </c>
      <c r="AP179" s="218">
        <f t="shared" si="169"/>
        <v>59.013096502236387</v>
      </c>
      <c r="AQ179" s="942">
        <f t="shared" si="169"/>
        <v>58.162323606892969</v>
      </c>
      <c r="AR179" s="943">
        <f t="shared" si="169"/>
        <v>78.842393429800552</v>
      </c>
      <c r="AS179" s="944">
        <f t="shared" si="169"/>
        <v>59.01309650223638</v>
      </c>
      <c r="AT179" s="219" t="e">
        <f t="shared" si="169"/>
        <v>#DIV/0!</v>
      </c>
      <c r="AU179" s="217" t="e">
        <f t="shared" si="169"/>
        <v>#DIV/0!</v>
      </c>
      <c r="AV179" s="695"/>
      <c r="AW179" s="695"/>
      <c r="AX179" s="695"/>
      <c r="AY179" s="695"/>
      <c r="AZ179" s="695"/>
      <c r="BA179" s="695"/>
      <c r="BB179" s="218" t="e">
        <f t="shared" si="169"/>
        <v>#DIV/0!</v>
      </c>
      <c r="BC179" s="219" t="e">
        <f t="shared" si="169"/>
        <v>#DIV/0!</v>
      </c>
      <c r="BD179" s="217" t="e">
        <f t="shared" si="169"/>
        <v>#DIV/0!</v>
      </c>
      <c r="BE179" s="218" t="e">
        <f t="shared" si="169"/>
        <v>#DIV/0!</v>
      </c>
      <c r="BF179" s="219" t="e">
        <f t="shared" si="169"/>
        <v>#DIV/0!</v>
      </c>
      <c r="BG179" s="217" t="e">
        <f t="shared" si="169"/>
        <v>#DIV/0!</v>
      </c>
      <c r="BH179" s="218" t="e">
        <f t="shared" si="169"/>
        <v>#DIV/0!</v>
      </c>
    </row>
    <row r="180" spans="1:60" ht="14.65" thickBot="1">
      <c r="A180" s="80"/>
      <c r="B180" s="81" t="s">
        <v>341</v>
      </c>
      <c r="C180" s="82"/>
      <c r="D180" s="85"/>
      <c r="E180" s="87">
        <f>E177/E175%</f>
        <v>26.646079188265137</v>
      </c>
      <c r="F180" s="229">
        <f t="shared" ref="F180:AC180" si="170">F177/F175%</f>
        <v>46.602182539682538</v>
      </c>
      <c r="G180" s="227">
        <f t="shared" si="170"/>
        <v>0</v>
      </c>
      <c r="H180" s="228">
        <f t="shared" si="170"/>
        <v>44.984438592291113</v>
      </c>
      <c r="I180" s="229">
        <f t="shared" si="170"/>
        <v>15.910453727763342</v>
      </c>
      <c r="J180" s="227">
        <f t="shared" si="170"/>
        <v>39.793281653746767</v>
      </c>
      <c r="K180" s="228">
        <f t="shared" si="170"/>
        <v>16.799769075339171</v>
      </c>
      <c r="L180" s="229">
        <f t="shared" si="170"/>
        <v>23.419394185810123</v>
      </c>
      <c r="M180" s="227">
        <f t="shared" si="170"/>
        <v>35</v>
      </c>
      <c r="N180" s="228">
        <f t="shared" si="170"/>
        <v>23.784209490057098</v>
      </c>
      <c r="O180" s="229">
        <f t="shared" si="170"/>
        <v>39.313854235062372</v>
      </c>
      <c r="P180" s="227">
        <f t="shared" si="170"/>
        <v>4.4117647058823533</v>
      </c>
      <c r="Q180" s="228">
        <f t="shared" si="170"/>
        <v>37.46890547263682</v>
      </c>
      <c r="R180" s="229">
        <f t="shared" si="170"/>
        <v>35.445757250268528</v>
      </c>
      <c r="S180" s="227">
        <f t="shared" si="170"/>
        <v>2.8301886792452828</v>
      </c>
      <c r="T180" s="228">
        <f t="shared" si="170"/>
        <v>34.253190755432911</v>
      </c>
      <c r="U180" s="229">
        <f t="shared" si="170"/>
        <v>84.917989065208701</v>
      </c>
      <c r="V180" s="227">
        <f t="shared" si="170"/>
        <v>31.666666666666668</v>
      </c>
      <c r="W180" s="228">
        <f t="shared" si="170"/>
        <v>83.266571908515317</v>
      </c>
      <c r="X180" s="230">
        <f t="shared" si="170"/>
        <v>39.071891260486353</v>
      </c>
      <c r="Y180" s="231">
        <f t="shared" si="170"/>
        <v>20.290665176076018</v>
      </c>
      <c r="Z180" s="232">
        <f t="shared" si="170"/>
        <v>38.384417072472068</v>
      </c>
      <c r="AA180" s="248">
        <f t="shared" si="170"/>
        <v>39.071891260486353</v>
      </c>
      <c r="AB180" s="249">
        <f t="shared" si="170"/>
        <v>20.290665176076018</v>
      </c>
      <c r="AC180" s="250">
        <f t="shared" si="170"/>
        <v>38.384417072472068</v>
      </c>
      <c r="AE180" s="229">
        <f t="shared" ref="AE180:BH180" si="171">AE177/AE175%</f>
        <v>16.388261851015802</v>
      </c>
      <c r="AF180" s="227">
        <f t="shared" si="171"/>
        <v>7.258064516129032</v>
      </c>
      <c r="AG180" s="228">
        <f t="shared" si="171"/>
        <v>15.904232578024796</v>
      </c>
      <c r="AH180" s="229">
        <f t="shared" si="171"/>
        <v>50.664251207729471</v>
      </c>
      <c r="AI180" s="227">
        <f t="shared" si="171"/>
        <v>52.38095238095238</v>
      </c>
      <c r="AJ180" s="228">
        <f t="shared" si="171"/>
        <v>50.737207285342578</v>
      </c>
      <c r="AK180" s="229">
        <f t="shared" si="171"/>
        <v>35.90231061713952</v>
      </c>
      <c r="AL180" s="227">
        <f t="shared" si="171"/>
        <v>2.42914979757085</v>
      </c>
      <c r="AM180" s="228">
        <f t="shared" si="171"/>
        <v>34.735356386732533</v>
      </c>
      <c r="AN180" s="229">
        <f t="shared" si="171"/>
        <v>41.837676393107031</v>
      </c>
      <c r="AO180" s="227">
        <f t="shared" si="171"/>
        <v>21.157606570199452</v>
      </c>
      <c r="AP180" s="228">
        <f t="shared" si="171"/>
        <v>40.98690349776362</v>
      </c>
      <c r="AQ180" s="945">
        <f t="shared" si="171"/>
        <v>41.837676393107039</v>
      </c>
      <c r="AR180" s="946">
        <f t="shared" si="171"/>
        <v>21.157606570199455</v>
      </c>
      <c r="AS180" s="947">
        <f t="shared" si="171"/>
        <v>40.98690349776362</v>
      </c>
      <c r="AT180" s="229" t="e">
        <f t="shared" si="171"/>
        <v>#DIV/0!</v>
      </c>
      <c r="AU180" s="227" t="e">
        <f t="shared" si="171"/>
        <v>#DIV/0!</v>
      </c>
      <c r="AV180" s="936"/>
      <c r="AW180" s="936"/>
      <c r="AX180" s="936"/>
      <c r="AY180" s="936"/>
      <c r="AZ180" s="936"/>
      <c r="BA180" s="936"/>
      <c r="BB180" s="228" t="e">
        <f t="shared" si="171"/>
        <v>#DIV/0!</v>
      </c>
      <c r="BC180" s="229" t="e">
        <f t="shared" si="171"/>
        <v>#DIV/0!</v>
      </c>
      <c r="BD180" s="227" t="e">
        <f t="shared" si="171"/>
        <v>#DIV/0!</v>
      </c>
      <c r="BE180" s="228" t="e">
        <f t="shared" si="171"/>
        <v>#DIV/0!</v>
      </c>
      <c r="BF180" s="229" t="e">
        <f t="shared" si="171"/>
        <v>#DIV/0!</v>
      </c>
      <c r="BG180" s="227" t="e">
        <f t="shared" si="171"/>
        <v>#DIV/0!</v>
      </c>
      <c r="BH180" s="228" t="e">
        <f t="shared" si="171"/>
        <v>#DIV/0!</v>
      </c>
    </row>
    <row r="182" spans="1:60">
      <c r="AC182" s="74"/>
      <c r="AE182" s="657">
        <f>AE175/AA175%</f>
        <v>56.451099076138902</v>
      </c>
      <c r="AF182" s="657">
        <f>AF175/AB175%</f>
        <v>83.174958077138058</v>
      </c>
      <c r="AG182" s="657">
        <f>AG175/AC175%</f>
        <v>57.42930801653231</v>
      </c>
    </row>
    <row r="183" spans="1:60">
      <c r="B183" s="73"/>
    </row>
    <row r="184" spans="1:60">
      <c r="B184" s="73"/>
    </row>
    <row r="185" spans="1:60">
      <c r="C185" s="24"/>
      <c r="D185" s="24"/>
      <c r="E185" s="24"/>
    </row>
    <row r="186" spans="1:60">
      <c r="C186" s="963"/>
      <c r="D186" s="963"/>
      <c r="E186" s="963"/>
    </row>
    <row r="187" spans="1:60">
      <c r="C187" s="25"/>
      <c r="D187" s="25"/>
      <c r="E187" s="26"/>
    </row>
    <row r="188" spans="1:60">
      <c r="C188" s="24"/>
      <c r="D188" s="24"/>
      <c r="E188" s="24"/>
    </row>
    <row r="189" spans="1:60">
      <c r="C189" s="24"/>
      <c r="D189" s="24"/>
      <c r="E189" s="24"/>
    </row>
    <row r="190" spans="1:60">
      <c r="C190" s="24"/>
      <c r="D190" s="24"/>
      <c r="E190" s="24"/>
    </row>
    <row r="191" spans="1:60">
      <c r="C191" s="24"/>
      <c r="D191" s="24"/>
      <c r="E191" s="24"/>
    </row>
    <row r="192" spans="1:60">
      <c r="C192" s="24"/>
      <c r="D192" s="27"/>
      <c r="E192" s="24"/>
    </row>
  </sheetData>
  <autoFilter ref="A7:BH174"/>
  <mergeCells count="17">
    <mergeCell ref="AQ6:AS6"/>
    <mergeCell ref="BC6:BE6"/>
    <mergeCell ref="BF6:BH6"/>
    <mergeCell ref="AE6:AG6"/>
    <mergeCell ref="AH6:AJ6"/>
    <mergeCell ref="AK6:AM6"/>
    <mergeCell ref="AN6:AP6"/>
    <mergeCell ref="AT6:AV6"/>
    <mergeCell ref="AW6:AY6"/>
    <mergeCell ref="AZ6:BB6"/>
    <mergeCell ref="C186:E186"/>
    <mergeCell ref="AD6:AD7"/>
    <mergeCell ref="A1:H1"/>
    <mergeCell ref="E6:E7"/>
    <mergeCell ref="U6:W6"/>
    <mergeCell ref="X6:Z6"/>
    <mergeCell ref="AA6:AC6"/>
  </mergeCells>
  <pageMargins left="0.7" right="0.7" top="0.75" bottom="0.75" header="0.3" footer="0.3"/>
  <pageSetup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6"/>
  </sheetPr>
  <dimension ref="A1:BI100"/>
  <sheetViews>
    <sheetView workbookViewId="0">
      <pane xSplit="6" ySplit="7" topLeftCell="AP76" activePane="bottomRight" state="frozen"/>
      <selection pane="topRight" activeCell="G1" sqref="G1"/>
      <selection pane="bottomLeft" activeCell="A8" sqref="A8"/>
      <selection pane="bottomRight" activeCell="AS8" sqref="AS8:AS90"/>
    </sheetView>
  </sheetViews>
  <sheetFormatPr defaultColWidth="9.1328125" defaultRowHeight="14.25"/>
  <cols>
    <col min="1" max="1" width="4.59765625" style="8" customWidth="1"/>
    <col min="2" max="2" width="33.59765625" style="8" bestFit="1" customWidth="1"/>
    <col min="3" max="3" width="21.86328125" style="8" bestFit="1" customWidth="1"/>
    <col min="4" max="4" width="8.86328125" style="8" customWidth="1"/>
    <col min="5" max="5" width="0" style="8" hidden="1" customWidth="1"/>
    <col min="6" max="6" width="7.86328125" style="8" customWidth="1"/>
    <col min="7" max="8" width="7.3984375" style="8" customWidth="1"/>
    <col min="9" max="9" width="9.59765625" style="8" customWidth="1"/>
    <col min="10" max="11" width="7.3984375" style="8" customWidth="1"/>
    <col min="12" max="18" width="9.59765625" style="8" customWidth="1"/>
    <col min="19" max="30" width="9.1328125" style="8"/>
    <col min="31" max="31" width="0" style="8" hidden="1" customWidth="1"/>
    <col min="32" max="16384" width="9.1328125" style="8"/>
  </cols>
  <sheetData>
    <row r="1" spans="1:61" ht="28.5">
      <c r="A1" s="57" t="s">
        <v>508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</row>
    <row r="3" spans="1:61">
      <c r="A3" s="8" t="s">
        <v>0</v>
      </c>
    </row>
    <row r="5" spans="1:61">
      <c r="A5" s="8" t="s">
        <v>343</v>
      </c>
    </row>
    <row r="6" spans="1:61" s="9" customFormat="1" ht="30.75" customHeight="1">
      <c r="A6" s="48"/>
      <c r="B6" s="48"/>
      <c r="C6" s="48"/>
      <c r="D6" s="48"/>
      <c r="E6" s="971" t="s">
        <v>2</v>
      </c>
      <c r="F6" s="972" t="s">
        <v>3</v>
      </c>
      <c r="G6" s="38"/>
      <c r="H6" s="38" t="s">
        <v>882</v>
      </c>
      <c r="I6" s="49"/>
      <c r="J6" s="38"/>
      <c r="K6" s="38" t="s">
        <v>890</v>
      </c>
      <c r="L6" s="49"/>
      <c r="M6" s="38"/>
      <c r="N6" s="39"/>
      <c r="O6" s="39" t="s">
        <v>895</v>
      </c>
      <c r="P6" s="38"/>
      <c r="Q6" s="39"/>
      <c r="R6" s="39" t="s">
        <v>896</v>
      </c>
      <c r="S6" s="38"/>
      <c r="T6" s="39"/>
      <c r="U6" s="39" t="s">
        <v>897</v>
      </c>
      <c r="V6" s="967" t="s">
        <v>898</v>
      </c>
      <c r="W6" s="967"/>
      <c r="X6" s="967"/>
      <c r="Y6" s="968" t="s">
        <v>901</v>
      </c>
      <c r="Z6" s="968"/>
      <c r="AA6" s="968"/>
      <c r="AB6" s="968" t="s">
        <v>902</v>
      </c>
      <c r="AC6" s="968"/>
      <c r="AD6" s="968"/>
      <c r="AE6" s="50" t="s">
        <v>4</v>
      </c>
      <c r="AF6" s="967" t="s">
        <v>3311</v>
      </c>
      <c r="AG6" s="967"/>
      <c r="AH6" s="967"/>
      <c r="AI6" s="967" t="s">
        <v>3312</v>
      </c>
      <c r="AJ6" s="967"/>
      <c r="AK6" s="967"/>
      <c r="AL6" s="967" t="s">
        <v>3313</v>
      </c>
      <c r="AM6" s="967"/>
      <c r="AN6" s="967"/>
      <c r="AO6" s="968" t="s">
        <v>3330</v>
      </c>
      <c r="AP6" s="968"/>
      <c r="AQ6" s="968"/>
      <c r="AR6" s="969" t="s">
        <v>3335</v>
      </c>
      <c r="AS6" s="969"/>
      <c r="AT6" s="969"/>
      <c r="AU6" s="967" t="s">
        <v>3314</v>
      </c>
      <c r="AV6" s="967"/>
      <c r="AW6" s="967"/>
      <c r="AX6" s="967" t="s">
        <v>3315</v>
      </c>
      <c r="AY6" s="967"/>
      <c r="AZ6" s="967"/>
      <c r="BA6" s="967" t="s">
        <v>3316</v>
      </c>
      <c r="BB6" s="967"/>
      <c r="BC6" s="967"/>
      <c r="BD6" s="970" t="s">
        <v>3317</v>
      </c>
      <c r="BE6" s="970"/>
      <c r="BF6" s="970"/>
      <c r="BG6" s="970" t="s">
        <v>3318</v>
      </c>
      <c r="BH6" s="970"/>
      <c r="BI6" s="970"/>
    </row>
    <row r="7" spans="1:61" s="9" customFormat="1" ht="19.5" customHeight="1">
      <c r="A7" s="48" t="s">
        <v>5</v>
      </c>
      <c r="B7" s="51" t="s">
        <v>6</v>
      </c>
      <c r="C7" s="51" t="s">
        <v>7</v>
      </c>
      <c r="D7" s="51" t="s">
        <v>8</v>
      </c>
      <c r="E7" s="971"/>
      <c r="F7" s="972"/>
      <c r="G7" s="51" t="s">
        <v>9</v>
      </c>
      <c r="H7" s="48" t="s">
        <v>10</v>
      </c>
      <c r="I7" s="48" t="s">
        <v>11</v>
      </c>
      <c r="J7" s="51" t="s">
        <v>9</v>
      </c>
      <c r="K7" s="48" t="s">
        <v>10</v>
      </c>
      <c r="L7" s="48" t="s">
        <v>11</v>
      </c>
      <c r="M7" s="34" t="s">
        <v>9</v>
      </c>
      <c r="N7" s="37" t="s">
        <v>10</v>
      </c>
      <c r="O7" s="37" t="s">
        <v>11</v>
      </c>
      <c r="P7" s="34" t="s">
        <v>9</v>
      </c>
      <c r="Q7" s="37" t="s">
        <v>10</v>
      </c>
      <c r="R7" s="37" t="s">
        <v>11</v>
      </c>
      <c r="S7" s="34" t="s">
        <v>9</v>
      </c>
      <c r="T7" s="37" t="s">
        <v>10</v>
      </c>
      <c r="U7" s="37" t="s">
        <v>11</v>
      </c>
      <c r="V7" s="34" t="s">
        <v>9</v>
      </c>
      <c r="W7" s="34" t="s">
        <v>10</v>
      </c>
      <c r="X7" s="34" t="s">
        <v>11</v>
      </c>
      <c r="Y7" s="40" t="s">
        <v>9</v>
      </c>
      <c r="Z7" s="40" t="s">
        <v>10</v>
      </c>
      <c r="AA7" s="40" t="s">
        <v>11</v>
      </c>
      <c r="AB7" s="40" t="s">
        <v>9</v>
      </c>
      <c r="AC7" s="40" t="s">
        <v>10</v>
      </c>
      <c r="AD7" s="40" t="s">
        <v>11</v>
      </c>
      <c r="AE7" s="52"/>
      <c r="AF7" s="685" t="s">
        <v>9</v>
      </c>
      <c r="AG7" s="685" t="s">
        <v>10</v>
      </c>
      <c r="AH7" s="685" t="s">
        <v>11</v>
      </c>
      <c r="AI7" s="685" t="s">
        <v>9</v>
      </c>
      <c r="AJ7" s="685" t="s">
        <v>10</v>
      </c>
      <c r="AK7" s="685" t="s">
        <v>11</v>
      </c>
      <c r="AL7" s="685" t="s">
        <v>9</v>
      </c>
      <c r="AM7" s="685" t="s">
        <v>10</v>
      </c>
      <c r="AN7" s="685" t="s">
        <v>11</v>
      </c>
      <c r="AO7" s="40" t="s">
        <v>9</v>
      </c>
      <c r="AP7" s="40" t="s">
        <v>10</v>
      </c>
      <c r="AQ7" s="40" t="s">
        <v>11</v>
      </c>
      <c r="AR7" s="951" t="s">
        <v>9</v>
      </c>
      <c r="AS7" s="951" t="s">
        <v>10</v>
      </c>
      <c r="AT7" s="951" t="s">
        <v>11</v>
      </c>
      <c r="AU7" s="685" t="s">
        <v>9</v>
      </c>
      <c r="AV7" s="685" t="s">
        <v>10</v>
      </c>
      <c r="AW7" s="925" t="s">
        <v>2780</v>
      </c>
      <c r="AX7" s="925" t="s">
        <v>9</v>
      </c>
      <c r="AY7" s="925" t="s">
        <v>10</v>
      </c>
      <c r="AZ7" s="925" t="s">
        <v>2780</v>
      </c>
      <c r="BA7" s="925" t="s">
        <v>9</v>
      </c>
      <c r="BB7" s="925" t="s">
        <v>10</v>
      </c>
      <c r="BC7" s="925" t="s">
        <v>2780</v>
      </c>
      <c r="BD7" s="64"/>
      <c r="BE7" s="64"/>
      <c r="BF7" s="64"/>
      <c r="BG7" s="64"/>
      <c r="BH7" s="64"/>
      <c r="BI7" s="64"/>
    </row>
    <row r="8" spans="1:61" s="9" customFormat="1">
      <c r="A8" s="9">
        <v>1</v>
      </c>
      <c r="B8" s="13" t="s">
        <v>344</v>
      </c>
      <c r="C8" s="9" t="s">
        <v>345</v>
      </c>
      <c r="D8" s="9" t="s">
        <v>346</v>
      </c>
      <c r="E8" s="10" t="s">
        <v>347</v>
      </c>
      <c r="F8" s="9">
        <v>40</v>
      </c>
      <c r="G8" s="9">
        <v>100</v>
      </c>
      <c r="I8" s="6">
        <f t="shared" ref="I8:I39" si="0">SUM(G8:H8)</f>
        <v>100</v>
      </c>
      <c r="J8" s="9">
        <v>122</v>
      </c>
      <c r="L8" s="6">
        <f t="shared" ref="L8:L71" si="1">SUM(J8:K8)</f>
        <v>122</v>
      </c>
      <c r="M8" s="9">
        <v>150</v>
      </c>
      <c r="O8" s="6">
        <f t="shared" ref="O8:O71" si="2">SUM(M8:N8)</f>
        <v>150</v>
      </c>
      <c r="P8" s="6">
        <v>120</v>
      </c>
      <c r="Q8" s="6"/>
      <c r="R8" s="6">
        <f t="shared" ref="R8" si="3">SUM(P8:Q8)</f>
        <v>120</v>
      </c>
      <c r="S8" s="6"/>
      <c r="T8" s="6"/>
      <c r="U8" s="6">
        <f t="shared" ref="U8:U71" si="4">SUM(S8:T8)</f>
        <v>0</v>
      </c>
      <c r="V8" s="6">
        <v>136</v>
      </c>
      <c r="W8" s="6"/>
      <c r="X8" s="6">
        <f t="shared" ref="X8:X31" si="5">V8+W8</f>
        <v>136</v>
      </c>
      <c r="Y8" s="88">
        <f t="shared" ref="Y8:Y39" si="6">G8+J8+M8+P8+S8+V8</f>
        <v>628</v>
      </c>
      <c r="Z8" s="41">
        <f t="shared" ref="Z8:Z39" si="7">H8+K8+N8+Q8+T8+W8</f>
        <v>0</v>
      </c>
      <c r="AA8" s="41">
        <f t="shared" ref="AA8:AA39" si="8">I8+L8+O8+R8+U8+X8</f>
        <v>628</v>
      </c>
      <c r="AB8" s="42">
        <f t="shared" ref="AB8:AB39" si="9">Y8/6</f>
        <v>104.66666666666667</v>
      </c>
      <c r="AC8" s="42">
        <f t="shared" ref="AC8:AC39" si="10">Z8/6</f>
        <v>0</v>
      </c>
      <c r="AD8" s="42">
        <f t="shared" ref="AD8:AD39" si="11">AA8/6</f>
        <v>104.66666666666667</v>
      </c>
      <c r="AE8" s="53" t="s">
        <v>348</v>
      </c>
      <c r="AF8" s="6"/>
      <c r="AG8" s="6"/>
      <c r="AH8" s="6">
        <f t="shared" ref="AH8:AH31" si="12">AF8+AG8</f>
        <v>0</v>
      </c>
      <c r="AI8" s="6">
        <v>78</v>
      </c>
      <c r="AJ8" s="902"/>
      <c r="AK8" s="9">
        <f>AI8+AJ8</f>
        <v>78</v>
      </c>
      <c r="AL8" s="6"/>
      <c r="AM8" s="6"/>
      <c r="AN8" s="902">
        <f>AL8+AM8</f>
        <v>0</v>
      </c>
      <c r="AO8" s="9">
        <f>Y8+AF8+AI8+AL8</f>
        <v>706</v>
      </c>
      <c r="AP8" s="9">
        <f>Z8+AG8+AJ8+AM8</f>
        <v>0</v>
      </c>
      <c r="AQ8" s="9">
        <f>AA8+AH8+AK8+AN8</f>
        <v>706</v>
      </c>
      <c r="AR8" s="939">
        <f>AO8/9</f>
        <v>78.444444444444443</v>
      </c>
      <c r="AS8" s="939">
        <f t="shared" ref="AS8:AT14" si="13">AP8/9</f>
        <v>0</v>
      </c>
      <c r="AT8" s="939">
        <f t="shared" si="13"/>
        <v>78.444444444444443</v>
      </c>
    </row>
    <row r="9" spans="1:61" s="9" customFormat="1">
      <c r="A9" s="9">
        <v>2</v>
      </c>
      <c r="B9" s="13" t="s">
        <v>349</v>
      </c>
      <c r="C9" s="9" t="s">
        <v>345</v>
      </c>
      <c r="D9" s="9" t="s">
        <v>350</v>
      </c>
      <c r="E9" s="10" t="s">
        <v>351</v>
      </c>
      <c r="F9" s="9">
        <v>25</v>
      </c>
      <c r="I9" s="6">
        <f t="shared" si="0"/>
        <v>0</v>
      </c>
      <c r="L9" s="6">
        <f t="shared" si="1"/>
        <v>0</v>
      </c>
      <c r="M9" s="6"/>
      <c r="N9" s="6"/>
      <c r="O9" s="6">
        <f t="shared" si="2"/>
        <v>0</v>
      </c>
      <c r="P9" s="6"/>
      <c r="Q9" s="6"/>
      <c r="R9" s="6">
        <f t="shared" ref="R9:R72" si="14">SUM(P9:Q9)</f>
        <v>0</v>
      </c>
      <c r="S9" s="6">
        <v>21</v>
      </c>
      <c r="T9" s="6"/>
      <c r="U9" s="6">
        <f t="shared" si="4"/>
        <v>21</v>
      </c>
      <c r="V9" s="6"/>
      <c r="W9" s="6"/>
      <c r="X9" s="6">
        <f t="shared" si="5"/>
        <v>0</v>
      </c>
      <c r="Y9" s="88">
        <f t="shared" si="6"/>
        <v>21</v>
      </c>
      <c r="Z9" s="41">
        <f t="shared" si="7"/>
        <v>0</v>
      </c>
      <c r="AA9" s="41">
        <f t="shared" si="8"/>
        <v>21</v>
      </c>
      <c r="AB9" s="42">
        <f t="shared" si="9"/>
        <v>3.5</v>
      </c>
      <c r="AC9" s="42">
        <f t="shared" si="10"/>
        <v>0</v>
      </c>
      <c r="AD9" s="42">
        <f t="shared" si="11"/>
        <v>3.5</v>
      </c>
      <c r="AE9" s="53" t="s">
        <v>352</v>
      </c>
      <c r="AF9" s="6"/>
      <c r="AG9" s="6"/>
      <c r="AH9" s="6">
        <f t="shared" si="12"/>
        <v>0</v>
      </c>
      <c r="AI9" s="902"/>
      <c r="AK9" s="9">
        <f t="shared" ref="AK9:AK14" si="15">AI9+AJ9</f>
        <v>0</v>
      </c>
      <c r="AL9" s="6"/>
      <c r="AM9" s="6"/>
      <c r="AN9" s="902">
        <f t="shared" ref="AN9:AN14" si="16">AL9+AM9</f>
        <v>0</v>
      </c>
      <c r="AO9" s="9">
        <f t="shared" ref="AO9:AO14" si="17">Y9+AF9+AI9+AL9</f>
        <v>21</v>
      </c>
      <c r="AP9" s="9">
        <f t="shared" ref="AP9:AP14" si="18">Z9+AG9+AJ9+AM9</f>
        <v>0</v>
      </c>
      <c r="AQ9" s="9">
        <f t="shared" ref="AQ9:AQ14" si="19">AA9+AH9+AK9+AN9</f>
        <v>21</v>
      </c>
      <c r="AR9" s="939">
        <f t="shared" ref="AR9:AR14" si="20">AO9/9</f>
        <v>2.3333333333333335</v>
      </c>
      <c r="AS9" s="939">
        <f t="shared" si="13"/>
        <v>0</v>
      </c>
      <c r="AT9" s="939">
        <f t="shared" si="13"/>
        <v>2.3333333333333335</v>
      </c>
    </row>
    <row r="10" spans="1:61" s="9" customFormat="1">
      <c r="A10" s="9">
        <v>3</v>
      </c>
      <c r="B10" s="13" t="s">
        <v>353</v>
      </c>
      <c r="C10" s="9" t="s">
        <v>345</v>
      </c>
      <c r="D10" s="9" t="s">
        <v>354</v>
      </c>
      <c r="E10" s="11" t="s">
        <v>355</v>
      </c>
      <c r="F10" s="9">
        <v>30</v>
      </c>
      <c r="G10" s="9">
        <v>10</v>
      </c>
      <c r="I10" s="6">
        <f t="shared" si="0"/>
        <v>10</v>
      </c>
      <c r="L10" s="6">
        <f t="shared" si="1"/>
        <v>0</v>
      </c>
      <c r="M10" s="6">
        <v>20</v>
      </c>
      <c r="N10" s="6"/>
      <c r="O10" s="6">
        <f t="shared" si="2"/>
        <v>20</v>
      </c>
      <c r="P10" s="6"/>
      <c r="Q10" s="6"/>
      <c r="R10" s="6">
        <f t="shared" si="14"/>
        <v>0</v>
      </c>
      <c r="S10" s="6">
        <v>10</v>
      </c>
      <c r="T10" s="6"/>
      <c r="U10" s="6">
        <f t="shared" si="4"/>
        <v>10</v>
      </c>
      <c r="V10" s="6"/>
      <c r="W10" s="6"/>
      <c r="X10" s="6">
        <f t="shared" si="5"/>
        <v>0</v>
      </c>
      <c r="Y10" s="88">
        <f t="shared" si="6"/>
        <v>40</v>
      </c>
      <c r="Z10" s="41">
        <f t="shared" si="7"/>
        <v>0</v>
      </c>
      <c r="AA10" s="41">
        <f t="shared" si="8"/>
        <v>40</v>
      </c>
      <c r="AB10" s="42">
        <f t="shared" si="9"/>
        <v>6.666666666666667</v>
      </c>
      <c r="AC10" s="42">
        <f t="shared" si="10"/>
        <v>0</v>
      </c>
      <c r="AD10" s="42">
        <f t="shared" si="11"/>
        <v>6.666666666666667</v>
      </c>
      <c r="AE10" s="53" t="s">
        <v>352</v>
      </c>
      <c r="AF10" s="6"/>
      <c r="AG10" s="6"/>
      <c r="AH10" s="6">
        <f t="shared" si="12"/>
        <v>0</v>
      </c>
      <c r="AI10" s="902"/>
      <c r="AK10" s="9">
        <f t="shared" si="15"/>
        <v>0</v>
      </c>
      <c r="AL10" s="6"/>
      <c r="AM10" s="6"/>
      <c r="AN10" s="902">
        <f t="shared" si="16"/>
        <v>0</v>
      </c>
      <c r="AO10" s="9">
        <f t="shared" si="17"/>
        <v>40</v>
      </c>
      <c r="AP10" s="9">
        <f t="shared" si="18"/>
        <v>0</v>
      </c>
      <c r="AQ10" s="9">
        <f t="shared" si="19"/>
        <v>40</v>
      </c>
      <c r="AR10" s="939">
        <f t="shared" si="20"/>
        <v>4.4444444444444446</v>
      </c>
      <c r="AS10" s="939">
        <f t="shared" si="13"/>
        <v>0</v>
      </c>
      <c r="AT10" s="939">
        <f t="shared" si="13"/>
        <v>4.4444444444444446</v>
      </c>
    </row>
    <row r="11" spans="1:61" s="9" customFormat="1">
      <c r="A11" s="9">
        <v>4</v>
      </c>
      <c r="B11" s="13" t="s">
        <v>356</v>
      </c>
      <c r="C11" s="9" t="s">
        <v>345</v>
      </c>
      <c r="D11" s="9" t="s">
        <v>357</v>
      </c>
      <c r="E11" s="10" t="s">
        <v>347</v>
      </c>
      <c r="F11" s="9">
        <v>10</v>
      </c>
      <c r="G11" s="9">
        <v>10</v>
      </c>
      <c r="I11" s="6">
        <f t="shared" si="0"/>
        <v>10</v>
      </c>
      <c r="L11" s="6">
        <f t="shared" si="1"/>
        <v>0</v>
      </c>
      <c r="M11" s="6"/>
      <c r="N11" s="6"/>
      <c r="O11" s="6">
        <f t="shared" si="2"/>
        <v>0</v>
      </c>
      <c r="P11" s="6"/>
      <c r="Q11" s="6"/>
      <c r="R11" s="6">
        <f t="shared" si="14"/>
        <v>0</v>
      </c>
      <c r="S11" s="6"/>
      <c r="T11" s="6"/>
      <c r="U11" s="6">
        <f t="shared" si="4"/>
        <v>0</v>
      </c>
      <c r="V11" s="6"/>
      <c r="W11" s="6"/>
      <c r="X11" s="6">
        <f t="shared" si="5"/>
        <v>0</v>
      </c>
      <c r="Y11" s="88">
        <f t="shared" si="6"/>
        <v>10</v>
      </c>
      <c r="Z11" s="41">
        <f t="shared" si="7"/>
        <v>0</v>
      </c>
      <c r="AA11" s="41">
        <f t="shared" si="8"/>
        <v>10</v>
      </c>
      <c r="AB11" s="42">
        <f t="shared" si="9"/>
        <v>1.6666666666666667</v>
      </c>
      <c r="AC11" s="42">
        <f t="shared" si="10"/>
        <v>0</v>
      </c>
      <c r="AD11" s="42">
        <f t="shared" si="11"/>
        <v>1.6666666666666667</v>
      </c>
      <c r="AE11" s="53" t="s">
        <v>352</v>
      </c>
      <c r="AF11" s="6"/>
      <c r="AG11" s="6"/>
      <c r="AH11" s="6">
        <f t="shared" si="12"/>
        <v>0</v>
      </c>
      <c r="AI11" s="902"/>
      <c r="AK11" s="9">
        <f t="shared" si="15"/>
        <v>0</v>
      </c>
      <c r="AL11" s="6"/>
      <c r="AM11" s="6"/>
      <c r="AN11" s="902">
        <f t="shared" si="16"/>
        <v>0</v>
      </c>
      <c r="AO11" s="9">
        <f t="shared" si="17"/>
        <v>10</v>
      </c>
      <c r="AP11" s="9">
        <f t="shared" si="18"/>
        <v>0</v>
      </c>
      <c r="AQ11" s="9">
        <f t="shared" si="19"/>
        <v>10</v>
      </c>
      <c r="AR11" s="939">
        <f t="shared" si="20"/>
        <v>1.1111111111111112</v>
      </c>
      <c r="AS11" s="939">
        <f t="shared" si="13"/>
        <v>0</v>
      </c>
      <c r="AT11" s="939">
        <f t="shared" si="13"/>
        <v>1.1111111111111112</v>
      </c>
    </row>
    <row r="12" spans="1:61" s="9" customFormat="1">
      <c r="A12" s="9">
        <v>5</v>
      </c>
      <c r="B12" s="13" t="s">
        <v>358</v>
      </c>
      <c r="C12" s="9" t="s">
        <v>345</v>
      </c>
      <c r="D12" s="9" t="s">
        <v>359</v>
      </c>
      <c r="E12" s="11" t="s">
        <v>355</v>
      </c>
      <c r="F12" s="9">
        <v>10</v>
      </c>
      <c r="G12" s="9">
        <v>50</v>
      </c>
      <c r="I12" s="6">
        <f t="shared" si="0"/>
        <v>50</v>
      </c>
      <c r="L12" s="6">
        <f t="shared" si="1"/>
        <v>0</v>
      </c>
      <c r="M12" s="6">
        <v>80</v>
      </c>
      <c r="N12" s="6"/>
      <c r="O12" s="6">
        <f t="shared" si="2"/>
        <v>80</v>
      </c>
      <c r="P12" s="6">
        <v>51</v>
      </c>
      <c r="Q12" s="6"/>
      <c r="R12" s="6">
        <f t="shared" si="14"/>
        <v>51</v>
      </c>
      <c r="S12" s="6"/>
      <c r="T12" s="6"/>
      <c r="U12" s="6">
        <f t="shared" si="4"/>
        <v>0</v>
      </c>
      <c r="V12" s="6"/>
      <c r="W12" s="6"/>
      <c r="X12" s="6">
        <f t="shared" si="5"/>
        <v>0</v>
      </c>
      <c r="Y12" s="88">
        <f t="shared" si="6"/>
        <v>181</v>
      </c>
      <c r="Z12" s="41">
        <f t="shared" si="7"/>
        <v>0</v>
      </c>
      <c r="AA12" s="41">
        <f t="shared" si="8"/>
        <v>181</v>
      </c>
      <c r="AB12" s="42">
        <f t="shared" si="9"/>
        <v>30.166666666666668</v>
      </c>
      <c r="AC12" s="42">
        <f t="shared" si="10"/>
        <v>0</v>
      </c>
      <c r="AD12" s="42">
        <f t="shared" si="11"/>
        <v>30.166666666666668</v>
      </c>
      <c r="AE12" s="53" t="s">
        <v>352</v>
      </c>
      <c r="AF12" s="6">
        <v>25</v>
      </c>
      <c r="AG12" s="6"/>
      <c r="AH12" s="6">
        <f t="shared" si="12"/>
        <v>25</v>
      </c>
      <c r="AI12" s="902"/>
      <c r="AK12" s="9">
        <f t="shared" si="15"/>
        <v>0</v>
      </c>
      <c r="AL12" s="6"/>
      <c r="AM12" s="6"/>
      <c r="AN12" s="902">
        <f t="shared" si="16"/>
        <v>0</v>
      </c>
      <c r="AO12" s="9">
        <f t="shared" si="17"/>
        <v>206</v>
      </c>
      <c r="AP12" s="9">
        <f t="shared" si="18"/>
        <v>0</v>
      </c>
      <c r="AQ12" s="9">
        <f t="shared" si="19"/>
        <v>206</v>
      </c>
      <c r="AR12" s="939">
        <f t="shared" si="20"/>
        <v>22.888888888888889</v>
      </c>
      <c r="AS12" s="939">
        <f t="shared" si="13"/>
        <v>0</v>
      </c>
      <c r="AT12" s="939">
        <f t="shared" si="13"/>
        <v>22.888888888888889</v>
      </c>
    </row>
    <row r="13" spans="1:61" s="9" customFormat="1">
      <c r="A13" s="9">
        <v>6</v>
      </c>
      <c r="B13" s="13" t="s">
        <v>360</v>
      </c>
      <c r="C13" s="9" t="s">
        <v>345</v>
      </c>
      <c r="D13" s="9" t="s">
        <v>361</v>
      </c>
      <c r="E13" s="11" t="s">
        <v>355</v>
      </c>
      <c r="F13" s="9">
        <v>15</v>
      </c>
      <c r="G13" s="9">
        <v>35</v>
      </c>
      <c r="I13" s="6">
        <f t="shared" si="0"/>
        <v>35</v>
      </c>
      <c r="L13" s="6">
        <f t="shared" si="1"/>
        <v>0</v>
      </c>
      <c r="M13" s="6">
        <v>8</v>
      </c>
      <c r="N13" s="6"/>
      <c r="O13" s="6">
        <f t="shared" si="2"/>
        <v>8</v>
      </c>
      <c r="P13" s="6"/>
      <c r="Q13" s="6"/>
      <c r="R13" s="6">
        <f t="shared" si="14"/>
        <v>0</v>
      </c>
      <c r="S13" s="6"/>
      <c r="T13" s="6"/>
      <c r="U13" s="6">
        <f t="shared" si="4"/>
        <v>0</v>
      </c>
      <c r="V13" s="6"/>
      <c r="W13" s="6"/>
      <c r="X13" s="6">
        <f t="shared" si="5"/>
        <v>0</v>
      </c>
      <c r="Y13" s="88">
        <f t="shared" si="6"/>
        <v>43</v>
      </c>
      <c r="Z13" s="41">
        <f t="shared" si="7"/>
        <v>0</v>
      </c>
      <c r="AA13" s="41">
        <f t="shared" si="8"/>
        <v>43</v>
      </c>
      <c r="AB13" s="42">
        <f t="shared" si="9"/>
        <v>7.166666666666667</v>
      </c>
      <c r="AC13" s="42">
        <f t="shared" si="10"/>
        <v>0</v>
      </c>
      <c r="AD13" s="42">
        <f t="shared" si="11"/>
        <v>7.166666666666667</v>
      </c>
      <c r="AE13" s="53" t="s">
        <v>352</v>
      </c>
      <c r="AF13" s="6"/>
      <c r="AG13" s="6"/>
      <c r="AH13" s="6">
        <f t="shared" si="12"/>
        <v>0</v>
      </c>
      <c r="AI13" s="902"/>
      <c r="AK13" s="9">
        <f t="shared" si="15"/>
        <v>0</v>
      </c>
      <c r="AL13" s="6"/>
      <c r="AM13" s="6"/>
      <c r="AN13" s="902">
        <f t="shared" si="16"/>
        <v>0</v>
      </c>
      <c r="AO13" s="9">
        <f t="shared" si="17"/>
        <v>43</v>
      </c>
      <c r="AP13" s="9">
        <f t="shared" si="18"/>
        <v>0</v>
      </c>
      <c r="AQ13" s="9">
        <f t="shared" si="19"/>
        <v>43</v>
      </c>
      <c r="AR13" s="939">
        <f t="shared" si="20"/>
        <v>4.7777777777777777</v>
      </c>
      <c r="AS13" s="939">
        <f t="shared" si="13"/>
        <v>0</v>
      </c>
      <c r="AT13" s="939">
        <f t="shared" si="13"/>
        <v>4.7777777777777777</v>
      </c>
    </row>
    <row r="14" spans="1:61" s="9" customFormat="1">
      <c r="A14" s="9">
        <v>7</v>
      </c>
      <c r="B14" s="13" t="s">
        <v>362</v>
      </c>
      <c r="C14" s="9" t="s">
        <v>345</v>
      </c>
      <c r="D14" s="9" t="s">
        <v>363</v>
      </c>
      <c r="E14" s="12" t="s">
        <v>364</v>
      </c>
      <c r="F14" s="9">
        <v>18</v>
      </c>
      <c r="G14" s="9">
        <v>40</v>
      </c>
      <c r="I14" s="6">
        <f t="shared" si="0"/>
        <v>40</v>
      </c>
      <c r="J14" s="9">
        <v>150</v>
      </c>
      <c r="L14" s="6">
        <f t="shared" si="1"/>
        <v>150</v>
      </c>
      <c r="M14" s="6">
        <v>50</v>
      </c>
      <c r="N14" s="6"/>
      <c r="O14" s="6">
        <f t="shared" si="2"/>
        <v>50</v>
      </c>
      <c r="P14" s="6"/>
      <c r="Q14" s="6"/>
      <c r="R14" s="6">
        <f t="shared" si="14"/>
        <v>0</v>
      </c>
      <c r="S14" s="6"/>
      <c r="T14" s="6"/>
      <c r="U14" s="6">
        <f t="shared" si="4"/>
        <v>0</v>
      </c>
      <c r="V14" s="6"/>
      <c r="W14" s="6"/>
      <c r="X14" s="6">
        <f t="shared" si="5"/>
        <v>0</v>
      </c>
      <c r="Y14" s="88">
        <f t="shared" si="6"/>
        <v>240</v>
      </c>
      <c r="Z14" s="41">
        <f t="shared" si="7"/>
        <v>0</v>
      </c>
      <c r="AA14" s="41">
        <f t="shared" si="8"/>
        <v>240</v>
      </c>
      <c r="AB14" s="42">
        <f t="shared" si="9"/>
        <v>40</v>
      </c>
      <c r="AC14" s="42">
        <f t="shared" si="10"/>
        <v>0</v>
      </c>
      <c r="AD14" s="42">
        <f t="shared" si="11"/>
        <v>40</v>
      </c>
      <c r="AE14" s="53" t="s">
        <v>352</v>
      </c>
      <c r="AF14" s="6"/>
      <c r="AG14" s="6"/>
      <c r="AH14" s="6">
        <f t="shared" si="12"/>
        <v>0</v>
      </c>
      <c r="AI14" s="902"/>
      <c r="AK14" s="9">
        <f t="shared" si="15"/>
        <v>0</v>
      </c>
      <c r="AL14" s="6">
        <v>19</v>
      </c>
      <c r="AM14" s="6"/>
      <c r="AN14" s="902">
        <f t="shared" si="16"/>
        <v>19</v>
      </c>
      <c r="AO14" s="9">
        <f t="shared" si="17"/>
        <v>259</v>
      </c>
      <c r="AP14" s="9">
        <f t="shared" si="18"/>
        <v>0</v>
      </c>
      <c r="AQ14" s="9">
        <f t="shared" si="19"/>
        <v>259</v>
      </c>
      <c r="AR14" s="939">
        <f t="shared" si="20"/>
        <v>28.777777777777779</v>
      </c>
      <c r="AS14" s="939">
        <f t="shared" si="13"/>
        <v>0</v>
      </c>
      <c r="AT14" s="939">
        <f t="shared" si="13"/>
        <v>28.777777777777779</v>
      </c>
    </row>
    <row r="15" spans="1:61" s="9" customFormat="1" ht="15" hidden="1" customHeight="1">
      <c r="A15" s="9">
        <v>8</v>
      </c>
      <c r="B15" s="13" t="s">
        <v>365</v>
      </c>
      <c r="C15" s="9" t="s">
        <v>345</v>
      </c>
      <c r="D15" s="9" t="s">
        <v>366</v>
      </c>
      <c r="E15" s="10" t="s">
        <v>351</v>
      </c>
      <c r="F15" s="9">
        <v>15</v>
      </c>
      <c r="I15" s="6">
        <f t="shared" si="0"/>
        <v>0</v>
      </c>
      <c r="L15" s="6">
        <f t="shared" si="1"/>
        <v>0</v>
      </c>
      <c r="M15" s="6"/>
      <c r="N15" s="6"/>
      <c r="O15" s="6">
        <f t="shared" si="2"/>
        <v>0</v>
      </c>
      <c r="P15" s="6"/>
      <c r="Q15" s="6"/>
      <c r="R15" s="6">
        <f t="shared" si="14"/>
        <v>0</v>
      </c>
      <c r="S15" s="6"/>
      <c r="T15" s="6"/>
      <c r="U15" s="6">
        <f t="shared" si="4"/>
        <v>0</v>
      </c>
      <c r="V15" s="6"/>
      <c r="W15" s="6"/>
      <c r="X15" s="6">
        <f t="shared" si="5"/>
        <v>0</v>
      </c>
      <c r="Y15" s="88">
        <f t="shared" si="6"/>
        <v>0</v>
      </c>
      <c r="Z15" s="41">
        <f t="shared" si="7"/>
        <v>0</v>
      </c>
      <c r="AA15" s="41">
        <f t="shared" si="8"/>
        <v>0</v>
      </c>
      <c r="AB15" s="42">
        <f t="shared" si="9"/>
        <v>0</v>
      </c>
      <c r="AC15" s="42">
        <f t="shared" si="10"/>
        <v>0</v>
      </c>
      <c r="AD15" s="42">
        <f t="shared" si="11"/>
        <v>0</v>
      </c>
      <c r="AE15" s="53" t="s">
        <v>352</v>
      </c>
      <c r="AF15" s="900"/>
      <c r="AG15" s="900"/>
      <c r="AH15" s="900">
        <f t="shared" si="12"/>
        <v>0</v>
      </c>
      <c r="AL15" s="900"/>
      <c r="AM15" s="900"/>
    </row>
    <row r="16" spans="1:61" s="9" customFormat="1" ht="15" hidden="1" customHeight="1">
      <c r="A16" s="9">
        <v>9</v>
      </c>
      <c r="B16" s="13" t="s">
        <v>367</v>
      </c>
      <c r="C16" s="9" t="s">
        <v>345</v>
      </c>
      <c r="D16" s="9" t="s">
        <v>368</v>
      </c>
      <c r="E16" s="10" t="s">
        <v>347</v>
      </c>
      <c r="F16" s="9">
        <v>10</v>
      </c>
      <c r="I16" s="6">
        <f t="shared" si="0"/>
        <v>0</v>
      </c>
      <c r="L16" s="6">
        <f t="shared" si="1"/>
        <v>0</v>
      </c>
      <c r="M16" s="6"/>
      <c r="N16" s="6"/>
      <c r="O16" s="6">
        <f t="shared" si="2"/>
        <v>0</v>
      </c>
      <c r="P16" s="6"/>
      <c r="Q16" s="6"/>
      <c r="R16" s="6">
        <f t="shared" si="14"/>
        <v>0</v>
      </c>
      <c r="S16" s="6"/>
      <c r="T16" s="6"/>
      <c r="U16" s="6">
        <f t="shared" si="4"/>
        <v>0</v>
      </c>
      <c r="V16" s="6"/>
      <c r="W16" s="6"/>
      <c r="X16" s="6">
        <f t="shared" si="5"/>
        <v>0</v>
      </c>
      <c r="Y16" s="88">
        <f t="shared" si="6"/>
        <v>0</v>
      </c>
      <c r="Z16" s="41">
        <f t="shared" si="7"/>
        <v>0</v>
      </c>
      <c r="AA16" s="41">
        <f t="shared" si="8"/>
        <v>0</v>
      </c>
      <c r="AB16" s="42">
        <f t="shared" si="9"/>
        <v>0</v>
      </c>
      <c r="AC16" s="42">
        <f t="shared" si="10"/>
        <v>0</v>
      </c>
      <c r="AD16" s="42">
        <f t="shared" si="11"/>
        <v>0</v>
      </c>
      <c r="AE16" s="53" t="s">
        <v>352</v>
      </c>
      <c r="AF16" s="900"/>
      <c r="AG16" s="900"/>
      <c r="AH16" s="900">
        <f t="shared" si="12"/>
        <v>0</v>
      </c>
      <c r="AL16" s="900"/>
      <c r="AM16" s="900"/>
    </row>
    <row r="17" spans="1:46" s="9" customFormat="1">
      <c r="A17" s="9">
        <v>10</v>
      </c>
      <c r="B17" s="13" t="s">
        <v>369</v>
      </c>
      <c r="C17" s="9" t="s">
        <v>345</v>
      </c>
      <c r="D17" s="9" t="s">
        <v>370</v>
      </c>
      <c r="E17" s="11" t="s">
        <v>355</v>
      </c>
      <c r="F17" s="9">
        <v>23</v>
      </c>
      <c r="G17" s="9">
        <v>50</v>
      </c>
      <c r="I17" s="6">
        <f t="shared" si="0"/>
        <v>50</v>
      </c>
      <c r="L17" s="6">
        <f t="shared" si="1"/>
        <v>0</v>
      </c>
      <c r="M17" s="6"/>
      <c r="N17" s="6"/>
      <c r="O17" s="6">
        <f t="shared" si="2"/>
        <v>0</v>
      </c>
      <c r="P17" s="6"/>
      <c r="Q17" s="6"/>
      <c r="R17" s="6">
        <f t="shared" si="14"/>
        <v>0</v>
      </c>
      <c r="S17" s="6"/>
      <c r="T17" s="6"/>
      <c r="U17" s="6">
        <f t="shared" si="4"/>
        <v>0</v>
      </c>
      <c r="V17" s="6"/>
      <c r="W17" s="6"/>
      <c r="X17" s="6">
        <f t="shared" si="5"/>
        <v>0</v>
      </c>
      <c r="Y17" s="88">
        <f t="shared" si="6"/>
        <v>50</v>
      </c>
      <c r="Z17" s="41">
        <f t="shared" si="7"/>
        <v>0</v>
      </c>
      <c r="AA17" s="41">
        <f t="shared" si="8"/>
        <v>50</v>
      </c>
      <c r="AB17" s="42">
        <f t="shared" si="9"/>
        <v>8.3333333333333339</v>
      </c>
      <c r="AC17" s="42">
        <f t="shared" si="10"/>
        <v>0</v>
      </c>
      <c r="AD17" s="42">
        <f t="shared" si="11"/>
        <v>8.3333333333333339</v>
      </c>
      <c r="AE17" s="53" t="s">
        <v>352</v>
      </c>
      <c r="AF17" s="6"/>
      <c r="AG17" s="6"/>
      <c r="AH17" s="6">
        <f t="shared" si="12"/>
        <v>0</v>
      </c>
      <c r="AI17" s="902"/>
      <c r="AK17" s="9">
        <f t="shared" ref="AK17:AK21" si="21">AI17+AJ17</f>
        <v>0</v>
      </c>
      <c r="AL17" s="6"/>
      <c r="AM17" s="6"/>
      <c r="AN17" s="902">
        <f t="shared" ref="AN17:AN21" si="22">AL17+AM17</f>
        <v>0</v>
      </c>
      <c r="AO17" s="9">
        <f t="shared" ref="AO17:AO21" si="23">Y17+AF17+AI17+AL17</f>
        <v>50</v>
      </c>
      <c r="AP17" s="9">
        <f t="shared" ref="AP17:AP21" si="24">Z17+AG17+AJ17+AM17</f>
        <v>0</v>
      </c>
      <c r="AQ17" s="9">
        <f t="shared" ref="AQ17:AQ21" si="25">AA17+AH17+AK17+AN17</f>
        <v>50</v>
      </c>
      <c r="AR17" s="939">
        <f t="shared" ref="AR17:AR21" si="26">AO17/9</f>
        <v>5.5555555555555554</v>
      </c>
      <c r="AS17" s="939">
        <f t="shared" ref="AS17:AS21" si="27">AP17/9</f>
        <v>0</v>
      </c>
      <c r="AT17" s="939">
        <f t="shared" ref="AT17:AT21" si="28">AQ17/9</f>
        <v>5.5555555555555554</v>
      </c>
    </row>
    <row r="18" spans="1:46" s="9" customFormat="1">
      <c r="A18" s="9">
        <v>11</v>
      </c>
      <c r="B18" s="13" t="s">
        <v>371</v>
      </c>
      <c r="C18" s="9" t="s">
        <v>345</v>
      </c>
      <c r="D18" s="9" t="s">
        <v>372</v>
      </c>
      <c r="E18" s="10" t="s">
        <v>347</v>
      </c>
      <c r="F18" s="9">
        <v>35</v>
      </c>
      <c r="I18" s="6">
        <f t="shared" si="0"/>
        <v>0</v>
      </c>
      <c r="J18" s="9">
        <v>38</v>
      </c>
      <c r="L18" s="6">
        <f t="shared" si="1"/>
        <v>38</v>
      </c>
      <c r="M18" s="6">
        <v>40</v>
      </c>
      <c r="N18" s="6"/>
      <c r="O18" s="6">
        <f t="shared" si="2"/>
        <v>40</v>
      </c>
      <c r="P18" s="6"/>
      <c r="Q18" s="6"/>
      <c r="R18" s="6">
        <f t="shared" si="14"/>
        <v>0</v>
      </c>
      <c r="S18" s="6"/>
      <c r="T18" s="6"/>
      <c r="U18" s="6">
        <f t="shared" si="4"/>
        <v>0</v>
      </c>
      <c r="V18" s="6"/>
      <c r="W18" s="6"/>
      <c r="X18" s="6">
        <f t="shared" si="5"/>
        <v>0</v>
      </c>
      <c r="Y18" s="88">
        <f t="shared" si="6"/>
        <v>78</v>
      </c>
      <c r="Z18" s="41">
        <f t="shared" si="7"/>
        <v>0</v>
      </c>
      <c r="AA18" s="41">
        <f t="shared" si="8"/>
        <v>78</v>
      </c>
      <c r="AB18" s="42">
        <f t="shared" si="9"/>
        <v>13</v>
      </c>
      <c r="AC18" s="42">
        <f t="shared" si="10"/>
        <v>0</v>
      </c>
      <c r="AD18" s="42">
        <f t="shared" si="11"/>
        <v>13</v>
      </c>
      <c r="AE18" s="53" t="s">
        <v>348</v>
      </c>
      <c r="AF18" s="6"/>
      <c r="AG18" s="6"/>
      <c r="AH18" s="6">
        <f t="shared" si="12"/>
        <v>0</v>
      </c>
      <c r="AI18" s="902"/>
      <c r="AK18" s="9">
        <f t="shared" si="21"/>
        <v>0</v>
      </c>
      <c r="AL18" s="6"/>
      <c r="AM18" s="6"/>
      <c r="AN18" s="902">
        <f t="shared" si="22"/>
        <v>0</v>
      </c>
      <c r="AO18" s="9">
        <f t="shared" si="23"/>
        <v>78</v>
      </c>
      <c r="AP18" s="9">
        <f t="shared" si="24"/>
        <v>0</v>
      </c>
      <c r="AQ18" s="9">
        <f t="shared" si="25"/>
        <v>78</v>
      </c>
      <c r="AR18" s="939">
        <f t="shared" si="26"/>
        <v>8.6666666666666661</v>
      </c>
      <c r="AS18" s="939">
        <f t="shared" si="27"/>
        <v>0</v>
      </c>
      <c r="AT18" s="939">
        <f t="shared" si="28"/>
        <v>8.6666666666666661</v>
      </c>
    </row>
    <row r="19" spans="1:46" s="9" customFormat="1">
      <c r="A19" s="9">
        <v>12</v>
      </c>
      <c r="B19" s="13" t="s">
        <v>373</v>
      </c>
      <c r="C19" s="9" t="s">
        <v>345</v>
      </c>
      <c r="D19" s="9" t="s">
        <v>374</v>
      </c>
      <c r="E19" s="10" t="s">
        <v>347</v>
      </c>
      <c r="F19" s="9">
        <v>10</v>
      </c>
      <c r="G19" s="9">
        <v>60</v>
      </c>
      <c r="I19" s="6">
        <f t="shared" si="0"/>
        <v>60</v>
      </c>
      <c r="L19" s="6">
        <f t="shared" si="1"/>
        <v>0</v>
      </c>
      <c r="M19" s="6"/>
      <c r="N19" s="6"/>
      <c r="O19" s="6">
        <f t="shared" si="2"/>
        <v>0</v>
      </c>
      <c r="P19" s="6"/>
      <c r="Q19" s="6"/>
      <c r="R19" s="6">
        <f t="shared" si="14"/>
        <v>0</v>
      </c>
      <c r="S19" s="6"/>
      <c r="T19" s="6"/>
      <c r="U19" s="6">
        <f t="shared" si="4"/>
        <v>0</v>
      </c>
      <c r="V19" s="6"/>
      <c r="W19" s="6"/>
      <c r="X19" s="6">
        <f t="shared" si="5"/>
        <v>0</v>
      </c>
      <c r="Y19" s="88">
        <f t="shared" si="6"/>
        <v>60</v>
      </c>
      <c r="Z19" s="41">
        <f t="shared" si="7"/>
        <v>0</v>
      </c>
      <c r="AA19" s="41">
        <f t="shared" si="8"/>
        <v>60</v>
      </c>
      <c r="AB19" s="42">
        <f t="shared" si="9"/>
        <v>10</v>
      </c>
      <c r="AC19" s="42">
        <f t="shared" si="10"/>
        <v>0</v>
      </c>
      <c r="AD19" s="42">
        <f t="shared" si="11"/>
        <v>10</v>
      </c>
      <c r="AE19" s="53" t="s">
        <v>352</v>
      </c>
      <c r="AF19" s="6"/>
      <c r="AG19" s="6"/>
      <c r="AH19" s="6">
        <f t="shared" si="12"/>
        <v>0</v>
      </c>
      <c r="AI19" s="902"/>
      <c r="AK19" s="9">
        <f t="shared" si="21"/>
        <v>0</v>
      </c>
      <c r="AL19" s="6"/>
      <c r="AM19" s="6"/>
      <c r="AN19" s="902">
        <f t="shared" si="22"/>
        <v>0</v>
      </c>
      <c r="AO19" s="9">
        <f t="shared" si="23"/>
        <v>60</v>
      </c>
      <c r="AP19" s="9">
        <f t="shared" si="24"/>
        <v>0</v>
      </c>
      <c r="AQ19" s="9">
        <f t="shared" si="25"/>
        <v>60</v>
      </c>
      <c r="AR19" s="939">
        <f t="shared" si="26"/>
        <v>6.666666666666667</v>
      </c>
      <c r="AS19" s="939">
        <f t="shared" si="27"/>
        <v>0</v>
      </c>
      <c r="AT19" s="939">
        <f t="shared" si="28"/>
        <v>6.666666666666667</v>
      </c>
    </row>
    <row r="20" spans="1:46" s="9" customFormat="1">
      <c r="A20" s="9">
        <v>13</v>
      </c>
      <c r="B20" s="13" t="s">
        <v>375</v>
      </c>
      <c r="C20" s="9" t="s">
        <v>345</v>
      </c>
      <c r="D20" s="9" t="s">
        <v>376</v>
      </c>
      <c r="E20" s="10" t="s">
        <v>347</v>
      </c>
      <c r="F20" s="9">
        <v>18</v>
      </c>
      <c r="G20" s="9">
        <v>45</v>
      </c>
      <c r="I20" s="6">
        <f t="shared" si="0"/>
        <v>45</v>
      </c>
      <c r="J20" s="9">
        <v>5</v>
      </c>
      <c r="L20" s="6">
        <f t="shared" si="1"/>
        <v>5</v>
      </c>
      <c r="M20" s="6"/>
      <c r="N20" s="6"/>
      <c r="O20" s="6">
        <f t="shared" si="2"/>
        <v>0</v>
      </c>
      <c r="P20" s="6"/>
      <c r="Q20" s="6"/>
      <c r="R20" s="6">
        <f t="shared" si="14"/>
        <v>0</v>
      </c>
      <c r="S20" s="6"/>
      <c r="T20" s="6"/>
      <c r="U20" s="6">
        <f t="shared" si="4"/>
        <v>0</v>
      </c>
      <c r="V20" s="6"/>
      <c r="W20" s="6"/>
      <c r="X20" s="6">
        <f t="shared" si="5"/>
        <v>0</v>
      </c>
      <c r="Y20" s="88">
        <f t="shared" si="6"/>
        <v>50</v>
      </c>
      <c r="Z20" s="41">
        <f t="shared" si="7"/>
        <v>0</v>
      </c>
      <c r="AA20" s="41">
        <f t="shared" si="8"/>
        <v>50</v>
      </c>
      <c r="AB20" s="42">
        <f t="shared" si="9"/>
        <v>8.3333333333333339</v>
      </c>
      <c r="AC20" s="42">
        <f t="shared" si="10"/>
        <v>0</v>
      </c>
      <c r="AD20" s="42">
        <f t="shared" si="11"/>
        <v>8.3333333333333339</v>
      </c>
      <c r="AE20" s="53" t="s">
        <v>352</v>
      </c>
      <c r="AF20" s="6"/>
      <c r="AG20" s="6"/>
      <c r="AH20" s="6">
        <f t="shared" si="12"/>
        <v>0</v>
      </c>
      <c r="AI20" s="902"/>
      <c r="AK20" s="9">
        <f t="shared" si="21"/>
        <v>0</v>
      </c>
      <c r="AL20" s="6"/>
      <c r="AM20" s="6"/>
      <c r="AN20" s="902">
        <f t="shared" si="22"/>
        <v>0</v>
      </c>
      <c r="AO20" s="9">
        <f t="shared" si="23"/>
        <v>50</v>
      </c>
      <c r="AP20" s="9">
        <f t="shared" si="24"/>
        <v>0</v>
      </c>
      <c r="AQ20" s="9">
        <f t="shared" si="25"/>
        <v>50</v>
      </c>
      <c r="AR20" s="939">
        <f t="shared" si="26"/>
        <v>5.5555555555555554</v>
      </c>
      <c r="AS20" s="939">
        <f t="shared" si="27"/>
        <v>0</v>
      </c>
      <c r="AT20" s="939">
        <f t="shared" si="28"/>
        <v>5.5555555555555554</v>
      </c>
    </row>
    <row r="21" spans="1:46" s="9" customFormat="1">
      <c r="A21" s="9">
        <v>14</v>
      </c>
      <c r="B21" s="13" t="s">
        <v>377</v>
      </c>
      <c r="C21" s="9" t="s">
        <v>345</v>
      </c>
      <c r="D21" s="9" t="s">
        <v>378</v>
      </c>
      <c r="E21" s="10" t="s">
        <v>379</v>
      </c>
      <c r="F21" s="9">
        <v>50</v>
      </c>
      <c r="G21" s="9">
        <v>26</v>
      </c>
      <c r="I21" s="6">
        <f t="shared" si="0"/>
        <v>26</v>
      </c>
      <c r="L21" s="6">
        <f t="shared" si="1"/>
        <v>0</v>
      </c>
      <c r="M21" s="6"/>
      <c r="N21" s="6"/>
      <c r="O21" s="6">
        <f t="shared" si="2"/>
        <v>0</v>
      </c>
      <c r="P21" s="6"/>
      <c r="Q21" s="6"/>
      <c r="R21" s="6">
        <f t="shared" si="14"/>
        <v>0</v>
      </c>
      <c r="S21" s="6"/>
      <c r="T21" s="6"/>
      <c r="U21" s="6">
        <f t="shared" si="4"/>
        <v>0</v>
      </c>
      <c r="V21" s="6"/>
      <c r="W21" s="6"/>
      <c r="X21" s="6">
        <f t="shared" si="5"/>
        <v>0</v>
      </c>
      <c r="Y21" s="88">
        <f t="shared" si="6"/>
        <v>26</v>
      </c>
      <c r="Z21" s="41">
        <f t="shared" si="7"/>
        <v>0</v>
      </c>
      <c r="AA21" s="41">
        <f t="shared" si="8"/>
        <v>26</v>
      </c>
      <c r="AB21" s="42">
        <f t="shared" si="9"/>
        <v>4.333333333333333</v>
      </c>
      <c r="AC21" s="42">
        <f t="shared" si="10"/>
        <v>0</v>
      </c>
      <c r="AD21" s="42">
        <f t="shared" si="11"/>
        <v>4.333333333333333</v>
      </c>
      <c r="AE21" s="53" t="s">
        <v>352</v>
      </c>
      <c r="AF21" s="6"/>
      <c r="AG21" s="6"/>
      <c r="AH21" s="6">
        <f t="shared" si="12"/>
        <v>0</v>
      </c>
      <c r="AI21" s="902"/>
      <c r="AK21" s="9">
        <f t="shared" si="21"/>
        <v>0</v>
      </c>
      <c r="AL21" s="6"/>
      <c r="AM21" s="6"/>
      <c r="AN21" s="902">
        <f t="shared" si="22"/>
        <v>0</v>
      </c>
      <c r="AO21" s="9">
        <f t="shared" si="23"/>
        <v>26</v>
      </c>
      <c r="AP21" s="9">
        <f t="shared" si="24"/>
        <v>0</v>
      </c>
      <c r="AQ21" s="9">
        <f t="shared" si="25"/>
        <v>26</v>
      </c>
      <c r="AR21" s="939">
        <f t="shared" si="26"/>
        <v>2.8888888888888888</v>
      </c>
      <c r="AS21" s="939">
        <f t="shared" si="27"/>
        <v>0</v>
      </c>
      <c r="AT21" s="939">
        <f t="shared" si="28"/>
        <v>2.8888888888888888</v>
      </c>
    </row>
    <row r="22" spans="1:46" s="9" customFormat="1" ht="15" hidden="1" customHeight="1">
      <c r="A22" s="9">
        <v>15</v>
      </c>
      <c r="B22" s="18" t="s">
        <v>2857</v>
      </c>
      <c r="C22" s="9" t="s">
        <v>345</v>
      </c>
      <c r="D22" s="9" t="s">
        <v>380</v>
      </c>
      <c r="E22" s="12" t="s">
        <v>381</v>
      </c>
      <c r="F22" s="9">
        <v>15</v>
      </c>
      <c r="I22" s="6">
        <f t="shared" si="0"/>
        <v>0</v>
      </c>
      <c r="L22" s="6">
        <f t="shared" si="1"/>
        <v>0</v>
      </c>
      <c r="M22" s="6"/>
      <c r="N22" s="6"/>
      <c r="O22" s="6">
        <f t="shared" si="2"/>
        <v>0</v>
      </c>
      <c r="P22" s="6"/>
      <c r="Q22" s="6"/>
      <c r="R22" s="6">
        <f t="shared" si="14"/>
        <v>0</v>
      </c>
      <c r="S22" s="6"/>
      <c r="T22" s="6"/>
      <c r="U22" s="6">
        <f t="shared" si="4"/>
        <v>0</v>
      </c>
      <c r="V22" s="6"/>
      <c r="W22" s="6"/>
      <c r="X22" s="6">
        <f t="shared" si="5"/>
        <v>0</v>
      </c>
      <c r="Y22" s="88">
        <f t="shared" si="6"/>
        <v>0</v>
      </c>
      <c r="Z22" s="41">
        <f t="shared" si="7"/>
        <v>0</v>
      </c>
      <c r="AA22" s="41">
        <f t="shared" si="8"/>
        <v>0</v>
      </c>
      <c r="AB22" s="42">
        <f t="shared" si="9"/>
        <v>0</v>
      </c>
      <c r="AC22" s="42">
        <f t="shared" si="10"/>
        <v>0</v>
      </c>
      <c r="AD22" s="42">
        <f t="shared" si="11"/>
        <v>0</v>
      </c>
      <c r="AE22" s="53" t="s">
        <v>352</v>
      </c>
      <c r="AF22" s="900"/>
      <c r="AG22" s="900"/>
      <c r="AH22" s="900">
        <f t="shared" si="12"/>
        <v>0</v>
      </c>
      <c r="AL22" s="900"/>
      <c r="AM22" s="900"/>
    </row>
    <row r="23" spans="1:46" s="9" customFormat="1">
      <c r="A23" s="9">
        <v>16</v>
      </c>
      <c r="B23" s="13" t="s">
        <v>382</v>
      </c>
      <c r="C23" s="9" t="s">
        <v>345</v>
      </c>
      <c r="D23" s="9" t="s">
        <v>383</v>
      </c>
      <c r="E23" s="11" t="s">
        <v>355</v>
      </c>
      <c r="F23" s="9">
        <v>10</v>
      </c>
      <c r="G23" s="9">
        <v>37</v>
      </c>
      <c r="I23" s="6">
        <f t="shared" si="0"/>
        <v>37</v>
      </c>
      <c r="J23" s="9">
        <v>28</v>
      </c>
      <c r="L23" s="6">
        <f t="shared" si="1"/>
        <v>28</v>
      </c>
      <c r="M23" s="6"/>
      <c r="N23" s="6"/>
      <c r="O23" s="6">
        <f t="shared" si="2"/>
        <v>0</v>
      </c>
      <c r="P23" s="6"/>
      <c r="Q23" s="6"/>
      <c r="R23" s="6">
        <f t="shared" si="14"/>
        <v>0</v>
      </c>
      <c r="S23" s="6"/>
      <c r="T23" s="6"/>
      <c r="U23" s="6">
        <f t="shared" si="4"/>
        <v>0</v>
      </c>
      <c r="V23" s="6"/>
      <c r="W23" s="6"/>
      <c r="X23" s="6">
        <f t="shared" si="5"/>
        <v>0</v>
      </c>
      <c r="Y23" s="88">
        <f t="shared" si="6"/>
        <v>65</v>
      </c>
      <c r="Z23" s="41">
        <f t="shared" si="7"/>
        <v>0</v>
      </c>
      <c r="AA23" s="41">
        <f t="shared" si="8"/>
        <v>65</v>
      </c>
      <c r="AB23" s="42">
        <f t="shared" si="9"/>
        <v>10.833333333333334</v>
      </c>
      <c r="AC23" s="42">
        <f t="shared" si="10"/>
        <v>0</v>
      </c>
      <c r="AD23" s="42">
        <f t="shared" si="11"/>
        <v>10.833333333333334</v>
      </c>
      <c r="AE23" s="53" t="s">
        <v>352</v>
      </c>
      <c r="AF23" s="6"/>
      <c r="AG23" s="6"/>
      <c r="AH23" s="6">
        <f t="shared" si="12"/>
        <v>0</v>
      </c>
      <c r="AI23" s="902"/>
      <c r="AK23" s="9">
        <f>AI23+AJ23</f>
        <v>0</v>
      </c>
      <c r="AL23" s="6"/>
      <c r="AM23" s="6"/>
      <c r="AN23" s="902">
        <f>AL23+AM23</f>
        <v>0</v>
      </c>
      <c r="AO23" s="9">
        <f t="shared" ref="AO23:AQ23" si="29">Y23+AF23+AI23+AL23</f>
        <v>65</v>
      </c>
      <c r="AP23" s="9">
        <f t="shared" si="29"/>
        <v>0</v>
      </c>
      <c r="AQ23" s="9">
        <f t="shared" si="29"/>
        <v>65</v>
      </c>
      <c r="AR23" s="939">
        <f t="shared" ref="AR23:AT23" si="30">AO23/9</f>
        <v>7.2222222222222223</v>
      </c>
      <c r="AS23" s="939">
        <f t="shared" si="30"/>
        <v>0</v>
      </c>
      <c r="AT23" s="939">
        <f t="shared" si="30"/>
        <v>7.2222222222222223</v>
      </c>
    </row>
    <row r="24" spans="1:46" s="9" customFormat="1" ht="15" hidden="1" customHeight="1">
      <c r="A24" s="9">
        <v>17</v>
      </c>
      <c r="B24" s="18" t="s">
        <v>2858</v>
      </c>
      <c r="C24" s="9" t="s">
        <v>345</v>
      </c>
      <c r="D24" s="9" t="s">
        <v>384</v>
      </c>
      <c r="E24" s="10" t="s">
        <v>347</v>
      </c>
      <c r="F24" s="9">
        <v>5</v>
      </c>
      <c r="I24" s="6">
        <f t="shared" si="0"/>
        <v>0</v>
      </c>
      <c r="L24" s="6">
        <f t="shared" si="1"/>
        <v>0</v>
      </c>
      <c r="M24" s="6"/>
      <c r="N24" s="6"/>
      <c r="O24" s="6">
        <f t="shared" si="2"/>
        <v>0</v>
      </c>
      <c r="P24" s="6"/>
      <c r="Q24" s="6"/>
      <c r="R24" s="6">
        <f t="shared" si="14"/>
        <v>0</v>
      </c>
      <c r="S24" s="6"/>
      <c r="T24" s="6"/>
      <c r="U24" s="6">
        <f t="shared" si="4"/>
        <v>0</v>
      </c>
      <c r="V24" s="6"/>
      <c r="W24" s="6"/>
      <c r="X24" s="6">
        <f t="shared" si="5"/>
        <v>0</v>
      </c>
      <c r="Y24" s="88">
        <f t="shared" si="6"/>
        <v>0</v>
      </c>
      <c r="Z24" s="41">
        <f t="shared" si="7"/>
        <v>0</v>
      </c>
      <c r="AA24" s="41">
        <f t="shared" si="8"/>
        <v>0</v>
      </c>
      <c r="AB24" s="42">
        <f t="shared" si="9"/>
        <v>0</v>
      </c>
      <c r="AC24" s="42">
        <f t="shared" si="10"/>
        <v>0</v>
      </c>
      <c r="AD24" s="42">
        <f t="shared" si="11"/>
        <v>0</v>
      </c>
      <c r="AE24" s="53" t="s">
        <v>352</v>
      </c>
      <c r="AF24" s="900"/>
      <c r="AG24" s="900"/>
      <c r="AH24" s="900">
        <f t="shared" si="12"/>
        <v>0</v>
      </c>
      <c r="AL24" s="900"/>
      <c r="AM24" s="900"/>
    </row>
    <row r="25" spans="1:46" s="9" customFormat="1">
      <c r="A25" s="9">
        <v>18</v>
      </c>
      <c r="B25" s="13" t="s">
        <v>385</v>
      </c>
      <c r="C25" s="9" t="s">
        <v>345</v>
      </c>
      <c r="D25" s="9" t="s">
        <v>386</v>
      </c>
      <c r="E25" s="10" t="s">
        <v>351</v>
      </c>
      <c r="F25" s="9">
        <v>18</v>
      </c>
      <c r="I25" s="6">
        <f t="shared" si="0"/>
        <v>0</v>
      </c>
      <c r="L25" s="6">
        <f t="shared" si="1"/>
        <v>0</v>
      </c>
      <c r="M25" s="6"/>
      <c r="N25" s="6"/>
      <c r="O25" s="6">
        <f t="shared" si="2"/>
        <v>0</v>
      </c>
      <c r="P25" s="6"/>
      <c r="Q25" s="6"/>
      <c r="R25" s="6">
        <f t="shared" si="14"/>
        <v>0</v>
      </c>
      <c r="S25" s="6">
        <v>90</v>
      </c>
      <c r="T25" s="6"/>
      <c r="U25" s="6">
        <f t="shared" si="4"/>
        <v>90</v>
      </c>
      <c r="V25" s="6"/>
      <c r="W25" s="6"/>
      <c r="X25" s="6">
        <f t="shared" si="5"/>
        <v>0</v>
      </c>
      <c r="Y25" s="88">
        <f t="shared" si="6"/>
        <v>90</v>
      </c>
      <c r="Z25" s="41">
        <f t="shared" si="7"/>
        <v>0</v>
      </c>
      <c r="AA25" s="41">
        <f t="shared" si="8"/>
        <v>90</v>
      </c>
      <c r="AB25" s="42">
        <f t="shared" si="9"/>
        <v>15</v>
      </c>
      <c r="AC25" s="42">
        <f t="shared" si="10"/>
        <v>0</v>
      </c>
      <c r="AD25" s="42">
        <f t="shared" si="11"/>
        <v>15</v>
      </c>
      <c r="AE25" s="53" t="s">
        <v>352</v>
      </c>
      <c r="AF25" s="6"/>
      <c r="AG25" s="6"/>
      <c r="AH25" s="6">
        <f t="shared" si="12"/>
        <v>0</v>
      </c>
      <c r="AI25" s="902"/>
      <c r="AK25" s="9">
        <f t="shared" ref="AK25:AK30" si="31">AI25+AJ25</f>
        <v>0</v>
      </c>
      <c r="AL25" s="6"/>
      <c r="AM25" s="6"/>
      <c r="AN25" s="902">
        <f t="shared" ref="AN25:AN30" si="32">AL25+AM25</f>
        <v>0</v>
      </c>
      <c r="AO25" s="9">
        <f t="shared" ref="AO25:AO30" si="33">Y25+AF25+AI25+AL25</f>
        <v>90</v>
      </c>
      <c r="AP25" s="9">
        <f t="shared" ref="AP25:AP30" si="34">Z25+AG25+AJ25+AM25</f>
        <v>0</v>
      </c>
      <c r="AQ25" s="9">
        <f t="shared" ref="AQ25:AQ30" si="35">AA25+AH25+AK25+AN25</f>
        <v>90</v>
      </c>
      <c r="AR25" s="939">
        <f t="shared" ref="AR25:AR30" si="36">AO25/9</f>
        <v>10</v>
      </c>
      <c r="AS25" s="939">
        <f t="shared" ref="AS25:AS30" si="37">AP25/9</f>
        <v>0</v>
      </c>
      <c r="AT25" s="939">
        <f t="shared" ref="AT25:AT30" si="38">AQ25/9</f>
        <v>10</v>
      </c>
    </row>
    <row r="26" spans="1:46" s="9" customFormat="1">
      <c r="A26" s="9">
        <v>19</v>
      </c>
      <c r="B26" s="14" t="s">
        <v>387</v>
      </c>
      <c r="C26" s="9" t="s">
        <v>345</v>
      </c>
      <c r="D26" s="9" t="s">
        <v>388</v>
      </c>
      <c r="E26" s="12" t="s">
        <v>389</v>
      </c>
      <c r="F26" s="9">
        <v>20</v>
      </c>
      <c r="G26" s="9">
        <v>100</v>
      </c>
      <c r="I26" s="6">
        <f t="shared" si="0"/>
        <v>100</v>
      </c>
      <c r="L26" s="6">
        <f t="shared" si="1"/>
        <v>0</v>
      </c>
      <c r="M26" s="6"/>
      <c r="N26" s="6"/>
      <c r="O26" s="6">
        <f t="shared" si="2"/>
        <v>0</v>
      </c>
      <c r="P26" s="6"/>
      <c r="Q26" s="6"/>
      <c r="R26" s="6">
        <f t="shared" si="14"/>
        <v>0</v>
      </c>
      <c r="S26" s="6"/>
      <c r="T26" s="6"/>
      <c r="U26" s="6">
        <f t="shared" si="4"/>
        <v>0</v>
      </c>
      <c r="V26" s="6"/>
      <c r="W26" s="6"/>
      <c r="X26" s="6">
        <f t="shared" si="5"/>
        <v>0</v>
      </c>
      <c r="Y26" s="88">
        <f t="shared" si="6"/>
        <v>100</v>
      </c>
      <c r="Z26" s="41">
        <f t="shared" si="7"/>
        <v>0</v>
      </c>
      <c r="AA26" s="41">
        <f t="shared" si="8"/>
        <v>100</v>
      </c>
      <c r="AB26" s="42">
        <f t="shared" si="9"/>
        <v>16.666666666666668</v>
      </c>
      <c r="AC26" s="42">
        <f t="shared" si="10"/>
        <v>0</v>
      </c>
      <c r="AD26" s="42">
        <f t="shared" si="11"/>
        <v>16.666666666666668</v>
      </c>
      <c r="AE26" s="53" t="s">
        <v>352</v>
      </c>
      <c r="AF26" s="6"/>
      <c r="AG26" s="6"/>
      <c r="AH26" s="6">
        <f t="shared" si="12"/>
        <v>0</v>
      </c>
      <c r="AI26" s="902"/>
      <c r="AK26" s="9">
        <f t="shared" si="31"/>
        <v>0</v>
      </c>
      <c r="AL26" s="6"/>
      <c r="AM26" s="6"/>
      <c r="AN26" s="902">
        <f t="shared" si="32"/>
        <v>0</v>
      </c>
      <c r="AO26" s="9">
        <f t="shared" si="33"/>
        <v>100</v>
      </c>
      <c r="AP26" s="9">
        <f t="shared" si="34"/>
        <v>0</v>
      </c>
      <c r="AQ26" s="9">
        <f t="shared" si="35"/>
        <v>100</v>
      </c>
      <c r="AR26" s="939">
        <f t="shared" si="36"/>
        <v>11.111111111111111</v>
      </c>
      <c r="AS26" s="939">
        <f t="shared" si="37"/>
        <v>0</v>
      </c>
      <c r="AT26" s="939">
        <f t="shared" si="38"/>
        <v>11.111111111111111</v>
      </c>
    </row>
    <row r="27" spans="1:46" s="9" customFormat="1">
      <c r="A27" s="9">
        <v>20</v>
      </c>
      <c r="B27" s="13" t="s">
        <v>390</v>
      </c>
      <c r="C27" s="9" t="s">
        <v>345</v>
      </c>
      <c r="D27" s="9" t="s">
        <v>391</v>
      </c>
      <c r="E27" s="10" t="s">
        <v>351</v>
      </c>
      <c r="F27" s="9">
        <v>18</v>
      </c>
      <c r="I27" s="6">
        <f t="shared" si="0"/>
        <v>0</v>
      </c>
      <c r="J27" s="9">
        <v>20</v>
      </c>
      <c r="L27" s="6">
        <f t="shared" si="1"/>
        <v>20</v>
      </c>
      <c r="M27" s="6"/>
      <c r="N27" s="6"/>
      <c r="O27" s="6">
        <f t="shared" si="2"/>
        <v>0</v>
      </c>
      <c r="P27" s="6"/>
      <c r="Q27" s="6"/>
      <c r="R27" s="6">
        <f t="shared" si="14"/>
        <v>0</v>
      </c>
      <c r="S27" s="6"/>
      <c r="T27" s="6"/>
      <c r="U27" s="6">
        <f t="shared" si="4"/>
        <v>0</v>
      </c>
      <c r="V27" s="6"/>
      <c r="W27" s="6"/>
      <c r="X27" s="6">
        <f t="shared" si="5"/>
        <v>0</v>
      </c>
      <c r="Y27" s="88">
        <f t="shared" si="6"/>
        <v>20</v>
      </c>
      <c r="Z27" s="41">
        <f t="shared" si="7"/>
        <v>0</v>
      </c>
      <c r="AA27" s="41">
        <f t="shared" si="8"/>
        <v>20</v>
      </c>
      <c r="AB27" s="42">
        <f t="shared" si="9"/>
        <v>3.3333333333333335</v>
      </c>
      <c r="AC27" s="42">
        <f t="shared" si="10"/>
        <v>0</v>
      </c>
      <c r="AD27" s="42">
        <f t="shared" si="11"/>
        <v>3.3333333333333335</v>
      </c>
      <c r="AE27" s="53" t="s">
        <v>352</v>
      </c>
      <c r="AF27" s="6"/>
      <c r="AG27" s="6"/>
      <c r="AH27" s="6">
        <f t="shared" si="12"/>
        <v>0</v>
      </c>
      <c r="AI27" s="902"/>
      <c r="AK27" s="9">
        <f t="shared" si="31"/>
        <v>0</v>
      </c>
      <c r="AL27" s="6"/>
      <c r="AM27" s="6"/>
      <c r="AN27" s="902">
        <f t="shared" si="32"/>
        <v>0</v>
      </c>
      <c r="AO27" s="9">
        <f t="shared" si="33"/>
        <v>20</v>
      </c>
      <c r="AP27" s="9">
        <f t="shared" si="34"/>
        <v>0</v>
      </c>
      <c r="AQ27" s="9">
        <f t="shared" si="35"/>
        <v>20</v>
      </c>
      <c r="AR27" s="939">
        <f t="shared" si="36"/>
        <v>2.2222222222222223</v>
      </c>
      <c r="AS27" s="939">
        <f t="shared" si="37"/>
        <v>0</v>
      </c>
      <c r="AT27" s="939">
        <f t="shared" si="38"/>
        <v>2.2222222222222223</v>
      </c>
    </row>
    <row r="28" spans="1:46" s="9" customFormat="1">
      <c r="A28" s="9">
        <v>21</v>
      </c>
      <c r="B28" s="13" t="s">
        <v>392</v>
      </c>
      <c r="C28" s="9" t="s">
        <v>345</v>
      </c>
      <c r="D28" s="9" t="s">
        <v>393</v>
      </c>
      <c r="E28" s="12" t="s">
        <v>394</v>
      </c>
      <c r="F28" s="9">
        <v>50</v>
      </c>
      <c r="G28" s="9">
        <v>106</v>
      </c>
      <c r="I28" s="6">
        <f t="shared" si="0"/>
        <v>106</v>
      </c>
      <c r="L28" s="6">
        <f t="shared" si="1"/>
        <v>0</v>
      </c>
      <c r="M28" s="6"/>
      <c r="N28" s="6"/>
      <c r="O28" s="6">
        <f t="shared" si="2"/>
        <v>0</v>
      </c>
      <c r="P28" s="6"/>
      <c r="Q28" s="6"/>
      <c r="R28" s="6">
        <f t="shared" si="14"/>
        <v>0</v>
      </c>
      <c r="S28" s="6"/>
      <c r="T28" s="6"/>
      <c r="U28" s="6">
        <f t="shared" si="4"/>
        <v>0</v>
      </c>
      <c r="V28" s="6">
        <v>56</v>
      </c>
      <c r="W28" s="6"/>
      <c r="X28" s="6">
        <f t="shared" si="5"/>
        <v>56</v>
      </c>
      <c r="Y28" s="88">
        <f t="shared" si="6"/>
        <v>162</v>
      </c>
      <c r="Z28" s="41">
        <f t="shared" si="7"/>
        <v>0</v>
      </c>
      <c r="AA28" s="41">
        <f t="shared" si="8"/>
        <v>162</v>
      </c>
      <c r="AB28" s="42">
        <f t="shared" si="9"/>
        <v>27</v>
      </c>
      <c r="AC28" s="42">
        <f t="shared" si="10"/>
        <v>0</v>
      </c>
      <c r="AD28" s="42">
        <f t="shared" si="11"/>
        <v>27</v>
      </c>
      <c r="AE28" s="53" t="s">
        <v>352</v>
      </c>
      <c r="AF28" s="6"/>
      <c r="AG28" s="6"/>
      <c r="AH28" s="6">
        <f t="shared" si="12"/>
        <v>0</v>
      </c>
      <c r="AI28" s="902"/>
      <c r="AK28" s="9">
        <f t="shared" si="31"/>
        <v>0</v>
      </c>
      <c r="AL28" s="6"/>
      <c r="AM28" s="6"/>
      <c r="AN28" s="902">
        <f t="shared" si="32"/>
        <v>0</v>
      </c>
      <c r="AO28" s="9">
        <f t="shared" si="33"/>
        <v>162</v>
      </c>
      <c r="AP28" s="9">
        <f t="shared" si="34"/>
        <v>0</v>
      </c>
      <c r="AQ28" s="9">
        <f t="shared" si="35"/>
        <v>162</v>
      </c>
      <c r="AR28" s="939">
        <f t="shared" si="36"/>
        <v>18</v>
      </c>
      <c r="AS28" s="939">
        <f t="shared" si="37"/>
        <v>0</v>
      </c>
      <c r="AT28" s="939">
        <f t="shared" si="38"/>
        <v>18</v>
      </c>
    </row>
    <row r="29" spans="1:46" s="9" customFormat="1">
      <c r="A29" s="9">
        <v>22</v>
      </c>
      <c r="B29" s="13" t="s">
        <v>395</v>
      </c>
      <c r="C29" s="9" t="s">
        <v>345</v>
      </c>
      <c r="D29" s="9" t="s">
        <v>396</v>
      </c>
      <c r="E29" s="10" t="s">
        <v>351</v>
      </c>
      <c r="F29" s="9">
        <v>35</v>
      </c>
      <c r="I29" s="6">
        <f t="shared" si="0"/>
        <v>0</v>
      </c>
      <c r="L29" s="6">
        <f t="shared" si="1"/>
        <v>0</v>
      </c>
      <c r="M29" s="6">
        <v>18</v>
      </c>
      <c r="N29" s="6"/>
      <c r="O29" s="6">
        <f t="shared" si="2"/>
        <v>18</v>
      </c>
      <c r="P29" s="6"/>
      <c r="Q29" s="6"/>
      <c r="R29" s="6">
        <f t="shared" si="14"/>
        <v>0</v>
      </c>
      <c r="S29" s="6"/>
      <c r="T29" s="6"/>
      <c r="U29" s="6">
        <f t="shared" si="4"/>
        <v>0</v>
      </c>
      <c r="V29" s="6"/>
      <c r="W29" s="6"/>
      <c r="X29" s="6">
        <f t="shared" si="5"/>
        <v>0</v>
      </c>
      <c r="Y29" s="88">
        <f t="shared" si="6"/>
        <v>18</v>
      </c>
      <c r="Z29" s="41">
        <f t="shared" si="7"/>
        <v>0</v>
      </c>
      <c r="AA29" s="41">
        <f t="shared" si="8"/>
        <v>18</v>
      </c>
      <c r="AB29" s="42">
        <f t="shared" si="9"/>
        <v>3</v>
      </c>
      <c r="AC29" s="42">
        <f t="shared" si="10"/>
        <v>0</v>
      </c>
      <c r="AD29" s="42">
        <f t="shared" si="11"/>
        <v>3</v>
      </c>
      <c r="AE29" s="53" t="s">
        <v>348</v>
      </c>
      <c r="AF29" s="6"/>
      <c r="AG29" s="6"/>
      <c r="AH29" s="6">
        <f t="shared" si="12"/>
        <v>0</v>
      </c>
      <c r="AI29" s="902"/>
      <c r="AK29" s="9">
        <f t="shared" si="31"/>
        <v>0</v>
      </c>
      <c r="AL29" s="6">
        <v>18</v>
      </c>
      <c r="AM29" s="6"/>
      <c r="AN29" s="902">
        <f t="shared" si="32"/>
        <v>18</v>
      </c>
      <c r="AO29" s="9">
        <f t="shared" si="33"/>
        <v>36</v>
      </c>
      <c r="AP29" s="9">
        <f t="shared" si="34"/>
        <v>0</v>
      </c>
      <c r="AQ29" s="9">
        <f t="shared" si="35"/>
        <v>36</v>
      </c>
      <c r="AR29" s="939">
        <f t="shared" si="36"/>
        <v>4</v>
      </c>
      <c r="AS29" s="939">
        <f t="shared" si="37"/>
        <v>0</v>
      </c>
      <c r="AT29" s="939">
        <f t="shared" si="38"/>
        <v>4</v>
      </c>
    </row>
    <row r="30" spans="1:46" s="9" customFormat="1">
      <c r="A30" s="9">
        <v>23</v>
      </c>
      <c r="B30" s="13" t="s">
        <v>397</v>
      </c>
      <c r="C30" s="9" t="s">
        <v>345</v>
      </c>
      <c r="D30" s="9" t="s">
        <v>398</v>
      </c>
      <c r="E30" s="10" t="s">
        <v>379</v>
      </c>
      <c r="F30" s="9">
        <v>20</v>
      </c>
      <c r="G30" s="9">
        <v>71</v>
      </c>
      <c r="I30" s="6">
        <f t="shared" si="0"/>
        <v>71</v>
      </c>
      <c r="J30" s="9">
        <v>100</v>
      </c>
      <c r="K30" s="9">
        <v>47</v>
      </c>
      <c r="L30" s="6">
        <f t="shared" si="1"/>
        <v>147</v>
      </c>
      <c r="M30" s="6">
        <v>160</v>
      </c>
      <c r="N30" s="6">
        <f>80+36</f>
        <v>116</v>
      </c>
      <c r="O30" s="6">
        <f t="shared" si="2"/>
        <v>276</v>
      </c>
      <c r="P30" s="6">
        <v>18</v>
      </c>
      <c r="Q30" s="6">
        <v>56</v>
      </c>
      <c r="R30" s="6">
        <f t="shared" si="14"/>
        <v>74</v>
      </c>
      <c r="S30" s="6"/>
      <c r="T30" s="6"/>
      <c r="U30" s="6">
        <f t="shared" si="4"/>
        <v>0</v>
      </c>
      <c r="V30" s="6">
        <v>141</v>
      </c>
      <c r="W30" s="6"/>
      <c r="X30" s="6">
        <f t="shared" si="5"/>
        <v>141</v>
      </c>
      <c r="Y30" s="88">
        <f t="shared" si="6"/>
        <v>490</v>
      </c>
      <c r="Z30" s="41">
        <f t="shared" si="7"/>
        <v>219</v>
      </c>
      <c r="AA30" s="41">
        <f t="shared" si="8"/>
        <v>709</v>
      </c>
      <c r="AB30" s="42">
        <f t="shared" si="9"/>
        <v>81.666666666666671</v>
      </c>
      <c r="AC30" s="42">
        <f t="shared" si="10"/>
        <v>36.5</v>
      </c>
      <c r="AD30" s="42">
        <f t="shared" si="11"/>
        <v>118.16666666666667</v>
      </c>
      <c r="AE30" s="53" t="s">
        <v>352</v>
      </c>
      <c r="AF30" s="6"/>
      <c r="AG30" s="6">
        <v>54</v>
      </c>
      <c r="AH30" s="6">
        <f t="shared" si="12"/>
        <v>54</v>
      </c>
      <c r="AI30" s="902"/>
      <c r="AK30" s="9">
        <f t="shared" si="31"/>
        <v>0</v>
      </c>
      <c r="AL30" s="6">
        <v>221</v>
      </c>
      <c r="AM30" s="6">
        <v>38</v>
      </c>
      <c r="AN30" s="902">
        <f t="shared" si="32"/>
        <v>259</v>
      </c>
      <c r="AO30" s="9">
        <f t="shared" si="33"/>
        <v>711</v>
      </c>
      <c r="AP30" s="9">
        <f t="shared" si="34"/>
        <v>311</v>
      </c>
      <c r="AQ30" s="9">
        <f t="shared" si="35"/>
        <v>1022</v>
      </c>
      <c r="AR30" s="939">
        <f t="shared" si="36"/>
        <v>79</v>
      </c>
      <c r="AS30" s="939">
        <f t="shared" si="37"/>
        <v>34.555555555555557</v>
      </c>
      <c r="AT30" s="939">
        <f t="shared" si="38"/>
        <v>113.55555555555556</v>
      </c>
    </row>
    <row r="31" spans="1:46" s="9" customFormat="1" ht="15" hidden="1" customHeight="1">
      <c r="A31" s="9">
        <v>24</v>
      </c>
      <c r="B31" s="18" t="s">
        <v>2859</v>
      </c>
      <c r="C31" s="9" t="s">
        <v>345</v>
      </c>
      <c r="D31" s="9" t="s">
        <v>399</v>
      </c>
      <c r="E31" s="11" t="s">
        <v>355</v>
      </c>
      <c r="F31" s="9">
        <v>10</v>
      </c>
      <c r="I31" s="6">
        <f t="shared" si="0"/>
        <v>0</v>
      </c>
      <c r="L31" s="6">
        <f t="shared" si="1"/>
        <v>0</v>
      </c>
      <c r="M31" s="6"/>
      <c r="N31" s="6"/>
      <c r="O31" s="6">
        <f t="shared" si="2"/>
        <v>0</v>
      </c>
      <c r="P31" s="6"/>
      <c r="Q31" s="6"/>
      <c r="R31" s="6">
        <f t="shared" si="14"/>
        <v>0</v>
      </c>
      <c r="S31" s="6"/>
      <c r="T31" s="6"/>
      <c r="U31" s="6">
        <f t="shared" si="4"/>
        <v>0</v>
      </c>
      <c r="V31" s="6"/>
      <c r="W31" s="6"/>
      <c r="X31" s="6">
        <f t="shared" si="5"/>
        <v>0</v>
      </c>
      <c r="Y31" s="88">
        <f t="shared" si="6"/>
        <v>0</v>
      </c>
      <c r="Z31" s="41">
        <f t="shared" si="7"/>
        <v>0</v>
      </c>
      <c r="AA31" s="41">
        <f t="shared" si="8"/>
        <v>0</v>
      </c>
      <c r="AB31" s="42">
        <f t="shared" si="9"/>
        <v>0</v>
      </c>
      <c r="AC31" s="42">
        <f t="shared" si="10"/>
        <v>0</v>
      </c>
      <c r="AD31" s="42">
        <f t="shared" si="11"/>
        <v>0</v>
      </c>
      <c r="AE31" s="53" t="s">
        <v>352</v>
      </c>
      <c r="AF31" s="900"/>
      <c r="AG31" s="900"/>
      <c r="AH31" s="900">
        <f t="shared" si="12"/>
        <v>0</v>
      </c>
      <c r="AL31" s="900"/>
      <c r="AM31" s="900"/>
    </row>
    <row r="32" spans="1:46" s="9" customFormat="1" ht="15" hidden="1" customHeight="1">
      <c r="A32" s="9">
        <v>25</v>
      </c>
      <c r="B32" s="13" t="s">
        <v>400</v>
      </c>
      <c r="C32" s="9" t="s">
        <v>345</v>
      </c>
      <c r="D32" s="9" t="s">
        <v>401</v>
      </c>
      <c r="E32" s="10" t="s">
        <v>351</v>
      </c>
      <c r="F32" s="9">
        <v>12</v>
      </c>
      <c r="I32" s="6">
        <f t="shared" si="0"/>
        <v>0</v>
      </c>
      <c r="L32" s="6">
        <f t="shared" si="1"/>
        <v>0</v>
      </c>
      <c r="M32" s="6"/>
      <c r="N32" s="6"/>
      <c r="O32" s="6">
        <f t="shared" si="2"/>
        <v>0</v>
      </c>
      <c r="P32" s="6"/>
      <c r="Q32" s="6"/>
      <c r="R32" s="6">
        <f t="shared" si="14"/>
        <v>0</v>
      </c>
      <c r="S32" s="6"/>
      <c r="T32" s="6"/>
      <c r="U32" s="6">
        <f t="shared" si="4"/>
        <v>0</v>
      </c>
      <c r="V32" s="6"/>
      <c r="W32" s="6"/>
      <c r="X32" s="6">
        <f>V32+W32</f>
        <v>0</v>
      </c>
      <c r="Y32" s="88">
        <f t="shared" si="6"/>
        <v>0</v>
      </c>
      <c r="Z32" s="41">
        <f t="shared" si="7"/>
        <v>0</v>
      </c>
      <c r="AA32" s="41">
        <f t="shared" si="8"/>
        <v>0</v>
      </c>
      <c r="AB32" s="42">
        <f t="shared" si="9"/>
        <v>0</v>
      </c>
      <c r="AC32" s="42">
        <f t="shared" si="10"/>
        <v>0</v>
      </c>
      <c r="AD32" s="42">
        <f t="shared" si="11"/>
        <v>0</v>
      </c>
      <c r="AE32" s="53" t="s">
        <v>352</v>
      </c>
      <c r="AF32" s="900"/>
      <c r="AG32" s="900"/>
      <c r="AH32" s="900">
        <f>AF32+AG32</f>
        <v>0</v>
      </c>
      <c r="AL32" s="900"/>
      <c r="AM32" s="900"/>
    </row>
    <row r="33" spans="1:46" s="9" customFormat="1" ht="15" hidden="1" customHeight="1">
      <c r="A33" s="9">
        <v>26</v>
      </c>
      <c r="B33" s="493" t="s">
        <v>2860</v>
      </c>
      <c r="C33" s="9" t="s">
        <v>345</v>
      </c>
      <c r="D33" s="9" t="s">
        <v>402</v>
      </c>
      <c r="E33" s="12" t="s">
        <v>403</v>
      </c>
      <c r="F33" s="9">
        <v>6</v>
      </c>
      <c r="I33" s="6">
        <f t="shared" si="0"/>
        <v>0</v>
      </c>
      <c r="L33" s="6">
        <f t="shared" si="1"/>
        <v>0</v>
      </c>
      <c r="M33" s="6"/>
      <c r="N33" s="6"/>
      <c r="O33" s="6">
        <f t="shared" si="2"/>
        <v>0</v>
      </c>
      <c r="P33" s="6"/>
      <c r="Q33" s="6"/>
      <c r="R33" s="6">
        <f t="shared" si="14"/>
        <v>0</v>
      </c>
      <c r="S33" s="6"/>
      <c r="T33" s="6"/>
      <c r="U33" s="6">
        <f t="shared" si="4"/>
        <v>0</v>
      </c>
      <c r="V33" s="6"/>
      <c r="W33" s="6"/>
      <c r="X33" s="6">
        <f t="shared" ref="X33:X84" si="39">V33+W33</f>
        <v>0</v>
      </c>
      <c r="Y33" s="88">
        <f t="shared" si="6"/>
        <v>0</v>
      </c>
      <c r="Z33" s="41">
        <f t="shared" si="7"/>
        <v>0</v>
      </c>
      <c r="AA33" s="41">
        <f t="shared" si="8"/>
        <v>0</v>
      </c>
      <c r="AB33" s="42">
        <f t="shared" si="9"/>
        <v>0</v>
      </c>
      <c r="AC33" s="42">
        <f t="shared" si="10"/>
        <v>0</v>
      </c>
      <c r="AD33" s="42">
        <f t="shared" si="11"/>
        <v>0</v>
      </c>
      <c r="AE33" s="53" t="s">
        <v>352</v>
      </c>
      <c r="AF33" s="900"/>
      <c r="AG33" s="900"/>
      <c r="AH33" s="900">
        <f t="shared" ref="AH33:AH84" si="40">AF33+AG33</f>
        <v>0</v>
      </c>
      <c r="AL33" s="900"/>
      <c r="AM33" s="900"/>
    </row>
    <row r="34" spans="1:46" s="9" customFormat="1" ht="15" hidden="1" customHeight="1">
      <c r="A34" s="9">
        <v>27</v>
      </c>
      <c r="B34" s="13" t="s">
        <v>404</v>
      </c>
      <c r="C34" s="9" t="s">
        <v>345</v>
      </c>
      <c r="D34" s="9" t="s">
        <v>405</v>
      </c>
      <c r="E34" s="10" t="s">
        <v>351</v>
      </c>
      <c r="F34" s="9">
        <v>25</v>
      </c>
      <c r="I34" s="6">
        <f t="shared" si="0"/>
        <v>0</v>
      </c>
      <c r="L34" s="6">
        <f t="shared" si="1"/>
        <v>0</v>
      </c>
      <c r="M34" s="6"/>
      <c r="N34" s="6"/>
      <c r="O34" s="6">
        <f t="shared" si="2"/>
        <v>0</v>
      </c>
      <c r="P34" s="6"/>
      <c r="Q34" s="6"/>
      <c r="R34" s="6">
        <f t="shared" si="14"/>
        <v>0</v>
      </c>
      <c r="S34" s="6"/>
      <c r="T34" s="6"/>
      <c r="U34" s="6">
        <f t="shared" si="4"/>
        <v>0</v>
      </c>
      <c r="V34" s="6"/>
      <c r="W34" s="6"/>
      <c r="X34" s="6">
        <f t="shared" si="39"/>
        <v>0</v>
      </c>
      <c r="Y34" s="88">
        <f t="shared" si="6"/>
        <v>0</v>
      </c>
      <c r="Z34" s="41">
        <f t="shared" si="7"/>
        <v>0</v>
      </c>
      <c r="AA34" s="41">
        <f t="shared" si="8"/>
        <v>0</v>
      </c>
      <c r="AB34" s="42">
        <f t="shared" si="9"/>
        <v>0</v>
      </c>
      <c r="AC34" s="42">
        <f t="shared" si="10"/>
        <v>0</v>
      </c>
      <c r="AD34" s="42">
        <f t="shared" si="11"/>
        <v>0</v>
      </c>
      <c r="AE34" s="53" t="s">
        <v>352</v>
      </c>
      <c r="AF34" s="900"/>
      <c r="AG34" s="900"/>
      <c r="AH34" s="900">
        <f t="shared" si="40"/>
        <v>0</v>
      </c>
      <c r="AL34" s="900"/>
      <c r="AM34" s="900"/>
    </row>
    <row r="35" spans="1:46" s="9" customFormat="1">
      <c r="A35" s="9">
        <v>28</v>
      </c>
      <c r="B35" s="13" t="s">
        <v>406</v>
      </c>
      <c r="C35" s="9" t="s">
        <v>345</v>
      </c>
      <c r="D35" s="9" t="s">
        <v>407</v>
      </c>
      <c r="E35" s="11" t="s">
        <v>355</v>
      </c>
      <c r="F35" s="9">
        <v>40</v>
      </c>
      <c r="I35" s="6">
        <f t="shared" si="0"/>
        <v>0</v>
      </c>
      <c r="L35" s="6">
        <f t="shared" si="1"/>
        <v>0</v>
      </c>
      <c r="M35" s="6">
        <v>20</v>
      </c>
      <c r="N35" s="6"/>
      <c r="O35" s="6">
        <f t="shared" si="2"/>
        <v>20</v>
      </c>
      <c r="P35" s="6">
        <v>45</v>
      </c>
      <c r="Q35" s="6">
        <v>160</v>
      </c>
      <c r="R35" s="6">
        <f t="shared" si="14"/>
        <v>205</v>
      </c>
      <c r="S35" s="6"/>
      <c r="T35" s="6"/>
      <c r="U35" s="6">
        <f t="shared" si="4"/>
        <v>0</v>
      </c>
      <c r="V35" s="6">
        <v>36</v>
      </c>
      <c r="W35" s="6"/>
      <c r="X35" s="6">
        <f t="shared" si="39"/>
        <v>36</v>
      </c>
      <c r="Y35" s="88">
        <f t="shared" si="6"/>
        <v>101</v>
      </c>
      <c r="Z35" s="41">
        <f t="shared" si="7"/>
        <v>160</v>
      </c>
      <c r="AA35" s="41">
        <f t="shared" si="8"/>
        <v>261</v>
      </c>
      <c r="AB35" s="42">
        <f t="shared" si="9"/>
        <v>16.833333333333332</v>
      </c>
      <c r="AC35" s="42">
        <f t="shared" si="10"/>
        <v>26.666666666666668</v>
      </c>
      <c r="AD35" s="42">
        <f t="shared" si="11"/>
        <v>43.5</v>
      </c>
      <c r="AE35" s="53" t="s">
        <v>352</v>
      </c>
      <c r="AF35" s="6"/>
      <c r="AG35" s="6">
        <v>60</v>
      </c>
      <c r="AH35" s="6">
        <f t="shared" si="40"/>
        <v>60</v>
      </c>
      <c r="AI35" s="902"/>
      <c r="AK35" s="9">
        <f t="shared" ref="AK35:AK42" si="41">AI35+AJ35</f>
        <v>0</v>
      </c>
      <c r="AL35" s="6"/>
      <c r="AM35" s="6"/>
      <c r="AN35" s="902">
        <f t="shared" ref="AN35:AN42" si="42">AL35+AM35</f>
        <v>0</v>
      </c>
      <c r="AO35" s="9">
        <f t="shared" ref="AO35:AO42" si="43">Y35+AF35+AI35+AL35</f>
        <v>101</v>
      </c>
      <c r="AP35" s="9">
        <f t="shared" ref="AP35:AP42" si="44">Z35+AG35+AJ35+AM35</f>
        <v>220</v>
      </c>
      <c r="AQ35" s="9">
        <f t="shared" ref="AQ35:AQ42" si="45">AA35+AH35+AK35+AN35</f>
        <v>321</v>
      </c>
      <c r="AR35" s="939">
        <f t="shared" ref="AR35:AR42" si="46">AO35/9</f>
        <v>11.222222222222221</v>
      </c>
      <c r="AS35" s="939">
        <f t="shared" ref="AS35:AS42" si="47">AP35/9</f>
        <v>24.444444444444443</v>
      </c>
      <c r="AT35" s="939">
        <f t="shared" ref="AT35:AT42" si="48">AQ35/9</f>
        <v>35.666666666666664</v>
      </c>
    </row>
    <row r="36" spans="1:46" s="9" customFormat="1">
      <c r="A36" s="9">
        <v>29</v>
      </c>
      <c r="B36" s="13" t="s">
        <v>408</v>
      </c>
      <c r="C36" s="9" t="s">
        <v>345</v>
      </c>
      <c r="D36" s="9" t="s">
        <v>409</v>
      </c>
      <c r="E36" s="11" t="s">
        <v>355</v>
      </c>
      <c r="F36" s="9">
        <v>10</v>
      </c>
      <c r="G36" s="9">
        <v>98</v>
      </c>
      <c r="I36" s="6">
        <f t="shared" si="0"/>
        <v>98</v>
      </c>
      <c r="J36" s="9">
        <v>50</v>
      </c>
      <c r="L36" s="6">
        <f t="shared" si="1"/>
        <v>50</v>
      </c>
      <c r="M36" s="6">
        <v>50</v>
      </c>
      <c r="N36" s="6"/>
      <c r="O36" s="6">
        <f t="shared" si="2"/>
        <v>50</v>
      </c>
      <c r="P36" s="6">
        <v>118</v>
      </c>
      <c r="Q36" s="6"/>
      <c r="R36" s="6">
        <f t="shared" si="14"/>
        <v>118</v>
      </c>
      <c r="S36" s="6"/>
      <c r="T36" s="6"/>
      <c r="U36" s="6">
        <f t="shared" si="4"/>
        <v>0</v>
      </c>
      <c r="V36" s="6"/>
      <c r="W36" s="6"/>
      <c r="X36" s="6">
        <f t="shared" si="39"/>
        <v>0</v>
      </c>
      <c r="Y36" s="88">
        <f t="shared" si="6"/>
        <v>316</v>
      </c>
      <c r="Z36" s="41">
        <f t="shared" si="7"/>
        <v>0</v>
      </c>
      <c r="AA36" s="41">
        <f t="shared" si="8"/>
        <v>316</v>
      </c>
      <c r="AB36" s="42">
        <f t="shared" si="9"/>
        <v>52.666666666666664</v>
      </c>
      <c r="AC36" s="42">
        <f t="shared" si="10"/>
        <v>0</v>
      </c>
      <c r="AD36" s="42">
        <f t="shared" si="11"/>
        <v>52.666666666666664</v>
      </c>
      <c r="AE36" s="53" t="s">
        <v>352</v>
      </c>
      <c r="AF36" s="6"/>
      <c r="AG36" s="6"/>
      <c r="AH36" s="6">
        <f t="shared" si="40"/>
        <v>0</v>
      </c>
      <c r="AI36" s="900">
        <v>87</v>
      </c>
      <c r="AK36" s="9">
        <f t="shared" si="41"/>
        <v>87</v>
      </c>
      <c r="AL36" s="6"/>
      <c r="AM36" s="6"/>
      <c r="AN36" s="902">
        <f t="shared" si="42"/>
        <v>0</v>
      </c>
      <c r="AO36" s="9">
        <f t="shared" si="43"/>
        <v>403</v>
      </c>
      <c r="AP36" s="9">
        <f t="shared" si="44"/>
        <v>0</v>
      </c>
      <c r="AQ36" s="9">
        <f t="shared" si="45"/>
        <v>403</v>
      </c>
      <c r="AR36" s="939">
        <f t="shared" si="46"/>
        <v>44.777777777777779</v>
      </c>
      <c r="AS36" s="939">
        <f t="shared" si="47"/>
        <v>0</v>
      </c>
      <c r="AT36" s="939">
        <f t="shared" si="48"/>
        <v>44.777777777777779</v>
      </c>
    </row>
    <row r="37" spans="1:46" s="9" customFormat="1">
      <c r="A37" s="9">
        <v>30</v>
      </c>
      <c r="B37" s="13" t="s">
        <v>410</v>
      </c>
      <c r="C37" s="9" t="s">
        <v>345</v>
      </c>
      <c r="D37" s="9" t="s">
        <v>411</v>
      </c>
      <c r="E37" s="10" t="s">
        <v>412</v>
      </c>
      <c r="F37" s="9">
        <v>10</v>
      </c>
      <c r="I37" s="6">
        <f t="shared" si="0"/>
        <v>0</v>
      </c>
      <c r="J37" s="9">
        <v>5</v>
      </c>
      <c r="L37" s="6">
        <f t="shared" si="1"/>
        <v>5</v>
      </c>
      <c r="M37" s="6"/>
      <c r="N37" s="6"/>
      <c r="O37" s="6">
        <f t="shared" si="2"/>
        <v>0</v>
      </c>
      <c r="P37" s="6"/>
      <c r="Q37" s="6"/>
      <c r="R37" s="6">
        <f t="shared" si="14"/>
        <v>0</v>
      </c>
      <c r="S37" s="6"/>
      <c r="T37" s="6"/>
      <c r="U37" s="6">
        <f t="shared" si="4"/>
        <v>0</v>
      </c>
      <c r="V37" s="6"/>
      <c r="W37" s="6"/>
      <c r="X37" s="6">
        <f t="shared" si="39"/>
        <v>0</v>
      </c>
      <c r="Y37" s="88">
        <f t="shared" si="6"/>
        <v>5</v>
      </c>
      <c r="Z37" s="41">
        <f t="shared" si="7"/>
        <v>0</v>
      </c>
      <c r="AA37" s="41">
        <f t="shared" si="8"/>
        <v>5</v>
      </c>
      <c r="AB37" s="42">
        <f t="shared" si="9"/>
        <v>0.83333333333333337</v>
      </c>
      <c r="AC37" s="42">
        <f t="shared" si="10"/>
        <v>0</v>
      </c>
      <c r="AD37" s="42">
        <f t="shared" si="11"/>
        <v>0.83333333333333337</v>
      </c>
      <c r="AE37" s="53" t="s">
        <v>352</v>
      </c>
      <c r="AF37" s="6"/>
      <c r="AG37" s="6"/>
      <c r="AH37" s="6">
        <f t="shared" si="40"/>
        <v>0</v>
      </c>
      <c r="AI37" s="902"/>
      <c r="AK37" s="9">
        <f t="shared" si="41"/>
        <v>0</v>
      </c>
      <c r="AL37" s="6"/>
      <c r="AM37" s="6"/>
      <c r="AN37" s="902">
        <f t="shared" si="42"/>
        <v>0</v>
      </c>
      <c r="AO37" s="9">
        <f t="shared" si="43"/>
        <v>5</v>
      </c>
      <c r="AP37" s="9">
        <f t="shared" si="44"/>
        <v>0</v>
      </c>
      <c r="AQ37" s="9">
        <f t="shared" si="45"/>
        <v>5</v>
      </c>
      <c r="AR37" s="939">
        <f t="shared" si="46"/>
        <v>0.55555555555555558</v>
      </c>
      <c r="AS37" s="939">
        <f t="shared" si="47"/>
        <v>0</v>
      </c>
      <c r="AT37" s="939">
        <f t="shared" si="48"/>
        <v>0.55555555555555558</v>
      </c>
    </row>
    <row r="38" spans="1:46" s="9" customFormat="1">
      <c r="A38" s="9">
        <v>31</v>
      </c>
      <c r="B38" s="13" t="s">
        <v>413</v>
      </c>
      <c r="C38" s="9" t="s">
        <v>345</v>
      </c>
      <c r="D38" s="9" t="s">
        <v>414</v>
      </c>
      <c r="E38" s="10" t="s">
        <v>347</v>
      </c>
      <c r="F38" s="9">
        <v>40</v>
      </c>
      <c r="I38" s="6">
        <f t="shared" si="0"/>
        <v>0</v>
      </c>
      <c r="J38" s="9">
        <v>30</v>
      </c>
      <c r="L38" s="6">
        <f t="shared" si="1"/>
        <v>30</v>
      </c>
      <c r="M38" s="6"/>
      <c r="N38" s="6"/>
      <c r="O38" s="6">
        <f t="shared" si="2"/>
        <v>0</v>
      </c>
      <c r="P38" s="6"/>
      <c r="Q38" s="6"/>
      <c r="R38" s="6">
        <f t="shared" si="14"/>
        <v>0</v>
      </c>
      <c r="S38" s="6"/>
      <c r="T38" s="6"/>
      <c r="U38" s="6">
        <f t="shared" si="4"/>
        <v>0</v>
      </c>
      <c r="V38" s="6"/>
      <c r="W38" s="6"/>
      <c r="X38" s="6">
        <f t="shared" si="39"/>
        <v>0</v>
      </c>
      <c r="Y38" s="88">
        <f t="shared" si="6"/>
        <v>30</v>
      </c>
      <c r="Z38" s="41">
        <f t="shared" si="7"/>
        <v>0</v>
      </c>
      <c r="AA38" s="41">
        <f t="shared" si="8"/>
        <v>30</v>
      </c>
      <c r="AB38" s="42">
        <f t="shared" si="9"/>
        <v>5</v>
      </c>
      <c r="AC38" s="42">
        <f t="shared" si="10"/>
        <v>0</v>
      </c>
      <c r="AD38" s="42">
        <f t="shared" si="11"/>
        <v>5</v>
      </c>
      <c r="AE38" s="53" t="s">
        <v>352</v>
      </c>
      <c r="AF38" s="6"/>
      <c r="AG38" s="6"/>
      <c r="AH38" s="6">
        <f t="shared" si="40"/>
        <v>0</v>
      </c>
      <c r="AI38" s="902"/>
      <c r="AK38" s="9">
        <f t="shared" si="41"/>
        <v>0</v>
      </c>
      <c r="AL38" s="6"/>
      <c r="AM38" s="6"/>
      <c r="AN38" s="902">
        <f t="shared" si="42"/>
        <v>0</v>
      </c>
      <c r="AO38" s="9">
        <f t="shared" si="43"/>
        <v>30</v>
      </c>
      <c r="AP38" s="9">
        <f t="shared" si="44"/>
        <v>0</v>
      </c>
      <c r="AQ38" s="9">
        <f t="shared" si="45"/>
        <v>30</v>
      </c>
      <c r="AR38" s="939">
        <f t="shared" si="46"/>
        <v>3.3333333333333335</v>
      </c>
      <c r="AS38" s="939">
        <f t="shared" si="47"/>
        <v>0</v>
      </c>
      <c r="AT38" s="939">
        <f t="shared" si="48"/>
        <v>3.3333333333333335</v>
      </c>
    </row>
    <row r="39" spans="1:46" s="54" customFormat="1">
      <c r="A39" s="54">
        <v>32</v>
      </c>
      <c r="B39" s="55" t="s">
        <v>415</v>
      </c>
      <c r="C39" s="54" t="s">
        <v>345</v>
      </c>
      <c r="D39" s="54" t="s">
        <v>416</v>
      </c>
      <c r="E39" s="11" t="s">
        <v>347</v>
      </c>
      <c r="F39" s="54">
        <v>92</v>
      </c>
      <c r="G39" s="54">
        <v>200</v>
      </c>
      <c r="I39" s="19">
        <f t="shared" si="0"/>
        <v>200</v>
      </c>
      <c r="L39" s="19">
        <f t="shared" si="1"/>
        <v>0</v>
      </c>
      <c r="M39" s="19">
        <v>90</v>
      </c>
      <c r="N39" s="19"/>
      <c r="O39" s="19">
        <f t="shared" si="2"/>
        <v>90</v>
      </c>
      <c r="P39" s="19"/>
      <c r="Q39" s="19"/>
      <c r="R39" s="19">
        <f t="shared" si="14"/>
        <v>0</v>
      </c>
      <c r="S39" s="19">
        <v>134</v>
      </c>
      <c r="T39" s="19"/>
      <c r="U39" s="19">
        <f t="shared" si="4"/>
        <v>134</v>
      </c>
      <c r="V39" s="19"/>
      <c r="W39" s="19"/>
      <c r="X39" s="19">
        <f t="shared" si="39"/>
        <v>0</v>
      </c>
      <c r="Y39" s="89">
        <f t="shared" si="6"/>
        <v>424</v>
      </c>
      <c r="Z39" s="44">
        <f t="shared" si="7"/>
        <v>0</v>
      </c>
      <c r="AA39" s="44">
        <f t="shared" si="8"/>
        <v>424</v>
      </c>
      <c r="AB39" s="45">
        <f t="shared" si="9"/>
        <v>70.666666666666671</v>
      </c>
      <c r="AC39" s="45">
        <f t="shared" si="10"/>
        <v>0</v>
      </c>
      <c r="AD39" s="45">
        <f t="shared" si="11"/>
        <v>70.666666666666671</v>
      </c>
      <c r="AE39" s="56" t="s">
        <v>352</v>
      </c>
      <c r="AF39" s="19">
        <v>144</v>
      </c>
      <c r="AG39" s="19">
        <v>0</v>
      </c>
      <c r="AH39" s="19">
        <f t="shared" si="40"/>
        <v>144</v>
      </c>
      <c r="AI39" s="903"/>
      <c r="AK39" s="54">
        <f t="shared" si="41"/>
        <v>0</v>
      </c>
      <c r="AL39" s="19">
        <v>72</v>
      </c>
      <c r="AM39" s="19"/>
      <c r="AN39" s="903">
        <f t="shared" si="42"/>
        <v>72</v>
      </c>
      <c r="AO39" s="54">
        <f t="shared" si="43"/>
        <v>640</v>
      </c>
      <c r="AP39" s="54">
        <f t="shared" si="44"/>
        <v>0</v>
      </c>
      <c r="AQ39" s="54">
        <f t="shared" si="45"/>
        <v>640</v>
      </c>
      <c r="AR39" s="935">
        <f t="shared" si="46"/>
        <v>71.111111111111114</v>
      </c>
      <c r="AS39" s="935">
        <f t="shared" si="47"/>
        <v>0</v>
      </c>
      <c r="AT39" s="935">
        <f t="shared" si="48"/>
        <v>71.111111111111114</v>
      </c>
    </row>
    <row r="40" spans="1:46" s="54" customFormat="1">
      <c r="A40" s="54">
        <v>33</v>
      </c>
      <c r="B40" s="55" t="s">
        <v>417</v>
      </c>
      <c r="C40" s="54" t="s">
        <v>345</v>
      </c>
      <c r="D40" s="54" t="s">
        <v>418</v>
      </c>
      <c r="E40" s="11" t="s">
        <v>389</v>
      </c>
      <c r="F40" s="54">
        <v>137</v>
      </c>
      <c r="I40" s="19">
        <f t="shared" ref="I40:I71" si="49">SUM(G40:H40)</f>
        <v>0</v>
      </c>
      <c r="J40" s="54">
        <v>211</v>
      </c>
      <c r="L40" s="19">
        <f t="shared" si="1"/>
        <v>211</v>
      </c>
      <c r="M40" s="19">
        <v>0</v>
      </c>
      <c r="N40" s="19"/>
      <c r="O40" s="19">
        <f t="shared" si="2"/>
        <v>0</v>
      </c>
      <c r="P40" s="19"/>
      <c r="Q40" s="19"/>
      <c r="R40" s="19">
        <f t="shared" si="14"/>
        <v>0</v>
      </c>
      <c r="S40" s="19">
        <v>0</v>
      </c>
      <c r="T40" s="19"/>
      <c r="U40" s="19">
        <f t="shared" si="4"/>
        <v>0</v>
      </c>
      <c r="V40" s="19"/>
      <c r="W40" s="19"/>
      <c r="X40" s="19">
        <f t="shared" si="39"/>
        <v>0</v>
      </c>
      <c r="Y40" s="89">
        <f t="shared" ref="Y40:Y71" si="50">G40+J40+M40+P40+S40+V40</f>
        <v>211</v>
      </c>
      <c r="Z40" s="44">
        <f t="shared" ref="Z40:Z71" si="51">H40+K40+N40+Q40+T40+W40</f>
        <v>0</v>
      </c>
      <c r="AA40" s="44">
        <f t="shared" ref="AA40:AA71" si="52">I40+L40+O40+R40+U40+X40</f>
        <v>211</v>
      </c>
      <c r="AB40" s="45">
        <f t="shared" ref="AB40:AB71" si="53">Y40/6</f>
        <v>35.166666666666664</v>
      </c>
      <c r="AC40" s="45">
        <f t="shared" ref="AC40:AC71" si="54">Z40/6</f>
        <v>0</v>
      </c>
      <c r="AD40" s="45">
        <f t="shared" ref="AD40:AD71" si="55">AA40/6</f>
        <v>35.166666666666664</v>
      </c>
      <c r="AE40" s="56" t="s">
        <v>352</v>
      </c>
      <c r="AF40" s="19">
        <v>0</v>
      </c>
      <c r="AG40" s="19">
        <v>0</v>
      </c>
      <c r="AH40" s="19">
        <f t="shared" si="40"/>
        <v>0</v>
      </c>
      <c r="AI40" s="903"/>
      <c r="AK40" s="54">
        <f t="shared" si="41"/>
        <v>0</v>
      </c>
      <c r="AL40" s="19">
        <v>158</v>
      </c>
      <c r="AM40" s="19"/>
      <c r="AN40" s="903">
        <f t="shared" si="42"/>
        <v>158</v>
      </c>
      <c r="AO40" s="54">
        <f t="shared" si="43"/>
        <v>369</v>
      </c>
      <c r="AP40" s="54">
        <f t="shared" si="44"/>
        <v>0</v>
      </c>
      <c r="AQ40" s="54">
        <f t="shared" si="45"/>
        <v>369</v>
      </c>
      <c r="AR40" s="935">
        <f t="shared" si="46"/>
        <v>41</v>
      </c>
      <c r="AS40" s="935">
        <f t="shared" si="47"/>
        <v>0</v>
      </c>
      <c r="AT40" s="935">
        <f t="shared" si="48"/>
        <v>41</v>
      </c>
    </row>
    <row r="41" spans="1:46" s="54" customFormat="1">
      <c r="A41" s="54">
        <v>34</v>
      </c>
      <c r="B41" s="55" t="s">
        <v>419</v>
      </c>
      <c r="C41" s="54" t="s">
        <v>345</v>
      </c>
      <c r="D41" s="54" t="s">
        <v>420</v>
      </c>
      <c r="E41" s="11" t="s">
        <v>389</v>
      </c>
      <c r="F41" s="54">
        <v>100</v>
      </c>
      <c r="G41" s="54">
        <v>401</v>
      </c>
      <c r="I41" s="19">
        <f t="shared" si="49"/>
        <v>401</v>
      </c>
      <c r="J41" s="54">
        <v>300</v>
      </c>
      <c r="L41" s="19">
        <f t="shared" si="1"/>
        <v>300</v>
      </c>
      <c r="M41" s="19">
        <v>312</v>
      </c>
      <c r="N41" s="19"/>
      <c r="O41" s="19">
        <f t="shared" si="2"/>
        <v>312</v>
      </c>
      <c r="P41" s="19"/>
      <c r="Q41" s="19"/>
      <c r="R41" s="19">
        <f t="shared" si="14"/>
        <v>0</v>
      </c>
      <c r="S41" s="19">
        <v>448</v>
      </c>
      <c r="T41" s="19"/>
      <c r="U41" s="19">
        <f t="shared" si="4"/>
        <v>448</v>
      </c>
      <c r="V41" s="19"/>
      <c r="W41" s="19"/>
      <c r="X41" s="19">
        <f t="shared" si="39"/>
        <v>0</v>
      </c>
      <c r="Y41" s="89">
        <f t="shared" si="50"/>
        <v>1461</v>
      </c>
      <c r="Z41" s="44">
        <f t="shared" si="51"/>
        <v>0</v>
      </c>
      <c r="AA41" s="44">
        <f t="shared" si="52"/>
        <v>1461</v>
      </c>
      <c r="AB41" s="45">
        <f t="shared" si="53"/>
        <v>243.5</v>
      </c>
      <c r="AC41" s="45">
        <f t="shared" si="54"/>
        <v>0</v>
      </c>
      <c r="AD41" s="45">
        <f t="shared" si="55"/>
        <v>243.5</v>
      </c>
      <c r="AE41" s="56" t="s">
        <v>352</v>
      </c>
      <c r="AF41" s="19">
        <v>408</v>
      </c>
      <c r="AG41" s="19">
        <v>0</v>
      </c>
      <c r="AH41" s="19">
        <f t="shared" si="40"/>
        <v>408</v>
      </c>
      <c r="AI41" s="385">
        <v>426</v>
      </c>
      <c r="AK41" s="54">
        <f t="shared" si="41"/>
        <v>426</v>
      </c>
      <c r="AL41" s="19">
        <v>476</v>
      </c>
      <c r="AM41" s="19"/>
      <c r="AN41" s="903">
        <f t="shared" si="42"/>
        <v>476</v>
      </c>
      <c r="AO41" s="54">
        <f t="shared" si="43"/>
        <v>2771</v>
      </c>
      <c r="AP41" s="54">
        <f t="shared" si="44"/>
        <v>0</v>
      </c>
      <c r="AQ41" s="54">
        <f t="shared" si="45"/>
        <v>2771</v>
      </c>
      <c r="AR41" s="935">
        <f t="shared" si="46"/>
        <v>307.88888888888891</v>
      </c>
      <c r="AS41" s="935">
        <f t="shared" si="47"/>
        <v>0</v>
      </c>
      <c r="AT41" s="935">
        <f t="shared" si="48"/>
        <v>307.88888888888891</v>
      </c>
    </row>
    <row r="42" spans="1:46" s="54" customFormat="1">
      <c r="A42" s="54">
        <v>35</v>
      </c>
      <c r="B42" s="55" t="s">
        <v>421</v>
      </c>
      <c r="C42" s="54" t="s">
        <v>345</v>
      </c>
      <c r="D42" s="54" t="s">
        <v>422</v>
      </c>
      <c r="E42" s="11" t="s">
        <v>423</v>
      </c>
      <c r="F42" s="54">
        <v>479</v>
      </c>
      <c r="I42" s="19">
        <f t="shared" si="49"/>
        <v>0</v>
      </c>
      <c r="L42" s="19">
        <f t="shared" si="1"/>
        <v>0</v>
      </c>
      <c r="M42" s="19">
        <v>950</v>
      </c>
      <c r="N42" s="19">
        <v>36</v>
      </c>
      <c r="O42" s="19">
        <f t="shared" si="2"/>
        <v>986</v>
      </c>
      <c r="P42" s="19"/>
      <c r="Q42" s="19"/>
      <c r="R42" s="19">
        <f t="shared" si="14"/>
        <v>0</v>
      </c>
      <c r="S42" s="19">
        <v>0</v>
      </c>
      <c r="T42" s="19"/>
      <c r="U42" s="19">
        <f t="shared" si="4"/>
        <v>0</v>
      </c>
      <c r="V42" s="19">
        <v>944</v>
      </c>
      <c r="W42" s="19">
        <v>72</v>
      </c>
      <c r="X42" s="19">
        <f t="shared" si="39"/>
        <v>1016</v>
      </c>
      <c r="Y42" s="89">
        <f t="shared" si="50"/>
        <v>1894</v>
      </c>
      <c r="Z42" s="44">
        <f t="shared" si="51"/>
        <v>108</v>
      </c>
      <c r="AA42" s="44">
        <f t="shared" si="52"/>
        <v>2002</v>
      </c>
      <c r="AB42" s="45">
        <f t="shared" si="53"/>
        <v>315.66666666666669</v>
      </c>
      <c r="AC42" s="45">
        <f t="shared" si="54"/>
        <v>18</v>
      </c>
      <c r="AD42" s="45">
        <f t="shared" si="55"/>
        <v>333.66666666666669</v>
      </c>
      <c r="AE42" s="56" t="s">
        <v>352</v>
      </c>
      <c r="AF42" s="19">
        <v>0</v>
      </c>
      <c r="AG42" s="19">
        <v>0</v>
      </c>
      <c r="AH42" s="19">
        <f t="shared" si="40"/>
        <v>0</v>
      </c>
      <c r="AI42" s="903"/>
      <c r="AK42" s="54">
        <f t="shared" si="41"/>
        <v>0</v>
      </c>
      <c r="AL42" s="19"/>
      <c r="AM42" s="19"/>
      <c r="AN42" s="903">
        <f t="shared" si="42"/>
        <v>0</v>
      </c>
      <c r="AO42" s="54">
        <f t="shared" si="43"/>
        <v>1894</v>
      </c>
      <c r="AP42" s="54">
        <f t="shared" si="44"/>
        <v>108</v>
      </c>
      <c r="AQ42" s="54">
        <f t="shared" si="45"/>
        <v>2002</v>
      </c>
      <c r="AR42" s="935">
        <f t="shared" si="46"/>
        <v>210.44444444444446</v>
      </c>
      <c r="AS42" s="935">
        <f t="shared" si="47"/>
        <v>12</v>
      </c>
      <c r="AT42" s="935">
        <f t="shared" si="48"/>
        <v>222.44444444444446</v>
      </c>
    </row>
    <row r="43" spans="1:46" s="9" customFormat="1" ht="15" hidden="1" customHeight="1">
      <c r="A43" s="9">
        <v>36</v>
      </c>
      <c r="B43" s="13" t="s">
        <v>424</v>
      </c>
      <c r="C43" s="9" t="s">
        <v>425</v>
      </c>
      <c r="D43" s="9" t="s">
        <v>426</v>
      </c>
      <c r="E43" s="12" t="s">
        <v>394</v>
      </c>
      <c r="F43" s="9">
        <v>30</v>
      </c>
      <c r="I43" s="6">
        <f t="shared" si="49"/>
        <v>0</v>
      </c>
      <c r="L43" s="6">
        <f t="shared" si="1"/>
        <v>0</v>
      </c>
      <c r="M43" s="6"/>
      <c r="N43" s="6"/>
      <c r="O43" s="6">
        <f t="shared" si="2"/>
        <v>0</v>
      </c>
      <c r="P43" s="6"/>
      <c r="Q43" s="6"/>
      <c r="R43" s="6">
        <f t="shared" si="14"/>
        <v>0</v>
      </c>
      <c r="S43" s="6"/>
      <c r="T43" s="6"/>
      <c r="U43" s="6">
        <f t="shared" si="4"/>
        <v>0</v>
      </c>
      <c r="V43" s="6"/>
      <c r="W43" s="6"/>
      <c r="X43" s="6">
        <f t="shared" si="39"/>
        <v>0</v>
      </c>
      <c r="Y43" s="88">
        <f t="shared" si="50"/>
        <v>0</v>
      </c>
      <c r="Z43" s="41">
        <f t="shared" si="51"/>
        <v>0</v>
      </c>
      <c r="AA43" s="41">
        <f t="shared" si="52"/>
        <v>0</v>
      </c>
      <c r="AB43" s="42">
        <f t="shared" si="53"/>
        <v>0</v>
      </c>
      <c r="AC43" s="42">
        <f t="shared" si="54"/>
        <v>0</v>
      </c>
      <c r="AD43" s="42">
        <f t="shared" si="55"/>
        <v>0</v>
      </c>
      <c r="AE43" s="53" t="s">
        <v>352</v>
      </c>
      <c r="AF43" s="900"/>
      <c r="AG43" s="900"/>
      <c r="AH43" s="900">
        <f t="shared" si="40"/>
        <v>0</v>
      </c>
      <c r="AL43" s="900"/>
      <c r="AM43" s="900"/>
    </row>
    <row r="44" spans="1:46" s="9" customFormat="1" ht="15" hidden="1" customHeight="1">
      <c r="A44" s="9">
        <v>37</v>
      </c>
      <c r="B44" s="13" t="s">
        <v>427</v>
      </c>
      <c r="C44" s="9" t="s">
        <v>425</v>
      </c>
      <c r="D44" s="9" t="s">
        <v>428</v>
      </c>
      <c r="E44" s="10" t="s">
        <v>347</v>
      </c>
      <c r="F44" s="9">
        <v>30</v>
      </c>
      <c r="I44" s="6">
        <f t="shared" si="49"/>
        <v>0</v>
      </c>
      <c r="L44" s="6">
        <f t="shared" si="1"/>
        <v>0</v>
      </c>
      <c r="M44" s="6"/>
      <c r="N44" s="6"/>
      <c r="O44" s="6">
        <f t="shared" si="2"/>
        <v>0</v>
      </c>
      <c r="P44" s="6"/>
      <c r="Q44" s="6"/>
      <c r="R44" s="6">
        <f t="shared" si="14"/>
        <v>0</v>
      </c>
      <c r="S44" s="6"/>
      <c r="T44" s="6"/>
      <c r="U44" s="6">
        <f t="shared" si="4"/>
        <v>0</v>
      </c>
      <c r="V44" s="6"/>
      <c r="W44" s="6"/>
      <c r="X44" s="6">
        <f t="shared" si="39"/>
        <v>0</v>
      </c>
      <c r="Y44" s="88">
        <f t="shared" si="50"/>
        <v>0</v>
      </c>
      <c r="Z44" s="41">
        <f t="shared" si="51"/>
        <v>0</v>
      </c>
      <c r="AA44" s="41">
        <f t="shared" si="52"/>
        <v>0</v>
      </c>
      <c r="AB44" s="42">
        <f t="shared" si="53"/>
        <v>0</v>
      </c>
      <c r="AC44" s="42">
        <f t="shared" si="54"/>
        <v>0</v>
      </c>
      <c r="AD44" s="42">
        <f t="shared" si="55"/>
        <v>0</v>
      </c>
      <c r="AE44" s="53" t="s">
        <v>352</v>
      </c>
      <c r="AF44" s="900"/>
      <c r="AG44" s="900"/>
      <c r="AH44" s="900">
        <f t="shared" si="40"/>
        <v>0</v>
      </c>
      <c r="AL44" s="900"/>
      <c r="AM44" s="900"/>
    </row>
    <row r="45" spans="1:46" s="9" customFormat="1">
      <c r="A45" s="9">
        <v>38</v>
      </c>
      <c r="B45" s="13" t="s">
        <v>429</v>
      </c>
      <c r="C45" s="9" t="s">
        <v>425</v>
      </c>
      <c r="D45" s="9" t="s">
        <v>430</v>
      </c>
      <c r="E45" s="12" t="s">
        <v>403</v>
      </c>
      <c r="I45" s="6">
        <f t="shared" si="49"/>
        <v>0</v>
      </c>
      <c r="J45" s="9">
        <v>50</v>
      </c>
      <c r="L45" s="6">
        <f t="shared" si="1"/>
        <v>50</v>
      </c>
      <c r="M45" s="6">
        <v>50</v>
      </c>
      <c r="N45" s="6"/>
      <c r="O45" s="6">
        <f t="shared" si="2"/>
        <v>50</v>
      </c>
      <c r="P45" s="6"/>
      <c r="Q45" s="6"/>
      <c r="R45" s="6">
        <f t="shared" si="14"/>
        <v>0</v>
      </c>
      <c r="S45" s="6"/>
      <c r="T45" s="6"/>
      <c r="U45" s="6">
        <f t="shared" si="4"/>
        <v>0</v>
      </c>
      <c r="V45" s="6"/>
      <c r="W45" s="6"/>
      <c r="X45" s="6">
        <f t="shared" si="39"/>
        <v>0</v>
      </c>
      <c r="Y45" s="88">
        <f t="shared" si="50"/>
        <v>100</v>
      </c>
      <c r="Z45" s="41">
        <f t="shared" si="51"/>
        <v>0</v>
      </c>
      <c r="AA45" s="41">
        <f t="shared" si="52"/>
        <v>100</v>
      </c>
      <c r="AB45" s="42">
        <f t="shared" si="53"/>
        <v>16.666666666666668</v>
      </c>
      <c r="AC45" s="42">
        <f t="shared" si="54"/>
        <v>0</v>
      </c>
      <c r="AD45" s="42">
        <f t="shared" si="55"/>
        <v>16.666666666666668</v>
      </c>
      <c r="AE45" s="53" t="s">
        <v>352</v>
      </c>
      <c r="AF45" s="6"/>
      <c r="AG45" s="6"/>
      <c r="AH45" s="6">
        <f t="shared" si="40"/>
        <v>0</v>
      </c>
      <c r="AI45" s="902"/>
      <c r="AK45" s="9">
        <f t="shared" ref="AK45:AK52" si="56">AI45+AJ45</f>
        <v>0</v>
      </c>
      <c r="AL45" s="6"/>
      <c r="AM45" s="6"/>
      <c r="AN45" s="902">
        <f t="shared" ref="AN45:AN52" si="57">AL45+AM45</f>
        <v>0</v>
      </c>
      <c r="AO45" s="9">
        <f t="shared" ref="AO45:AO52" si="58">Y45+AF45+AI45+AL45</f>
        <v>100</v>
      </c>
      <c r="AP45" s="9">
        <f t="shared" ref="AP45:AP52" si="59">Z45+AG45+AJ45+AM45</f>
        <v>0</v>
      </c>
      <c r="AQ45" s="9">
        <f t="shared" ref="AQ45:AQ52" si="60">AA45+AH45+AK45+AN45</f>
        <v>100</v>
      </c>
      <c r="AR45" s="939">
        <f t="shared" ref="AR45:AR52" si="61">AO45/9</f>
        <v>11.111111111111111</v>
      </c>
      <c r="AS45" s="939">
        <f t="shared" ref="AS45:AS52" si="62">AP45/9</f>
        <v>0</v>
      </c>
      <c r="AT45" s="939">
        <f t="shared" ref="AT45:AT52" si="63">AQ45/9</f>
        <v>11.111111111111111</v>
      </c>
    </row>
    <row r="46" spans="1:46" s="9" customFormat="1">
      <c r="A46" s="9">
        <v>39</v>
      </c>
      <c r="B46" s="13" t="s">
        <v>431</v>
      </c>
      <c r="C46" s="9" t="s">
        <v>425</v>
      </c>
      <c r="D46" s="9" t="s">
        <v>432</v>
      </c>
      <c r="E46" s="10" t="s">
        <v>347</v>
      </c>
      <c r="F46" s="9">
        <v>50</v>
      </c>
      <c r="G46" s="9">
        <v>60</v>
      </c>
      <c r="I46" s="6">
        <f t="shared" si="49"/>
        <v>60</v>
      </c>
      <c r="J46" s="9">
        <v>20</v>
      </c>
      <c r="L46" s="6">
        <f t="shared" si="1"/>
        <v>20</v>
      </c>
      <c r="M46" s="6"/>
      <c r="N46" s="6"/>
      <c r="O46" s="6">
        <f t="shared" si="2"/>
        <v>0</v>
      </c>
      <c r="P46" s="6"/>
      <c r="Q46" s="6"/>
      <c r="R46" s="6">
        <f t="shared" si="14"/>
        <v>0</v>
      </c>
      <c r="S46" s="6"/>
      <c r="T46" s="6"/>
      <c r="U46" s="6">
        <f t="shared" si="4"/>
        <v>0</v>
      </c>
      <c r="V46" s="6">
        <v>56</v>
      </c>
      <c r="W46" s="6"/>
      <c r="X46" s="6">
        <f t="shared" si="39"/>
        <v>56</v>
      </c>
      <c r="Y46" s="88">
        <f t="shared" si="50"/>
        <v>136</v>
      </c>
      <c r="Z46" s="41">
        <f t="shared" si="51"/>
        <v>0</v>
      </c>
      <c r="AA46" s="41">
        <f t="shared" si="52"/>
        <v>136</v>
      </c>
      <c r="AB46" s="42">
        <f t="shared" si="53"/>
        <v>22.666666666666668</v>
      </c>
      <c r="AC46" s="42">
        <f t="shared" si="54"/>
        <v>0</v>
      </c>
      <c r="AD46" s="42">
        <f t="shared" si="55"/>
        <v>22.666666666666668</v>
      </c>
      <c r="AE46" s="53" t="s">
        <v>352</v>
      </c>
      <c r="AF46" s="6"/>
      <c r="AG46" s="6"/>
      <c r="AH46" s="6">
        <f t="shared" si="40"/>
        <v>0</v>
      </c>
      <c r="AI46" s="902"/>
      <c r="AK46" s="9">
        <f t="shared" si="56"/>
        <v>0</v>
      </c>
      <c r="AL46" s="6"/>
      <c r="AM46" s="6"/>
      <c r="AN46" s="902">
        <f t="shared" si="57"/>
        <v>0</v>
      </c>
      <c r="AO46" s="9">
        <f t="shared" si="58"/>
        <v>136</v>
      </c>
      <c r="AP46" s="9">
        <f t="shared" si="59"/>
        <v>0</v>
      </c>
      <c r="AQ46" s="9">
        <f t="shared" si="60"/>
        <v>136</v>
      </c>
      <c r="AR46" s="939">
        <f t="shared" si="61"/>
        <v>15.111111111111111</v>
      </c>
      <c r="AS46" s="939">
        <f t="shared" si="62"/>
        <v>0</v>
      </c>
      <c r="AT46" s="939">
        <f t="shared" si="63"/>
        <v>15.111111111111111</v>
      </c>
    </row>
    <row r="47" spans="1:46" s="9" customFormat="1">
      <c r="A47" s="9">
        <v>40</v>
      </c>
      <c r="B47" s="13" t="s">
        <v>433</v>
      </c>
      <c r="C47" s="9" t="s">
        <v>425</v>
      </c>
      <c r="D47" s="9" t="s">
        <v>434</v>
      </c>
      <c r="E47" s="10" t="s">
        <v>347</v>
      </c>
      <c r="F47" s="9">
        <v>25</v>
      </c>
      <c r="I47" s="6">
        <f t="shared" si="49"/>
        <v>0</v>
      </c>
      <c r="L47" s="6">
        <f t="shared" si="1"/>
        <v>0</v>
      </c>
      <c r="M47" s="6">
        <v>50</v>
      </c>
      <c r="N47" s="6"/>
      <c r="O47" s="6">
        <f t="shared" si="2"/>
        <v>50</v>
      </c>
      <c r="P47" s="6"/>
      <c r="Q47" s="6"/>
      <c r="R47" s="6">
        <f t="shared" si="14"/>
        <v>0</v>
      </c>
      <c r="S47" s="6">
        <v>72</v>
      </c>
      <c r="T47" s="6"/>
      <c r="U47" s="6">
        <f t="shared" si="4"/>
        <v>72</v>
      </c>
      <c r="V47" s="6"/>
      <c r="W47" s="6"/>
      <c r="X47" s="6">
        <f t="shared" si="39"/>
        <v>0</v>
      </c>
      <c r="Y47" s="88">
        <f t="shared" si="50"/>
        <v>122</v>
      </c>
      <c r="Z47" s="41">
        <f t="shared" si="51"/>
        <v>0</v>
      </c>
      <c r="AA47" s="41">
        <f t="shared" si="52"/>
        <v>122</v>
      </c>
      <c r="AB47" s="42">
        <f t="shared" si="53"/>
        <v>20.333333333333332</v>
      </c>
      <c r="AC47" s="42">
        <f t="shared" si="54"/>
        <v>0</v>
      </c>
      <c r="AD47" s="42">
        <f t="shared" si="55"/>
        <v>20.333333333333332</v>
      </c>
      <c r="AE47" s="53" t="s">
        <v>352</v>
      </c>
      <c r="AF47" s="6"/>
      <c r="AG47" s="6"/>
      <c r="AH47" s="6">
        <f t="shared" si="40"/>
        <v>0</v>
      </c>
      <c r="AI47" s="902"/>
      <c r="AK47" s="9">
        <f t="shared" si="56"/>
        <v>0</v>
      </c>
      <c r="AL47" s="6"/>
      <c r="AM47" s="6"/>
      <c r="AN47" s="902">
        <f t="shared" si="57"/>
        <v>0</v>
      </c>
      <c r="AO47" s="9">
        <f t="shared" si="58"/>
        <v>122</v>
      </c>
      <c r="AP47" s="9">
        <f t="shared" si="59"/>
        <v>0</v>
      </c>
      <c r="AQ47" s="9">
        <f t="shared" si="60"/>
        <v>122</v>
      </c>
      <c r="AR47" s="939">
        <f t="shared" si="61"/>
        <v>13.555555555555555</v>
      </c>
      <c r="AS47" s="939">
        <f t="shared" si="62"/>
        <v>0</v>
      </c>
      <c r="AT47" s="939">
        <f t="shared" si="63"/>
        <v>13.555555555555555</v>
      </c>
    </row>
    <row r="48" spans="1:46" s="9" customFormat="1">
      <c r="A48" s="9">
        <v>41</v>
      </c>
      <c r="B48" s="13" t="s">
        <v>435</v>
      </c>
      <c r="C48" s="9" t="s">
        <v>425</v>
      </c>
      <c r="D48" s="9" t="s">
        <v>436</v>
      </c>
      <c r="E48" s="10" t="s">
        <v>347</v>
      </c>
      <c r="F48" s="9">
        <v>10</v>
      </c>
      <c r="G48" s="9">
        <v>60</v>
      </c>
      <c r="I48" s="6">
        <f t="shared" si="49"/>
        <v>60</v>
      </c>
      <c r="L48" s="6">
        <f t="shared" si="1"/>
        <v>0</v>
      </c>
      <c r="M48" s="6"/>
      <c r="N48" s="6"/>
      <c r="O48" s="6">
        <f t="shared" si="2"/>
        <v>0</v>
      </c>
      <c r="P48" s="6"/>
      <c r="Q48" s="6"/>
      <c r="R48" s="6">
        <f t="shared" si="14"/>
        <v>0</v>
      </c>
      <c r="S48" s="6"/>
      <c r="T48" s="6"/>
      <c r="U48" s="6">
        <f t="shared" si="4"/>
        <v>0</v>
      </c>
      <c r="V48" s="6"/>
      <c r="W48" s="6"/>
      <c r="X48" s="6">
        <f t="shared" si="39"/>
        <v>0</v>
      </c>
      <c r="Y48" s="88">
        <f t="shared" si="50"/>
        <v>60</v>
      </c>
      <c r="Z48" s="41">
        <f t="shared" si="51"/>
        <v>0</v>
      </c>
      <c r="AA48" s="41">
        <f t="shared" si="52"/>
        <v>60</v>
      </c>
      <c r="AB48" s="42">
        <f t="shared" si="53"/>
        <v>10</v>
      </c>
      <c r="AC48" s="42">
        <f t="shared" si="54"/>
        <v>0</v>
      </c>
      <c r="AD48" s="42">
        <f t="shared" si="55"/>
        <v>10</v>
      </c>
      <c r="AE48" s="53" t="s">
        <v>352</v>
      </c>
      <c r="AF48" s="6"/>
      <c r="AG48" s="6"/>
      <c r="AH48" s="6">
        <f t="shared" si="40"/>
        <v>0</v>
      </c>
      <c r="AI48" s="902"/>
      <c r="AK48" s="9">
        <f t="shared" si="56"/>
        <v>0</v>
      </c>
      <c r="AL48" s="6"/>
      <c r="AM48" s="6"/>
      <c r="AN48" s="902">
        <f t="shared" si="57"/>
        <v>0</v>
      </c>
      <c r="AO48" s="9">
        <f t="shared" si="58"/>
        <v>60</v>
      </c>
      <c r="AP48" s="9">
        <f t="shared" si="59"/>
        <v>0</v>
      </c>
      <c r="AQ48" s="9">
        <f t="shared" si="60"/>
        <v>60</v>
      </c>
      <c r="AR48" s="939">
        <f t="shared" si="61"/>
        <v>6.666666666666667</v>
      </c>
      <c r="AS48" s="939">
        <f t="shared" si="62"/>
        <v>0</v>
      </c>
      <c r="AT48" s="939">
        <f t="shared" si="63"/>
        <v>6.666666666666667</v>
      </c>
    </row>
    <row r="49" spans="1:46" s="9" customFormat="1">
      <c r="A49" s="9">
        <v>42</v>
      </c>
      <c r="B49" s="13" t="s">
        <v>437</v>
      </c>
      <c r="C49" s="9" t="s">
        <v>425</v>
      </c>
      <c r="D49" s="9" t="s">
        <v>438</v>
      </c>
      <c r="E49" s="10" t="s">
        <v>347</v>
      </c>
      <c r="F49" s="9">
        <v>18</v>
      </c>
      <c r="G49" s="9">
        <v>50</v>
      </c>
      <c r="I49" s="6">
        <f t="shared" si="49"/>
        <v>50</v>
      </c>
      <c r="L49" s="6">
        <f t="shared" si="1"/>
        <v>0</v>
      </c>
      <c r="M49" s="6">
        <v>50</v>
      </c>
      <c r="N49" s="6"/>
      <c r="O49" s="6">
        <f t="shared" si="2"/>
        <v>50</v>
      </c>
      <c r="P49" s="6"/>
      <c r="Q49" s="6"/>
      <c r="R49" s="6">
        <f t="shared" si="14"/>
        <v>0</v>
      </c>
      <c r="S49" s="6"/>
      <c r="T49" s="6"/>
      <c r="U49" s="6">
        <f t="shared" si="4"/>
        <v>0</v>
      </c>
      <c r="V49" s="6"/>
      <c r="W49" s="6"/>
      <c r="X49" s="6">
        <f t="shared" si="39"/>
        <v>0</v>
      </c>
      <c r="Y49" s="88">
        <f t="shared" si="50"/>
        <v>100</v>
      </c>
      <c r="Z49" s="41">
        <f t="shared" si="51"/>
        <v>0</v>
      </c>
      <c r="AA49" s="41">
        <f t="shared" si="52"/>
        <v>100</v>
      </c>
      <c r="AB49" s="42">
        <f t="shared" si="53"/>
        <v>16.666666666666668</v>
      </c>
      <c r="AC49" s="42">
        <f t="shared" si="54"/>
        <v>0</v>
      </c>
      <c r="AD49" s="42">
        <f t="shared" si="55"/>
        <v>16.666666666666668</v>
      </c>
      <c r="AE49" s="53" t="s">
        <v>352</v>
      </c>
      <c r="AF49" s="6"/>
      <c r="AG49" s="6"/>
      <c r="AH49" s="6">
        <f t="shared" si="40"/>
        <v>0</v>
      </c>
      <c r="AI49" s="902"/>
      <c r="AK49" s="9">
        <f t="shared" si="56"/>
        <v>0</v>
      </c>
      <c r="AL49" s="6"/>
      <c r="AM49" s="6"/>
      <c r="AN49" s="902">
        <f t="shared" si="57"/>
        <v>0</v>
      </c>
      <c r="AO49" s="9">
        <f t="shared" si="58"/>
        <v>100</v>
      </c>
      <c r="AP49" s="9">
        <f t="shared" si="59"/>
        <v>0</v>
      </c>
      <c r="AQ49" s="9">
        <f t="shared" si="60"/>
        <v>100</v>
      </c>
      <c r="AR49" s="939">
        <f t="shared" si="61"/>
        <v>11.111111111111111</v>
      </c>
      <c r="AS49" s="939">
        <f t="shared" si="62"/>
        <v>0</v>
      </c>
      <c r="AT49" s="939">
        <f t="shared" si="63"/>
        <v>11.111111111111111</v>
      </c>
    </row>
    <row r="50" spans="1:46" s="9" customFormat="1">
      <c r="A50" s="9">
        <v>43</v>
      </c>
      <c r="B50" s="13" t="s">
        <v>439</v>
      </c>
      <c r="C50" s="9" t="s">
        <v>425</v>
      </c>
      <c r="D50" s="9" t="s">
        <v>440</v>
      </c>
      <c r="E50" s="10" t="s">
        <v>347</v>
      </c>
      <c r="F50" s="9">
        <v>20</v>
      </c>
      <c r="G50" s="9">
        <v>80</v>
      </c>
      <c r="I50" s="6">
        <f t="shared" si="49"/>
        <v>80</v>
      </c>
      <c r="L50" s="6">
        <f t="shared" si="1"/>
        <v>0</v>
      </c>
      <c r="M50" s="6">
        <v>80</v>
      </c>
      <c r="N50" s="6"/>
      <c r="O50" s="6">
        <f t="shared" si="2"/>
        <v>80</v>
      </c>
      <c r="P50" s="6"/>
      <c r="Q50" s="6"/>
      <c r="R50" s="6">
        <f t="shared" si="14"/>
        <v>0</v>
      </c>
      <c r="S50" s="6"/>
      <c r="T50" s="6"/>
      <c r="U50" s="6">
        <f t="shared" si="4"/>
        <v>0</v>
      </c>
      <c r="V50" s="6"/>
      <c r="W50" s="6"/>
      <c r="X50" s="6">
        <f t="shared" si="39"/>
        <v>0</v>
      </c>
      <c r="Y50" s="88">
        <f t="shared" si="50"/>
        <v>160</v>
      </c>
      <c r="Z50" s="41">
        <f t="shared" si="51"/>
        <v>0</v>
      </c>
      <c r="AA50" s="41">
        <f t="shared" si="52"/>
        <v>160</v>
      </c>
      <c r="AB50" s="42">
        <f t="shared" si="53"/>
        <v>26.666666666666668</v>
      </c>
      <c r="AC50" s="42">
        <f t="shared" si="54"/>
        <v>0</v>
      </c>
      <c r="AD50" s="42">
        <f t="shared" si="55"/>
        <v>26.666666666666668</v>
      </c>
      <c r="AE50" s="53" t="s">
        <v>352</v>
      </c>
      <c r="AF50" s="6"/>
      <c r="AG50" s="6"/>
      <c r="AH50" s="6">
        <f t="shared" si="40"/>
        <v>0</v>
      </c>
      <c r="AI50" s="902"/>
      <c r="AK50" s="9">
        <f t="shared" si="56"/>
        <v>0</v>
      </c>
      <c r="AL50" s="6"/>
      <c r="AM50" s="6"/>
      <c r="AN50" s="902">
        <f t="shared" si="57"/>
        <v>0</v>
      </c>
      <c r="AO50" s="9">
        <f t="shared" si="58"/>
        <v>160</v>
      </c>
      <c r="AP50" s="9">
        <f t="shared" si="59"/>
        <v>0</v>
      </c>
      <c r="AQ50" s="9">
        <f t="shared" si="60"/>
        <v>160</v>
      </c>
      <c r="AR50" s="939">
        <f t="shared" si="61"/>
        <v>17.777777777777779</v>
      </c>
      <c r="AS50" s="939">
        <f t="shared" si="62"/>
        <v>0</v>
      </c>
      <c r="AT50" s="939">
        <f t="shared" si="63"/>
        <v>17.777777777777779</v>
      </c>
    </row>
    <row r="51" spans="1:46" s="9" customFormat="1">
      <c r="A51" s="9">
        <v>44</v>
      </c>
      <c r="B51" s="13" t="s">
        <v>441</v>
      </c>
      <c r="C51" s="9" t="s">
        <v>425</v>
      </c>
      <c r="D51" s="9" t="s">
        <v>442</v>
      </c>
      <c r="E51" s="10" t="s">
        <v>347</v>
      </c>
      <c r="F51" s="9">
        <v>35</v>
      </c>
      <c r="I51" s="6">
        <f t="shared" si="49"/>
        <v>0</v>
      </c>
      <c r="L51" s="6">
        <f t="shared" si="1"/>
        <v>0</v>
      </c>
      <c r="M51" s="6"/>
      <c r="N51" s="6"/>
      <c r="O51" s="6">
        <f t="shared" si="2"/>
        <v>0</v>
      </c>
      <c r="P51" s="6"/>
      <c r="Q51" s="6"/>
      <c r="R51" s="6">
        <f t="shared" si="14"/>
        <v>0</v>
      </c>
      <c r="S51" s="6"/>
      <c r="T51" s="6"/>
      <c r="U51" s="6">
        <f t="shared" si="4"/>
        <v>0</v>
      </c>
      <c r="V51" s="6">
        <v>36</v>
      </c>
      <c r="W51" s="6"/>
      <c r="X51" s="6">
        <f t="shared" si="39"/>
        <v>36</v>
      </c>
      <c r="Y51" s="88">
        <f t="shared" si="50"/>
        <v>36</v>
      </c>
      <c r="Z51" s="41">
        <f t="shared" si="51"/>
        <v>0</v>
      </c>
      <c r="AA51" s="41">
        <f t="shared" si="52"/>
        <v>36</v>
      </c>
      <c r="AB51" s="42">
        <f t="shared" si="53"/>
        <v>6</v>
      </c>
      <c r="AC51" s="42">
        <f t="shared" si="54"/>
        <v>0</v>
      </c>
      <c r="AD51" s="42">
        <f t="shared" si="55"/>
        <v>6</v>
      </c>
      <c r="AE51" s="53" t="s">
        <v>352</v>
      </c>
      <c r="AF51" s="6"/>
      <c r="AG51" s="6"/>
      <c r="AH51" s="6">
        <f t="shared" si="40"/>
        <v>0</v>
      </c>
      <c r="AI51" s="902"/>
      <c r="AK51" s="9">
        <f t="shared" si="56"/>
        <v>0</v>
      </c>
      <c r="AL51" s="6"/>
      <c r="AM51" s="6"/>
      <c r="AN51" s="902">
        <f t="shared" si="57"/>
        <v>0</v>
      </c>
      <c r="AO51" s="9">
        <f t="shared" si="58"/>
        <v>36</v>
      </c>
      <c r="AP51" s="9">
        <f t="shared" si="59"/>
        <v>0</v>
      </c>
      <c r="AQ51" s="9">
        <f t="shared" si="60"/>
        <v>36</v>
      </c>
      <c r="AR51" s="939">
        <f t="shared" si="61"/>
        <v>4</v>
      </c>
      <c r="AS51" s="939">
        <f t="shared" si="62"/>
        <v>0</v>
      </c>
      <c r="AT51" s="939">
        <f t="shared" si="63"/>
        <v>4</v>
      </c>
    </row>
    <row r="52" spans="1:46" s="9" customFormat="1">
      <c r="A52" s="9">
        <v>45</v>
      </c>
      <c r="B52" s="13" t="s">
        <v>443</v>
      </c>
      <c r="C52" s="9" t="s">
        <v>425</v>
      </c>
      <c r="D52" s="9" t="s">
        <v>444</v>
      </c>
      <c r="E52" s="10" t="s">
        <v>347</v>
      </c>
      <c r="F52" s="9">
        <v>40</v>
      </c>
      <c r="G52" s="9">
        <v>100</v>
      </c>
      <c r="I52" s="6">
        <f t="shared" si="49"/>
        <v>100</v>
      </c>
      <c r="L52" s="6">
        <f t="shared" si="1"/>
        <v>0</v>
      </c>
      <c r="M52" s="6">
        <v>100</v>
      </c>
      <c r="N52" s="6"/>
      <c r="O52" s="6">
        <f t="shared" si="2"/>
        <v>100</v>
      </c>
      <c r="P52" s="6"/>
      <c r="Q52" s="6"/>
      <c r="R52" s="6">
        <f t="shared" si="14"/>
        <v>0</v>
      </c>
      <c r="S52" s="6"/>
      <c r="T52" s="6"/>
      <c r="U52" s="6">
        <f t="shared" si="4"/>
        <v>0</v>
      </c>
      <c r="V52" s="6">
        <v>100</v>
      </c>
      <c r="W52" s="6"/>
      <c r="X52" s="6">
        <f t="shared" si="39"/>
        <v>100</v>
      </c>
      <c r="Y52" s="88">
        <f t="shared" si="50"/>
        <v>300</v>
      </c>
      <c r="Z52" s="41">
        <f t="shared" si="51"/>
        <v>0</v>
      </c>
      <c r="AA52" s="41">
        <f t="shared" si="52"/>
        <v>300</v>
      </c>
      <c r="AB52" s="42">
        <f t="shared" si="53"/>
        <v>50</v>
      </c>
      <c r="AC52" s="42">
        <f t="shared" si="54"/>
        <v>0</v>
      </c>
      <c r="AD52" s="42">
        <f t="shared" si="55"/>
        <v>50</v>
      </c>
      <c r="AE52" s="53" t="s">
        <v>352</v>
      </c>
      <c r="AF52" s="6"/>
      <c r="AG52" s="6"/>
      <c r="AH52" s="6">
        <f t="shared" si="40"/>
        <v>0</v>
      </c>
      <c r="AI52" s="902"/>
      <c r="AK52" s="9">
        <f t="shared" si="56"/>
        <v>0</v>
      </c>
      <c r="AL52" s="6"/>
      <c r="AM52" s="6"/>
      <c r="AN52" s="902">
        <f t="shared" si="57"/>
        <v>0</v>
      </c>
      <c r="AO52" s="9">
        <f t="shared" si="58"/>
        <v>300</v>
      </c>
      <c r="AP52" s="9">
        <f t="shared" si="59"/>
        <v>0</v>
      </c>
      <c r="AQ52" s="9">
        <f t="shared" si="60"/>
        <v>300</v>
      </c>
      <c r="AR52" s="939">
        <f t="shared" si="61"/>
        <v>33.333333333333336</v>
      </c>
      <c r="AS52" s="939">
        <f t="shared" si="62"/>
        <v>0</v>
      </c>
      <c r="AT52" s="939">
        <f t="shared" si="63"/>
        <v>33.333333333333336</v>
      </c>
    </row>
    <row r="53" spans="1:46" s="9" customFormat="1" ht="15" hidden="1" customHeight="1">
      <c r="A53" s="9">
        <v>46</v>
      </c>
      <c r="B53" s="13" t="s">
        <v>445</v>
      </c>
      <c r="C53" s="9" t="s">
        <v>425</v>
      </c>
      <c r="D53" s="9" t="s">
        <v>446</v>
      </c>
      <c r="E53" s="10" t="s">
        <v>347</v>
      </c>
      <c r="F53" s="9">
        <v>20</v>
      </c>
      <c r="I53" s="6">
        <f t="shared" si="49"/>
        <v>0</v>
      </c>
      <c r="L53" s="6">
        <f t="shared" si="1"/>
        <v>0</v>
      </c>
      <c r="M53" s="6"/>
      <c r="N53" s="6"/>
      <c r="O53" s="6">
        <f t="shared" si="2"/>
        <v>0</v>
      </c>
      <c r="P53" s="6"/>
      <c r="Q53" s="6"/>
      <c r="R53" s="6">
        <f t="shared" si="14"/>
        <v>0</v>
      </c>
      <c r="S53" s="6"/>
      <c r="T53" s="6"/>
      <c r="U53" s="6">
        <f t="shared" si="4"/>
        <v>0</v>
      </c>
      <c r="V53" s="6"/>
      <c r="W53" s="6"/>
      <c r="X53" s="6">
        <f t="shared" si="39"/>
        <v>0</v>
      </c>
      <c r="Y53" s="88">
        <f t="shared" si="50"/>
        <v>0</v>
      </c>
      <c r="Z53" s="41">
        <f t="shared" si="51"/>
        <v>0</v>
      </c>
      <c r="AA53" s="41">
        <f t="shared" si="52"/>
        <v>0</v>
      </c>
      <c r="AB53" s="42">
        <f t="shared" si="53"/>
        <v>0</v>
      </c>
      <c r="AC53" s="42">
        <f t="shared" si="54"/>
        <v>0</v>
      </c>
      <c r="AD53" s="42">
        <f t="shared" si="55"/>
        <v>0</v>
      </c>
      <c r="AE53" s="53" t="s">
        <v>352</v>
      </c>
      <c r="AF53" s="900"/>
      <c r="AG53" s="900"/>
      <c r="AH53" s="900">
        <f t="shared" si="40"/>
        <v>0</v>
      </c>
      <c r="AL53" s="900"/>
      <c r="AM53" s="900"/>
    </row>
    <row r="54" spans="1:46" s="9" customFormat="1">
      <c r="A54" s="9">
        <v>47</v>
      </c>
      <c r="B54" s="13" t="s">
        <v>447</v>
      </c>
      <c r="C54" s="9" t="s">
        <v>425</v>
      </c>
      <c r="D54" s="9" t="s">
        <v>448</v>
      </c>
      <c r="E54" s="10" t="s">
        <v>347</v>
      </c>
      <c r="F54" s="9">
        <v>30</v>
      </c>
      <c r="G54" s="9">
        <v>40</v>
      </c>
      <c r="H54" s="9">
        <v>40</v>
      </c>
      <c r="I54" s="6">
        <f t="shared" si="49"/>
        <v>80</v>
      </c>
      <c r="J54" s="9">
        <v>114</v>
      </c>
      <c r="L54" s="6">
        <f t="shared" si="1"/>
        <v>114</v>
      </c>
      <c r="M54" s="6">
        <v>150</v>
      </c>
      <c r="N54" s="6">
        <v>54</v>
      </c>
      <c r="O54" s="6">
        <f t="shared" si="2"/>
        <v>204</v>
      </c>
      <c r="P54" s="6"/>
      <c r="Q54" s="6"/>
      <c r="R54" s="6">
        <f t="shared" si="14"/>
        <v>0</v>
      </c>
      <c r="S54" s="6">
        <v>70</v>
      </c>
      <c r="T54" s="6"/>
      <c r="U54" s="6">
        <f t="shared" si="4"/>
        <v>70</v>
      </c>
      <c r="V54" s="6"/>
      <c r="W54" s="6"/>
      <c r="X54" s="6">
        <f t="shared" si="39"/>
        <v>0</v>
      </c>
      <c r="Y54" s="88">
        <f t="shared" si="50"/>
        <v>374</v>
      </c>
      <c r="Z54" s="41">
        <f t="shared" si="51"/>
        <v>94</v>
      </c>
      <c r="AA54" s="41">
        <f t="shared" si="52"/>
        <v>468</v>
      </c>
      <c r="AB54" s="42">
        <f t="shared" si="53"/>
        <v>62.333333333333336</v>
      </c>
      <c r="AC54" s="42">
        <f t="shared" si="54"/>
        <v>15.666666666666666</v>
      </c>
      <c r="AD54" s="42">
        <f t="shared" si="55"/>
        <v>78</v>
      </c>
      <c r="AE54" s="53" t="s">
        <v>352</v>
      </c>
      <c r="AF54" s="6"/>
      <c r="AG54" s="6">
        <v>32</v>
      </c>
      <c r="AH54" s="6">
        <f t="shared" si="40"/>
        <v>32</v>
      </c>
      <c r="AI54" s="902"/>
      <c r="AK54" s="9">
        <f>AI54+AJ54</f>
        <v>0</v>
      </c>
      <c r="AL54" s="6"/>
      <c r="AM54" s="6"/>
      <c r="AN54" s="902">
        <f>AL54+AM54</f>
        <v>0</v>
      </c>
      <c r="AO54" s="9">
        <f t="shared" ref="AO54:AQ54" si="64">Y54+AF54+AI54+AL54</f>
        <v>374</v>
      </c>
      <c r="AP54" s="9">
        <f t="shared" si="64"/>
        <v>126</v>
      </c>
      <c r="AQ54" s="9">
        <f t="shared" si="64"/>
        <v>500</v>
      </c>
      <c r="AR54" s="939">
        <f t="shared" ref="AR54:AT54" si="65">AO54/9</f>
        <v>41.555555555555557</v>
      </c>
      <c r="AS54" s="939">
        <f t="shared" si="65"/>
        <v>14</v>
      </c>
      <c r="AT54" s="939">
        <f t="shared" si="65"/>
        <v>55.555555555555557</v>
      </c>
    </row>
    <row r="55" spans="1:46" s="9" customFormat="1" ht="15" hidden="1" customHeight="1">
      <c r="A55" s="9">
        <v>48</v>
      </c>
      <c r="B55" s="18" t="s">
        <v>2861</v>
      </c>
      <c r="C55" s="9" t="s">
        <v>425</v>
      </c>
      <c r="D55" s="9" t="s">
        <v>449</v>
      </c>
      <c r="E55" s="10" t="s">
        <v>347</v>
      </c>
      <c r="F55" s="9">
        <v>10</v>
      </c>
      <c r="H55" s="9">
        <v>50</v>
      </c>
      <c r="I55" s="6">
        <f t="shared" si="49"/>
        <v>50</v>
      </c>
      <c r="L55" s="6">
        <f t="shared" si="1"/>
        <v>0</v>
      </c>
      <c r="M55" s="6"/>
      <c r="N55" s="6">
        <v>20</v>
      </c>
      <c r="O55" s="6">
        <f t="shared" si="2"/>
        <v>20</v>
      </c>
      <c r="P55" s="6"/>
      <c r="Q55" s="6"/>
      <c r="R55" s="6">
        <f t="shared" si="14"/>
        <v>0</v>
      </c>
      <c r="S55" s="6"/>
      <c r="T55" s="6"/>
      <c r="U55" s="6">
        <f t="shared" si="4"/>
        <v>0</v>
      </c>
      <c r="V55" s="6"/>
      <c r="W55" s="6"/>
      <c r="X55" s="6">
        <f t="shared" si="39"/>
        <v>0</v>
      </c>
      <c r="Y55" s="88">
        <f t="shared" si="50"/>
        <v>0</v>
      </c>
      <c r="Z55" s="41">
        <f t="shared" si="51"/>
        <v>70</v>
      </c>
      <c r="AA55" s="41">
        <f t="shared" si="52"/>
        <v>70</v>
      </c>
      <c r="AB55" s="42">
        <f t="shared" si="53"/>
        <v>0</v>
      </c>
      <c r="AC55" s="42">
        <f t="shared" si="54"/>
        <v>11.666666666666666</v>
      </c>
      <c r="AD55" s="42">
        <f t="shared" si="55"/>
        <v>11.666666666666666</v>
      </c>
      <c r="AE55" s="53" t="s">
        <v>352</v>
      </c>
      <c r="AF55" s="900"/>
      <c r="AG55" s="900"/>
      <c r="AH55" s="900">
        <f t="shared" si="40"/>
        <v>0</v>
      </c>
      <c r="AL55" s="900"/>
      <c r="AM55" s="900"/>
    </row>
    <row r="56" spans="1:46" s="9" customFormat="1">
      <c r="A56" s="9">
        <v>49</v>
      </c>
      <c r="B56" s="13" t="s">
        <v>450</v>
      </c>
      <c r="C56" s="9" t="s">
        <v>425</v>
      </c>
      <c r="D56" s="9" t="s">
        <v>451</v>
      </c>
      <c r="E56" s="10" t="s">
        <v>347</v>
      </c>
      <c r="F56" s="9">
        <v>10</v>
      </c>
      <c r="G56" s="9">
        <v>40</v>
      </c>
      <c r="I56" s="6">
        <f t="shared" si="49"/>
        <v>40</v>
      </c>
      <c r="J56" s="9">
        <v>150</v>
      </c>
      <c r="L56" s="6">
        <f t="shared" si="1"/>
        <v>150</v>
      </c>
      <c r="M56" s="6">
        <v>150</v>
      </c>
      <c r="N56" s="6"/>
      <c r="O56" s="6">
        <f t="shared" si="2"/>
        <v>150</v>
      </c>
      <c r="P56" s="6">
        <v>30</v>
      </c>
      <c r="Q56" s="6"/>
      <c r="R56" s="6">
        <f t="shared" si="14"/>
        <v>30</v>
      </c>
      <c r="S56" s="6">
        <v>320</v>
      </c>
      <c r="T56" s="6"/>
      <c r="U56" s="6">
        <f t="shared" si="4"/>
        <v>320</v>
      </c>
      <c r="V56" s="6"/>
      <c r="W56" s="6"/>
      <c r="X56" s="6">
        <f t="shared" si="39"/>
        <v>0</v>
      </c>
      <c r="Y56" s="88">
        <f t="shared" si="50"/>
        <v>690</v>
      </c>
      <c r="Z56" s="41">
        <f t="shared" si="51"/>
        <v>0</v>
      </c>
      <c r="AA56" s="41">
        <f t="shared" si="52"/>
        <v>690</v>
      </c>
      <c r="AB56" s="42">
        <f t="shared" si="53"/>
        <v>115</v>
      </c>
      <c r="AC56" s="42">
        <f t="shared" si="54"/>
        <v>0</v>
      </c>
      <c r="AD56" s="42">
        <f t="shared" si="55"/>
        <v>115</v>
      </c>
      <c r="AE56" s="53" t="s">
        <v>352</v>
      </c>
      <c r="AF56" s="6"/>
      <c r="AG56" s="6"/>
      <c r="AH56" s="6">
        <f t="shared" si="40"/>
        <v>0</v>
      </c>
      <c r="AI56" s="902"/>
      <c r="AK56" s="9">
        <f t="shared" ref="AK56:AK58" si="66">AI56+AJ56</f>
        <v>0</v>
      </c>
      <c r="AL56" s="6"/>
      <c r="AM56" s="6"/>
      <c r="AN56" s="902">
        <f t="shared" ref="AN56:AN58" si="67">AL56+AM56</f>
        <v>0</v>
      </c>
      <c r="AO56" s="9">
        <f t="shared" ref="AO56:AO58" si="68">Y56+AF56+AI56+AL56</f>
        <v>690</v>
      </c>
      <c r="AP56" s="9">
        <f t="shared" ref="AP56:AP58" si="69">Z56+AG56+AJ56+AM56</f>
        <v>0</v>
      </c>
      <c r="AQ56" s="9">
        <f t="shared" ref="AQ56:AQ58" si="70">AA56+AH56+AK56+AN56</f>
        <v>690</v>
      </c>
      <c r="AR56" s="939">
        <f t="shared" ref="AR56:AR58" si="71">AO56/9</f>
        <v>76.666666666666671</v>
      </c>
      <c r="AS56" s="939">
        <f t="shared" ref="AS56:AS58" si="72">AP56/9</f>
        <v>0</v>
      </c>
      <c r="AT56" s="939">
        <f t="shared" ref="AT56:AT58" si="73">AQ56/9</f>
        <v>76.666666666666671</v>
      </c>
    </row>
    <row r="57" spans="1:46" s="9" customFormat="1">
      <c r="A57" s="9">
        <v>50</v>
      </c>
      <c r="B57" s="13" t="s">
        <v>452</v>
      </c>
      <c r="C57" s="9" t="s">
        <v>425</v>
      </c>
      <c r="D57" s="9" t="s">
        <v>453</v>
      </c>
      <c r="E57" s="10" t="s">
        <v>347</v>
      </c>
      <c r="F57" s="9">
        <v>20</v>
      </c>
      <c r="I57" s="6">
        <f t="shared" si="49"/>
        <v>0</v>
      </c>
      <c r="J57" s="6">
        <v>28</v>
      </c>
      <c r="L57" s="6">
        <f t="shared" si="1"/>
        <v>28</v>
      </c>
      <c r="M57" s="6"/>
      <c r="N57" s="6"/>
      <c r="O57" s="6">
        <f t="shared" si="2"/>
        <v>0</v>
      </c>
      <c r="P57" s="6"/>
      <c r="Q57" s="6"/>
      <c r="R57" s="6">
        <f t="shared" si="14"/>
        <v>0</v>
      </c>
      <c r="S57" s="6"/>
      <c r="T57" s="6"/>
      <c r="U57" s="6">
        <f t="shared" si="4"/>
        <v>0</v>
      </c>
      <c r="V57" s="6"/>
      <c r="W57" s="6"/>
      <c r="X57" s="6">
        <f t="shared" si="39"/>
        <v>0</v>
      </c>
      <c r="Y57" s="88">
        <f t="shared" si="50"/>
        <v>28</v>
      </c>
      <c r="Z57" s="41">
        <f t="shared" si="51"/>
        <v>0</v>
      </c>
      <c r="AA57" s="41">
        <f t="shared" si="52"/>
        <v>28</v>
      </c>
      <c r="AB57" s="42">
        <f t="shared" si="53"/>
        <v>4.666666666666667</v>
      </c>
      <c r="AC57" s="42">
        <f t="shared" si="54"/>
        <v>0</v>
      </c>
      <c r="AD57" s="42">
        <f t="shared" si="55"/>
        <v>4.666666666666667</v>
      </c>
      <c r="AE57" s="53" t="s">
        <v>352</v>
      </c>
      <c r="AF57" s="6"/>
      <c r="AG57" s="6"/>
      <c r="AH57" s="6">
        <f t="shared" si="40"/>
        <v>0</v>
      </c>
      <c r="AI57" s="902"/>
      <c r="AK57" s="9">
        <f t="shared" si="66"/>
        <v>0</v>
      </c>
      <c r="AL57" s="6"/>
      <c r="AM57" s="6"/>
      <c r="AN57" s="902">
        <f t="shared" si="67"/>
        <v>0</v>
      </c>
      <c r="AO57" s="9">
        <f t="shared" si="68"/>
        <v>28</v>
      </c>
      <c r="AP57" s="9">
        <f t="shared" si="69"/>
        <v>0</v>
      </c>
      <c r="AQ57" s="9">
        <f t="shared" si="70"/>
        <v>28</v>
      </c>
      <c r="AR57" s="939">
        <f t="shared" si="71"/>
        <v>3.1111111111111112</v>
      </c>
      <c r="AS57" s="939">
        <f t="shared" si="72"/>
        <v>0</v>
      </c>
      <c r="AT57" s="939">
        <f t="shared" si="73"/>
        <v>3.1111111111111112</v>
      </c>
    </row>
    <row r="58" spans="1:46" s="9" customFormat="1">
      <c r="A58" s="9">
        <v>51</v>
      </c>
      <c r="B58" s="13" t="s">
        <v>454</v>
      </c>
      <c r="C58" s="9" t="s">
        <v>425</v>
      </c>
      <c r="D58" s="9" t="s">
        <v>455</v>
      </c>
      <c r="E58" s="10" t="s">
        <v>412</v>
      </c>
      <c r="F58" s="9">
        <v>50</v>
      </c>
      <c r="G58" s="9">
        <v>50</v>
      </c>
      <c r="I58" s="6">
        <f t="shared" si="49"/>
        <v>50</v>
      </c>
      <c r="J58" s="9">
        <v>23</v>
      </c>
      <c r="L58" s="6">
        <f t="shared" si="1"/>
        <v>23</v>
      </c>
      <c r="M58" s="6"/>
      <c r="N58" s="6"/>
      <c r="O58" s="6">
        <f t="shared" si="2"/>
        <v>0</v>
      </c>
      <c r="P58" s="6"/>
      <c r="Q58" s="6">
        <v>18</v>
      </c>
      <c r="R58" s="6">
        <f t="shared" si="14"/>
        <v>18</v>
      </c>
      <c r="S58" s="6"/>
      <c r="T58" s="6"/>
      <c r="U58" s="6">
        <f t="shared" si="4"/>
        <v>0</v>
      </c>
      <c r="V58" s="6"/>
      <c r="W58" s="6"/>
      <c r="X58" s="6">
        <f t="shared" si="39"/>
        <v>0</v>
      </c>
      <c r="Y58" s="88">
        <f t="shared" si="50"/>
        <v>73</v>
      </c>
      <c r="Z58" s="41">
        <f t="shared" si="51"/>
        <v>18</v>
      </c>
      <c r="AA58" s="41">
        <f t="shared" si="52"/>
        <v>91</v>
      </c>
      <c r="AB58" s="42">
        <f t="shared" si="53"/>
        <v>12.166666666666666</v>
      </c>
      <c r="AC58" s="42">
        <f t="shared" si="54"/>
        <v>3</v>
      </c>
      <c r="AD58" s="42">
        <f t="shared" si="55"/>
        <v>15.166666666666666</v>
      </c>
      <c r="AE58" s="53" t="s">
        <v>352</v>
      </c>
      <c r="AF58" s="6"/>
      <c r="AG58" s="6">
        <v>18</v>
      </c>
      <c r="AH58" s="6">
        <f t="shared" si="40"/>
        <v>18</v>
      </c>
      <c r="AI58" s="902"/>
      <c r="AK58" s="9">
        <f t="shared" si="66"/>
        <v>0</v>
      </c>
      <c r="AL58" s="6"/>
      <c r="AM58" s="6"/>
      <c r="AN58" s="902">
        <f t="shared" si="67"/>
        <v>0</v>
      </c>
      <c r="AO58" s="9">
        <f t="shared" si="68"/>
        <v>73</v>
      </c>
      <c r="AP58" s="9">
        <f t="shared" si="69"/>
        <v>36</v>
      </c>
      <c r="AQ58" s="9">
        <f t="shared" si="70"/>
        <v>109</v>
      </c>
      <c r="AR58" s="939">
        <f t="shared" si="71"/>
        <v>8.1111111111111107</v>
      </c>
      <c r="AS58" s="939">
        <f t="shared" si="72"/>
        <v>4</v>
      </c>
      <c r="AT58" s="939">
        <f t="shared" si="73"/>
        <v>12.111111111111111</v>
      </c>
    </row>
    <row r="59" spans="1:46" s="9" customFormat="1" ht="15" hidden="1" customHeight="1">
      <c r="A59" s="9">
        <v>52</v>
      </c>
      <c r="B59" s="18" t="s">
        <v>2862</v>
      </c>
      <c r="C59" s="9" t="s">
        <v>425</v>
      </c>
      <c r="D59" s="9" t="s">
        <v>456</v>
      </c>
      <c r="E59" s="10" t="s">
        <v>412</v>
      </c>
      <c r="F59" s="9">
        <v>50</v>
      </c>
      <c r="I59" s="6">
        <f t="shared" si="49"/>
        <v>0</v>
      </c>
      <c r="L59" s="6">
        <f t="shared" si="1"/>
        <v>0</v>
      </c>
      <c r="M59" s="6"/>
      <c r="N59" s="6"/>
      <c r="O59" s="6">
        <f t="shared" si="2"/>
        <v>0</v>
      </c>
      <c r="P59" s="6"/>
      <c r="Q59" s="6"/>
      <c r="R59" s="6">
        <f t="shared" si="14"/>
        <v>0</v>
      </c>
      <c r="S59" s="6"/>
      <c r="T59" s="6"/>
      <c r="U59" s="6">
        <f t="shared" si="4"/>
        <v>0</v>
      </c>
      <c r="V59" s="6"/>
      <c r="W59" s="6"/>
      <c r="X59" s="6">
        <f t="shared" si="39"/>
        <v>0</v>
      </c>
      <c r="Y59" s="88">
        <f t="shared" si="50"/>
        <v>0</v>
      </c>
      <c r="Z59" s="41">
        <f t="shared" si="51"/>
        <v>0</v>
      </c>
      <c r="AA59" s="41">
        <f t="shared" si="52"/>
        <v>0</v>
      </c>
      <c r="AB59" s="42">
        <f t="shared" si="53"/>
        <v>0</v>
      </c>
      <c r="AC59" s="42">
        <f t="shared" si="54"/>
        <v>0</v>
      </c>
      <c r="AD59" s="42">
        <f t="shared" si="55"/>
        <v>0</v>
      </c>
      <c r="AE59" s="53" t="s">
        <v>352</v>
      </c>
      <c r="AF59" s="900"/>
      <c r="AG59" s="900"/>
      <c r="AH59" s="900">
        <f t="shared" si="40"/>
        <v>0</v>
      </c>
      <c r="AL59" s="900"/>
      <c r="AM59" s="900"/>
    </row>
    <row r="60" spans="1:46" s="9" customFormat="1">
      <c r="A60" s="9">
        <v>53</v>
      </c>
      <c r="B60" s="13" t="s">
        <v>457</v>
      </c>
      <c r="C60" s="9" t="s">
        <v>425</v>
      </c>
      <c r="D60" s="9" t="s">
        <v>458</v>
      </c>
      <c r="E60" s="10" t="s">
        <v>347</v>
      </c>
      <c r="F60" s="9">
        <v>30</v>
      </c>
      <c r="G60" s="9">
        <v>21</v>
      </c>
      <c r="I60" s="6">
        <f t="shared" si="49"/>
        <v>21</v>
      </c>
      <c r="J60" s="9">
        <v>50</v>
      </c>
      <c r="L60" s="6">
        <f t="shared" si="1"/>
        <v>50</v>
      </c>
      <c r="M60" s="6"/>
      <c r="N60" s="6"/>
      <c r="O60" s="6">
        <f t="shared" si="2"/>
        <v>0</v>
      </c>
      <c r="P60" s="6"/>
      <c r="Q60" s="6">
        <v>20</v>
      </c>
      <c r="R60" s="6">
        <f t="shared" si="14"/>
        <v>20</v>
      </c>
      <c r="S60" s="6">
        <v>100</v>
      </c>
      <c r="T60" s="6"/>
      <c r="U60" s="6">
        <f t="shared" si="4"/>
        <v>100</v>
      </c>
      <c r="V60" s="6">
        <v>20</v>
      </c>
      <c r="W60" s="6"/>
      <c r="X60" s="6">
        <f t="shared" si="39"/>
        <v>20</v>
      </c>
      <c r="Y60" s="88">
        <f t="shared" si="50"/>
        <v>191</v>
      </c>
      <c r="Z60" s="41">
        <f t="shared" si="51"/>
        <v>20</v>
      </c>
      <c r="AA60" s="41">
        <f t="shared" si="52"/>
        <v>211</v>
      </c>
      <c r="AB60" s="42">
        <f t="shared" si="53"/>
        <v>31.833333333333332</v>
      </c>
      <c r="AC60" s="42">
        <f t="shared" si="54"/>
        <v>3.3333333333333335</v>
      </c>
      <c r="AD60" s="42">
        <f t="shared" si="55"/>
        <v>35.166666666666664</v>
      </c>
      <c r="AE60" s="53" t="s">
        <v>352</v>
      </c>
      <c r="AF60" s="6"/>
      <c r="AG60" s="6">
        <v>18</v>
      </c>
      <c r="AH60" s="6">
        <f t="shared" si="40"/>
        <v>18</v>
      </c>
      <c r="AI60" s="902"/>
      <c r="AK60" s="9">
        <f t="shared" ref="AK60:AK61" si="74">AI60+AJ60</f>
        <v>0</v>
      </c>
      <c r="AL60" s="6"/>
      <c r="AM60" s="6"/>
      <c r="AN60" s="902">
        <f t="shared" ref="AN60:AN61" si="75">AL60+AM60</f>
        <v>0</v>
      </c>
      <c r="AO60" s="9">
        <f t="shared" ref="AO60:AO61" si="76">Y60+AF60+AI60+AL60</f>
        <v>191</v>
      </c>
      <c r="AP60" s="9">
        <f t="shared" ref="AP60:AP61" si="77">Z60+AG60+AJ60+AM60</f>
        <v>38</v>
      </c>
      <c r="AQ60" s="9">
        <f t="shared" ref="AQ60:AQ61" si="78">AA60+AH60+AK60+AN60</f>
        <v>229</v>
      </c>
      <c r="AR60" s="939">
        <f t="shared" ref="AR60:AR61" si="79">AO60/9</f>
        <v>21.222222222222221</v>
      </c>
      <c r="AS60" s="939">
        <f t="shared" ref="AS60:AS61" si="80">AP60/9</f>
        <v>4.2222222222222223</v>
      </c>
      <c r="AT60" s="939">
        <f t="shared" ref="AT60:AT61" si="81">AQ60/9</f>
        <v>25.444444444444443</v>
      </c>
    </row>
    <row r="61" spans="1:46" s="9" customFormat="1">
      <c r="B61" s="13" t="s">
        <v>459</v>
      </c>
      <c r="C61" s="9" t="s">
        <v>425</v>
      </c>
      <c r="E61" s="10"/>
      <c r="G61" s="9">
        <v>118</v>
      </c>
      <c r="I61" s="6">
        <f t="shared" si="49"/>
        <v>118</v>
      </c>
      <c r="J61" s="9">
        <v>200</v>
      </c>
      <c r="L61" s="6">
        <f t="shared" si="1"/>
        <v>200</v>
      </c>
      <c r="M61" s="6">
        <v>40</v>
      </c>
      <c r="N61" s="6">
        <v>20</v>
      </c>
      <c r="O61" s="6">
        <f t="shared" si="2"/>
        <v>60</v>
      </c>
      <c r="P61" s="6"/>
      <c r="Q61" s="6"/>
      <c r="R61" s="6">
        <f t="shared" si="14"/>
        <v>0</v>
      </c>
      <c r="S61" s="6"/>
      <c r="T61" s="6"/>
      <c r="U61" s="6">
        <f t="shared" si="4"/>
        <v>0</v>
      </c>
      <c r="V61" s="6"/>
      <c r="W61" s="6"/>
      <c r="X61" s="6">
        <f t="shared" si="39"/>
        <v>0</v>
      </c>
      <c r="Y61" s="88">
        <f t="shared" si="50"/>
        <v>358</v>
      </c>
      <c r="Z61" s="41">
        <f t="shared" si="51"/>
        <v>20</v>
      </c>
      <c r="AA61" s="41">
        <f t="shared" si="52"/>
        <v>378</v>
      </c>
      <c r="AB61" s="42">
        <f t="shared" si="53"/>
        <v>59.666666666666664</v>
      </c>
      <c r="AC61" s="42">
        <f t="shared" si="54"/>
        <v>3.3333333333333335</v>
      </c>
      <c r="AD61" s="42">
        <f t="shared" si="55"/>
        <v>63</v>
      </c>
      <c r="AE61" s="53"/>
      <c r="AF61" s="6"/>
      <c r="AG61" s="6">
        <v>10</v>
      </c>
      <c r="AH61" s="6">
        <f t="shared" si="40"/>
        <v>10</v>
      </c>
      <c r="AI61" s="902"/>
      <c r="AK61" s="9">
        <f t="shared" si="74"/>
        <v>0</v>
      </c>
      <c r="AL61" s="6"/>
      <c r="AM61" s="6"/>
      <c r="AN61" s="902">
        <f t="shared" si="75"/>
        <v>0</v>
      </c>
      <c r="AO61" s="9">
        <f t="shared" si="76"/>
        <v>358</v>
      </c>
      <c r="AP61" s="9">
        <f t="shared" si="77"/>
        <v>30</v>
      </c>
      <c r="AQ61" s="9">
        <f t="shared" si="78"/>
        <v>388</v>
      </c>
      <c r="AR61" s="939">
        <f t="shared" si="79"/>
        <v>39.777777777777779</v>
      </c>
      <c r="AS61" s="939">
        <f t="shared" si="80"/>
        <v>3.3333333333333335</v>
      </c>
      <c r="AT61" s="939">
        <f t="shared" si="81"/>
        <v>43.111111111111114</v>
      </c>
    </row>
    <row r="62" spans="1:46" s="9" customFormat="1" ht="15" hidden="1" customHeight="1">
      <c r="A62" s="9">
        <v>54</v>
      </c>
      <c r="B62" s="674" t="s">
        <v>460</v>
      </c>
      <c r="C62" s="9" t="s">
        <v>425</v>
      </c>
      <c r="D62" s="9" t="s">
        <v>461</v>
      </c>
      <c r="E62" s="12" t="s">
        <v>389</v>
      </c>
      <c r="F62" s="9">
        <v>10</v>
      </c>
      <c r="I62" s="6">
        <f t="shared" si="49"/>
        <v>0</v>
      </c>
      <c r="L62" s="6">
        <f t="shared" si="1"/>
        <v>0</v>
      </c>
      <c r="M62" s="6"/>
      <c r="N62" s="6"/>
      <c r="O62" s="6">
        <f t="shared" si="2"/>
        <v>0</v>
      </c>
      <c r="P62" s="6"/>
      <c r="Q62" s="6"/>
      <c r="R62" s="6">
        <f t="shared" si="14"/>
        <v>0</v>
      </c>
      <c r="S62" s="6"/>
      <c r="T62" s="6"/>
      <c r="U62" s="6">
        <f t="shared" si="4"/>
        <v>0</v>
      </c>
      <c r="V62" s="6"/>
      <c r="W62" s="6"/>
      <c r="X62" s="6">
        <f t="shared" si="39"/>
        <v>0</v>
      </c>
      <c r="Y62" s="88">
        <f t="shared" si="50"/>
        <v>0</v>
      </c>
      <c r="Z62" s="41">
        <f t="shared" si="51"/>
        <v>0</v>
      </c>
      <c r="AA62" s="41">
        <f t="shared" si="52"/>
        <v>0</v>
      </c>
      <c r="AB62" s="42">
        <f t="shared" si="53"/>
        <v>0</v>
      </c>
      <c r="AC62" s="42">
        <f t="shared" si="54"/>
        <v>0</v>
      </c>
      <c r="AD62" s="42">
        <f t="shared" si="55"/>
        <v>0</v>
      </c>
      <c r="AE62" s="53" t="s">
        <v>352</v>
      </c>
      <c r="AF62" s="900"/>
      <c r="AG62" s="900"/>
      <c r="AH62" s="900">
        <f t="shared" si="40"/>
        <v>0</v>
      </c>
      <c r="AL62" s="900"/>
      <c r="AM62" s="900"/>
    </row>
    <row r="63" spans="1:46" s="54" customFormat="1">
      <c r="A63" s="54">
        <v>55</v>
      </c>
      <c r="B63" s="55" t="s">
        <v>462</v>
      </c>
      <c r="C63" s="54" t="s">
        <v>425</v>
      </c>
      <c r="D63" s="54" t="s">
        <v>463</v>
      </c>
      <c r="E63" s="11" t="s">
        <v>423</v>
      </c>
      <c r="F63" s="54">
        <v>84</v>
      </c>
      <c r="G63" s="54">
        <v>114</v>
      </c>
      <c r="H63" s="54">
        <v>76</v>
      </c>
      <c r="I63" s="19">
        <f t="shared" si="49"/>
        <v>190</v>
      </c>
      <c r="L63" s="19">
        <f t="shared" si="1"/>
        <v>0</v>
      </c>
      <c r="M63" s="19"/>
      <c r="N63" s="19"/>
      <c r="O63" s="19">
        <f t="shared" si="2"/>
        <v>0</v>
      </c>
      <c r="P63" s="19"/>
      <c r="Q63" s="19"/>
      <c r="R63" s="19">
        <f t="shared" si="14"/>
        <v>0</v>
      </c>
      <c r="S63" s="19">
        <v>158</v>
      </c>
      <c r="T63" s="19">
        <v>36</v>
      </c>
      <c r="U63" s="19">
        <f t="shared" si="4"/>
        <v>194</v>
      </c>
      <c r="V63" s="19">
        <v>282</v>
      </c>
      <c r="W63" s="19">
        <v>60</v>
      </c>
      <c r="X63" s="19">
        <f t="shared" si="39"/>
        <v>342</v>
      </c>
      <c r="Y63" s="89">
        <f t="shared" si="50"/>
        <v>554</v>
      </c>
      <c r="Z63" s="44">
        <f t="shared" si="51"/>
        <v>172</v>
      </c>
      <c r="AA63" s="44">
        <f t="shared" si="52"/>
        <v>726</v>
      </c>
      <c r="AB63" s="45">
        <f t="shared" si="53"/>
        <v>92.333333333333329</v>
      </c>
      <c r="AC63" s="45">
        <f t="shared" si="54"/>
        <v>28.666666666666668</v>
      </c>
      <c r="AD63" s="45">
        <f t="shared" si="55"/>
        <v>121</v>
      </c>
      <c r="AE63" s="56" t="s">
        <v>352</v>
      </c>
      <c r="AF63" s="19">
        <v>0</v>
      </c>
      <c r="AG63" s="19">
        <v>0</v>
      </c>
      <c r="AH63" s="19">
        <f t="shared" si="40"/>
        <v>0</v>
      </c>
      <c r="AI63" s="903"/>
      <c r="AK63" s="54">
        <f t="shared" ref="AK63:AK67" si="82">AI63+AJ63</f>
        <v>0</v>
      </c>
      <c r="AL63" s="19">
        <v>160</v>
      </c>
      <c r="AM63" s="19"/>
      <c r="AN63" s="903">
        <f t="shared" ref="AN63:AN67" si="83">AL63+AM63</f>
        <v>160</v>
      </c>
      <c r="AO63" s="54">
        <f t="shared" ref="AO63:AO67" si="84">Y63+AF63+AI63+AL63</f>
        <v>714</v>
      </c>
      <c r="AP63" s="54">
        <f t="shared" ref="AP63:AP67" si="85">Z63+AG63+AJ63+AM63</f>
        <v>172</v>
      </c>
      <c r="AQ63" s="54">
        <f t="shared" ref="AQ63:AQ67" si="86">AA63+AH63+AK63+AN63</f>
        <v>886</v>
      </c>
      <c r="AR63" s="935">
        <f t="shared" ref="AR63:AR67" si="87">AO63/9</f>
        <v>79.333333333333329</v>
      </c>
      <c r="AS63" s="935">
        <f t="shared" ref="AS63:AS67" si="88">AP63/9</f>
        <v>19.111111111111111</v>
      </c>
      <c r="AT63" s="935">
        <f t="shared" ref="AT63:AT67" si="89">AQ63/9</f>
        <v>98.444444444444443</v>
      </c>
    </row>
    <row r="64" spans="1:46" s="54" customFormat="1">
      <c r="A64" s="54">
        <v>56</v>
      </c>
      <c r="B64" s="55" t="s">
        <v>464</v>
      </c>
      <c r="C64" s="54" t="s">
        <v>425</v>
      </c>
      <c r="D64" s="54" t="s">
        <v>465</v>
      </c>
      <c r="E64" s="11" t="s">
        <v>389</v>
      </c>
      <c r="F64" s="54">
        <v>122</v>
      </c>
      <c r="I64" s="19">
        <f t="shared" si="49"/>
        <v>0</v>
      </c>
      <c r="J64" s="54">
        <v>500</v>
      </c>
      <c r="K64" s="54">
        <v>56</v>
      </c>
      <c r="L64" s="19">
        <f t="shared" si="1"/>
        <v>556</v>
      </c>
      <c r="M64" s="19"/>
      <c r="N64" s="19"/>
      <c r="O64" s="19">
        <f t="shared" si="2"/>
        <v>0</v>
      </c>
      <c r="P64" s="19"/>
      <c r="Q64" s="19"/>
      <c r="R64" s="19">
        <f t="shared" si="14"/>
        <v>0</v>
      </c>
      <c r="S64" s="19">
        <v>576</v>
      </c>
      <c r="T64" s="19">
        <f>112-80</f>
        <v>32</v>
      </c>
      <c r="U64" s="19">
        <f t="shared" si="4"/>
        <v>608</v>
      </c>
      <c r="V64" s="19"/>
      <c r="W64" s="19"/>
      <c r="X64" s="19">
        <f t="shared" si="39"/>
        <v>0</v>
      </c>
      <c r="Y64" s="89">
        <f t="shared" si="50"/>
        <v>1076</v>
      </c>
      <c r="Z64" s="44">
        <f t="shared" si="51"/>
        <v>88</v>
      </c>
      <c r="AA64" s="44">
        <f t="shared" si="52"/>
        <v>1164</v>
      </c>
      <c r="AB64" s="45">
        <f t="shared" si="53"/>
        <v>179.33333333333334</v>
      </c>
      <c r="AC64" s="45">
        <f t="shared" si="54"/>
        <v>14.666666666666666</v>
      </c>
      <c r="AD64" s="45">
        <f t="shared" si="55"/>
        <v>194</v>
      </c>
      <c r="AE64" s="56" t="s">
        <v>348</v>
      </c>
      <c r="AF64" s="19">
        <v>0</v>
      </c>
      <c r="AG64" s="19">
        <v>134</v>
      </c>
      <c r="AH64" s="19">
        <f t="shared" si="40"/>
        <v>134</v>
      </c>
      <c r="AI64" s="19">
        <v>168</v>
      </c>
      <c r="AJ64" s="19">
        <v>148</v>
      </c>
      <c r="AK64" s="903">
        <f t="shared" si="82"/>
        <v>316</v>
      </c>
      <c r="AL64" s="19">
        <v>500</v>
      </c>
      <c r="AM64" s="19">
        <v>36</v>
      </c>
      <c r="AN64" s="903">
        <f t="shared" si="83"/>
        <v>536</v>
      </c>
      <c r="AO64" s="54">
        <f t="shared" si="84"/>
        <v>1744</v>
      </c>
      <c r="AP64" s="54">
        <f t="shared" si="85"/>
        <v>406</v>
      </c>
      <c r="AQ64" s="54">
        <f t="shared" si="86"/>
        <v>2150</v>
      </c>
      <c r="AR64" s="935">
        <f t="shared" si="87"/>
        <v>193.77777777777777</v>
      </c>
      <c r="AS64" s="935">
        <f t="shared" si="88"/>
        <v>45.111111111111114</v>
      </c>
      <c r="AT64" s="935">
        <f t="shared" si="89"/>
        <v>238.88888888888889</v>
      </c>
    </row>
    <row r="65" spans="1:46" s="54" customFormat="1">
      <c r="A65" s="54">
        <v>57</v>
      </c>
      <c r="B65" s="55" t="s">
        <v>466</v>
      </c>
      <c r="C65" s="54" t="s">
        <v>425</v>
      </c>
      <c r="D65" s="54" t="s">
        <v>467</v>
      </c>
      <c r="E65" s="11" t="s">
        <v>468</v>
      </c>
      <c r="F65" s="54">
        <v>99</v>
      </c>
      <c r="G65" s="54">
        <v>130</v>
      </c>
      <c r="H65" s="54">
        <v>18</v>
      </c>
      <c r="I65" s="19">
        <f t="shared" si="49"/>
        <v>148</v>
      </c>
      <c r="L65" s="19">
        <f t="shared" si="1"/>
        <v>0</v>
      </c>
      <c r="M65" s="19">
        <v>50</v>
      </c>
      <c r="N65" s="19">
        <v>36</v>
      </c>
      <c r="O65" s="19">
        <f t="shared" si="2"/>
        <v>86</v>
      </c>
      <c r="P65" s="19"/>
      <c r="Q65" s="19"/>
      <c r="R65" s="19">
        <f t="shared" si="14"/>
        <v>0</v>
      </c>
      <c r="S65" s="19">
        <v>100</v>
      </c>
      <c r="T65" s="19">
        <v>18</v>
      </c>
      <c r="U65" s="19">
        <f t="shared" si="4"/>
        <v>118</v>
      </c>
      <c r="V65" s="19"/>
      <c r="W65" s="19"/>
      <c r="X65" s="19">
        <f t="shared" si="39"/>
        <v>0</v>
      </c>
      <c r="Y65" s="89">
        <f t="shared" si="50"/>
        <v>280</v>
      </c>
      <c r="Z65" s="44">
        <f t="shared" si="51"/>
        <v>72</v>
      </c>
      <c r="AA65" s="44">
        <f t="shared" si="52"/>
        <v>352</v>
      </c>
      <c r="AB65" s="45">
        <f t="shared" si="53"/>
        <v>46.666666666666664</v>
      </c>
      <c r="AC65" s="45">
        <f t="shared" si="54"/>
        <v>12</v>
      </c>
      <c r="AD65" s="45">
        <f t="shared" si="55"/>
        <v>58.666666666666664</v>
      </c>
      <c r="AE65" s="56" t="s">
        <v>352</v>
      </c>
      <c r="AF65" s="19">
        <v>0</v>
      </c>
      <c r="AG65" s="19">
        <v>0</v>
      </c>
      <c r="AH65" s="19">
        <f t="shared" si="40"/>
        <v>0</v>
      </c>
      <c r="AI65" s="19">
        <v>120</v>
      </c>
      <c r="AJ65" s="19">
        <v>18</v>
      </c>
      <c r="AK65" s="903">
        <f t="shared" si="82"/>
        <v>138</v>
      </c>
      <c r="AL65" s="19"/>
      <c r="AM65" s="19"/>
      <c r="AN65" s="903">
        <f t="shared" si="83"/>
        <v>0</v>
      </c>
      <c r="AO65" s="54">
        <f t="shared" si="84"/>
        <v>400</v>
      </c>
      <c r="AP65" s="54">
        <f t="shared" si="85"/>
        <v>90</v>
      </c>
      <c r="AQ65" s="54">
        <f t="shared" si="86"/>
        <v>490</v>
      </c>
      <c r="AR65" s="935">
        <f t="shared" si="87"/>
        <v>44.444444444444443</v>
      </c>
      <c r="AS65" s="935">
        <f t="shared" si="88"/>
        <v>10</v>
      </c>
      <c r="AT65" s="935">
        <f t="shared" si="89"/>
        <v>54.444444444444443</v>
      </c>
    </row>
    <row r="66" spans="1:46" s="54" customFormat="1">
      <c r="A66" s="54">
        <v>58</v>
      </c>
      <c r="B66" s="55" t="s">
        <v>469</v>
      </c>
      <c r="C66" s="54" t="s">
        <v>425</v>
      </c>
      <c r="D66" s="54" t="s">
        <v>470</v>
      </c>
      <c r="E66" s="11" t="s">
        <v>347</v>
      </c>
      <c r="F66" s="54">
        <v>1050</v>
      </c>
      <c r="I66" s="19">
        <f t="shared" si="49"/>
        <v>0</v>
      </c>
      <c r="J66" s="54">
        <v>3940</v>
      </c>
      <c r="L66" s="19">
        <f t="shared" si="1"/>
        <v>3940</v>
      </c>
      <c r="M66" s="19">
        <v>4220</v>
      </c>
      <c r="N66" s="19"/>
      <c r="O66" s="19">
        <f t="shared" si="2"/>
        <v>4220</v>
      </c>
      <c r="P66" s="19">
        <v>4798</v>
      </c>
      <c r="Q66" s="19"/>
      <c r="R66" s="19">
        <f t="shared" si="14"/>
        <v>4798</v>
      </c>
      <c r="S66" s="19"/>
      <c r="T66" s="19"/>
      <c r="U66" s="19">
        <f t="shared" si="4"/>
        <v>0</v>
      </c>
      <c r="V66" s="19"/>
      <c r="W66" s="19"/>
      <c r="X66" s="19">
        <f t="shared" si="39"/>
        <v>0</v>
      </c>
      <c r="Y66" s="89">
        <f t="shared" si="50"/>
        <v>12958</v>
      </c>
      <c r="Z66" s="44">
        <f t="shared" si="51"/>
        <v>0</v>
      </c>
      <c r="AA66" s="44">
        <f t="shared" si="52"/>
        <v>12958</v>
      </c>
      <c r="AB66" s="45">
        <f t="shared" si="53"/>
        <v>2159.6666666666665</v>
      </c>
      <c r="AC66" s="45">
        <f t="shared" si="54"/>
        <v>0</v>
      </c>
      <c r="AD66" s="45">
        <f t="shared" si="55"/>
        <v>2159.6666666666665</v>
      </c>
      <c r="AE66" s="56" t="s">
        <v>348</v>
      </c>
      <c r="AF66" s="19">
        <v>4810</v>
      </c>
      <c r="AG66" s="19">
        <v>0</v>
      </c>
      <c r="AH66" s="19">
        <f t="shared" si="40"/>
        <v>4810</v>
      </c>
      <c r="AI66" s="19">
        <v>4770</v>
      </c>
      <c r="AJ66" s="19"/>
      <c r="AK66" s="903">
        <f t="shared" si="82"/>
        <v>4770</v>
      </c>
      <c r="AL66" s="19">
        <v>4690</v>
      </c>
      <c r="AM66" s="19"/>
      <c r="AN66" s="903">
        <f t="shared" si="83"/>
        <v>4690</v>
      </c>
      <c r="AO66" s="54">
        <f t="shared" si="84"/>
        <v>27228</v>
      </c>
      <c r="AP66" s="54">
        <f t="shared" si="85"/>
        <v>0</v>
      </c>
      <c r="AQ66" s="54">
        <f t="shared" si="86"/>
        <v>27228</v>
      </c>
      <c r="AR66" s="935">
        <f t="shared" si="87"/>
        <v>3025.3333333333335</v>
      </c>
      <c r="AS66" s="935">
        <f t="shared" si="88"/>
        <v>0</v>
      </c>
      <c r="AT66" s="935">
        <f t="shared" si="89"/>
        <v>3025.3333333333335</v>
      </c>
    </row>
    <row r="67" spans="1:46" s="54" customFormat="1">
      <c r="A67" s="54">
        <v>59</v>
      </c>
      <c r="B67" s="55" t="s">
        <v>471</v>
      </c>
      <c r="C67" s="54" t="s">
        <v>425</v>
      </c>
      <c r="D67" s="54" t="s">
        <v>472</v>
      </c>
      <c r="E67" s="11" t="s">
        <v>351</v>
      </c>
      <c r="F67" s="54">
        <v>1082</v>
      </c>
      <c r="I67" s="19">
        <f t="shared" si="49"/>
        <v>0</v>
      </c>
      <c r="J67" s="54">
        <v>504</v>
      </c>
      <c r="K67" s="54">
        <v>90</v>
      </c>
      <c r="L67" s="19">
        <f t="shared" si="1"/>
        <v>594</v>
      </c>
      <c r="M67" s="19"/>
      <c r="N67" s="19"/>
      <c r="O67" s="19">
        <f t="shared" si="2"/>
        <v>0</v>
      </c>
      <c r="P67" s="19"/>
      <c r="Q67" s="19"/>
      <c r="R67" s="19">
        <f t="shared" si="14"/>
        <v>0</v>
      </c>
      <c r="S67" s="19"/>
      <c r="T67" s="19"/>
      <c r="U67" s="19">
        <f t="shared" si="4"/>
        <v>0</v>
      </c>
      <c r="V67" s="19">
        <v>1094</v>
      </c>
      <c r="W67" s="19">
        <v>36</v>
      </c>
      <c r="X67" s="19">
        <f t="shared" si="39"/>
        <v>1130</v>
      </c>
      <c r="Y67" s="89">
        <f t="shared" si="50"/>
        <v>1598</v>
      </c>
      <c r="Z67" s="44">
        <f t="shared" si="51"/>
        <v>126</v>
      </c>
      <c r="AA67" s="44">
        <f t="shared" si="52"/>
        <v>1724</v>
      </c>
      <c r="AB67" s="45">
        <f t="shared" si="53"/>
        <v>266.33333333333331</v>
      </c>
      <c r="AC67" s="45">
        <f t="shared" si="54"/>
        <v>21</v>
      </c>
      <c r="AD67" s="45">
        <f t="shared" si="55"/>
        <v>287.33333333333331</v>
      </c>
      <c r="AE67" s="56" t="s">
        <v>352</v>
      </c>
      <c r="AF67" s="19">
        <v>0</v>
      </c>
      <c r="AG67" s="19">
        <v>0</v>
      </c>
      <c r="AH67" s="19">
        <f t="shared" si="40"/>
        <v>0</v>
      </c>
      <c r="AI67" s="903"/>
      <c r="AK67" s="54">
        <f t="shared" si="82"/>
        <v>0</v>
      </c>
      <c r="AL67" s="19"/>
      <c r="AM67" s="19"/>
      <c r="AN67" s="903">
        <f t="shared" si="83"/>
        <v>0</v>
      </c>
      <c r="AO67" s="54">
        <f t="shared" si="84"/>
        <v>1598</v>
      </c>
      <c r="AP67" s="54">
        <f t="shared" si="85"/>
        <v>126</v>
      </c>
      <c r="AQ67" s="54">
        <f t="shared" si="86"/>
        <v>1724</v>
      </c>
      <c r="AR67" s="935">
        <f t="shared" si="87"/>
        <v>177.55555555555554</v>
      </c>
      <c r="AS67" s="935">
        <f t="shared" si="88"/>
        <v>14</v>
      </c>
      <c r="AT67" s="935">
        <f t="shared" si="89"/>
        <v>191.55555555555554</v>
      </c>
    </row>
    <row r="68" spans="1:46" s="9" customFormat="1" ht="15" hidden="1" customHeight="1">
      <c r="A68" s="9">
        <v>60</v>
      </c>
      <c r="B68" s="13" t="s">
        <v>473</v>
      </c>
      <c r="C68" s="9" t="s">
        <v>474</v>
      </c>
      <c r="D68" s="9" t="s">
        <v>475</v>
      </c>
      <c r="E68" s="12" t="s">
        <v>468</v>
      </c>
      <c r="F68" s="9">
        <v>18</v>
      </c>
      <c r="I68" s="6">
        <f t="shared" si="49"/>
        <v>0</v>
      </c>
      <c r="L68" s="6">
        <f t="shared" si="1"/>
        <v>0</v>
      </c>
      <c r="M68" s="6"/>
      <c r="N68" s="6"/>
      <c r="O68" s="6">
        <f t="shared" si="2"/>
        <v>0</v>
      </c>
      <c r="P68" s="6"/>
      <c r="Q68" s="6"/>
      <c r="R68" s="6">
        <f t="shared" si="14"/>
        <v>0</v>
      </c>
      <c r="S68" s="6"/>
      <c r="T68" s="6"/>
      <c r="U68" s="6">
        <f t="shared" si="4"/>
        <v>0</v>
      </c>
      <c r="V68" s="6"/>
      <c r="W68" s="6"/>
      <c r="X68" s="6">
        <f t="shared" si="39"/>
        <v>0</v>
      </c>
      <c r="Y68" s="88">
        <f t="shared" si="50"/>
        <v>0</v>
      </c>
      <c r="Z68" s="41">
        <f t="shared" si="51"/>
        <v>0</v>
      </c>
      <c r="AA68" s="41">
        <f t="shared" si="52"/>
        <v>0</v>
      </c>
      <c r="AB68" s="42">
        <f t="shared" si="53"/>
        <v>0</v>
      </c>
      <c r="AC68" s="42">
        <f t="shared" si="54"/>
        <v>0</v>
      </c>
      <c r="AD68" s="42">
        <f t="shared" si="55"/>
        <v>0</v>
      </c>
      <c r="AE68" s="53" t="s">
        <v>352</v>
      </c>
      <c r="AF68" s="900"/>
      <c r="AG68" s="900"/>
      <c r="AH68" s="900">
        <f t="shared" si="40"/>
        <v>0</v>
      </c>
      <c r="AL68" s="900"/>
      <c r="AM68" s="900"/>
    </row>
    <row r="69" spans="1:46" s="9" customFormat="1">
      <c r="A69" s="9">
        <v>61</v>
      </c>
      <c r="B69" s="13" t="s">
        <v>476</v>
      </c>
      <c r="C69" s="9" t="s">
        <v>474</v>
      </c>
      <c r="D69" s="9" t="s">
        <v>477</v>
      </c>
      <c r="E69" s="10" t="s">
        <v>478</v>
      </c>
      <c r="F69" s="9">
        <v>10</v>
      </c>
      <c r="I69" s="6">
        <f t="shared" si="49"/>
        <v>0</v>
      </c>
      <c r="L69" s="6">
        <f t="shared" si="1"/>
        <v>0</v>
      </c>
      <c r="M69" s="6"/>
      <c r="N69" s="6"/>
      <c r="O69" s="6">
        <f t="shared" si="2"/>
        <v>0</v>
      </c>
      <c r="P69" s="6"/>
      <c r="Q69" s="6"/>
      <c r="R69" s="6">
        <f t="shared" si="14"/>
        <v>0</v>
      </c>
      <c r="S69" s="6">
        <v>25</v>
      </c>
      <c r="T69" s="6"/>
      <c r="U69" s="6">
        <f t="shared" si="4"/>
        <v>25</v>
      </c>
      <c r="V69" s="6">
        <v>25</v>
      </c>
      <c r="W69" s="6"/>
      <c r="X69" s="6">
        <f t="shared" si="39"/>
        <v>25</v>
      </c>
      <c r="Y69" s="88">
        <f t="shared" si="50"/>
        <v>50</v>
      </c>
      <c r="Z69" s="41">
        <f t="shared" si="51"/>
        <v>0</v>
      </c>
      <c r="AA69" s="41">
        <f t="shared" si="52"/>
        <v>50</v>
      </c>
      <c r="AB69" s="42">
        <f t="shared" si="53"/>
        <v>8.3333333333333339</v>
      </c>
      <c r="AC69" s="42">
        <f t="shared" si="54"/>
        <v>0</v>
      </c>
      <c r="AD69" s="42">
        <f t="shared" si="55"/>
        <v>8.3333333333333339</v>
      </c>
      <c r="AE69" s="53" t="s">
        <v>352</v>
      </c>
      <c r="AF69" s="6"/>
      <c r="AG69" s="6"/>
      <c r="AH69" s="6">
        <f t="shared" si="40"/>
        <v>0</v>
      </c>
      <c r="AI69" s="902"/>
      <c r="AK69" s="9">
        <f t="shared" ref="AK69:AK76" si="90">AI69+AJ69</f>
        <v>0</v>
      </c>
      <c r="AL69" s="6"/>
      <c r="AM69" s="6"/>
      <c r="AN69" s="902">
        <f t="shared" ref="AN69:AN76" si="91">AL69+AM69</f>
        <v>0</v>
      </c>
      <c r="AO69" s="9">
        <f t="shared" ref="AO69:AO76" si="92">Y69+AF69+AI69+AL69</f>
        <v>50</v>
      </c>
      <c r="AP69" s="9">
        <f t="shared" ref="AP69:AP76" si="93">Z69+AG69+AJ69+AM69</f>
        <v>0</v>
      </c>
      <c r="AQ69" s="9">
        <f t="shared" ref="AQ69:AQ76" si="94">AA69+AH69+AK69+AN69</f>
        <v>50</v>
      </c>
      <c r="AR69" s="939">
        <f t="shared" ref="AR69:AR76" si="95">AO69/9</f>
        <v>5.5555555555555554</v>
      </c>
      <c r="AS69" s="939">
        <f t="shared" ref="AS69:AS76" si="96">AP69/9</f>
        <v>0</v>
      </c>
      <c r="AT69" s="939">
        <f t="shared" ref="AT69:AT76" si="97">AQ69/9</f>
        <v>5.5555555555555554</v>
      </c>
    </row>
    <row r="70" spans="1:46" s="9" customFormat="1">
      <c r="A70" s="9">
        <v>62</v>
      </c>
      <c r="B70" s="13" t="s">
        <v>479</v>
      </c>
      <c r="C70" s="9" t="s">
        <v>474</v>
      </c>
      <c r="D70" s="9" t="s">
        <v>480</v>
      </c>
      <c r="E70" s="12" t="s">
        <v>468</v>
      </c>
      <c r="F70" s="9">
        <v>100</v>
      </c>
      <c r="G70" s="9">
        <v>152</v>
      </c>
      <c r="I70" s="6">
        <f t="shared" si="49"/>
        <v>152</v>
      </c>
      <c r="J70" s="9">
        <v>56</v>
      </c>
      <c r="L70" s="6">
        <f t="shared" si="1"/>
        <v>56</v>
      </c>
      <c r="M70" s="6">
        <v>160</v>
      </c>
      <c r="N70" s="6"/>
      <c r="O70" s="6">
        <f t="shared" si="2"/>
        <v>160</v>
      </c>
      <c r="P70" s="6"/>
      <c r="Q70" s="6"/>
      <c r="R70" s="6">
        <f t="shared" si="14"/>
        <v>0</v>
      </c>
      <c r="S70" s="6"/>
      <c r="T70" s="6"/>
      <c r="U70" s="6">
        <f t="shared" si="4"/>
        <v>0</v>
      </c>
      <c r="V70" s="6"/>
      <c r="W70" s="6"/>
      <c r="X70" s="6">
        <f t="shared" si="39"/>
        <v>0</v>
      </c>
      <c r="Y70" s="88">
        <f t="shared" si="50"/>
        <v>368</v>
      </c>
      <c r="Z70" s="41">
        <f t="shared" si="51"/>
        <v>0</v>
      </c>
      <c r="AA70" s="41">
        <f t="shared" si="52"/>
        <v>368</v>
      </c>
      <c r="AB70" s="42">
        <f t="shared" si="53"/>
        <v>61.333333333333336</v>
      </c>
      <c r="AC70" s="42">
        <f t="shared" si="54"/>
        <v>0</v>
      </c>
      <c r="AD70" s="42">
        <f t="shared" si="55"/>
        <v>61.333333333333336</v>
      </c>
      <c r="AE70" s="53" t="s">
        <v>352</v>
      </c>
      <c r="AF70" s="6">
        <f>170-127</f>
        <v>43</v>
      </c>
      <c r="AG70" s="6"/>
      <c r="AH70" s="6">
        <f t="shared" si="40"/>
        <v>43</v>
      </c>
      <c r="AI70" s="902"/>
      <c r="AK70" s="9">
        <f t="shared" si="90"/>
        <v>0</v>
      </c>
      <c r="AL70" s="6">
        <v>116</v>
      </c>
      <c r="AM70" s="6"/>
      <c r="AN70" s="902">
        <f t="shared" si="91"/>
        <v>116</v>
      </c>
      <c r="AO70" s="9">
        <f t="shared" si="92"/>
        <v>527</v>
      </c>
      <c r="AP70" s="9">
        <f t="shared" si="93"/>
        <v>0</v>
      </c>
      <c r="AQ70" s="9">
        <f t="shared" si="94"/>
        <v>527</v>
      </c>
      <c r="AR70" s="939">
        <f t="shared" si="95"/>
        <v>58.555555555555557</v>
      </c>
      <c r="AS70" s="939">
        <f t="shared" si="96"/>
        <v>0</v>
      </c>
      <c r="AT70" s="939">
        <f t="shared" si="97"/>
        <v>58.555555555555557</v>
      </c>
    </row>
    <row r="71" spans="1:46" s="9" customFormat="1">
      <c r="A71" s="9">
        <v>63</v>
      </c>
      <c r="B71" s="13" t="s">
        <v>406</v>
      </c>
      <c r="C71" s="9" t="s">
        <v>474</v>
      </c>
      <c r="D71" s="9" t="s">
        <v>481</v>
      </c>
      <c r="E71" s="11" t="s">
        <v>355</v>
      </c>
      <c r="F71" s="9">
        <v>20</v>
      </c>
      <c r="I71" s="6">
        <f t="shared" si="49"/>
        <v>0</v>
      </c>
      <c r="L71" s="6">
        <f t="shared" si="1"/>
        <v>0</v>
      </c>
      <c r="M71" s="6"/>
      <c r="N71" s="6"/>
      <c r="O71" s="6">
        <f t="shared" si="2"/>
        <v>0</v>
      </c>
      <c r="P71" s="6"/>
      <c r="Q71" s="6"/>
      <c r="R71" s="6">
        <f t="shared" si="14"/>
        <v>0</v>
      </c>
      <c r="S71" s="6">
        <v>40</v>
      </c>
      <c r="T71" s="6"/>
      <c r="U71" s="6">
        <f t="shared" si="4"/>
        <v>40</v>
      </c>
      <c r="V71" s="6"/>
      <c r="W71" s="6"/>
      <c r="X71" s="6">
        <f t="shared" si="39"/>
        <v>0</v>
      </c>
      <c r="Y71" s="88">
        <f t="shared" si="50"/>
        <v>40</v>
      </c>
      <c r="Z71" s="41">
        <f t="shared" si="51"/>
        <v>0</v>
      </c>
      <c r="AA71" s="41">
        <f t="shared" si="52"/>
        <v>40</v>
      </c>
      <c r="AB71" s="42">
        <f t="shared" si="53"/>
        <v>6.666666666666667</v>
      </c>
      <c r="AC71" s="42">
        <f t="shared" si="54"/>
        <v>0</v>
      </c>
      <c r="AD71" s="42">
        <f t="shared" si="55"/>
        <v>6.666666666666667</v>
      </c>
      <c r="AE71" s="53" t="s">
        <v>352</v>
      </c>
      <c r="AF71" s="6"/>
      <c r="AG71" s="6"/>
      <c r="AH71" s="6">
        <f t="shared" si="40"/>
        <v>0</v>
      </c>
      <c r="AI71" s="902"/>
      <c r="AK71" s="9">
        <f t="shared" si="90"/>
        <v>0</v>
      </c>
      <c r="AL71" s="6"/>
      <c r="AM71" s="6"/>
      <c r="AN71" s="902">
        <f t="shared" si="91"/>
        <v>0</v>
      </c>
      <c r="AO71" s="9">
        <f t="shared" si="92"/>
        <v>40</v>
      </c>
      <c r="AP71" s="9">
        <f t="shared" si="93"/>
        <v>0</v>
      </c>
      <c r="AQ71" s="9">
        <f t="shared" si="94"/>
        <v>40</v>
      </c>
      <c r="AR71" s="939">
        <f t="shared" si="95"/>
        <v>4.4444444444444446</v>
      </c>
      <c r="AS71" s="939">
        <f t="shared" si="96"/>
        <v>0</v>
      </c>
      <c r="AT71" s="939">
        <f t="shared" si="97"/>
        <v>4.4444444444444446</v>
      </c>
    </row>
    <row r="72" spans="1:46" s="9" customFormat="1">
      <c r="A72" s="9">
        <v>64</v>
      </c>
      <c r="B72" s="13" t="s">
        <v>482</v>
      </c>
      <c r="C72" s="9" t="s">
        <v>474</v>
      </c>
      <c r="D72" s="9" t="s">
        <v>483</v>
      </c>
      <c r="E72" s="10" t="s">
        <v>347</v>
      </c>
      <c r="F72" s="9">
        <v>10</v>
      </c>
      <c r="G72" s="9">
        <v>27</v>
      </c>
      <c r="I72" s="6">
        <f t="shared" ref="I72:I84" si="98">SUM(G72:H72)</f>
        <v>27</v>
      </c>
      <c r="J72" s="9">
        <v>50</v>
      </c>
      <c r="L72" s="6">
        <f t="shared" ref="L72:L84" si="99">SUM(J72:K72)</f>
        <v>50</v>
      </c>
      <c r="M72" s="6">
        <v>50</v>
      </c>
      <c r="N72" s="6"/>
      <c r="O72" s="6">
        <f t="shared" ref="O72:O84" si="100">SUM(M72:N72)</f>
        <v>50</v>
      </c>
      <c r="P72" s="6">
        <f>50-8</f>
        <v>42</v>
      </c>
      <c r="Q72" s="6"/>
      <c r="R72" s="6">
        <f t="shared" si="14"/>
        <v>42</v>
      </c>
      <c r="S72" s="6">
        <v>100</v>
      </c>
      <c r="T72" s="6"/>
      <c r="U72" s="6">
        <f t="shared" ref="U72" si="101">SUM(S72:T72)</f>
        <v>100</v>
      </c>
      <c r="V72" s="6">
        <v>50</v>
      </c>
      <c r="W72" s="6"/>
      <c r="X72" s="6">
        <f t="shared" si="39"/>
        <v>50</v>
      </c>
      <c r="Y72" s="88">
        <f t="shared" ref="Y72:Y93" si="102">G72+J72+M72+P72+S72+V72</f>
        <v>319</v>
      </c>
      <c r="Z72" s="41">
        <f t="shared" ref="Z72:Z93" si="103">H72+K72+N72+Q72+T72+W72</f>
        <v>0</v>
      </c>
      <c r="AA72" s="41">
        <f t="shared" ref="AA72:AA93" si="104">I72+L72+O72+R72+U72+X72</f>
        <v>319</v>
      </c>
      <c r="AB72" s="42">
        <f t="shared" ref="AB72:AB93" si="105">Y72/6</f>
        <v>53.166666666666664</v>
      </c>
      <c r="AC72" s="42">
        <f t="shared" ref="AC72:AC93" si="106">Z72/6</f>
        <v>0</v>
      </c>
      <c r="AD72" s="42">
        <f t="shared" ref="AD72:AD93" si="107">AA72/6</f>
        <v>53.166666666666664</v>
      </c>
      <c r="AE72" s="53" t="s">
        <v>352</v>
      </c>
      <c r="AF72" s="6"/>
      <c r="AG72" s="6"/>
      <c r="AH72" s="6">
        <f t="shared" si="40"/>
        <v>0</v>
      </c>
      <c r="AI72" s="902"/>
      <c r="AK72" s="9">
        <f t="shared" si="90"/>
        <v>0</v>
      </c>
      <c r="AL72" s="6">
        <v>50</v>
      </c>
      <c r="AM72" s="6"/>
      <c r="AN72" s="902">
        <f t="shared" si="91"/>
        <v>50</v>
      </c>
      <c r="AO72" s="9">
        <f t="shared" si="92"/>
        <v>369</v>
      </c>
      <c r="AP72" s="9">
        <f t="shared" si="93"/>
        <v>0</v>
      </c>
      <c r="AQ72" s="9">
        <f t="shared" si="94"/>
        <v>369</v>
      </c>
      <c r="AR72" s="939">
        <f t="shared" si="95"/>
        <v>41</v>
      </c>
      <c r="AS72" s="939">
        <f t="shared" si="96"/>
        <v>0</v>
      </c>
      <c r="AT72" s="939">
        <f t="shared" si="97"/>
        <v>41</v>
      </c>
    </row>
    <row r="73" spans="1:46" s="9" customFormat="1">
      <c r="A73" s="9">
        <v>65</v>
      </c>
      <c r="B73" s="13" t="s">
        <v>484</v>
      </c>
      <c r="C73" s="9" t="s">
        <v>474</v>
      </c>
      <c r="D73" s="9" t="s">
        <v>485</v>
      </c>
      <c r="E73" s="12" t="s">
        <v>364</v>
      </c>
      <c r="F73" s="9">
        <v>100</v>
      </c>
      <c r="G73" s="9">
        <v>18</v>
      </c>
      <c r="I73" s="6">
        <f t="shared" si="98"/>
        <v>18</v>
      </c>
      <c r="L73" s="6">
        <f t="shared" si="99"/>
        <v>0</v>
      </c>
      <c r="M73" s="6">
        <v>18</v>
      </c>
      <c r="N73" s="6"/>
      <c r="O73" s="6">
        <f t="shared" si="100"/>
        <v>18</v>
      </c>
      <c r="P73" s="6">
        <v>13</v>
      </c>
      <c r="Q73" s="6"/>
      <c r="R73" s="6">
        <f t="shared" ref="R73:R84" si="108">SUM(P73:Q73)</f>
        <v>13</v>
      </c>
      <c r="S73" s="6">
        <v>27</v>
      </c>
      <c r="T73" s="6"/>
      <c r="U73" s="6">
        <f t="shared" ref="U73:U84" si="109">SUM(S73:T73)</f>
        <v>27</v>
      </c>
      <c r="V73" s="6">
        <v>37</v>
      </c>
      <c r="W73" s="6"/>
      <c r="X73" s="6">
        <f t="shared" si="39"/>
        <v>37</v>
      </c>
      <c r="Y73" s="88">
        <f t="shared" si="102"/>
        <v>113</v>
      </c>
      <c r="Z73" s="41">
        <f t="shared" si="103"/>
        <v>0</v>
      </c>
      <c r="AA73" s="41">
        <f t="shared" si="104"/>
        <v>113</v>
      </c>
      <c r="AB73" s="42">
        <f t="shared" si="105"/>
        <v>18.833333333333332</v>
      </c>
      <c r="AC73" s="42">
        <f t="shared" si="106"/>
        <v>0</v>
      </c>
      <c r="AD73" s="42">
        <f t="shared" si="107"/>
        <v>18.833333333333332</v>
      </c>
      <c r="AE73" s="53" t="s">
        <v>352</v>
      </c>
      <c r="AF73" s="6"/>
      <c r="AG73" s="6"/>
      <c r="AH73" s="6">
        <f t="shared" si="40"/>
        <v>0</v>
      </c>
      <c r="AI73" s="902"/>
      <c r="AK73" s="9">
        <f t="shared" si="90"/>
        <v>0</v>
      </c>
      <c r="AL73" s="6"/>
      <c r="AM73" s="6"/>
      <c r="AN73" s="902">
        <f t="shared" si="91"/>
        <v>0</v>
      </c>
      <c r="AO73" s="9">
        <f t="shared" si="92"/>
        <v>113</v>
      </c>
      <c r="AP73" s="9">
        <f t="shared" si="93"/>
        <v>0</v>
      </c>
      <c r="AQ73" s="9">
        <f t="shared" si="94"/>
        <v>113</v>
      </c>
      <c r="AR73" s="939">
        <f t="shared" si="95"/>
        <v>12.555555555555555</v>
      </c>
      <c r="AS73" s="939">
        <f t="shared" si="96"/>
        <v>0</v>
      </c>
      <c r="AT73" s="939">
        <f t="shared" si="97"/>
        <v>12.555555555555555</v>
      </c>
    </row>
    <row r="74" spans="1:46" s="9" customFormat="1">
      <c r="A74" s="9">
        <v>66</v>
      </c>
      <c r="B74" s="13" t="s">
        <v>486</v>
      </c>
      <c r="C74" s="9" t="s">
        <v>474</v>
      </c>
      <c r="D74" s="9" t="s">
        <v>487</v>
      </c>
      <c r="E74" s="12" t="s">
        <v>364</v>
      </c>
      <c r="F74" s="9">
        <v>18</v>
      </c>
      <c r="G74" s="9">
        <v>45</v>
      </c>
      <c r="H74" s="9">
        <v>18</v>
      </c>
      <c r="I74" s="6">
        <f t="shared" si="98"/>
        <v>63</v>
      </c>
      <c r="J74" s="9">
        <v>22</v>
      </c>
      <c r="L74" s="6">
        <f t="shared" si="99"/>
        <v>22</v>
      </c>
      <c r="M74" s="6"/>
      <c r="N74" s="6"/>
      <c r="O74" s="6">
        <f t="shared" si="100"/>
        <v>0</v>
      </c>
      <c r="P74" s="6"/>
      <c r="Q74" s="6"/>
      <c r="R74" s="6">
        <f t="shared" si="108"/>
        <v>0</v>
      </c>
      <c r="S74" s="6">
        <v>47</v>
      </c>
      <c r="T74" s="6"/>
      <c r="U74" s="6">
        <f t="shared" si="109"/>
        <v>47</v>
      </c>
      <c r="V74" s="6"/>
      <c r="W74" s="6"/>
      <c r="X74" s="6">
        <f t="shared" si="39"/>
        <v>0</v>
      </c>
      <c r="Y74" s="88">
        <f t="shared" si="102"/>
        <v>114</v>
      </c>
      <c r="Z74" s="41">
        <f t="shared" si="103"/>
        <v>18</v>
      </c>
      <c r="AA74" s="41">
        <f t="shared" si="104"/>
        <v>132</v>
      </c>
      <c r="AB74" s="42">
        <f t="shared" si="105"/>
        <v>19</v>
      </c>
      <c r="AC74" s="42">
        <f t="shared" si="106"/>
        <v>3</v>
      </c>
      <c r="AD74" s="42">
        <f t="shared" si="107"/>
        <v>22</v>
      </c>
      <c r="AE74" s="53" t="s">
        <v>352</v>
      </c>
      <c r="AF74" s="6"/>
      <c r="AG74" s="6">
        <v>29</v>
      </c>
      <c r="AH74" s="6">
        <f t="shared" si="40"/>
        <v>29</v>
      </c>
      <c r="AI74" s="902"/>
      <c r="AK74" s="9">
        <f t="shared" si="90"/>
        <v>0</v>
      </c>
      <c r="AL74" s="6">
        <v>29</v>
      </c>
      <c r="AM74" s="6"/>
      <c r="AN74" s="902">
        <f t="shared" si="91"/>
        <v>29</v>
      </c>
      <c r="AO74" s="9">
        <f t="shared" si="92"/>
        <v>143</v>
      </c>
      <c r="AP74" s="9">
        <f t="shared" si="93"/>
        <v>47</v>
      </c>
      <c r="AQ74" s="9">
        <f t="shared" si="94"/>
        <v>190</v>
      </c>
      <c r="AR74" s="939">
        <f t="shared" si="95"/>
        <v>15.888888888888889</v>
      </c>
      <c r="AS74" s="939">
        <f t="shared" si="96"/>
        <v>5.2222222222222223</v>
      </c>
      <c r="AT74" s="939">
        <f t="shared" si="97"/>
        <v>21.111111111111111</v>
      </c>
    </row>
    <row r="75" spans="1:46" s="9" customFormat="1">
      <c r="A75" s="9">
        <v>67</v>
      </c>
      <c r="B75" s="13" t="s">
        <v>488</v>
      </c>
      <c r="C75" s="9" t="s">
        <v>474</v>
      </c>
      <c r="D75" s="9" t="s">
        <v>489</v>
      </c>
      <c r="E75" s="12" t="s">
        <v>364</v>
      </c>
      <c r="F75" s="9">
        <v>20</v>
      </c>
      <c r="G75" s="9">
        <v>60</v>
      </c>
      <c r="I75" s="6">
        <f t="shared" si="98"/>
        <v>60</v>
      </c>
      <c r="L75" s="6">
        <f t="shared" si="99"/>
        <v>0</v>
      </c>
      <c r="M75" s="6"/>
      <c r="N75" s="6"/>
      <c r="O75" s="6">
        <f t="shared" si="100"/>
        <v>0</v>
      </c>
      <c r="P75" s="6">
        <v>23</v>
      </c>
      <c r="Q75" s="6"/>
      <c r="R75" s="6">
        <f t="shared" si="108"/>
        <v>23</v>
      </c>
      <c r="S75" s="6">
        <v>150</v>
      </c>
      <c r="T75" s="6"/>
      <c r="U75" s="6">
        <f t="shared" si="109"/>
        <v>150</v>
      </c>
      <c r="V75" s="6">
        <v>125</v>
      </c>
      <c r="W75" s="6"/>
      <c r="X75" s="6">
        <f t="shared" si="39"/>
        <v>125</v>
      </c>
      <c r="Y75" s="88">
        <f t="shared" si="102"/>
        <v>358</v>
      </c>
      <c r="Z75" s="41">
        <f t="shared" si="103"/>
        <v>0</v>
      </c>
      <c r="AA75" s="41">
        <f t="shared" si="104"/>
        <v>358</v>
      </c>
      <c r="AB75" s="42">
        <f t="shared" si="105"/>
        <v>59.666666666666664</v>
      </c>
      <c r="AC75" s="42">
        <f t="shared" si="106"/>
        <v>0</v>
      </c>
      <c r="AD75" s="42">
        <f t="shared" si="107"/>
        <v>59.666666666666664</v>
      </c>
      <c r="AE75" s="53" t="s">
        <v>352</v>
      </c>
      <c r="AF75" s="6"/>
      <c r="AG75" s="6"/>
      <c r="AH75" s="6">
        <f t="shared" si="40"/>
        <v>0</v>
      </c>
      <c r="AI75" s="900">
        <v>100</v>
      </c>
      <c r="AK75" s="9">
        <f t="shared" si="90"/>
        <v>100</v>
      </c>
      <c r="AL75" s="6"/>
      <c r="AM75" s="6"/>
      <c r="AN75" s="902">
        <f t="shared" si="91"/>
        <v>0</v>
      </c>
      <c r="AO75" s="9">
        <f t="shared" si="92"/>
        <v>458</v>
      </c>
      <c r="AP75" s="9">
        <f t="shared" si="93"/>
        <v>0</v>
      </c>
      <c r="AQ75" s="9">
        <f t="shared" si="94"/>
        <v>458</v>
      </c>
      <c r="AR75" s="939">
        <f t="shared" si="95"/>
        <v>50.888888888888886</v>
      </c>
      <c r="AS75" s="939">
        <f t="shared" si="96"/>
        <v>0</v>
      </c>
      <c r="AT75" s="939">
        <f t="shared" si="97"/>
        <v>50.888888888888886</v>
      </c>
    </row>
    <row r="76" spans="1:46" s="9" customFormat="1">
      <c r="A76" s="9">
        <v>68</v>
      </c>
      <c r="B76" s="13" t="s">
        <v>490</v>
      </c>
      <c r="C76" s="9" t="s">
        <v>474</v>
      </c>
      <c r="D76" s="9" t="s">
        <v>491</v>
      </c>
      <c r="E76" s="12" t="s">
        <v>364</v>
      </c>
      <c r="F76" s="9">
        <v>20</v>
      </c>
      <c r="G76" s="9">
        <v>50</v>
      </c>
      <c r="H76" s="9">
        <v>8</v>
      </c>
      <c r="I76" s="6">
        <f t="shared" si="98"/>
        <v>58</v>
      </c>
      <c r="L76" s="6">
        <f t="shared" si="99"/>
        <v>0</v>
      </c>
      <c r="M76" s="6"/>
      <c r="N76" s="6">
        <v>8</v>
      </c>
      <c r="O76" s="6">
        <f t="shared" si="100"/>
        <v>8</v>
      </c>
      <c r="P76" s="6">
        <v>10</v>
      </c>
      <c r="Q76" s="6">
        <v>2</v>
      </c>
      <c r="R76" s="6">
        <f t="shared" si="108"/>
        <v>12</v>
      </c>
      <c r="S76" s="6">
        <v>20</v>
      </c>
      <c r="T76" s="6"/>
      <c r="U76" s="6">
        <f t="shared" si="109"/>
        <v>20</v>
      </c>
      <c r="V76" s="6"/>
      <c r="W76" s="6"/>
      <c r="X76" s="6">
        <f t="shared" si="39"/>
        <v>0</v>
      </c>
      <c r="Y76" s="88">
        <f t="shared" si="102"/>
        <v>80</v>
      </c>
      <c r="Z76" s="41">
        <f t="shared" si="103"/>
        <v>18</v>
      </c>
      <c r="AA76" s="41">
        <f t="shared" si="104"/>
        <v>98</v>
      </c>
      <c r="AB76" s="42">
        <f t="shared" si="105"/>
        <v>13.333333333333334</v>
      </c>
      <c r="AC76" s="42">
        <f t="shared" si="106"/>
        <v>3</v>
      </c>
      <c r="AD76" s="42">
        <f t="shared" si="107"/>
        <v>16.333333333333332</v>
      </c>
      <c r="AE76" s="53" t="s">
        <v>352</v>
      </c>
      <c r="AF76" s="6"/>
      <c r="AG76" s="6"/>
      <c r="AH76" s="6">
        <f t="shared" si="40"/>
        <v>0</v>
      </c>
      <c r="AI76" s="902"/>
      <c r="AK76" s="9">
        <f t="shared" si="90"/>
        <v>0</v>
      </c>
      <c r="AL76" s="6"/>
      <c r="AM76" s="6"/>
      <c r="AN76" s="902">
        <f t="shared" si="91"/>
        <v>0</v>
      </c>
      <c r="AO76" s="9">
        <f t="shared" si="92"/>
        <v>80</v>
      </c>
      <c r="AP76" s="9">
        <f t="shared" si="93"/>
        <v>18</v>
      </c>
      <c r="AQ76" s="9">
        <f t="shared" si="94"/>
        <v>98</v>
      </c>
      <c r="AR76" s="939">
        <f t="shared" si="95"/>
        <v>8.8888888888888893</v>
      </c>
      <c r="AS76" s="939">
        <f t="shared" si="96"/>
        <v>2</v>
      </c>
      <c r="AT76" s="939">
        <f t="shared" si="97"/>
        <v>10.888888888888889</v>
      </c>
    </row>
    <row r="77" spans="1:46" s="9" customFormat="1" ht="15" hidden="1" customHeight="1">
      <c r="A77" s="9">
        <v>69</v>
      </c>
      <c r="B77" s="18" t="s">
        <v>2863</v>
      </c>
      <c r="C77" s="9" t="s">
        <v>474</v>
      </c>
      <c r="D77" s="9" t="s">
        <v>492</v>
      </c>
      <c r="E77" s="12" t="s">
        <v>364</v>
      </c>
      <c r="F77" s="9">
        <v>23</v>
      </c>
      <c r="I77" s="6">
        <f t="shared" si="98"/>
        <v>0</v>
      </c>
      <c r="L77" s="6">
        <f t="shared" si="99"/>
        <v>0</v>
      </c>
      <c r="M77" s="6"/>
      <c r="N77" s="6"/>
      <c r="O77" s="6">
        <f t="shared" si="100"/>
        <v>0</v>
      </c>
      <c r="P77" s="6"/>
      <c r="Q77" s="6"/>
      <c r="R77" s="6">
        <f t="shared" si="108"/>
        <v>0</v>
      </c>
      <c r="S77" s="6"/>
      <c r="T77" s="6"/>
      <c r="U77" s="6">
        <f t="shared" si="109"/>
        <v>0</v>
      </c>
      <c r="V77" s="6"/>
      <c r="W77" s="6"/>
      <c r="X77" s="6">
        <f t="shared" si="39"/>
        <v>0</v>
      </c>
      <c r="Y77" s="88">
        <f t="shared" si="102"/>
        <v>0</v>
      </c>
      <c r="Z77" s="41">
        <f t="shared" si="103"/>
        <v>0</v>
      </c>
      <c r="AA77" s="41">
        <f t="shared" si="104"/>
        <v>0</v>
      </c>
      <c r="AB77" s="42">
        <f t="shared" si="105"/>
        <v>0</v>
      </c>
      <c r="AC77" s="42">
        <f t="shared" si="106"/>
        <v>0</v>
      </c>
      <c r="AD77" s="42">
        <f t="shared" si="107"/>
        <v>0</v>
      </c>
      <c r="AE77" s="53" t="s">
        <v>352</v>
      </c>
      <c r="AF77" s="900"/>
      <c r="AG77" s="900"/>
      <c r="AH77" s="900">
        <f t="shared" si="40"/>
        <v>0</v>
      </c>
      <c r="AL77" s="900"/>
      <c r="AM77" s="900"/>
    </row>
    <row r="78" spans="1:46" s="9" customFormat="1" ht="15" hidden="1" customHeight="1">
      <c r="A78" s="9">
        <v>70</v>
      </c>
      <c r="B78" s="18" t="s">
        <v>2864</v>
      </c>
      <c r="C78" s="9" t="s">
        <v>474</v>
      </c>
      <c r="D78" s="9" t="s">
        <v>493</v>
      </c>
      <c r="E78" s="12" t="s">
        <v>364</v>
      </c>
      <c r="F78" s="9">
        <v>25</v>
      </c>
      <c r="I78" s="6">
        <f t="shared" si="98"/>
        <v>0</v>
      </c>
      <c r="L78" s="6">
        <f t="shared" si="99"/>
        <v>0</v>
      </c>
      <c r="M78" s="6"/>
      <c r="N78" s="6"/>
      <c r="O78" s="6">
        <f t="shared" si="100"/>
        <v>0</v>
      </c>
      <c r="P78" s="6"/>
      <c r="Q78" s="6"/>
      <c r="R78" s="6">
        <f t="shared" si="108"/>
        <v>0</v>
      </c>
      <c r="S78" s="6"/>
      <c r="T78" s="6"/>
      <c r="U78" s="6">
        <f t="shared" si="109"/>
        <v>0</v>
      </c>
      <c r="V78" s="6"/>
      <c r="W78" s="6"/>
      <c r="X78" s="6">
        <f t="shared" si="39"/>
        <v>0</v>
      </c>
      <c r="Y78" s="88">
        <f t="shared" si="102"/>
        <v>0</v>
      </c>
      <c r="Z78" s="41">
        <f t="shared" si="103"/>
        <v>0</v>
      </c>
      <c r="AA78" s="41">
        <f t="shared" si="104"/>
        <v>0</v>
      </c>
      <c r="AB78" s="42">
        <f t="shared" si="105"/>
        <v>0</v>
      </c>
      <c r="AC78" s="42">
        <f t="shared" si="106"/>
        <v>0</v>
      </c>
      <c r="AD78" s="42">
        <f t="shared" si="107"/>
        <v>0</v>
      </c>
      <c r="AE78" s="53" t="s">
        <v>352</v>
      </c>
      <c r="AF78" s="900"/>
      <c r="AG78" s="900"/>
      <c r="AH78" s="900">
        <f t="shared" si="40"/>
        <v>0</v>
      </c>
      <c r="AL78" s="900"/>
      <c r="AM78" s="900"/>
    </row>
    <row r="79" spans="1:46" s="54" customFormat="1">
      <c r="A79" s="54">
        <v>71</v>
      </c>
      <c r="B79" s="55" t="s">
        <v>494</v>
      </c>
      <c r="C79" s="54" t="s">
        <v>474</v>
      </c>
      <c r="D79" s="54" t="s">
        <v>495</v>
      </c>
      <c r="E79" s="11" t="s">
        <v>364</v>
      </c>
      <c r="F79" s="54">
        <v>147</v>
      </c>
      <c r="G79" s="54">
        <v>271</v>
      </c>
      <c r="I79" s="19">
        <f t="shared" si="98"/>
        <v>271</v>
      </c>
      <c r="J79" s="54">
        <v>266</v>
      </c>
      <c r="L79" s="19">
        <f t="shared" si="99"/>
        <v>266</v>
      </c>
      <c r="M79" s="19">
        <v>96</v>
      </c>
      <c r="N79" s="19"/>
      <c r="O79" s="19">
        <f t="shared" si="100"/>
        <v>96</v>
      </c>
      <c r="P79" s="19"/>
      <c r="Q79" s="19"/>
      <c r="R79" s="19">
        <f t="shared" si="108"/>
        <v>0</v>
      </c>
      <c r="S79" s="19">
        <v>201</v>
      </c>
      <c r="T79" s="19"/>
      <c r="U79" s="19">
        <f t="shared" si="109"/>
        <v>201</v>
      </c>
      <c r="V79" s="19">
        <v>221</v>
      </c>
      <c r="W79" s="19"/>
      <c r="X79" s="19">
        <f t="shared" si="39"/>
        <v>221</v>
      </c>
      <c r="Y79" s="89">
        <f t="shared" si="102"/>
        <v>1055</v>
      </c>
      <c r="Z79" s="44">
        <f t="shared" si="103"/>
        <v>0</v>
      </c>
      <c r="AA79" s="44">
        <f t="shared" si="104"/>
        <v>1055</v>
      </c>
      <c r="AB79" s="45">
        <f t="shared" si="105"/>
        <v>175.83333333333334</v>
      </c>
      <c r="AC79" s="45">
        <f t="shared" si="106"/>
        <v>0</v>
      </c>
      <c r="AD79" s="45">
        <f t="shared" si="107"/>
        <v>175.83333333333334</v>
      </c>
      <c r="AE79" s="56" t="s">
        <v>348</v>
      </c>
      <c r="AF79" s="19">
        <v>40</v>
      </c>
      <c r="AG79" s="19">
        <v>0</v>
      </c>
      <c r="AH79" s="19">
        <f t="shared" si="40"/>
        <v>40</v>
      </c>
      <c r="AI79" s="903"/>
      <c r="AK79" s="54">
        <f t="shared" ref="AK79:AK92" si="110">AI79+AJ79</f>
        <v>0</v>
      </c>
      <c r="AL79" s="19"/>
      <c r="AM79" s="19"/>
      <c r="AN79" s="903">
        <f t="shared" ref="AN79:AN92" si="111">AL79+AM79</f>
        <v>0</v>
      </c>
      <c r="AO79" s="54">
        <f t="shared" ref="AO79:AO92" si="112">Y79+AF79+AI79+AL79</f>
        <v>1095</v>
      </c>
      <c r="AP79" s="54">
        <f t="shared" ref="AP79:AP92" si="113">Z79+AG79+AJ79+AM79</f>
        <v>0</v>
      </c>
      <c r="AQ79" s="54">
        <f t="shared" ref="AQ79:AQ92" si="114">AA79+AH79+AK79+AN79</f>
        <v>1095</v>
      </c>
      <c r="AR79" s="935">
        <f t="shared" ref="AR79:AR92" si="115">AO79/9</f>
        <v>121.66666666666667</v>
      </c>
      <c r="AS79" s="935">
        <f t="shared" ref="AS79:AS92" si="116">AP79/9</f>
        <v>0</v>
      </c>
      <c r="AT79" s="935">
        <f t="shared" ref="AT79:AT92" si="117">AQ79/9</f>
        <v>121.66666666666667</v>
      </c>
    </row>
    <row r="80" spans="1:46" s="54" customFormat="1">
      <c r="A80" s="54">
        <v>72</v>
      </c>
      <c r="B80" s="55" t="s">
        <v>496</v>
      </c>
      <c r="C80" s="54" t="s">
        <v>474</v>
      </c>
      <c r="D80" s="54" t="s">
        <v>497</v>
      </c>
      <c r="E80" s="11" t="s">
        <v>364</v>
      </c>
      <c r="F80" s="54">
        <v>218</v>
      </c>
      <c r="I80" s="19">
        <f t="shared" si="98"/>
        <v>0</v>
      </c>
      <c r="J80" s="54">
        <v>319</v>
      </c>
      <c r="L80" s="19">
        <f t="shared" si="99"/>
        <v>319</v>
      </c>
      <c r="M80" s="19">
        <v>319</v>
      </c>
      <c r="N80" s="19"/>
      <c r="O80" s="19">
        <f t="shared" si="100"/>
        <v>319</v>
      </c>
      <c r="P80" s="19">
        <v>312</v>
      </c>
      <c r="Q80" s="19"/>
      <c r="R80" s="19">
        <f t="shared" si="108"/>
        <v>312</v>
      </c>
      <c r="S80" s="19"/>
      <c r="T80" s="19"/>
      <c r="U80" s="19">
        <f t="shared" si="109"/>
        <v>0</v>
      </c>
      <c r="V80" s="19">
        <v>348</v>
      </c>
      <c r="W80" s="19"/>
      <c r="X80" s="19">
        <f t="shared" si="39"/>
        <v>348</v>
      </c>
      <c r="Y80" s="89">
        <f t="shared" si="102"/>
        <v>1298</v>
      </c>
      <c r="Z80" s="44">
        <f t="shared" si="103"/>
        <v>0</v>
      </c>
      <c r="AA80" s="44">
        <f t="shared" si="104"/>
        <v>1298</v>
      </c>
      <c r="AB80" s="45">
        <f t="shared" si="105"/>
        <v>216.33333333333334</v>
      </c>
      <c r="AC80" s="45">
        <f t="shared" si="106"/>
        <v>0</v>
      </c>
      <c r="AD80" s="45">
        <f t="shared" si="107"/>
        <v>216.33333333333334</v>
      </c>
      <c r="AE80" s="56" t="s">
        <v>348</v>
      </c>
      <c r="AF80" s="19">
        <v>350</v>
      </c>
      <c r="AG80" s="19">
        <v>0</v>
      </c>
      <c r="AH80" s="19">
        <f t="shared" si="40"/>
        <v>350</v>
      </c>
      <c r="AI80" s="110">
        <v>316</v>
      </c>
      <c r="AJ80" s="19"/>
      <c r="AK80" s="903">
        <f t="shared" si="110"/>
        <v>316</v>
      </c>
      <c r="AL80" s="19">
        <v>371</v>
      </c>
      <c r="AM80" s="19"/>
      <c r="AN80" s="903">
        <f t="shared" si="111"/>
        <v>371</v>
      </c>
      <c r="AO80" s="54">
        <f t="shared" si="112"/>
        <v>2335</v>
      </c>
      <c r="AP80" s="54">
        <f t="shared" si="113"/>
        <v>0</v>
      </c>
      <c r="AQ80" s="54">
        <f t="shared" si="114"/>
        <v>2335</v>
      </c>
      <c r="AR80" s="935">
        <f t="shared" si="115"/>
        <v>259.44444444444446</v>
      </c>
      <c r="AS80" s="935">
        <f t="shared" si="116"/>
        <v>0</v>
      </c>
      <c r="AT80" s="935">
        <f t="shared" si="117"/>
        <v>259.44444444444446</v>
      </c>
    </row>
    <row r="81" spans="1:61" s="54" customFormat="1">
      <c r="A81" s="54">
        <v>73</v>
      </c>
      <c r="B81" s="55" t="s">
        <v>498</v>
      </c>
      <c r="C81" s="54" t="s">
        <v>474</v>
      </c>
      <c r="D81" s="54" t="s">
        <v>499</v>
      </c>
      <c r="E81" s="11" t="s">
        <v>364</v>
      </c>
      <c r="F81" s="54">
        <v>164</v>
      </c>
      <c r="G81" s="54">
        <v>368</v>
      </c>
      <c r="I81" s="19">
        <f t="shared" si="98"/>
        <v>368</v>
      </c>
      <c r="J81" s="54">
        <v>300</v>
      </c>
      <c r="L81" s="19">
        <f t="shared" si="99"/>
        <v>300</v>
      </c>
      <c r="M81" s="19">
        <v>60</v>
      </c>
      <c r="N81" s="19"/>
      <c r="O81" s="19">
        <f t="shared" si="100"/>
        <v>60</v>
      </c>
      <c r="P81" s="19">
        <v>164</v>
      </c>
      <c r="Q81" s="19"/>
      <c r="R81" s="19">
        <f t="shared" si="108"/>
        <v>164</v>
      </c>
      <c r="S81" s="19">
        <v>194</v>
      </c>
      <c r="T81" s="19"/>
      <c r="U81" s="19">
        <f t="shared" si="109"/>
        <v>194</v>
      </c>
      <c r="V81" s="19"/>
      <c r="W81" s="19"/>
      <c r="X81" s="19">
        <f t="shared" si="39"/>
        <v>0</v>
      </c>
      <c r="Y81" s="89">
        <f t="shared" si="102"/>
        <v>1086</v>
      </c>
      <c r="Z81" s="44">
        <f t="shared" si="103"/>
        <v>0</v>
      </c>
      <c r="AA81" s="44">
        <f t="shared" si="104"/>
        <v>1086</v>
      </c>
      <c r="AB81" s="45">
        <f t="shared" si="105"/>
        <v>181</v>
      </c>
      <c r="AC81" s="45">
        <f t="shared" si="106"/>
        <v>0</v>
      </c>
      <c r="AD81" s="45">
        <f t="shared" si="107"/>
        <v>181</v>
      </c>
      <c r="AE81" s="56" t="s">
        <v>348</v>
      </c>
      <c r="AF81" s="19">
        <v>80</v>
      </c>
      <c r="AG81" s="19">
        <v>0</v>
      </c>
      <c r="AH81" s="19">
        <f t="shared" si="40"/>
        <v>80</v>
      </c>
      <c r="AI81" s="110"/>
      <c r="AJ81" s="19"/>
      <c r="AK81" s="903">
        <f t="shared" si="110"/>
        <v>0</v>
      </c>
      <c r="AL81" s="19"/>
      <c r="AM81" s="19"/>
      <c r="AN81" s="903">
        <f t="shared" si="111"/>
        <v>0</v>
      </c>
      <c r="AO81" s="54">
        <f t="shared" si="112"/>
        <v>1166</v>
      </c>
      <c r="AP81" s="54">
        <f t="shared" si="113"/>
        <v>0</v>
      </c>
      <c r="AQ81" s="54">
        <f t="shared" si="114"/>
        <v>1166</v>
      </c>
      <c r="AR81" s="935">
        <f t="shared" si="115"/>
        <v>129.55555555555554</v>
      </c>
      <c r="AS81" s="935">
        <f t="shared" si="116"/>
        <v>0</v>
      </c>
      <c r="AT81" s="935">
        <f t="shared" si="117"/>
        <v>129.55555555555554</v>
      </c>
    </row>
    <row r="82" spans="1:61" s="54" customFormat="1">
      <c r="A82" s="54">
        <v>74</v>
      </c>
      <c r="B82" s="55" t="s">
        <v>500</v>
      </c>
      <c r="C82" s="54" t="s">
        <v>474</v>
      </c>
      <c r="D82" s="54" t="s">
        <v>501</v>
      </c>
      <c r="E82" s="11" t="s">
        <v>364</v>
      </c>
      <c r="F82" s="54">
        <v>446</v>
      </c>
      <c r="G82" s="54">
        <v>307</v>
      </c>
      <c r="I82" s="19">
        <f t="shared" si="98"/>
        <v>307</v>
      </c>
      <c r="J82" s="54">
        <v>300</v>
      </c>
      <c r="L82" s="19">
        <f t="shared" si="99"/>
        <v>300</v>
      </c>
      <c r="M82" s="19">
        <v>222</v>
      </c>
      <c r="N82" s="19">
        <v>56</v>
      </c>
      <c r="O82" s="19">
        <f t="shared" si="100"/>
        <v>278</v>
      </c>
      <c r="P82" s="19">
        <v>295</v>
      </c>
      <c r="Q82" s="19"/>
      <c r="R82" s="19">
        <f t="shared" si="108"/>
        <v>295</v>
      </c>
      <c r="S82" s="19">
        <v>364</v>
      </c>
      <c r="T82" s="19">
        <v>56</v>
      </c>
      <c r="U82" s="19">
        <f t="shared" si="109"/>
        <v>420</v>
      </c>
      <c r="V82" s="19">
        <v>262</v>
      </c>
      <c r="W82" s="19">
        <v>56</v>
      </c>
      <c r="X82" s="19">
        <f t="shared" si="39"/>
        <v>318</v>
      </c>
      <c r="Y82" s="89">
        <f t="shared" si="102"/>
        <v>1750</v>
      </c>
      <c r="Z82" s="44">
        <f t="shared" si="103"/>
        <v>168</v>
      </c>
      <c r="AA82" s="44">
        <f t="shared" si="104"/>
        <v>1918</v>
      </c>
      <c r="AB82" s="45">
        <f t="shared" si="105"/>
        <v>291.66666666666669</v>
      </c>
      <c r="AC82" s="45">
        <f t="shared" si="106"/>
        <v>28</v>
      </c>
      <c r="AD82" s="45">
        <f t="shared" si="107"/>
        <v>319.66666666666669</v>
      </c>
      <c r="AE82" s="56" t="s">
        <v>348</v>
      </c>
      <c r="AF82" s="19">
        <v>194</v>
      </c>
      <c r="AG82" s="19">
        <v>36</v>
      </c>
      <c r="AH82" s="19">
        <f t="shared" si="40"/>
        <v>230</v>
      </c>
      <c r="AI82" s="110">
        <v>329</v>
      </c>
      <c r="AJ82" s="19">
        <v>18</v>
      </c>
      <c r="AK82" s="903">
        <f t="shared" si="110"/>
        <v>347</v>
      </c>
      <c r="AL82" s="19">
        <v>293</v>
      </c>
      <c r="AM82" s="19"/>
      <c r="AN82" s="903">
        <f t="shared" si="111"/>
        <v>293</v>
      </c>
      <c r="AO82" s="54">
        <f t="shared" si="112"/>
        <v>2566</v>
      </c>
      <c r="AP82" s="54">
        <f t="shared" si="113"/>
        <v>222</v>
      </c>
      <c r="AQ82" s="54">
        <f t="shared" si="114"/>
        <v>2788</v>
      </c>
      <c r="AR82" s="935">
        <f t="shared" si="115"/>
        <v>285.11111111111109</v>
      </c>
      <c r="AS82" s="935">
        <f t="shared" si="116"/>
        <v>24.666666666666668</v>
      </c>
      <c r="AT82" s="935">
        <f t="shared" si="117"/>
        <v>309.77777777777777</v>
      </c>
    </row>
    <row r="83" spans="1:61" s="9" customFormat="1">
      <c r="A83" s="9">
        <v>75</v>
      </c>
      <c r="B83" s="13" t="s">
        <v>502</v>
      </c>
      <c r="C83" s="9" t="s">
        <v>503</v>
      </c>
      <c r="D83" s="9" t="s">
        <v>504</v>
      </c>
      <c r="E83" s="12" t="s">
        <v>364</v>
      </c>
      <c r="F83" s="9">
        <v>20</v>
      </c>
      <c r="I83" s="6">
        <f t="shared" si="98"/>
        <v>0</v>
      </c>
      <c r="L83" s="6">
        <f t="shared" si="99"/>
        <v>0</v>
      </c>
      <c r="M83" s="6">
        <v>100</v>
      </c>
      <c r="N83" s="6"/>
      <c r="O83" s="6">
        <f t="shared" si="100"/>
        <v>100</v>
      </c>
      <c r="P83" s="6"/>
      <c r="Q83" s="6"/>
      <c r="R83" s="6">
        <f t="shared" si="108"/>
        <v>0</v>
      </c>
      <c r="S83" s="6">
        <v>220</v>
      </c>
      <c r="T83" s="6"/>
      <c r="U83" s="6">
        <f t="shared" si="109"/>
        <v>220</v>
      </c>
      <c r="V83" s="6"/>
      <c r="W83" s="6"/>
      <c r="X83" s="6">
        <f t="shared" si="39"/>
        <v>0</v>
      </c>
      <c r="Y83" s="88">
        <f t="shared" si="102"/>
        <v>320</v>
      </c>
      <c r="Z83" s="41">
        <f t="shared" si="103"/>
        <v>0</v>
      </c>
      <c r="AA83" s="41">
        <f t="shared" si="104"/>
        <v>320</v>
      </c>
      <c r="AB83" s="42">
        <f t="shared" si="105"/>
        <v>53.333333333333336</v>
      </c>
      <c r="AC83" s="42">
        <f t="shared" si="106"/>
        <v>0</v>
      </c>
      <c r="AD83" s="42">
        <f t="shared" si="107"/>
        <v>53.333333333333336</v>
      </c>
      <c r="AE83" s="53" t="s">
        <v>352</v>
      </c>
      <c r="AF83" s="6"/>
      <c r="AG83" s="6"/>
      <c r="AH83" s="6">
        <f t="shared" si="40"/>
        <v>0</v>
      </c>
      <c r="AI83" s="109">
        <v>25</v>
      </c>
      <c r="AJ83" s="6"/>
      <c r="AK83" s="902">
        <f t="shared" si="110"/>
        <v>25</v>
      </c>
      <c r="AL83" s="6">
        <v>50</v>
      </c>
      <c r="AM83" s="6"/>
      <c r="AN83" s="902">
        <f t="shared" si="111"/>
        <v>50</v>
      </c>
      <c r="AO83" s="9">
        <f t="shared" si="112"/>
        <v>395</v>
      </c>
      <c r="AP83" s="9">
        <f t="shared" si="113"/>
        <v>0</v>
      </c>
      <c r="AQ83" s="9">
        <f t="shared" si="114"/>
        <v>395</v>
      </c>
      <c r="AR83" s="939">
        <f t="shared" si="115"/>
        <v>43.888888888888886</v>
      </c>
      <c r="AS83" s="939">
        <f t="shared" si="116"/>
        <v>0</v>
      </c>
      <c r="AT83" s="939">
        <f t="shared" si="117"/>
        <v>43.888888888888886</v>
      </c>
    </row>
    <row r="84" spans="1:61" s="9" customFormat="1">
      <c r="A84" s="9">
        <v>76</v>
      </c>
      <c r="B84" s="13" t="s">
        <v>505</v>
      </c>
      <c r="C84" s="9" t="s">
        <v>506</v>
      </c>
      <c r="D84" s="9" t="s">
        <v>507</v>
      </c>
      <c r="E84" s="12" t="s">
        <v>364</v>
      </c>
      <c r="F84" s="9">
        <v>12</v>
      </c>
      <c r="G84" s="9">
        <v>126</v>
      </c>
      <c r="I84" s="6">
        <f t="shared" si="98"/>
        <v>126</v>
      </c>
      <c r="L84" s="6">
        <f t="shared" si="99"/>
        <v>0</v>
      </c>
      <c r="M84" s="6">
        <v>200</v>
      </c>
      <c r="N84" s="6"/>
      <c r="O84" s="6">
        <f t="shared" si="100"/>
        <v>200</v>
      </c>
      <c r="P84" s="6"/>
      <c r="Q84" s="6"/>
      <c r="R84" s="6">
        <f t="shared" si="108"/>
        <v>0</v>
      </c>
      <c r="S84" s="6"/>
      <c r="T84" s="6"/>
      <c r="U84" s="6">
        <f t="shared" si="109"/>
        <v>0</v>
      </c>
      <c r="V84" s="6"/>
      <c r="W84" s="6"/>
      <c r="X84" s="6">
        <f t="shared" si="39"/>
        <v>0</v>
      </c>
      <c r="Y84" s="88">
        <f t="shared" si="102"/>
        <v>326</v>
      </c>
      <c r="Z84" s="41">
        <f t="shared" si="103"/>
        <v>0</v>
      </c>
      <c r="AA84" s="41">
        <f t="shared" si="104"/>
        <v>326</v>
      </c>
      <c r="AB84" s="42">
        <f t="shared" si="105"/>
        <v>54.333333333333336</v>
      </c>
      <c r="AC84" s="42">
        <f t="shared" si="106"/>
        <v>0</v>
      </c>
      <c r="AD84" s="42">
        <f t="shared" si="107"/>
        <v>54.333333333333336</v>
      </c>
      <c r="AE84" s="53" t="s">
        <v>352</v>
      </c>
      <c r="AF84" s="6"/>
      <c r="AG84" s="6"/>
      <c r="AH84" s="6">
        <f t="shared" si="40"/>
        <v>0</v>
      </c>
      <c r="AI84" s="902"/>
      <c r="AK84" s="9">
        <f t="shared" si="110"/>
        <v>0</v>
      </c>
      <c r="AL84" s="6">
        <v>75</v>
      </c>
      <c r="AM84" s="6"/>
      <c r="AN84" s="902">
        <f t="shared" si="111"/>
        <v>75</v>
      </c>
      <c r="AO84" s="9">
        <f t="shared" si="112"/>
        <v>401</v>
      </c>
      <c r="AP84" s="9">
        <f t="shared" si="113"/>
        <v>0</v>
      </c>
      <c r="AQ84" s="9">
        <f t="shared" si="114"/>
        <v>401</v>
      </c>
      <c r="AR84" s="939">
        <f t="shared" si="115"/>
        <v>44.555555555555557</v>
      </c>
      <c r="AS84" s="939">
        <f t="shared" si="116"/>
        <v>0</v>
      </c>
      <c r="AT84" s="939">
        <f t="shared" si="117"/>
        <v>44.555555555555557</v>
      </c>
    </row>
    <row r="85" spans="1:61" s="9" customFormat="1" hidden="1">
      <c r="B85" s="13" t="s">
        <v>3337</v>
      </c>
      <c r="C85" s="937" t="s">
        <v>3345</v>
      </c>
      <c r="E85" s="12"/>
      <c r="I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88"/>
      <c r="Z85" s="41"/>
      <c r="AA85" s="41"/>
      <c r="AB85" s="42"/>
      <c r="AC85" s="42"/>
      <c r="AD85" s="42"/>
      <c r="AE85" s="53"/>
      <c r="AF85" s="6"/>
      <c r="AG85" s="6"/>
      <c r="AH85" s="6"/>
      <c r="AI85" s="902"/>
      <c r="AK85" s="9">
        <f t="shared" si="110"/>
        <v>0</v>
      </c>
      <c r="AL85" s="6"/>
      <c r="AM85" s="6"/>
      <c r="AN85" s="902">
        <f t="shared" si="111"/>
        <v>0</v>
      </c>
      <c r="AO85" s="9">
        <f t="shared" si="112"/>
        <v>0</v>
      </c>
      <c r="AP85" s="9">
        <f t="shared" si="113"/>
        <v>0</v>
      </c>
      <c r="AQ85" s="9">
        <f t="shared" si="114"/>
        <v>0</v>
      </c>
      <c r="AR85" s="939">
        <f t="shared" si="115"/>
        <v>0</v>
      </c>
      <c r="AS85" s="939">
        <f t="shared" si="116"/>
        <v>0</v>
      </c>
      <c r="AT85" s="939">
        <f t="shared" si="117"/>
        <v>0</v>
      </c>
    </row>
    <row r="86" spans="1:61" s="9" customFormat="1">
      <c r="B86" s="13" t="s">
        <v>3338</v>
      </c>
      <c r="C86" s="937" t="s">
        <v>3346</v>
      </c>
      <c r="E86" s="12"/>
      <c r="I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88"/>
      <c r="Z86" s="41"/>
      <c r="AA86" s="41"/>
      <c r="AB86" s="42"/>
      <c r="AC86" s="42"/>
      <c r="AD86" s="42"/>
      <c r="AE86" s="53"/>
      <c r="AF86" s="6"/>
      <c r="AG86" s="6"/>
      <c r="AH86" s="6"/>
      <c r="AI86" s="6">
        <v>125</v>
      </c>
      <c r="AJ86" s="6"/>
      <c r="AK86" s="9">
        <f t="shared" si="110"/>
        <v>125</v>
      </c>
      <c r="AL86" s="6"/>
      <c r="AM86" s="6"/>
      <c r="AN86" s="902">
        <f t="shared" si="111"/>
        <v>0</v>
      </c>
      <c r="AO86" s="9">
        <f t="shared" si="112"/>
        <v>125</v>
      </c>
      <c r="AP86" s="9">
        <f t="shared" si="113"/>
        <v>0</v>
      </c>
      <c r="AQ86" s="9">
        <f t="shared" si="114"/>
        <v>125</v>
      </c>
      <c r="AR86" s="939">
        <f t="shared" si="115"/>
        <v>13.888888888888889</v>
      </c>
      <c r="AS86" s="939">
        <f t="shared" si="116"/>
        <v>0</v>
      </c>
      <c r="AT86" s="939">
        <f t="shared" si="117"/>
        <v>13.888888888888889</v>
      </c>
    </row>
    <row r="87" spans="1:61" s="9" customFormat="1" hidden="1">
      <c r="B87" s="13" t="s">
        <v>3339</v>
      </c>
      <c r="C87" s="937" t="s">
        <v>3347</v>
      </c>
      <c r="E87" s="12"/>
      <c r="I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88"/>
      <c r="Z87" s="41"/>
      <c r="AA87" s="41"/>
      <c r="AB87" s="42"/>
      <c r="AC87" s="42"/>
      <c r="AD87" s="42"/>
      <c r="AE87" s="53"/>
      <c r="AF87" s="6"/>
      <c r="AG87" s="6"/>
      <c r="AH87" s="6"/>
      <c r="AI87" s="6"/>
      <c r="AJ87" s="6">
        <v>4.5</v>
      </c>
      <c r="AK87" s="9">
        <f t="shared" si="110"/>
        <v>4.5</v>
      </c>
      <c r="AL87" s="6"/>
      <c r="AM87" s="6"/>
      <c r="AN87" s="902">
        <f t="shared" si="111"/>
        <v>0</v>
      </c>
      <c r="AO87" s="9">
        <f t="shared" si="112"/>
        <v>0</v>
      </c>
      <c r="AP87" s="9">
        <f t="shared" si="113"/>
        <v>4.5</v>
      </c>
      <c r="AQ87" s="9">
        <f t="shared" si="114"/>
        <v>4.5</v>
      </c>
      <c r="AR87" s="939">
        <f t="shared" si="115"/>
        <v>0</v>
      </c>
      <c r="AS87" s="939">
        <f t="shared" si="116"/>
        <v>0.5</v>
      </c>
      <c r="AT87" s="939">
        <f t="shared" si="117"/>
        <v>0.5</v>
      </c>
    </row>
    <row r="88" spans="1:61" s="9" customFormat="1" hidden="1">
      <c r="B88" s="13" t="s">
        <v>3340</v>
      </c>
      <c r="C88" s="937" t="s">
        <v>3348</v>
      </c>
      <c r="E88" s="12"/>
      <c r="I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88"/>
      <c r="Z88" s="41"/>
      <c r="AA88" s="41"/>
      <c r="AB88" s="42"/>
      <c r="AC88" s="42"/>
      <c r="AD88" s="42"/>
      <c r="AE88" s="53"/>
      <c r="AF88" s="6"/>
      <c r="AG88" s="6"/>
      <c r="AH88" s="6"/>
      <c r="AI88" s="902"/>
      <c r="AK88" s="9">
        <f t="shared" si="110"/>
        <v>0</v>
      </c>
      <c r="AL88" s="6"/>
      <c r="AM88" s="6"/>
      <c r="AN88" s="902">
        <f t="shared" si="111"/>
        <v>0</v>
      </c>
      <c r="AO88" s="9">
        <f t="shared" si="112"/>
        <v>0</v>
      </c>
      <c r="AP88" s="9">
        <f t="shared" si="113"/>
        <v>0</v>
      </c>
      <c r="AQ88" s="9">
        <f t="shared" si="114"/>
        <v>0</v>
      </c>
      <c r="AR88" s="939">
        <f t="shared" si="115"/>
        <v>0</v>
      </c>
      <c r="AS88" s="939">
        <f t="shared" si="116"/>
        <v>0</v>
      </c>
      <c r="AT88" s="939">
        <f t="shared" si="117"/>
        <v>0</v>
      </c>
    </row>
    <row r="89" spans="1:61" s="9" customFormat="1" hidden="1">
      <c r="B89" s="13" t="s">
        <v>3341</v>
      </c>
      <c r="C89" s="937" t="s">
        <v>3348</v>
      </c>
      <c r="E89" s="12"/>
      <c r="I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88"/>
      <c r="Z89" s="41"/>
      <c r="AA89" s="41"/>
      <c r="AB89" s="42"/>
      <c r="AC89" s="42"/>
      <c r="AD89" s="42"/>
      <c r="AE89" s="53"/>
      <c r="AF89" s="6"/>
      <c r="AG89" s="6"/>
      <c r="AH89" s="6"/>
      <c r="AI89" s="902"/>
      <c r="AK89" s="9">
        <f t="shared" si="110"/>
        <v>0</v>
      </c>
      <c r="AL89" s="6"/>
      <c r="AM89" s="6"/>
      <c r="AN89" s="902">
        <f t="shared" si="111"/>
        <v>0</v>
      </c>
      <c r="AO89" s="9">
        <f t="shared" si="112"/>
        <v>0</v>
      </c>
      <c r="AP89" s="9">
        <f t="shared" si="113"/>
        <v>0</v>
      </c>
      <c r="AQ89" s="9">
        <f t="shared" si="114"/>
        <v>0</v>
      </c>
      <c r="AR89" s="939">
        <f t="shared" si="115"/>
        <v>0</v>
      </c>
      <c r="AS89" s="939">
        <f t="shared" si="116"/>
        <v>0</v>
      </c>
      <c r="AT89" s="939">
        <f t="shared" si="117"/>
        <v>0</v>
      </c>
    </row>
    <row r="90" spans="1:61" s="9" customFormat="1">
      <c r="B90" s="13" t="s">
        <v>3342</v>
      </c>
      <c r="E90" s="12"/>
      <c r="I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88"/>
      <c r="Z90" s="41"/>
      <c r="AA90" s="41"/>
      <c r="AB90" s="42"/>
      <c r="AC90" s="42"/>
      <c r="AD90" s="42"/>
      <c r="AE90" s="53"/>
      <c r="AF90" s="6"/>
      <c r="AG90" s="6"/>
      <c r="AH90" s="6"/>
      <c r="AI90" s="902"/>
      <c r="AK90" s="9">
        <f t="shared" si="110"/>
        <v>0</v>
      </c>
      <c r="AL90" s="6">
        <v>9</v>
      </c>
      <c r="AM90" s="6"/>
      <c r="AN90" s="902">
        <f t="shared" si="111"/>
        <v>9</v>
      </c>
      <c r="AO90" s="9">
        <f t="shared" si="112"/>
        <v>9</v>
      </c>
      <c r="AP90" s="9">
        <f t="shared" si="113"/>
        <v>0</v>
      </c>
      <c r="AQ90" s="9">
        <f t="shared" si="114"/>
        <v>9</v>
      </c>
      <c r="AR90" s="939">
        <f t="shared" si="115"/>
        <v>1</v>
      </c>
      <c r="AS90" s="939">
        <f t="shared" si="116"/>
        <v>0</v>
      </c>
      <c r="AT90" s="939">
        <f t="shared" si="117"/>
        <v>1</v>
      </c>
    </row>
    <row r="91" spans="1:61" s="9" customFormat="1" hidden="1">
      <c r="B91" s="13" t="s">
        <v>3343</v>
      </c>
      <c r="E91" s="12"/>
      <c r="I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88"/>
      <c r="Z91" s="41"/>
      <c r="AA91" s="41"/>
      <c r="AB91" s="42"/>
      <c r="AC91" s="42"/>
      <c r="AD91" s="42"/>
      <c r="AE91" s="53"/>
      <c r="AF91" s="6"/>
      <c r="AG91" s="6"/>
      <c r="AH91" s="6"/>
      <c r="AI91" s="902"/>
      <c r="AK91" s="9">
        <f t="shared" si="110"/>
        <v>0</v>
      </c>
      <c r="AL91" s="6"/>
      <c r="AM91" s="6"/>
      <c r="AN91" s="902">
        <f t="shared" si="111"/>
        <v>0</v>
      </c>
      <c r="AO91" s="9">
        <f t="shared" si="112"/>
        <v>0</v>
      </c>
      <c r="AP91" s="9">
        <f t="shared" si="113"/>
        <v>0</v>
      </c>
      <c r="AQ91" s="9">
        <f t="shared" si="114"/>
        <v>0</v>
      </c>
      <c r="AR91" s="939">
        <f t="shared" si="115"/>
        <v>0</v>
      </c>
      <c r="AS91" s="939">
        <f t="shared" si="116"/>
        <v>0</v>
      </c>
      <c r="AT91" s="939">
        <f t="shared" si="117"/>
        <v>0</v>
      </c>
    </row>
    <row r="92" spans="1:61" s="9" customFormat="1" hidden="1">
      <c r="B92" s="13" t="s">
        <v>3344</v>
      </c>
      <c r="E92" s="12"/>
      <c r="I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88"/>
      <c r="Z92" s="41"/>
      <c r="AA92" s="41"/>
      <c r="AB92" s="42"/>
      <c r="AC92" s="42"/>
      <c r="AD92" s="42"/>
      <c r="AE92" s="53"/>
      <c r="AF92" s="6"/>
      <c r="AG92" s="6"/>
      <c r="AH92" s="6"/>
      <c r="AI92" s="902"/>
      <c r="AK92" s="9">
        <f t="shared" si="110"/>
        <v>0</v>
      </c>
      <c r="AL92" s="6"/>
      <c r="AM92" s="6"/>
      <c r="AN92" s="902">
        <f t="shared" si="111"/>
        <v>0</v>
      </c>
      <c r="AO92" s="9">
        <f t="shared" si="112"/>
        <v>0</v>
      </c>
      <c r="AP92" s="9">
        <f t="shared" si="113"/>
        <v>0</v>
      </c>
      <c r="AQ92" s="9">
        <f t="shared" si="114"/>
        <v>0</v>
      </c>
      <c r="AR92" s="939">
        <f t="shared" si="115"/>
        <v>0</v>
      </c>
      <c r="AS92" s="939">
        <f t="shared" si="116"/>
        <v>0</v>
      </c>
      <c r="AT92" s="939">
        <f t="shared" si="117"/>
        <v>0</v>
      </c>
    </row>
    <row r="93" spans="1:61" s="9" customFormat="1">
      <c r="A93" s="56"/>
      <c r="B93" s="56" t="s">
        <v>11</v>
      </c>
      <c r="C93" s="54"/>
      <c r="D93" s="54"/>
      <c r="E93" s="54"/>
      <c r="F93" s="54">
        <f t="shared" ref="F93:X93" si="118">SUM(F8:F84)</f>
        <v>5757</v>
      </c>
      <c r="G93" s="54">
        <f t="shared" si="118"/>
        <v>3726</v>
      </c>
      <c r="H93" s="54">
        <f t="shared" si="118"/>
        <v>210</v>
      </c>
      <c r="I93" s="54">
        <f t="shared" si="118"/>
        <v>3936</v>
      </c>
      <c r="J93" s="54">
        <f t="shared" si="118"/>
        <v>7951</v>
      </c>
      <c r="K93" s="54">
        <f t="shared" si="118"/>
        <v>193</v>
      </c>
      <c r="L93" s="54">
        <f t="shared" si="118"/>
        <v>8144</v>
      </c>
      <c r="M93" s="54">
        <f t="shared" si="118"/>
        <v>8113</v>
      </c>
      <c r="N93" s="54">
        <f t="shared" si="118"/>
        <v>346</v>
      </c>
      <c r="O93" s="54">
        <f t="shared" si="118"/>
        <v>8459</v>
      </c>
      <c r="P93" s="54">
        <f t="shared" si="118"/>
        <v>6039</v>
      </c>
      <c r="Q93" s="54">
        <f t="shared" si="118"/>
        <v>256</v>
      </c>
      <c r="R93" s="54">
        <f t="shared" si="118"/>
        <v>6295</v>
      </c>
      <c r="S93" s="54">
        <f t="shared" si="118"/>
        <v>3487</v>
      </c>
      <c r="T93" s="54">
        <f t="shared" si="118"/>
        <v>142</v>
      </c>
      <c r="U93" s="54">
        <f t="shared" si="118"/>
        <v>3629</v>
      </c>
      <c r="V93" s="54">
        <f t="shared" si="118"/>
        <v>3969</v>
      </c>
      <c r="W93" s="54">
        <f t="shared" si="118"/>
        <v>224</v>
      </c>
      <c r="X93" s="54">
        <f t="shared" si="118"/>
        <v>4193</v>
      </c>
      <c r="Y93" s="44">
        <f t="shared" si="102"/>
        <v>33285</v>
      </c>
      <c r="Z93" s="44">
        <f t="shared" si="103"/>
        <v>1371</v>
      </c>
      <c r="AA93" s="44">
        <f t="shared" si="104"/>
        <v>34656</v>
      </c>
      <c r="AB93" s="45">
        <f t="shared" si="105"/>
        <v>5547.5</v>
      </c>
      <c r="AC93" s="45">
        <f t="shared" si="106"/>
        <v>228.5</v>
      </c>
      <c r="AD93" s="45">
        <f t="shared" si="107"/>
        <v>5776</v>
      </c>
      <c r="AF93" s="54">
        <f t="shared" ref="AF93:AV93" si="119">SUM(AF8:AF84)</f>
        <v>6094</v>
      </c>
      <c r="AG93" s="54">
        <f t="shared" si="119"/>
        <v>391</v>
      </c>
      <c r="AH93" s="54">
        <f t="shared" si="119"/>
        <v>6485</v>
      </c>
      <c r="AI93" s="54">
        <f t="shared" si="119"/>
        <v>6419</v>
      </c>
      <c r="AJ93" s="54">
        <f t="shared" si="119"/>
        <v>184</v>
      </c>
      <c r="AK93" s="54">
        <f t="shared" si="119"/>
        <v>6603</v>
      </c>
      <c r="AL93" s="54">
        <f t="shared" si="119"/>
        <v>7298</v>
      </c>
      <c r="AM93" s="54">
        <f t="shared" si="119"/>
        <v>74</v>
      </c>
      <c r="AN93" s="54">
        <f t="shared" si="119"/>
        <v>7372</v>
      </c>
      <c r="AO93" s="54">
        <f t="shared" si="119"/>
        <v>53096</v>
      </c>
      <c r="AP93" s="54">
        <f t="shared" si="119"/>
        <v>1950</v>
      </c>
      <c r="AQ93" s="54">
        <f t="shared" si="119"/>
        <v>55046</v>
      </c>
      <c r="AR93" s="935">
        <f t="shared" si="119"/>
        <v>5899.5555555555557</v>
      </c>
      <c r="AS93" s="935">
        <f t="shared" si="119"/>
        <v>216.66666666666666</v>
      </c>
      <c r="AT93" s="935">
        <f t="shared" si="119"/>
        <v>6116.2222222222217</v>
      </c>
      <c r="AU93" s="54">
        <f t="shared" si="119"/>
        <v>0</v>
      </c>
      <c r="AV93" s="54">
        <f t="shared" si="119"/>
        <v>0</v>
      </c>
      <c r="AW93" s="54"/>
      <c r="AX93" s="54"/>
      <c r="AY93" s="54"/>
      <c r="AZ93" s="54"/>
      <c r="BA93" s="54"/>
      <c r="BB93" s="54"/>
      <c r="BC93" s="54">
        <f t="shared" ref="BC93:BI93" si="120">SUM(BC8:BC84)</f>
        <v>0</v>
      </c>
      <c r="BD93" s="54">
        <f t="shared" si="120"/>
        <v>0</v>
      </c>
      <c r="BE93" s="54">
        <f t="shared" si="120"/>
        <v>0</v>
      </c>
      <c r="BF93" s="54">
        <f t="shared" si="120"/>
        <v>0</v>
      </c>
      <c r="BG93" s="54">
        <f t="shared" si="120"/>
        <v>0</v>
      </c>
      <c r="BH93" s="54">
        <f t="shared" si="120"/>
        <v>0</v>
      </c>
      <c r="BI93" s="54">
        <f t="shared" si="120"/>
        <v>0</v>
      </c>
    </row>
    <row r="94" spans="1:61" ht="14.65" thickBot="1">
      <c r="A94" s="90"/>
      <c r="B94" s="90"/>
      <c r="C94" s="90"/>
      <c r="D94" s="90"/>
      <c r="E94" s="90"/>
      <c r="F94" s="90"/>
      <c r="G94" s="91"/>
      <c r="H94" s="90"/>
      <c r="I94" s="90"/>
      <c r="J94" s="90"/>
      <c r="K94" s="92"/>
      <c r="L94" s="90"/>
      <c r="M94" s="91"/>
      <c r="N94" s="92"/>
      <c r="O94" s="90"/>
      <c r="P94" s="92"/>
      <c r="Q94" s="92"/>
      <c r="R94" s="90"/>
      <c r="S94" s="93"/>
      <c r="T94" s="92"/>
    </row>
    <row r="95" spans="1:61" ht="23.25" customHeight="1">
      <c r="A95" s="75"/>
      <c r="B95" s="76" t="s">
        <v>338</v>
      </c>
      <c r="C95" s="77"/>
      <c r="D95" s="83"/>
      <c r="E95" s="94" t="e">
        <f t="shared" ref="E95" si="121">E61+E37+E36+E3+E2+#REF!+#REF!</f>
        <v>#VALUE!</v>
      </c>
      <c r="F95" s="215">
        <v>3328</v>
      </c>
      <c r="G95" s="215">
        <f>G39+G40+G41+G42+G63+G64+G65+G66+G67+G79+G80+G81+G82</f>
        <v>1791</v>
      </c>
      <c r="H95" s="215">
        <f>H39+H40+H41+H42+H63+H64+H65+H66+H67+H79+H80+H81+H82</f>
        <v>94</v>
      </c>
      <c r="I95" s="215">
        <f>G95+H95</f>
        <v>1885</v>
      </c>
      <c r="J95" s="215">
        <f>J39+J40+J41+J42+J63+J64+J65+J66+J67+J79+J80+J81+J82</f>
        <v>6640</v>
      </c>
      <c r="K95" s="215">
        <f>K39+K40+K41+K42+K63+K64+K65+K66+K67+K79+K80+K81+K82</f>
        <v>146</v>
      </c>
      <c r="L95" s="215">
        <f>J95+K95</f>
        <v>6786</v>
      </c>
      <c r="M95" s="215">
        <f>M39+M40+M41+M42+M63+M64+M65+M66+M67+M79+M80+M81+M82</f>
        <v>6319</v>
      </c>
      <c r="N95" s="215">
        <f>N39+N40+N41+N42+N63+N64+N65+N66+N67+N79+N80+N81+N82</f>
        <v>128</v>
      </c>
      <c r="O95" s="215">
        <f>M95+N95</f>
        <v>6447</v>
      </c>
      <c r="P95" s="215">
        <f>P39+P40+P41+P42+P63+P64+P65+P66+P67+P79+P80+P81+P82</f>
        <v>5569</v>
      </c>
      <c r="Q95" s="215">
        <f>Q39+Q40+Q41+Q42+Q63+Q64+Q65+Q66+Q67+Q79+Q80+Q81+Q82</f>
        <v>0</v>
      </c>
      <c r="R95" s="215">
        <f>P95+Q95</f>
        <v>5569</v>
      </c>
      <c r="S95" s="215">
        <f>S39+S40+S41+S42+S63+S64+S65+S66+S67+S79+S80+S81+S82</f>
        <v>2175</v>
      </c>
      <c r="T95" s="215">
        <f>T39+T40+T41+T42+T63+T64+T65+T66+T67+T79+T80+T81+T82</f>
        <v>142</v>
      </c>
      <c r="U95" s="215">
        <f>S95+T95</f>
        <v>2317</v>
      </c>
      <c r="V95" s="215">
        <f>V39+V40+V41+V42+V63+V64+V65+V66+V67+V79+V80+V81+V82</f>
        <v>3151</v>
      </c>
      <c r="W95" s="215">
        <f>W39+W40+W41+W42+W63+W64+W65+W66+W67+W79+W80+W81+W82</f>
        <v>224</v>
      </c>
      <c r="X95" s="215">
        <f>V95+W95</f>
        <v>3375</v>
      </c>
      <c r="Y95" s="215">
        <f>Y39+Y40+Y41+Y42+Y63+Y64+Y65+Y66+Y67+Y79+Y80+Y81+Y82</f>
        <v>25645</v>
      </c>
      <c r="Z95" s="215">
        <f>Z39+Z40+Z41+Z42+Z63+Z64+Z65+Z66+Z67+Z79+Z80+Z81+Z82</f>
        <v>734</v>
      </c>
      <c r="AA95" s="236">
        <f>Y95+Z95</f>
        <v>26379</v>
      </c>
      <c r="AB95" s="208">
        <f>Y95/6</f>
        <v>4274.166666666667</v>
      </c>
      <c r="AC95" s="208">
        <f>Z95/6</f>
        <v>122.33333333333333</v>
      </c>
      <c r="AD95" s="208">
        <f>AA95/6</f>
        <v>4396.5</v>
      </c>
      <c r="AF95" s="215">
        <f>AF39+AF40+AF41+AF42+AF63+AF64+AF65+AF66+AF67+AF79+AF80+AF81+AF82</f>
        <v>6026</v>
      </c>
      <c r="AG95" s="215">
        <f>AG39+AG40+AG41+AG42+AG63+AG64+AG65+AG66+AG67+AG79+AG80+AG81+AG82</f>
        <v>170</v>
      </c>
      <c r="AH95" s="215">
        <f>AF95+AG95</f>
        <v>6196</v>
      </c>
      <c r="AI95" s="215">
        <f>AI39+AI40+AI41+AI42+AI63+AI64+AI65+AI66+AI67+AI79+AI80+AI81+AI82</f>
        <v>6129</v>
      </c>
      <c r="AJ95" s="215">
        <f>AJ39+AJ40+AJ41+AJ42+AJ63+AJ64+AJ65+AJ66+AJ67+AJ79+AJ80+AJ81+AJ82</f>
        <v>184</v>
      </c>
      <c r="AK95" s="215">
        <f>AI95+AJ95</f>
        <v>6313</v>
      </c>
      <c r="AL95" s="215">
        <f>AL39+AL40+AL41+AL42+AL63+AL64+AL65+AL66+AL67+AL79+AL80+AL81+AL82</f>
        <v>6720</v>
      </c>
      <c r="AM95" s="215">
        <f>AM39+AM40+AM41+AM42+AM63+AM64+AM65+AM66+AM67+AM79+AM80+AM81+AM82</f>
        <v>36</v>
      </c>
      <c r="AN95" s="215">
        <f>AL95+AM95</f>
        <v>6756</v>
      </c>
      <c r="AO95" s="215">
        <f>AO39+AO40+AO41+AO42+AO63+AO64+AO65+AO66+AO67+AO79+AO80+AO81+AO82</f>
        <v>44520</v>
      </c>
      <c r="AP95" s="215">
        <f>AP39+AP40+AP41+AP42+AP63+AP64+AP65+AP66+AP67+AP79+AP80+AP81+AP82</f>
        <v>1124</v>
      </c>
      <c r="AQ95" s="215">
        <f>AO95+AP95</f>
        <v>45644</v>
      </c>
      <c r="AR95" s="940">
        <f>AR39+AR40+AR41+AR42+AR63+AR64+AR65+AR66+AR67+AR79+AR80+AR81+AR82</f>
        <v>4946.666666666667</v>
      </c>
      <c r="AS95" s="940">
        <f>AS39+AS40+AS41+AS42+AS63+AS64+AS65+AS66+AS67+AS79+AS80+AS81+AS82</f>
        <v>124.8888888888889</v>
      </c>
      <c r="AT95" s="940">
        <f>AR95+AS95</f>
        <v>5071.5555555555557</v>
      </c>
      <c r="AU95" s="215">
        <f>AU39+AU40+AU41+AU42+AU63+AU64+AU65+AU66+AU67+AU79+AU80+AU81+AU82</f>
        <v>0</v>
      </c>
      <c r="AV95" s="215">
        <f>AV39+AV40+AV41+AV42+AV63+AV64+AV65+AV66+AV67+AV79+AV80+AV81+AV82</f>
        <v>0</v>
      </c>
      <c r="AW95" s="215"/>
      <c r="AX95" s="215"/>
      <c r="AY95" s="215"/>
      <c r="AZ95" s="215"/>
      <c r="BA95" s="215"/>
      <c r="BB95" s="215"/>
      <c r="BC95" s="215">
        <f>AU95+AV95</f>
        <v>0</v>
      </c>
      <c r="BD95" s="215">
        <f>BD39+BD40+BD41+BD42+BD63+BD64+BD65+BD66+BD67+BD79+BD80+BD81+BD82</f>
        <v>0</v>
      </c>
      <c r="BE95" s="215">
        <f>BE39+BE40+BE41+BE42+BE63+BE64+BE65+BE66+BE67+BE79+BE80+BE81+BE82</f>
        <v>0</v>
      </c>
      <c r="BF95" s="215">
        <f>BD95+BE95</f>
        <v>0</v>
      </c>
      <c r="BG95" s="215">
        <f>BG39+BG40+BG41+BG42+BG63+BG64+BG65+BG66+BG67+BG79+BG80+BG81+BG82</f>
        <v>0</v>
      </c>
      <c r="BH95" s="215">
        <f>BH39+BH40+BH41+BH42+BH63+BH64+BH65+BH66+BH67+BH79+BH80+BH81+BH82</f>
        <v>0</v>
      </c>
      <c r="BI95" s="215">
        <f>BG95+BH95</f>
        <v>0</v>
      </c>
    </row>
    <row r="96" spans="1:61" ht="23.25" customHeight="1">
      <c r="A96" s="78"/>
      <c r="B96" s="7" t="s">
        <v>339</v>
      </c>
      <c r="C96" s="6"/>
      <c r="D96" s="15"/>
      <c r="E96" s="95" t="e">
        <f t="shared" ref="E96:AD96" si="122">E93-E95</f>
        <v>#VALUE!</v>
      </c>
      <c r="F96" s="99">
        <f t="shared" si="122"/>
        <v>2429</v>
      </c>
      <c r="G96" s="99">
        <f t="shared" si="122"/>
        <v>1935</v>
      </c>
      <c r="H96" s="99">
        <f t="shared" si="122"/>
        <v>116</v>
      </c>
      <c r="I96" s="99">
        <f t="shared" si="122"/>
        <v>2051</v>
      </c>
      <c r="J96" s="99">
        <f t="shared" si="122"/>
        <v>1311</v>
      </c>
      <c r="K96" s="99">
        <f t="shared" si="122"/>
        <v>47</v>
      </c>
      <c r="L96" s="99">
        <f t="shared" si="122"/>
        <v>1358</v>
      </c>
      <c r="M96" s="99">
        <f t="shared" si="122"/>
        <v>1794</v>
      </c>
      <c r="N96" s="99">
        <f t="shared" si="122"/>
        <v>218</v>
      </c>
      <c r="O96" s="99">
        <f t="shared" si="122"/>
        <v>2012</v>
      </c>
      <c r="P96" s="99">
        <f t="shared" si="122"/>
        <v>470</v>
      </c>
      <c r="Q96" s="99">
        <f t="shared" si="122"/>
        <v>256</v>
      </c>
      <c r="R96" s="99">
        <f t="shared" si="122"/>
        <v>726</v>
      </c>
      <c r="S96" s="99">
        <f t="shared" si="122"/>
        <v>1312</v>
      </c>
      <c r="T96" s="99">
        <f t="shared" si="122"/>
        <v>0</v>
      </c>
      <c r="U96" s="99">
        <f t="shared" si="122"/>
        <v>1312</v>
      </c>
      <c r="V96" s="99">
        <f t="shared" si="122"/>
        <v>818</v>
      </c>
      <c r="W96" s="99">
        <f t="shared" si="122"/>
        <v>0</v>
      </c>
      <c r="X96" s="99">
        <f t="shared" si="122"/>
        <v>818</v>
      </c>
      <c r="Y96" s="237">
        <f t="shared" si="122"/>
        <v>7640</v>
      </c>
      <c r="Z96" s="237">
        <f t="shared" si="122"/>
        <v>637</v>
      </c>
      <c r="AA96" s="237">
        <f t="shared" si="122"/>
        <v>8277</v>
      </c>
      <c r="AB96" s="238">
        <f t="shared" si="122"/>
        <v>1273.333333333333</v>
      </c>
      <c r="AC96" s="238">
        <f t="shared" si="122"/>
        <v>106.16666666666667</v>
      </c>
      <c r="AD96" s="238">
        <f t="shared" si="122"/>
        <v>1379.5</v>
      </c>
      <c r="AF96" s="99">
        <f>AF93-AF95</f>
        <v>68</v>
      </c>
      <c r="AG96" s="99">
        <f t="shared" ref="AG96:BI96" si="123">AG93-AG95</f>
        <v>221</v>
      </c>
      <c r="AH96" s="99">
        <f t="shared" si="123"/>
        <v>289</v>
      </c>
      <c r="AI96" s="99">
        <f t="shared" si="123"/>
        <v>290</v>
      </c>
      <c r="AJ96" s="99">
        <f t="shared" si="123"/>
        <v>0</v>
      </c>
      <c r="AK96" s="99">
        <f t="shared" si="123"/>
        <v>290</v>
      </c>
      <c r="AL96" s="99">
        <f t="shared" si="123"/>
        <v>578</v>
      </c>
      <c r="AM96" s="99">
        <f t="shared" si="123"/>
        <v>38</v>
      </c>
      <c r="AN96" s="99">
        <f t="shared" si="123"/>
        <v>616</v>
      </c>
      <c r="AO96" s="99">
        <f t="shared" si="123"/>
        <v>8576</v>
      </c>
      <c r="AP96" s="99">
        <f t="shared" si="123"/>
        <v>826</v>
      </c>
      <c r="AQ96" s="99">
        <f t="shared" si="123"/>
        <v>9402</v>
      </c>
      <c r="AR96" s="941">
        <f t="shared" si="123"/>
        <v>952.88888888888869</v>
      </c>
      <c r="AS96" s="941">
        <f t="shared" si="123"/>
        <v>91.777777777777757</v>
      </c>
      <c r="AT96" s="941">
        <f t="shared" si="123"/>
        <v>1044.6666666666661</v>
      </c>
      <c r="AU96" s="99">
        <f t="shared" si="123"/>
        <v>0</v>
      </c>
      <c r="AV96" s="99">
        <f t="shared" si="123"/>
        <v>0</v>
      </c>
      <c r="AW96" s="99"/>
      <c r="AX96" s="99"/>
      <c r="AY96" s="99"/>
      <c r="AZ96" s="99"/>
      <c r="BA96" s="99"/>
      <c r="BB96" s="99"/>
      <c r="BC96" s="99">
        <f t="shared" si="123"/>
        <v>0</v>
      </c>
      <c r="BD96" s="99">
        <f t="shared" si="123"/>
        <v>0</v>
      </c>
      <c r="BE96" s="99">
        <f t="shared" si="123"/>
        <v>0</v>
      </c>
      <c r="BF96" s="99">
        <f t="shared" si="123"/>
        <v>0</v>
      </c>
      <c r="BG96" s="99">
        <f t="shared" si="123"/>
        <v>0</v>
      </c>
      <c r="BH96" s="99">
        <f t="shared" si="123"/>
        <v>0</v>
      </c>
      <c r="BI96" s="99">
        <f t="shared" si="123"/>
        <v>0</v>
      </c>
    </row>
    <row r="97" spans="1:61" ht="19.5" customHeight="1">
      <c r="A97" s="78"/>
      <c r="B97" s="7" t="s">
        <v>340</v>
      </c>
      <c r="C97" s="6"/>
      <c r="D97" s="15"/>
      <c r="E97" s="96" t="e">
        <f>E96/E93%</f>
        <v>#VALUE!</v>
      </c>
      <c r="F97" s="86">
        <f>F96/F93%</f>
        <v>42.19211394823693</v>
      </c>
      <c r="G97" s="216">
        <f t="shared" ref="G97:AD97" si="124">G96/G93%</f>
        <v>51.932367149758456</v>
      </c>
      <c r="H97" s="217">
        <f t="shared" si="124"/>
        <v>55.238095238095234</v>
      </c>
      <c r="I97" s="218">
        <f t="shared" si="124"/>
        <v>52.108739837398375</v>
      </c>
      <c r="J97" s="219">
        <f t="shared" si="124"/>
        <v>16.488492013583198</v>
      </c>
      <c r="K97" s="217">
        <f t="shared" si="124"/>
        <v>24.352331606217618</v>
      </c>
      <c r="L97" s="218">
        <f t="shared" si="124"/>
        <v>16.674852652259332</v>
      </c>
      <c r="M97" s="219">
        <f t="shared" si="124"/>
        <v>22.112658695920128</v>
      </c>
      <c r="N97" s="217">
        <f t="shared" si="124"/>
        <v>63.005780346820806</v>
      </c>
      <c r="O97" s="218">
        <f t="shared" si="124"/>
        <v>23.785317413405838</v>
      </c>
      <c r="P97" s="219">
        <f t="shared" si="124"/>
        <v>7.7827454876635205</v>
      </c>
      <c r="Q97" s="217">
        <f t="shared" si="124"/>
        <v>100</v>
      </c>
      <c r="R97" s="218">
        <f t="shared" si="124"/>
        <v>11.53296266878475</v>
      </c>
      <c r="S97" s="219">
        <f t="shared" si="124"/>
        <v>37.625466016633212</v>
      </c>
      <c r="T97" s="217">
        <f t="shared" si="124"/>
        <v>0</v>
      </c>
      <c r="U97" s="218">
        <f t="shared" si="124"/>
        <v>36.153210250757787</v>
      </c>
      <c r="V97" s="219">
        <f t="shared" si="124"/>
        <v>20.609725371630134</v>
      </c>
      <c r="W97" s="217">
        <f t="shared" si="124"/>
        <v>0</v>
      </c>
      <c r="X97" s="218">
        <f t="shared" si="124"/>
        <v>19.508704984497975</v>
      </c>
      <c r="Y97" s="220">
        <f t="shared" si="124"/>
        <v>22.953282259275948</v>
      </c>
      <c r="Z97" s="221">
        <f t="shared" si="124"/>
        <v>46.462436177972279</v>
      </c>
      <c r="AA97" s="222">
        <f t="shared" si="124"/>
        <v>23.883310249307478</v>
      </c>
      <c r="AB97" s="223">
        <f t="shared" si="124"/>
        <v>22.953282259275944</v>
      </c>
      <c r="AC97" s="224">
        <f t="shared" si="124"/>
        <v>46.462436177972279</v>
      </c>
      <c r="AD97" s="225">
        <f t="shared" si="124"/>
        <v>23.883310249307481</v>
      </c>
      <c r="AF97" s="219">
        <f t="shared" ref="AF97:BI97" si="125">AF96/AF93%</f>
        <v>1.1158516573679029</v>
      </c>
      <c r="AG97" s="217">
        <f t="shared" si="125"/>
        <v>56.521739130434781</v>
      </c>
      <c r="AH97" s="218">
        <f t="shared" si="125"/>
        <v>4.4564379336931381</v>
      </c>
      <c r="AI97" s="219">
        <f t="shared" si="125"/>
        <v>4.5178376694189124</v>
      </c>
      <c r="AJ97" s="217">
        <f t="shared" si="125"/>
        <v>0</v>
      </c>
      <c r="AK97" s="218">
        <f t="shared" si="125"/>
        <v>4.391943056186582</v>
      </c>
      <c r="AL97" s="219">
        <f t="shared" si="125"/>
        <v>7.9199780761852558</v>
      </c>
      <c r="AM97" s="217">
        <f t="shared" si="125"/>
        <v>51.351351351351354</v>
      </c>
      <c r="AN97" s="218">
        <f t="shared" si="125"/>
        <v>8.3559413998914813</v>
      </c>
      <c r="AO97" s="219">
        <f t="shared" si="125"/>
        <v>16.15187584752147</v>
      </c>
      <c r="AP97" s="217">
        <f t="shared" si="125"/>
        <v>42.358974358974358</v>
      </c>
      <c r="AQ97" s="218">
        <f t="shared" si="125"/>
        <v>17.080260146059658</v>
      </c>
      <c r="AR97" s="942">
        <f t="shared" si="125"/>
        <v>16.151875847521467</v>
      </c>
      <c r="AS97" s="943">
        <f t="shared" si="125"/>
        <v>42.358974358974351</v>
      </c>
      <c r="AT97" s="944">
        <f t="shared" si="125"/>
        <v>17.080260146059651</v>
      </c>
      <c r="AU97" s="219" t="e">
        <f t="shared" si="125"/>
        <v>#DIV/0!</v>
      </c>
      <c r="AV97" s="217" t="e">
        <f t="shared" si="125"/>
        <v>#DIV/0!</v>
      </c>
      <c r="AW97" s="695"/>
      <c r="AX97" s="695"/>
      <c r="AY97" s="695"/>
      <c r="AZ97" s="695"/>
      <c r="BA97" s="695"/>
      <c r="BB97" s="695"/>
      <c r="BC97" s="218" t="e">
        <f t="shared" si="125"/>
        <v>#DIV/0!</v>
      </c>
      <c r="BD97" s="219" t="e">
        <f t="shared" si="125"/>
        <v>#DIV/0!</v>
      </c>
      <c r="BE97" s="217" t="e">
        <f t="shared" si="125"/>
        <v>#DIV/0!</v>
      </c>
      <c r="BF97" s="218" t="e">
        <f t="shared" si="125"/>
        <v>#DIV/0!</v>
      </c>
      <c r="BG97" s="219" t="e">
        <f t="shared" si="125"/>
        <v>#DIV/0!</v>
      </c>
      <c r="BH97" s="217" t="e">
        <f t="shared" si="125"/>
        <v>#DIV/0!</v>
      </c>
      <c r="BI97" s="218" t="e">
        <f t="shared" si="125"/>
        <v>#DIV/0!</v>
      </c>
    </row>
    <row r="98" spans="1:61" ht="22.5" customHeight="1" thickBot="1">
      <c r="A98" s="80"/>
      <c r="B98" s="81" t="s">
        <v>341</v>
      </c>
      <c r="C98" s="82"/>
      <c r="D98" s="85"/>
      <c r="E98" s="97" t="e">
        <f>E95/E93%</f>
        <v>#VALUE!</v>
      </c>
      <c r="F98" s="87">
        <f>F95/F93%</f>
        <v>57.80788605176307</v>
      </c>
      <c r="G98" s="226">
        <f t="shared" ref="G98:AD98" si="126">G95/G93%</f>
        <v>48.067632850241552</v>
      </c>
      <c r="H98" s="227">
        <f t="shared" si="126"/>
        <v>44.761904761904759</v>
      </c>
      <c r="I98" s="228">
        <f t="shared" si="126"/>
        <v>47.891260162601625</v>
      </c>
      <c r="J98" s="229">
        <f t="shared" si="126"/>
        <v>83.511507986416802</v>
      </c>
      <c r="K98" s="227">
        <f t="shared" si="126"/>
        <v>75.647668393782382</v>
      </c>
      <c r="L98" s="228">
        <f t="shared" si="126"/>
        <v>83.325147347740668</v>
      </c>
      <c r="M98" s="229">
        <f t="shared" si="126"/>
        <v>77.887341304079882</v>
      </c>
      <c r="N98" s="227">
        <f t="shared" si="126"/>
        <v>36.994219653179194</v>
      </c>
      <c r="O98" s="228">
        <f t="shared" si="126"/>
        <v>76.214682586594151</v>
      </c>
      <c r="P98" s="229">
        <f t="shared" si="126"/>
        <v>92.217254512336481</v>
      </c>
      <c r="Q98" s="227">
        <f t="shared" si="126"/>
        <v>0</v>
      </c>
      <c r="R98" s="228">
        <f t="shared" si="126"/>
        <v>88.467037331215252</v>
      </c>
      <c r="S98" s="229">
        <f t="shared" si="126"/>
        <v>62.374533983366796</v>
      </c>
      <c r="T98" s="227">
        <f t="shared" si="126"/>
        <v>100</v>
      </c>
      <c r="U98" s="228">
        <f t="shared" si="126"/>
        <v>63.84678974924222</v>
      </c>
      <c r="V98" s="229">
        <f t="shared" si="126"/>
        <v>79.390274628369866</v>
      </c>
      <c r="W98" s="227">
        <f t="shared" si="126"/>
        <v>99.999999999999986</v>
      </c>
      <c r="X98" s="228">
        <f t="shared" si="126"/>
        <v>80.491295015502033</v>
      </c>
      <c r="Y98" s="230">
        <f t="shared" si="126"/>
        <v>77.046717740724048</v>
      </c>
      <c r="Z98" s="231">
        <f t="shared" si="126"/>
        <v>53.537563822027714</v>
      </c>
      <c r="AA98" s="232">
        <f t="shared" si="126"/>
        <v>76.116689750692515</v>
      </c>
      <c r="AB98" s="233">
        <f t="shared" si="126"/>
        <v>77.046717740724048</v>
      </c>
      <c r="AC98" s="234">
        <f t="shared" si="126"/>
        <v>53.537563822027714</v>
      </c>
      <c r="AD98" s="235">
        <f t="shared" si="126"/>
        <v>76.11668975069253</v>
      </c>
      <c r="AF98" s="229">
        <f t="shared" ref="AF98:BI98" si="127">AF95/AF93%</f>
        <v>98.884148342632102</v>
      </c>
      <c r="AG98" s="227">
        <f t="shared" si="127"/>
        <v>43.478260869565219</v>
      </c>
      <c r="AH98" s="228">
        <f t="shared" si="127"/>
        <v>95.543562066306876</v>
      </c>
      <c r="AI98" s="229">
        <f t="shared" si="127"/>
        <v>95.48216233058109</v>
      </c>
      <c r="AJ98" s="227">
        <f t="shared" si="127"/>
        <v>100</v>
      </c>
      <c r="AK98" s="228">
        <f t="shared" si="127"/>
        <v>95.608056943813423</v>
      </c>
      <c r="AL98" s="229">
        <f t="shared" si="127"/>
        <v>92.080021923814741</v>
      </c>
      <c r="AM98" s="227">
        <f t="shared" si="127"/>
        <v>48.648648648648653</v>
      </c>
      <c r="AN98" s="228">
        <f t="shared" si="127"/>
        <v>91.644058600108522</v>
      </c>
      <c r="AO98" s="229">
        <f t="shared" si="127"/>
        <v>83.848124152478519</v>
      </c>
      <c r="AP98" s="227">
        <f t="shared" si="127"/>
        <v>57.641025641025642</v>
      </c>
      <c r="AQ98" s="228">
        <f t="shared" si="127"/>
        <v>82.919739853940342</v>
      </c>
      <c r="AR98" s="945">
        <f t="shared" si="127"/>
        <v>83.848124152478533</v>
      </c>
      <c r="AS98" s="946">
        <f t="shared" si="127"/>
        <v>57.641025641025649</v>
      </c>
      <c r="AT98" s="947">
        <f t="shared" si="127"/>
        <v>82.919739853940342</v>
      </c>
      <c r="AU98" s="229" t="e">
        <f t="shared" si="127"/>
        <v>#DIV/0!</v>
      </c>
      <c r="AV98" s="227" t="e">
        <f t="shared" si="127"/>
        <v>#DIV/0!</v>
      </c>
      <c r="AW98" s="936"/>
      <c r="AX98" s="936"/>
      <c r="AY98" s="936"/>
      <c r="AZ98" s="936"/>
      <c r="BA98" s="936"/>
      <c r="BB98" s="936"/>
      <c r="BC98" s="228" t="e">
        <f t="shared" si="127"/>
        <v>#DIV/0!</v>
      </c>
      <c r="BD98" s="229" t="e">
        <f t="shared" si="127"/>
        <v>#DIV/0!</v>
      </c>
      <c r="BE98" s="227" t="e">
        <f t="shared" si="127"/>
        <v>#DIV/0!</v>
      </c>
      <c r="BF98" s="228" t="e">
        <f t="shared" si="127"/>
        <v>#DIV/0!</v>
      </c>
      <c r="BG98" s="229" t="e">
        <f t="shared" si="127"/>
        <v>#DIV/0!</v>
      </c>
      <c r="BH98" s="227" t="e">
        <f t="shared" si="127"/>
        <v>#DIV/0!</v>
      </c>
      <c r="BI98" s="228" t="e">
        <f t="shared" si="127"/>
        <v>#DIV/0!</v>
      </c>
    </row>
    <row r="99" spans="1:61" ht="22.5" customHeight="1"/>
    <row r="100" spans="1:61">
      <c r="AF100" s="657">
        <f>AF93/AB93%</f>
        <v>109.85128436232537</v>
      </c>
      <c r="AG100" s="657">
        <f>AG93/AC93%</f>
        <v>171.11597374179431</v>
      </c>
      <c r="AH100" s="657">
        <f>AH93/AD93%</f>
        <v>112.27493074792244</v>
      </c>
    </row>
  </sheetData>
  <autoFilter ref="A7:BI93">
    <filterColumn colId="43">
      <filters>
        <filter val="1"/>
        <filter val="10"/>
        <filter val="11"/>
        <filter val="122"/>
        <filter val="13"/>
        <filter val="130"/>
        <filter val="14"/>
        <filter val="15"/>
        <filter val="16"/>
        <filter val="178"/>
        <filter val="18"/>
        <filter val="194"/>
        <filter val="2"/>
        <filter val="21"/>
        <filter val="210"/>
        <filter val="23"/>
        <filter val="259"/>
        <filter val="285"/>
        <filter val="29"/>
        <filter val="3"/>
        <filter val="3025"/>
        <filter val="308"/>
        <filter val="33"/>
        <filter val="4"/>
        <filter val="40"/>
        <filter val="41"/>
        <filter val="42"/>
        <filter val="44"/>
        <filter val="45"/>
        <filter val="5"/>
        <filter val="51"/>
        <filter val="59"/>
        <filter val="5900"/>
        <filter val="6"/>
        <filter val="7"/>
        <filter val="71"/>
        <filter val="77"/>
        <filter val="78"/>
        <filter val="79"/>
        <filter val="8"/>
        <filter val="9"/>
      </filters>
    </filterColumn>
  </autoFilter>
  <mergeCells count="15">
    <mergeCell ref="BG6:BI6"/>
    <mergeCell ref="AL6:AN6"/>
    <mergeCell ref="AO6:AQ6"/>
    <mergeCell ref="AR6:AT6"/>
    <mergeCell ref="BD6:BF6"/>
    <mergeCell ref="AU6:AW6"/>
    <mergeCell ref="AX6:AZ6"/>
    <mergeCell ref="BA6:BC6"/>
    <mergeCell ref="AF6:AH6"/>
    <mergeCell ref="AI6:AK6"/>
    <mergeCell ref="E6:E7"/>
    <mergeCell ref="F6:F7"/>
    <mergeCell ref="V6:X6"/>
    <mergeCell ref="Y6:AA6"/>
    <mergeCell ref="AB6:AD6"/>
  </mergeCells>
  <printOptions horizontalCentered="1"/>
  <pageMargins left="0" right="0" top="0" bottom="0" header="0" footer="0"/>
  <pageSetup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6"/>
  </sheetPr>
  <dimension ref="A1:BI106"/>
  <sheetViews>
    <sheetView topLeftCell="B2" workbookViewId="0">
      <pane xSplit="6" ySplit="6" topLeftCell="AN22" activePane="bottomRight" state="frozen"/>
      <selection activeCell="B2" sqref="B2"/>
      <selection pane="topRight" activeCell="G2" sqref="G2"/>
      <selection pane="bottomLeft" activeCell="B8" sqref="B8"/>
      <selection pane="bottomRight" activeCell="AR22" sqref="AR22:AR67"/>
    </sheetView>
  </sheetViews>
  <sheetFormatPr defaultRowHeight="14.25"/>
  <cols>
    <col min="1" max="2" width="4.59765625" customWidth="1"/>
    <col min="3" max="3" width="43.59765625" bestFit="1" customWidth="1"/>
    <col min="4" max="4" width="23.73046875" bestFit="1" customWidth="1"/>
    <col min="5" max="5" width="9.73046875" bestFit="1" customWidth="1"/>
    <col min="6" max="6" width="9.3984375" hidden="1" customWidth="1"/>
    <col min="7" max="7" width="8" customWidth="1"/>
    <col min="8" max="9" width="7.3984375" customWidth="1"/>
    <col min="10" max="10" width="9.1328125" customWidth="1"/>
    <col min="11" max="12" width="7.3984375" customWidth="1"/>
    <col min="13" max="28" width="9.1328125" customWidth="1"/>
    <col min="29" max="29" width="9.59765625" style="24" bestFit="1" customWidth="1"/>
    <col min="30" max="30" width="9.265625" style="24" bestFit="1" customWidth="1"/>
    <col min="31" max="31" width="9.59765625" style="24" bestFit="1" customWidth="1"/>
    <col min="32" max="33" width="9.1328125" style="24"/>
    <col min="34" max="34" width="11.1328125" style="24" customWidth="1"/>
  </cols>
  <sheetData>
    <row r="1" spans="1:61" ht="25.5">
      <c r="A1" s="973" t="s">
        <v>508</v>
      </c>
      <c r="B1" s="974"/>
      <c r="C1" s="974"/>
      <c r="D1" s="974"/>
      <c r="E1" s="974"/>
      <c r="F1" s="974"/>
      <c r="G1" s="974"/>
      <c r="H1" s="974"/>
      <c r="I1" s="974"/>
      <c r="J1" s="974"/>
      <c r="K1" s="23"/>
      <c r="L1" s="23"/>
      <c r="M1" s="23"/>
      <c r="N1" s="29"/>
      <c r="O1" s="29"/>
      <c r="P1" s="29"/>
      <c r="Q1" s="30"/>
      <c r="R1" s="30"/>
      <c r="S1" s="30"/>
      <c r="T1" s="32"/>
      <c r="U1" s="32"/>
      <c r="V1" s="32"/>
      <c r="W1" s="33"/>
      <c r="X1" s="33"/>
      <c r="Y1" s="33"/>
      <c r="Z1" s="33"/>
      <c r="AA1" s="33"/>
      <c r="AB1" s="33"/>
    </row>
    <row r="3" spans="1:61">
      <c r="A3" t="s">
        <v>0</v>
      </c>
    </row>
    <row r="5" spans="1:61">
      <c r="A5" t="s">
        <v>509</v>
      </c>
    </row>
    <row r="6" spans="1:61" ht="36.75" customHeight="1">
      <c r="A6" s="37"/>
      <c r="B6" s="37"/>
      <c r="C6" s="37"/>
      <c r="D6" s="37"/>
      <c r="E6" s="37"/>
      <c r="F6" s="975" t="s">
        <v>2</v>
      </c>
      <c r="G6" s="964" t="s">
        <v>3</v>
      </c>
      <c r="H6" s="38"/>
      <c r="I6" s="38" t="s">
        <v>881</v>
      </c>
      <c r="J6" s="38"/>
      <c r="K6" s="38"/>
      <c r="L6" s="38" t="s">
        <v>888</v>
      </c>
      <c r="M6" s="38"/>
      <c r="N6" s="38"/>
      <c r="O6" s="39"/>
      <c r="P6" s="39" t="s">
        <v>895</v>
      </c>
      <c r="Q6" s="967" t="s">
        <v>900</v>
      </c>
      <c r="R6" s="967"/>
      <c r="S6" s="967"/>
      <c r="T6" s="967" t="s">
        <v>899</v>
      </c>
      <c r="U6" s="967"/>
      <c r="V6" s="967"/>
      <c r="W6" s="967" t="s">
        <v>898</v>
      </c>
      <c r="X6" s="967"/>
      <c r="Y6" s="967"/>
      <c r="Z6" s="970" t="s">
        <v>901</v>
      </c>
      <c r="AA6" s="970"/>
      <c r="AB6" s="970"/>
      <c r="AC6" s="970" t="s">
        <v>902</v>
      </c>
      <c r="AD6" s="970"/>
      <c r="AE6" s="970"/>
      <c r="AF6" s="967" t="s">
        <v>3311</v>
      </c>
      <c r="AG6" s="967"/>
      <c r="AH6" s="967"/>
      <c r="AI6" s="967" t="s">
        <v>3312</v>
      </c>
      <c r="AJ6" s="967"/>
      <c r="AK6" s="967"/>
      <c r="AL6" s="967" t="s">
        <v>3313</v>
      </c>
      <c r="AM6" s="967"/>
      <c r="AN6" s="967"/>
      <c r="AO6" s="970" t="s">
        <v>3332</v>
      </c>
      <c r="AP6" s="970"/>
      <c r="AQ6" s="970"/>
      <c r="AR6" s="969" t="s">
        <v>3335</v>
      </c>
      <c r="AS6" s="969"/>
      <c r="AT6" s="969"/>
      <c r="AU6" s="967" t="s">
        <v>3314</v>
      </c>
      <c r="AV6" s="967"/>
      <c r="AW6" s="967"/>
      <c r="AX6" s="967" t="s">
        <v>3315</v>
      </c>
      <c r="AY6" s="967"/>
      <c r="AZ6" s="967"/>
      <c r="BA6" s="967" t="s">
        <v>3316</v>
      </c>
      <c r="BB6" s="967"/>
      <c r="BC6" s="967"/>
      <c r="BD6" s="970" t="s">
        <v>3317</v>
      </c>
      <c r="BE6" s="970"/>
      <c r="BF6" s="970"/>
      <c r="BG6" s="970" t="s">
        <v>3318</v>
      </c>
      <c r="BH6" s="970"/>
      <c r="BI6" s="970"/>
    </row>
    <row r="7" spans="1:61">
      <c r="A7" s="37" t="s">
        <v>5</v>
      </c>
      <c r="B7" s="37"/>
      <c r="C7" s="34" t="s">
        <v>6</v>
      </c>
      <c r="D7" s="34" t="s">
        <v>7</v>
      </c>
      <c r="E7" s="34" t="s">
        <v>8</v>
      </c>
      <c r="F7" s="975"/>
      <c r="G7" s="964"/>
      <c r="H7" s="34" t="s">
        <v>9</v>
      </c>
      <c r="I7" s="37" t="s">
        <v>10</v>
      </c>
      <c r="J7" s="37" t="s">
        <v>11</v>
      </c>
      <c r="K7" s="34" t="s">
        <v>9</v>
      </c>
      <c r="L7" s="37" t="s">
        <v>10</v>
      </c>
      <c r="M7" s="37" t="s">
        <v>11</v>
      </c>
      <c r="N7" s="34" t="s">
        <v>9</v>
      </c>
      <c r="O7" s="37" t="s">
        <v>10</v>
      </c>
      <c r="P7" s="37" t="s">
        <v>11</v>
      </c>
      <c r="Q7" s="34" t="s">
        <v>9</v>
      </c>
      <c r="R7" s="37" t="s">
        <v>10</v>
      </c>
      <c r="S7" s="37" t="s">
        <v>11</v>
      </c>
      <c r="T7" s="34" t="s">
        <v>9</v>
      </c>
      <c r="U7" s="34" t="s">
        <v>10</v>
      </c>
      <c r="V7" s="34" t="s">
        <v>11</v>
      </c>
      <c r="W7" s="34" t="s">
        <v>9</v>
      </c>
      <c r="X7" s="34" t="s">
        <v>10</v>
      </c>
      <c r="Y7" s="34" t="s">
        <v>11</v>
      </c>
      <c r="Z7" s="63" t="s">
        <v>9</v>
      </c>
      <c r="AA7" s="63" t="s">
        <v>10</v>
      </c>
      <c r="AB7" s="63" t="s">
        <v>11</v>
      </c>
      <c r="AC7" s="63" t="s">
        <v>9</v>
      </c>
      <c r="AD7" s="63" t="s">
        <v>10</v>
      </c>
      <c r="AE7" s="63" t="s">
        <v>11</v>
      </c>
      <c r="AF7" s="685" t="s">
        <v>9</v>
      </c>
      <c r="AG7" s="685" t="s">
        <v>10</v>
      </c>
      <c r="AH7" s="685" t="s">
        <v>11</v>
      </c>
      <c r="AI7" s="685" t="s">
        <v>9</v>
      </c>
      <c r="AJ7" s="685" t="s">
        <v>10</v>
      </c>
      <c r="AK7" s="685" t="s">
        <v>11</v>
      </c>
      <c r="AL7" s="685" t="s">
        <v>9</v>
      </c>
      <c r="AM7" s="685" t="s">
        <v>10</v>
      </c>
      <c r="AN7" s="685" t="s">
        <v>11</v>
      </c>
      <c r="AO7" s="63" t="s">
        <v>9</v>
      </c>
      <c r="AP7" s="63" t="s">
        <v>10</v>
      </c>
      <c r="AQ7" s="63" t="s">
        <v>11</v>
      </c>
      <c r="AR7" s="949" t="s">
        <v>9</v>
      </c>
      <c r="AS7" s="949" t="s">
        <v>10</v>
      </c>
      <c r="AT7" s="949" t="s">
        <v>11</v>
      </c>
      <c r="AU7" s="685" t="s">
        <v>9</v>
      </c>
      <c r="AV7" s="685" t="s">
        <v>10</v>
      </c>
      <c r="AW7" s="925" t="s">
        <v>2780</v>
      </c>
      <c r="AX7" s="925" t="s">
        <v>9</v>
      </c>
      <c r="AY7" s="925" t="s">
        <v>10</v>
      </c>
      <c r="AZ7" s="925" t="s">
        <v>2780</v>
      </c>
      <c r="BA7" s="925" t="s">
        <v>9</v>
      </c>
      <c r="BB7" s="925" t="s">
        <v>10</v>
      </c>
      <c r="BC7" s="925" t="s">
        <v>2780</v>
      </c>
      <c r="BD7" s="64"/>
      <c r="BE7" s="64"/>
      <c r="BF7" s="64"/>
      <c r="BG7" s="64"/>
      <c r="BH7" s="64"/>
      <c r="BI7" s="64"/>
    </row>
    <row r="8" spans="1:61" ht="15.75" hidden="1">
      <c r="A8" s="6">
        <v>1</v>
      </c>
      <c r="B8" s="6">
        <v>1</v>
      </c>
      <c r="C8" s="672" t="s">
        <v>2844</v>
      </c>
      <c r="D8" s="6" t="s">
        <v>510</v>
      </c>
      <c r="E8" s="6" t="s">
        <v>511</v>
      </c>
      <c r="F8" s="6">
        <v>25</v>
      </c>
      <c r="G8" s="17">
        <v>18</v>
      </c>
      <c r="H8" s="6"/>
      <c r="I8" s="6"/>
      <c r="J8" s="6">
        <f>SUM(H8:I8)</f>
        <v>0</v>
      </c>
      <c r="K8" s="6"/>
      <c r="L8" s="6"/>
      <c r="M8" s="6">
        <f>SUM(K8:L8)</f>
        <v>0</v>
      </c>
      <c r="N8" s="6"/>
      <c r="O8" s="6"/>
      <c r="P8" s="6">
        <f>SUM(N8:O8)</f>
        <v>0</v>
      </c>
      <c r="Q8" s="6"/>
      <c r="R8" s="6"/>
      <c r="S8" s="6">
        <f>SUM(Q8:R8)</f>
        <v>0</v>
      </c>
      <c r="T8" s="6"/>
      <c r="U8" s="6"/>
      <c r="V8" s="6">
        <f>T8+U8</f>
        <v>0</v>
      </c>
      <c r="W8" s="6"/>
      <c r="X8" s="6"/>
      <c r="Y8" s="98">
        <f>W8+X8</f>
        <v>0</v>
      </c>
      <c r="Z8" s="64">
        <f>H8+K8+N8+Q8+T8+W8</f>
        <v>0</v>
      </c>
      <c r="AA8" s="64">
        <f>I8+L8+O8+R8+U8+X8</f>
        <v>0</v>
      </c>
      <c r="AB8" s="64">
        <f>J8+M8+P8+S8+V8+Y8</f>
        <v>0</v>
      </c>
      <c r="AC8" s="68">
        <f>Z8/6</f>
        <v>0</v>
      </c>
      <c r="AD8" s="68">
        <f>AA8/6</f>
        <v>0</v>
      </c>
      <c r="AE8" s="68">
        <f>AB8/6</f>
        <v>0</v>
      </c>
      <c r="AF8" s="6"/>
      <c r="AG8" s="6"/>
      <c r="AH8" s="904">
        <f>AF8+AG8</f>
        <v>0</v>
      </c>
      <c r="AI8" s="6"/>
      <c r="AJ8" s="6"/>
      <c r="AK8" s="6">
        <f>AI8+AJ8</f>
        <v>0</v>
      </c>
      <c r="AL8" s="6"/>
      <c r="AM8" s="6"/>
      <c r="AN8" s="98">
        <f>AL8+AM8</f>
        <v>0</v>
      </c>
      <c r="AO8" s="6">
        <f>Z8+AF8+AI8+AL8</f>
        <v>0</v>
      </c>
      <c r="AP8" s="6">
        <f>AA8+AG8+AJ8+AM8</f>
        <v>0</v>
      </c>
      <c r="AQ8" s="6">
        <f>AB8+AH8+AK8+AN8</f>
        <v>0</v>
      </c>
      <c r="AR8" s="943">
        <f t="shared" ref="AR8:AT9" si="0">AO8/9</f>
        <v>0</v>
      </c>
      <c r="AS8" s="943">
        <f t="shared" si="0"/>
        <v>0</v>
      </c>
      <c r="AT8" s="943">
        <f t="shared" si="0"/>
        <v>0</v>
      </c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spans="1:61" ht="18" hidden="1">
      <c r="A9" s="6">
        <v>2</v>
      </c>
      <c r="B9" s="6">
        <v>2</v>
      </c>
      <c r="C9" s="16" t="s">
        <v>512</v>
      </c>
      <c r="D9" s="6" t="s">
        <v>510</v>
      </c>
      <c r="E9" s="6" t="s">
        <v>513</v>
      </c>
      <c r="F9" s="6">
        <v>30</v>
      </c>
      <c r="G9" s="17">
        <v>10</v>
      </c>
      <c r="H9" s="6">
        <v>25</v>
      </c>
      <c r="I9" s="6"/>
      <c r="J9" s="6">
        <f t="shared" ref="J9:J72" si="1">SUM(H9:I9)</f>
        <v>25</v>
      </c>
      <c r="K9" s="6"/>
      <c r="L9" s="6"/>
      <c r="M9" s="6">
        <f t="shared" ref="M9:M72" si="2">SUM(K9:L9)</f>
        <v>0</v>
      </c>
      <c r="N9" s="6">
        <v>25</v>
      </c>
      <c r="O9" s="6"/>
      <c r="P9" s="6">
        <f t="shared" ref="P9:P72" si="3">SUM(N9:O9)</f>
        <v>25</v>
      </c>
      <c r="Q9" s="6">
        <v>20</v>
      </c>
      <c r="R9" s="6"/>
      <c r="S9" s="6">
        <f t="shared" ref="S9:S72" si="4">SUM(Q9:R9)</f>
        <v>20</v>
      </c>
      <c r="T9" s="6">
        <v>25</v>
      </c>
      <c r="U9" s="6"/>
      <c r="V9" s="6">
        <f t="shared" ref="V9:V72" si="5">T9+U9</f>
        <v>25</v>
      </c>
      <c r="W9" s="6"/>
      <c r="X9" s="6"/>
      <c r="Y9" s="98">
        <f t="shared" ref="Y9:Y72" si="6">W9+X9</f>
        <v>0</v>
      </c>
      <c r="Z9" s="64">
        <f t="shared" ref="Z9:Z72" si="7">H9+K9+N9+Q9+T9+W9</f>
        <v>95</v>
      </c>
      <c r="AA9" s="64">
        <f t="shared" ref="AA9:AA72" si="8">I9+L9+O9+R9+U9+X9</f>
        <v>0</v>
      </c>
      <c r="AB9" s="64">
        <f t="shared" ref="AB9:AB72" si="9">J9+M9+P9+S9+V9+Y9</f>
        <v>95</v>
      </c>
      <c r="AC9" s="65">
        <f t="shared" ref="AC9:AC72" si="10">Z9/6</f>
        <v>15.833333333333334</v>
      </c>
      <c r="AD9" s="65">
        <f t="shared" ref="AD9:AD72" si="11">AA9/6</f>
        <v>0</v>
      </c>
      <c r="AE9" s="65">
        <f t="shared" ref="AE9:AE72" si="12">AB9/6</f>
        <v>15.833333333333334</v>
      </c>
      <c r="AF9" s="6"/>
      <c r="AG9" s="6"/>
      <c r="AH9" s="904">
        <f t="shared" ref="AH9:AH72" si="13">AF9+AG9</f>
        <v>0</v>
      </c>
      <c r="AI9" s="6">
        <v>30</v>
      </c>
      <c r="AJ9" s="6"/>
      <c r="AK9" s="6">
        <f t="shared" ref="AK9:AK72" si="14">AI9+AJ9</f>
        <v>30</v>
      </c>
      <c r="AL9" s="6">
        <v>50</v>
      </c>
      <c r="AM9" s="6"/>
      <c r="AN9" s="98">
        <f t="shared" ref="AN9:AN72" si="15">AL9+AM9</f>
        <v>50</v>
      </c>
      <c r="AO9" s="6">
        <f t="shared" ref="AO9:AO72" si="16">Z9+AF9+AI9+AL9</f>
        <v>175</v>
      </c>
      <c r="AP9" s="6">
        <f t="shared" ref="AP9:AP72" si="17">AA9+AG9+AJ9+AM9</f>
        <v>0</v>
      </c>
      <c r="AQ9" s="6">
        <f t="shared" ref="AQ9:AQ72" si="18">AB9+AH9+AK9+AN9</f>
        <v>175</v>
      </c>
      <c r="AR9" s="943">
        <f t="shared" si="0"/>
        <v>19.444444444444443</v>
      </c>
      <c r="AS9" s="943">
        <f t="shared" si="0"/>
        <v>0</v>
      </c>
      <c r="AT9" s="943">
        <f t="shared" si="0"/>
        <v>19.444444444444443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61" ht="18" hidden="1">
      <c r="A10" s="6">
        <v>3</v>
      </c>
      <c r="B10" s="6">
        <v>3</v>
      </c>
      <c r="C10" s="16" t="s">
        <v>514</v>
      </c>
      <c r="D10" s="6" t="s">
        <v>510</v>
      </c>
      <c r="E10" s="6" t="s">
        <v>515</v>
      </c>
      <c r="F10" s="6">
        <v>20</v>
      </c>
      <c r="G10" s="17">
        <v>15</v>
      </c>
      <c r="H10" s="6"/>
      <c r="I10" s="6"/>
      <c r="J10" s="6">
        <f t="shared" si="1"/>
        <v>0</v>
      </c>
      <c r="K10" s="6">
        <v>75</v>
      </c>
      <c r="L10" s="6"/>
      <c r="M10" s="6">
        <f t="shared" si="2"/>
        <v>75</v>
      </c>
      <c r="N10" s="6"/>
      <c r="O10" s="6"/>
      <c r="P10" s="6">
        <f t="shared" si="3"/>
        <v>0</v>
      </c>
      <c r="Q10" s="6"/>
      <c r="R10" s="6"/>
      <c r="S10" s="6">
        <f t="shared" si="4"/>
        <v>0</v>
      </c>
      <c r="T10" s="6"/>
      <c r="U10" s="6"/>
      <c r="V10" s="6">
        <f t="shared" si="5"/>
        <v>0</v>
      </c>
      <c r="W10" s="6"/>
      <c r="X10" s="6"/>
      <c r="Y10" s="98">
        <f t="shared" si="6"/>
        <v>0</v>
      </c>
      <c r="Z10" s="64">
        <f t="shared" si="7"/>
        <v>75</v>
      </c>
      <c r="AA10" s="64">
        <f t="shared" si="8"/>
        <v>0</v>
      </c>
      <c r="AB10" s="64">
        <f t="shared" si="9"/>
        <v>75</v>
      </c>
      <c r="AC10" s="65">
        <f t="shared" si="10"/>
        <v>12.5</v>
      </c>
      <c r="AD10" s="65">
        <f t="shared" si="11"/>
        <v>0</v>
      </c>
      <c r="AE10" s="65">
        <f t="shared" si="12"/>
        <v>12.5</v>
      </c>
      <c r="AF10" s="6"/>
      <c r="AG10" s="6"/>
      <c r="AH10" s="904">
        <f t="shared" si="13"/>
        <v>0</v>
      </c>
      <c r="AI10" s="6">
        <v>40</v>
      </c>
      <c r="AJ10" s="6"/>
      <c r="AK10" s="6">
        <f t="shared" si="14"/>
        <v>40</v>
      </c>
      <c r="AL10" s="6"/>
      <c r="AM10" s="6"/>
      <c r="AN10" s="98">
        <f t="shared" si="15"/>
        <v>0</v>
      </c>
      <c r="AO10" s="6">
        <f t="shared" si="16"/>
        <v>115</v>
      </c>
      <c r="AP10" s="6">
        <f t="shared" si="17"/>
        <v>0</v>
      </c>
      <c r="AQ10" s="6">
        <f t="shared" si="18"/>
        <v>115</v>
      </c>
      <c r="AR10" s="943">
        <f t="shared" ref="AR10:AR73" si="19">AO10/9</f>
        <v>12.777777777777779</v>
      </c>
      <c r="AS10" s="943">
        <f t="shared" ref="AS10:AS73" si="20">AP10/9</f>
        <v>0</v>
      </c>
      <c r="AT10" s="943">
        <f t="shared" ref="AT10:AT73" si="21">AQ10/9</f>
        <v>12.777777777777779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spans="1:61" ht="18" hidden="1">
      <c r="A11" s="6">
        <v>4</v>
      </c>
      <c r="B11" s="6">
        <v>4</v>
      </c>
      <c r="C11" s="16" t="s">
        <v>408</v>
      </c>
      <c r="D11" s="6" t="s">
        <v>510</v>
      </c>
      <c r="E11" s="6" t="s">
        <v>516</v>
      </c>
      <c r="F11" s="6">
        <v>25</v>
      </c>
      <c r="G11" s="17">
        <v>10</v>
      </c>
      <c r="H11" s="6">
        <v>20</v>
      </c>
      <c r="I11" s="6"/>
      <c r="J11" s="6">
        <f t="shared" si="1"/>
        <v>20</v>
      </c>
      <c r="K11" s="6">
        <v>10</v>
      </c>
      <c r="L11" s="6"/>
      <c r="M11" s="6">
        <f t="shared" si="2"/>
        <v>10</v>
      </c>
      <c r="N11" s="6">
        <v>5</v>
      </c>
      <c r="O11" s="6"/>
      <c r="P11" s="6">
        <f t="shared" si="3"/>
        <v>5</v>
      </c>
      <c r="Q11" s="6"/>
      <c r="R11" s="6"/>
      <c r="S11" s="6">
        <f t="shared" si="4"/>
        <v>0</v>
      </c>
      <c r="T11" s="6"/>
      <c r="U11" s="6"/>
      <c r="V11" s="6">
        <f t="shared" si="5"/>
        <v>0</v>
      </c>
      <c r="W11" s="6"/>
      <c r="X11" s="6"/>
      <c r="Y11" s="98">
        <f t="shared" si="6"/>
        <v>0</v>
      </c>
      <c r="Z11" s="64">
        <f t="shared" si="7"/>
        <v>35</v>
      </c>
      <c r="AA11" s="64">
        <f t="shared" si="8"/>
        <v>0</v>
      </c>
      <c r="AB11" s="64">
        <f t="shared" si="9"/>
        <v>35</v>
      </c>
      <c r="AC11" s="65">
        <f t="shared" si="10"/>
        <v>5.833333333333333</v>
      </c>
      <c r="AD11" s="65">
        <f t="shared" si="11"/>
        <v>0</v>
      </c>
      <c r="AE11" s="65">
        <f t="shared" si="12"/>
        <v>5.833333333333333</v>
      </c>
      <c r="AF11" s="6"/>
      <c r="AG11" s="6"/>
      <c r="AH11" s="904">
        <f t="shared" si="13"/>
        <v>0</v>
      </c>
      <c r="AI11" s="6"/>
      <c r="AJ11" s="6"/>
      <c r="AK11" s="6">
        <f t="shared" si="14"/>
        <v>0</v>
      </c>
      <c r="AL11" s="6"/>
      <c r="AM11" s="6"/>
      <c r="AN11" s="98">
        <f t="shared" si="15"/>
        <v>0</v>
      </c>
      <c r="AO11" s="6">
        <f t="shared" si="16"/>
        <v>35</v>
      </c>
      <c r="AP11" s="6">
        <f t="shared" si="17"/>
        <v>0</v>
      </c>
      <c r="AQ11" s="6">
        <f t="shared" si="18"/>
        <v>35</v>
      </c>
      <c r="AR11" s="943">
        <f t="shared" si="19"/>
        <v>3.8888888888888888</v>
      </c>
      <c r="AS11" s="943">
        <f t="shared" si="20"/>
        <v>0</v>
      </c>
      <c r="AT11" s="943">
        <f t="shared" si="21"/>
        <v>3.8888888888888888</v>
      </c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spans="1:61" ht="18" hidden="1">
      <c r="A12" s="6">
        <v>5</v>
      </c>
      <c r="B12" s="6">
        <v>5</v>
      </c>
      <c r="C12" s="16" t="s">
        <v>517</v>
      </c>
      <c r="D12" s="6" t="s">
        <v>510</v>
      </c>
      <c r="E12" s="6" t="s">
        <v>518</v>
      </c>
      <c r="F12" s="6">
        <v>30</v>
      </c>
      <c r="G12" s="17">
        <v>20</v>
      </c>
      <c r="H12" s="6"/>
      <c r="I12" s="6">
        <v>18</v>
      </c>
      <c r="J12" s="6">
        <f t="shared" si="1"/>
        <v>18</v>
      </c>
      <c r="K12" s="6"/>
      <c r="L12" s="6">
        <v>18</v>
      </c>
      <c r="M12" s="6">
        <f t="shared" si="2"/>
        <v>18</v>
      </c>
      <c r="N12" s="6"/>
      <c r="O12" s="6"/>
      <c r="P12" s="6">
        <f t="shared" si="3"/>
        <v>0</v>
      </c>
      <c r="Q12" s="6"/>
      <c r="R12" s="6"/>
      <c r="S12" s="6">
        <f t="shared" si="4"/>
        <v>0</v>
      </c>
      <c r="T12" s="6"/>
      <c r="U12" s="6"/>
      <c r="V12" s="6">
        <f t="shared" si="5"/>
        <v>0</v>
      </c>
      <c r="W12" s="6"/>
      <c r="X12" s="6">
        <v>18</v>
      </c>
      <c r="Y12" s="98">
        <f t="shared" si="6"/>
        <v>18</v>
      </c>
      <c r="Z12" s="64">
        <f t="shared" si="7"/>
        <v>0</v>
      </c>
      <c r="AA12" s="64">
        <f t="shared" si="8"/>
        <v>54</v>
      </c>
      <c r="AB12" s="64">
        <f t="shared" si="9"/>
        <v>54</v>
      </c>
      <c r="AC12" s="65">
        <f t="shared" si="10"/>
        <v>0</v>
      </c>
      <c r="AD12" s="65">
        <f t="shared" si="11"/>
        <v>9</v>
      </c>
      <c r="AE12" s="65">
        <f t="shared" si="12"/>
        <v>9</v>
      </c>
      <c r="AF12" s="6">
        <v>60</v>
      </c>
      <c r="AG12" s="6">
        <v>38</v>
      </c>
      <c r="AH12" s="904">
        <f t="shared" si="13"/>
        <v>98</v>
      </c>
      <c r="AI12" s="6">
        <v>50</v>
      </c>
      <c r="AJ12" s="6"/>
      <c r="AK12" s="6">
        <f t="shared" si="14"/>
        <v>50</v>
      </c>
      <c r="AL12" s="6"/>
      <c r="AM12" s="6"/>
      <c r="AN12" s="98">
        <f t="shared" si="15"/>
        <v>0</v>
      </c>
      <c r="AO12" s="6">
        <f t="shared" si="16"/>
        <v>110</v>
      </c>
      <c r="AP12" s="6">
        <f t="shared" si="17"/>
        <v>92</v>
      </c>
      <c r="AQ12" s="6">
        <f t="shared" si="18"/>
        <v>202</v>
      </c>
      <c r="AR12" s="943">
        <f t="shared" si="19"/>
        <v>12.222222222222221</v>
      </c>
      <c r="AS12" s="943">
        <f t="shared" si="20"/>
        <v>10.222222222222221</v>
      </c>
      <c r="AT12" s="943">
        <f t="shared" si="21"/>
        <v>22.444444444444443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spans="1:61" ht="18" hidden="1">
      <c r="A13" s="6">
        <v>6</v>
      </c>
      <c r="B13" s="6">
        <v>6</v>
      </c>
      <c r="C13" s="16" t="s">
        <v>519</v>
      </c>
      <c r="D13" s="6" t="s">
        <v>510</v>
      </c>
      <c r="E13" s="6" t="s">
        <v>520</v>
      </c>
      <c r="F13" s="18">
        <v>35</v>
      </c>
      <c r="G13" s="17">
        <v>20</v>
      </c>
      <c r="H13" s="6">
        <v>20</v>
      </c>
      <c r="I13" s="6"/>
      <c r="J13" s="6">
        <f t="shared" si="1"/>
        <v>20</v>
      </c>
      <c r="K13" s="6"/>
      <c r="L13" s="6"/>
      <c r="M13" s="6">
        <f t="shared" si="2"/>
        <v>0</v>
      </c>
      <c r="N13" s="6"/>
      <c r="O13" s="6"/>
      <c r="P13" s="6">
        <f t="shared" si="3"/>
        <v>0</v>
      </c>
      <c r="Q13" s="6"/>
      <c r="R13" s="6"/>
      <c r="S13" s="6">
        <f t="shared" si="4"/>
        <v>0</v>
      </c>
      <c r="T13" s="6"/>
      <c r="U13" s="6"/>
      <c r="V13" s="6">
        <f t="shared" si="5"/>
        <v>0</v>
      </c>
      <c r="W13" s="6"/>
      <c r="X13" s="6"/>
      <c r="Y13" s="98">
        <f t="shared" si="6"/>
        <v>0</v>
      </c>
      <c r="Z13" s="64">
        <f t="shared" si="7"/>
        <v>20</v>
      </c>
      <c r="AA13" s="64">
        <f t="shared" si="8"/>
        <v>0</v>
      </c>
      <c r="AB13" s="64">
        <f t="shared" si="9"/>
        <v>20</v>
      </c>
      <c r="AC13" s="65">
        <f t="shared" si="10"/>
        <v>3.3333333333333335</v>
      </c>
      <c r="AD13" s="65">
        <f t="shared" si="11"/>
        <v>0</v>
      </c>
      <c r="AE13" s="65">
        <f t="shared" si="12"/>
        <v>3.3333333333333335</v>
      </c>
      <c r="AF13" s="6"/>
      <c r="AG13" s="6"/>
      <c r="AH13" s="904">
        <f t="shared" si="13"/>
        <v>0</v>
      </c>
      <c r="AI13" s="6">
        <v>20</v>
      </c>
      <c r="AJ13" s="6"/>
      <c r="AK13" s="6">
        <f t="shared" si="14"/>
        <v>20</v>
      </c>
      <c r="AL13" s="6">
        <v>100</v>
      </c>
      <c r="AM13" s="6"/>
      <c r="AN13" s="98">
        <f t="shared" si="15"/>
        <v>100</v>
      </c>
      <c r="AO13" s="6">
        <f t="shared" si="16"/>
        <v>140</v>
      </c>
      <c r="AP13" s="6">
        <f t="shared" si="17"/>
        <v>0</v>
      </c>
      <c r="AQ13" s="6">
        <f t="shared" si="18"/>
        <v>140</v>
      </c>
      <c r="AR13" s="943">
        <f t="shared" si="19"/>
        <v>15.555555555555555</v>
      </c>
      <c r="AS13" s="943">
        <f t="shared" si="20"/>
        <v>0</v>
      </c>
      <c r="AT13" s="943">
        <f t="shared" si="21"/>
        <v>15.555555555555555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spans="1:61" ht="15.75" hidden="1">
      <c r="A14" s="6">
        <v>7</v>
      </c>
      <c r="B14" s="6">
        <v>7</v>
      </c>
      <c r="C14" s="186" t="s">
        <v>521</v>
      </c>
      <c r="D14" s="6" t="s">
        <v>510</v>
      </c>
      <c r="E14" s="6" t="s">
        <v>522</v>
      </c>
      <c r="F14" s="6">
        <v>30</v>
      </c>
      <c r="G14" s="17">
        <v>25</v>
      </c>
      <c r="H14" s="6">
        <v>52</v>
      </c>
      <c r="I14" s="6"/>
      <c r="J14" s="6">
        <f t="shared" si="1"/>
        <v>52</v>
      </c>
      <c r="K14" s="6">
        <v>88</v>
      </c>
      <c r="L14" s="6">
        <v>18</v>
      </c>
      <c r="M14" s="6">
        <f t="shared" si="2"/>
        <v>106</v>
      </c>
      <c r="N14" s="6">
        <v>92</v>
      </c>
      <c r="O14" s="6">
        <v>9</v>
      </c>
      <c r="P14" s="6">
        <f t="shared" si="3"/>
        <v>101</v>
      </c>
      <c r="Q14" s="6"/>
      <c r="R14" s="6"/>
      <c r="S14" s="6">
        <f t="shared" si="4"/>
        <v>0</v>
      </c>
      <c r="T14" s="6"/>
      <c r="U14" s="6"/>
      <c r="V14" s="6">
        <f t="shared" si="5"/>
        <v>0</v>
      </c>
      <c r="W14" s="6"/>
      <c r="X14" s="6"/>
      <c r="Y14" s="98">
        <f t="shared" si="6"/>
        <v>0</v>
      </c>
      <c r="Z14" s="64">
        <f t="shared" si="7"/>
        <v>232</v>
      </c>
      <c r="AA14" s="64">
        <f t="shared" si="8"/>
        <v>27</v>
      </c>
      <c r="AB14" s="64">
        <f t="shared" si="9"/>
        <v>259</v>
      </c>
      <c r="AC14" s="65">
        <f t="shared" si="10"/>
        <v>38.666666666666664</v>
      </c>
      <c r="AD14" s="65">
        <f t="shared" si="11"/>
        <v>4.5</v>
      </c>
      <c r="AE14" s="65">
        <f t="shared" si="12"/>
        <v>43.166666666666664</v>
      </c>
      <c r="AF14" s="6"/>
      <c r="AG14" s="6"/>
      <c r="AH14" s="904">
        <f t="shared" si="13"/>
        <v>0</v>
      </c>
      <c r="AI14" s="6">
        <v>75</v>
      </c>
      <c r="AJ14" s="6"/>
      <c r="AK14" s="6">
        <f t="shared" si="14"/>
        <v>75</v>
      </c>
      <c r="AL14" s="6"/>
      <c r="AM14" s="6"/>
      <c r="AN14" s="98">
        <f t="shared" si="15"/>
        <v>0</v>
      </c>
      <c r="AO14" s="6">
        <f t="shared" si="16"/>
        <v>307</v>
      </c>
      <c r="AP14" s="6">
        <f t="shared" si="17"/>
        <v>27</v>
      </c>
      <c r="AQ14" s="6">
        <f t="shared" si="18"/>
        <v>334</v>
      </c>
      <c r="AR14" s="943">
        <f t="shared" si="19"/>
        <v>34.111111111111114</v>
      </c>
      <c r="AS14" s="943">
        <f t="shared" si="20"/>
        <v>3</v>
      </c>
      <c r="AT14" s="943">
        <f t="shared" si="21"/>
        <v>37.111111111111114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 spans="1:61" ht="18" hidden="1">
      <c r="A15" s="6">
        <v>8</v>
      </c>
      <c r="B15" s="6">
        <v>8</v>
      </c>
      <c r="C15" s="16" t="s">
        <v>523</v>
      </c>
      <c r="D15" s="6" t="s">
        <v>510</v>
      </c>
      <c r="E15" s="6" t="s">
        <v>524</v>
      </c>
      <c r="F15" s="6">
        <v>30</v>
      </c>
      <c r="G15" s="17">
        <v>25</v>
      </c>
      <c r="H15" s="6">
        <v>25</v>
      </c>
      <c r="I15" s="6"/>
      <c r="J15" s="6">
        <f t="shared" si="1"/>
        <v>25</v>
      </c>
      <c r="K15" s="6"/>
      <c r="L15" s="6"/>
      <c r="M15" s="6">
        <f t="shared" si="2"/>
        <v>0</v>
      </c>
      <c r="N15" s="6">
        <v>25</v>
      </c>
      <c r="O15" s="6"/>
      <c r="P15" s="6">
        <f t="shared" si="3"/>
        <v>25</v>
      </c>
      <c r="Q15" s="6"/>
      <c r="R15" s="6"/>
      <c r="S15" s="6">
        <f t="shared" si="4"/>
        <v>0</v>
      </c>
      <c r="T15" s="6"/>
      <c r="U15" s="6"/>
      <c r="V15" s="6">
        <f t="shared" si="5"/>
        <v>0</v>
      </c>
      <c r="W15" s="6"/>
      <c r="X15" s="6"/>
      <c r="Y15" s="98">
        <f t="shared" si="6"/>
        <v>0</v>
      </c>
      <c r="Z15" s="64">
        <f t="shared" si="7"/>
        <v>50</v>
      </c>
      <c r="AA15" s="64">
        <f t="shared" si="8"/>
        <v>0</v>
      </c>
      <c r="AB15" s="64">
        <f t="shared" si="9"/>
        <v>50</v>
      </c>
      <c r="AC15" s="65">
        <f t="shared" si="10"/>
        <v>8.3333333333333339</v>
      </c>
      <c r="AD15" s="65">
        <f t="shared" si="11"/>
        <v>0</v>
      </c>
      <c r="AE15" s="65">
        <f t="shared" si="12"/>
        <v>8.3333333333333339</v>
      </c>
      <c r="AF15" s="6"/>
      <c r="AG15" s="6"/>
      <c r="AH15" s="904">
        <f t="shared" si="13"/>
        <v>0</v>
      </c>
      <c r="AI15" s="6"/>
      <c r="AJ15" s="6"/>
      <c r="AK15" s="6">
        <f t="shared" si="14"/>
        <v>0</v>
      </c>
      <c r="AL15" s="6"/>
      <c r="AM15" s="6"/>
      <c r="AN15" s="98">
        <f t="shared" si="15"/>
        <v>0</v>
      </c>
      <c r="AO15" s="6">
        <f t="shared" si="16"/>
        <v>50</v>
      </c>
      <c r="AP15" s="6">
        <f t="shared" si="17"/>
        <v>0</v>
      </c>
      <c r="AQ15" s="6">
        <f t="shared" si="18"/>
        <v>50</v>
      </c>
      <c r="AR15" s="943">
        <f t="shared" si="19"/>
        <v>5.5555555555555554</v>
      </c>
      <c r="AS15" s="943">
        <f t="shared" si="20"/>
        <v>0</v>
      </c>
      <c r="AT15" s="943">
        <f t="shared" si="21"/>
        <v>5.5555555555555554</v>
      </c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spans="1:61" ht="18" hidden="1">
      <c r="A16" s="6">
        <v>9</v>
      </c>
      <c r="B16" s="6">
        <v>9</v>
      </c>
      <c r="C16" s="16" t="s">
        <v>525</v>
      </c>
      <c r="D16" s="6" t="s">
        <v>510</v>
      </c>
      <c r="E16" s="6" t="s">
        <v>526</v>
      </c>
      <c r="F16" s="6">
        <v>30</v>
      </c>
      <c r="G16" s="17">
        <v>20</v>
      </c>
      <c r="H16" s="6">
        <v>30</v>
      </c>
      <c r="I16" s="6"/>
      <c r="J16" s="6">
        <f t="shared" si="1"/>
        <v>30</v>
      </c>
      <c r="K16" s="6"/>
      <c r="L16" s="6"/>
      <c r="M16" s="6">
        <f t="shared" si="2"/>
        <v>0</v>
      </c>
      <c r="N16" s="6"/>
      <c r="O16" s="6"/>
      <c r="P16" s="6">
        <f t="shared" si="3"/>
        <v>0</v>
      </c>
      <c r="Q16" s="6"/>
      <c r="R16" s="6"/>
      <c r="S16" s="6">
        <f t="shared" si="4"/>
        <v>0</v>
      </c>
      <c r="T16" s="6"/>
      <c r="U16" s="6"/>
      <c r="V16" s="6">
        <f t="shared" si="5"/>
        <v>0</v>
      </c>
      <c r="W16" s="6"/>
      <c r="X16" s="6"/>
      <c r="Y16" s="98">
        <f t="shared" si="6"/>
        <v>0</v>
      </c>
      <c r="Z16" s="64">
        <f t="shared" si="7"/>
        <v>30</v>
      </c>
      <c r="AA16" s="64">
        <f t="shared" si="8"/>
        <v>0</v>
      </c>
      <c r="AB16" s="64">
        <f t="shared" si="9"/>
        <v>30</v>
      </c>
      <c r="AC16" s="65">
        <f t="shared" si="10"/>
        <v>5</v>
      </c>
      <c r="AD16" s="65">
        <f t="shared" si="11"/>
        <v>0</v>
      </c>
      <c r="AE16" s="65">
        <f t="shared" si="12"/>
        <v>5</v>
      </c>
      <c r="AF16" s="6"/>
      <c r="AG16" s="6"/>
      <c r="AH16" s="904">
        <f t="shared" si="13"/>
        <v>0</v>
      </c>
      <c r="AI16" s="6"/>
      <c r="AJ16" s="6"/>
      <c r="AK16" s="6">
        <f t="shared" si="14"/>
        <v>0</v>
      </c>
      <c r="AL16" s="6"/>
      <c r="AM16" s="6"/>
      <c r="AN16" s="98">
        <f t="shared" si="15"/>
        <v>0</v>
      </c>
      <c r="AO16" s="6">
        <f t="shared" si="16"/>
        <v>30</v>
      </c>
      <c r="AP16" s="6">
        <f t="shared" si="17"/>
        <v>0</v>
      </c>
      <c r="AQ16" s="6">
        <f t="shared" si="18"/>
        <v>30</v>
      </c>
      <c r="AR16" s="943">
        <f t="shared" si="19"/>
        <v>3.3333333333333335</v>
      </c>
      <c r="AS16" s="943">
        <f t="shared" si="20"/>
        <v>0</v>
      </c>
      <c r="AT16" s="943">
        <f t="shared" si="21"/>
        <v>3.3333333333333335</v>
      </c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spans="1:61" ht="18" hidden="1">
      <c r="A17" s="6">
        <v>10</v>
      </c>
      <c r="B17" s="6">
        <v>10</v>
      </c>
      <c r="C17" s="16" t="s">
        <v>527</v>
      </c>
      <c r="D17" s="6" t="s">
        <v>510</v>
      </c>
      <c r="E17" s="6" t="s">
        <v>528</v>
      </c>
      <c r="F17" s="18">
        <v>35</v>
      </c>
      <c r="G17" s="17">
        <v>40</v>
      </c>
      <c r="H17" s="6"/>
      <c r="I17" s="6"/>
      <c r="J17" s="6">
        <f t="shared" si="1"/>
        <v>0</v>
      </c>
      <c r="K17" s="6"/>
      <c r="L17" s="6"/>
      <c r="M17" s="6">
        <f t="shared" si="2"/>
        <v>0</v>
      </c>
      <c r="N17" s="6">
        <v>60</v>
      </c>
      <c r="O17" s="6"/>
      <c r="P17" s="6">
        <f t="shared" si="3"/>
        <v>60</v>
      </c>
      <c r="Q17" s="6"/>
      <c r="R17" s="6"/>
      <c r="S17" s="6">
        <f t="shared" si="4"/>
        <v>0</v>
      </c>
      <c r="T17" s="6">
        <v>60</v>
      </c>
      <c r="U17" s="6"/>
      <c r="V17" s="6">
        <f t="shared" si="5"/>
        <v>60</v>
      </c>
      <c r="W17" s="6"/>
      <c r="X17" s="6"/>
      <c r="Y17" s="98">
        <f t="shared" si="6"/>
        <v>0</v>
      </c>
      <c r="Z17" s="64">
        <f t="shared" si="7"/>
        <v>120</v>
      </c>
      <c r="AA17" s="64">
        <f t="shared" si="8"/>
        <v>0</v>
      </c>
      <c r="AB17" s="64">
        <f t="shared" si="9"/>
        <v>120</v>
      </c>
      <c r="AC17" s="65">
        <f t="shared" si="10"/>
        <v>20</v>
      </c>
      <c r="AD17" s="65">
        <f t="shared" si="11"/>
        <v>0</v>
      </c>
      <c r="AE17" s="65">
        <f t="shared" si="12"/>
        <v>20</v>
      </c>
      <c r="AF17" s="6"/>
      <c r="AG17" s="6"/>
      <c r="AH17" s="904">
        <f t="shared" si="13"/>
        <v>0</v>
      </c>
      <c r="AI17" s="6">
        <v>60</v>
      </c>
      <c r="AJ17" s="6"/>
      <c r="AK17" s="6">
        <f t="shared" si="14"/>
        <v>60</v>
      </c>
      <c r="AL17" s="6"/>
      <c r="AM17" s="6"/>
      <c r="AN17" s="98">
        <f t="shared" si="15"/>
        <v>0</v>
      </c>
      <c r="AO17" s="6">
        <f t="shared" si="16"/>
        <v>180</v>
      </c>
      <c r="AP17" s="6">
        <f t="shared" si="17"/>
        <v>0</v>
      </c>
      <c r="AQ17" s="6">
        <f t="shared" si="18"/>
        <v>180</v>
      </c>
      <c r="AR17" s="943">
        <f t="shared" si="19"/>
        <v>20</v>
      </c>
      <c r="AS17" s="943">
        <f t="shared" si="20"/>
        <v>0</v>
      </c>
      <c r="AT17" s="943">
        <f t="shared" si="21"/>
        <v>20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spans="1:61" ht="18" hidden="1">
      <c r="A18" s="6">
        <v>11</v>
      </c>
      <c r="B18" s="6">
        <v>11</v>
      </c>
      <c r="C18" s="669" t="s">
        <v>2845</v>
      </c>
      <c r="D18" s="6" t="s">
        <v>510</v>
      </c>
      <c r="E18" s="6" t="s">
        <v>529</v>
      </c>
      <c r="F18" s="6">
        <v>20</v>
      </c>
      <c r="G18" s="17">
        <v>10</v>
      </c>
      <c r="H18" s="6">
        <v>9</v>
      </c>
      <c r="I18" s="6"/>
      <c r="J18" s="6">
        <f t="shared" si="1"/>
        <v>9</v>
      </c>
      <c r="K18" s="6"/>
      <c r="L18" s="6"/>
      <c r="M18" s="6">
        <f t="shared" si="2"/>
        <v>0</v>
      </c>
      <c r="N18" s="6"/>
      <c r="O18" s="6"/>
      <c r="P18" s="6">
        <f t="shared" si="3"/>
        <v>0</v>
      </c>
      <c r="Q18" s="6"/>
      <c r="R18" s="6"/>
      <c r="S18" s="6">
        <f t="shared" si="4"/>
        <v>0</v>
      </c>
      <c r="T18" s="6"/>
      <c r="U18" s="6"/>
      <c r="V18" s="6">
        <f t="shared" si="5"/>
        <v>0</v>
      </c>
      <c r="W18" s="6"/>
      <c r="X18" s="6"/>
      <c r="Y18" s="98">
        <f t="shared" si="6"/>
        <v>0</v>
      </c>
      <c r="Z18" s="64">
        <f t="shared" si="7"/>
        <v>9</v>
      </c>
      <c r="AA18" s="64">
        <f t="shared" si="8"/>
        <v>0</v>
      </c>
      <c r="AB18" s="64">
        <f t="shared" si="9"/>
        <v>9</v>
      </c>
      <c r="AC18" s="65">
        <f t="shared" si="10"/>
        <v>1.5</v>
      </c>
      <c r="AD18" s="65">
        <f t="shared" si="11"/>
        <v>0</v>
      </c>
      <c r="AE18" s="65">
        <f t="shared" si="12"/>
        <v>1.5</v>
      </c>
      <c r="AF18" s="6"/>
      <c r="AG18" s="6"/>
      <c r="AH18" s="904">
        <f t="shared" si="13"/>
        <v>0</v>
      </c>
      <c r="AI18" s="6"/>
      <c r="AJ18" s="6"/>
      <c r="AK18" s="6">
        <f t="shared" si="14"/>
        <v>0</v>
      </c>
      <c r="AL18" s="6"/>
      <c r="AM18" s="6"/>
      <c r="AN18" s="98">
        <f t="shared" si="15"/>
        <v>0</v>
      </c>
      <c r="AO18" s="6">
        <f t="shared" si="16"/>
        <v>9</v>
      </c>
      <c r="AP18" s="6">
        <f t="shared" si="17"/>
        <v>0</v>
      </c>
      <c r="AQ18" s="6">
        <f t="shared" si="18"/>
        <v>9</v>
      </c>
      <c r="AR18" s="943">
        <f t="shared" si="19"/>
        <v>1</v>
      </c>
      <c r="AS18" s="943">
        <f t="shared" si="20"/>
        <v>0</v>
      </c>
      <c r="AT18" s="943">
        <f t="shared" si="21"/>
        <v>1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spans="1:61" ht="18" hidden="1">
      <c r="A19" s="6">
        <v>12</v>
      </c>
      <c r="B19" s="6">
        <v>12</v>
      </c>
      <c r="C19" s="669" t="s">
        <v>530</v>
      </c>
      <c r="D19" s="6" t="s">
        <v>510</v>
      </c>
      <c r="E19" s="6" t="s">
        <v>531</v>
      </c>
      <c r="F19" s="6"/>
      <c r="G19" s="17">
        <v>10</v>
      </c>
      <c r="H19" s="6"/>
      <c r="I19" s="6"/>
      <c r="J19" s="6">
        <f t="shared" si="1"/>
        <v>0</v>
      </c>
      <c r="K19" s="6"/>
      <c r="L19" s="6"/>
      <c r="M19" s="6">
        <f t="shared" si="2"/>
        <v>0</v>
      </c>
      <c r="N19" s="6"/>
      <c r="O19" s="6"/>
      <c r="P19" s="6">
        <f t="shared" si="3"/>
        <v>0</v>
      </c>
      <c r="Q19" s="6"/>
      <c r="R19" s="6"/>
      <c r="S19" s="6">
        <f t="shared" si="4"/>
        <v>0</v>
      </c>
      <c r="T19" s="6"/>
      <c r="U19" s="6"/>
      <c r="V19" s="6">
        <f t="shared" si="5"/>
        <v>0</v>
      </c>
      <c r="W19" s="6"/>
      <c r="X19" s="6"/>
      <c r="Y19" s="98">
        <f t="shared" si="6"/>
        <v>0</v>
      </c>
      <c r="Z19" s="64">
        <f t="shared" si="7"/>
        <v>0</v>
      </c>
      <c r="AA19" s="64">
        <f t="shared" si="8"/>
        <v>0</v>
      </c>
      <c r="AB19" s="64">
        <f t="shared" si="9"/>
        <v>0</v>
      </c>
      <c r="AC19" s="65">
        <f t="shared" si="10"/>
        <v>0</v>
      </c>
      <c r="AD19" s="65">
        <f t="shared" si="11"/>
        <v>0</v>
      </c>
      <c r="AE19" s="65">
        <f t="shared" si="12"/>
        <v>0</v>
      </c>
      <c r="AF19" s="6"/>
      <c r="AG19" s="6"/>
      <c r="AH19" s="904">
        <f t="shared" si="13"/>
        <v>0</v>
      </c>
      <c r="AI19" s="6">
        <v>50</v>
      </c>
      <c r="AJ19" s="6"/>
      <c r="AK19" s="6">
        <f t="shared" si="14"/>
        <v>50</v>
      </c>
      <c r="AL19" s="6"/>
      <c r="AM19" s="6"/>
      <c r="AN19" s="98">
        <f t="shared" si="15"/>
        <v>0</v>
      </c>
      <c r="AO19" s="6">
        <f t="shared" si="16"/>
        <v>50</v>
      </c>
      <c r="AP19" s="6">
        <f t="shared" si="17"/>
        <v>0</v>
      </c>
      <c r="AQ19" s="6">
        <f t="shared" si="18"/>
        <v>50</v>
      </c>
      <c r="AR19" s="943">
        <f t="shared" si="19"/>
        <v>5.5555555555555554</v>
      </c>
      <c r="AS19" s="943">
        <f t="shared" si="20"/>
        <v>0</v>
      </c>
      <c r="AT19" s="943">
        <f t="shared" si="21"/>
        <v>5.5555555555555554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spans="1:61" ht="18" hidden="1">
      <c r="A20" s="6">
        <v>13</v>
      </c>
      <c r="B20" s="6">
        <v>13</v>
      </c>
      <c r="C20" s="669" t="s">
        <v>532</v>
      </c>
      <c r="D20" s="6"/>
      <c r="E20" s="6"/>
      <c r="F20" s="6"/>
      <c r="G20" s="17"/>
      <c r="H20" s="6">
        <v>20</v>
      </c>
      <c r="I20" s="6"/>
      <c r="J20" s="6">
        <f t="shared" si="1"/>
        <v>20</v>
      </c>
      <c r="K20" s="6"/>
      <c r="L20" s="6"/>
      <c r="M20" s="6">
        <f t="shared" si="2"/>
        <v>0</v>
      </c>
      <c r="N20" s="6"/>
      <c r="O20" s="6"/>
      <c r="P20" s="6">
        <f t="shared" si="3"/>
        <v>0</v>
      </c>
      <c r="Q20" s="6"/>
      <c r="R20" s="6"/>
      <c r="S20" s="6">
        <f t="shared" si="4"/>
        <v>0</v>
      </c>
      <c r="T20" s="6"/>
      <c r="U20" s="6"/>
      <c r="V20" s="6">
        <f t="shared" si="5"/>
        <v>0</v>
      </c>
      <c r="W20" s="6"/>
      <c r="X20" s="6"/>
      <c r="Y20" s="98">
        <f t="shared" si="6"/>
        <v>0</v>
      </c>
      <c r="Z20" s="64">
        <f t="shared" si="7"/>
        <v>20</v>
      </c>
      <c r="AA20" s="64">
        <f t="shared" si="8"/>
        <v>0</v>
      </c>
      <c r="AB20" s="64">
        <f t="shared" si="9"/>
        <v>20</v>
      </c>
      <c r="AC20" s="65">
        <f t="shared" si="10"/>
        <v>3.3333333333333335</v>
      </c>
      <c r="AD20" s="65">
        <f t="shared" si="11"/>
        <v>0</v>
      </c>
      <c r="AE20" s="65">
        <f t="shared" si="12"/>
        <v>3.3333333333333335</v>
      </c>
      <c r="AF20" s="6"/>
      <c r="AG20" s="6"/>
      <c r="AH20" s="904">
        <f t="shared" si="13"/>
        <v>0</v>
      </c>
      <c r="AI20" s="6">
        <v>30</v>
      </c>
      <c r="AJ20" s="6"/>
      <c r="AK20" s="6">
        <f t="shared" si="14"/>
        <v>30</v>
      </c>
      <c r="AL20" s="6"/>
      <c r="AM20" s="6"/>
      <c r="AN20" s="98">
        <f t="shared" si="15"/>
        <v>0</v>
      </c>
      <c r="AO20" s="6">
        <f t="shared" si="16"/>
        <v>50</v>
      </c>
      <c r="AP20" s="6">
        <f t="shared" si="17"/>
        <v>0</v>
      </c>
      <c r="AQ20" s="6">
        <f t="shared" si="18"/>
        <v>50</v>
      </c>
      <c r="AR20" s="943">
        <f t="shared" si="19"/>
        <v>5.5555555555555554</v>
      </c>
      <c r="AS20" s="943">
        <f t="shared" si="20"/>
        <v>0</v>
      </c>
      <c r="AT20" s="943">
        <f t="shared" si="21"/>
        <v>5.5555555555555554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spans="1:61" ht="18" hidden="1">
      <c r="A21" s="6">
        <v>14</v>
      </c>
      <c r="B21" s="6">
        <v>14</v>
      </c>
      <c r="C21" s="16" t="s">
        <v>533</v>
      </c>
      <c r="D21" s="6" t="s">
        <v>510</v>
      </c>
      <c r="E21" s="6"/>
      <c r="F21" s="6"/>
      <c r="G21" s="17"/>
      <c r="H21" s="6">
        <v>20</v>
      </c>
      <c r="I21" s="6"/>
      <c r="J21" s="6">
        <f t="shared" si="1"/>
        <v>20</v>
      </c>
      <c r="K21" s="6"/>
      <c r="L21" s="6"/>
      <c r="M21" s="6">
        <f t="shared" si="2"/>
        <v>0</v>
      </c>
      <c r="N21" s="6"/>
      <c r="O21" s="6"/>
      <c r="P21" s="6">
        <f t="shared" si="3"/>
        <v>0</v>
      </c>
      <c r="Q21" s="6"/>
      <c r="R21" s="6"/>
      <c r="S21" s="6">
        <f t="shared" si="4"/>
        <v>0</v>
      </c>
      <c r="T21" s="6"/>
      <c r="U21" s="6"/>
      <c r="V21" s="6">
        <f t="shared" si="5"/>
        <v>0</v>
      </c>
      <c r="W21" s="6"/>
      <c r="X21" s="6"/>
      <c r="Y21" s="98">
        <f t="shared" si="6"/>
        <v>0</v>
      </c>
      <c r="Z21" s="64">
        <f t="shared" si="7"/>
        <v>20</v>
      </c>
      <c r="AA21" s="64">
        <f t="shared" si="8"/>
        <v>0</v>
      </c>
      <c r="AB21" s="64">
        <f t="shared" si="9"/>
        <v>20</v>
      </c>
      <c r="AC21" s="65">
        <f t="shared" si="10"/>
        <v>3.3333333333333335</v>
      </c>
      <c r="AD21" s="65">
        <f t="shared" si="11"/>
        <v>0</v>
      </c>
      <c r="AE21" s="65">
        <f t="shared" si="12"/>
        <v>3.3333333333333335</v>
      </c>
      <c r="AF21" s="6"/>
      <c r="AG21" s="6"/>
      <c r="AH21" s="904">
        <f t="shared" si="13"/>
        <v>0</v>
      </c>
      <c r="AI21" s="6">
        <v>40</v>
      </c>
      <c r="AJ21" s="6"/>
      <c r="AK21" s="6">
        <f t="shared" si="14"/>
        <v>40</v>
      </c>
      <c r="AL21" s="6"/>
      <c r="AM21" s="6"/>
      <c r="AN21" s="98">
        <f t="shared" si="15"/>
        <v>0</v>
      </c>
      <c r="AO21" s="6">
        <f t="shared" si="16"/>
        <v>60</v>
      </c>
      <c r="AP21" s="6">
        <f t="shared" si="17"/>
        <v>0</v>
      </c>
      <c r="AQ21" s="6">
        <f t="shared" si="18"/>
        <v>60</v>
      </c>
      <c r="AR21" s="943">
        <f t="shared" si="19"/>
        <v>6.666666666666667</v>
      </c>
      <c r="AS21" s="943">
        <f t="shared" si="20"/>
        <v>0</v>
      </c>
      <c r="AT21" s="943">
        <f t="shared" si="21"/>
        <v>6.666666666666667</v>
      </c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spans="1:61" s="61" customFormat="1" ht="18">
      <c r="A22" s="19">
        <v>15</v>
      </c>
      <c r="B22" s="6">
        <v>15</v>
      </c>
      <c r="C22" s="59" t="s">
        <v>534</v>
      </c>
      <c r="D22" s="19" t="s">
        <v>510</v>
      </c>
      <c r="E22" s="19" t="s">
        <v>535</v>
      </c>
      <c r="F22" s="19">
        <v>36</v>
      </c>
      <c r="G22" s="19">
        <v>80</v>
      </c>
      <c r="H22" s="19">
        <v>90</v>
      </c>
      <c r="I22" s="19"/>
      <c r="J22" s="19">
        <f t="shared" si="1"/>
        <v>90</v>
      </c>
      <c r="K22" s="19">
        <v>146</v>
      </c>
      <c r="L22" s="19">
        <v>18</v>
      </c>
      <c r="M22" s="19">
        <f t="shared" si="2"/>
        <v>164</v>
      </c>
      <c r="N22" s="19">
        <v>106</v>
      </c>
      <c r="O22" s="19"/>
      <c r="P22" s="19">
        <f t="shared" si="3"/>
        <v>106</v>
      </c>
      <c r="Q22" s="19"/>
      <c r="R22" s="19"/>
      <c r="S22" s="19">
        <f t="shared" si="4"/>
        <v>0</v>
      </c>
      <c r="T22" s="19">
        <v>106</v>
      </c>
      <c r="U22" s="19"/>
      <c r="V22" s="19">
        <f t="shared" si="5"/>
        <v>106</v>
      </c>
      <c r="W22" s="19"/>
      <c r="X22" s="19"/>
      <c r="Y22" s="100">
        <f t="shared" si="6"/>
        <v>0</v>
      </c>
      <c r="Z22" s="19">
        <f t="shared" si="7"/>
        <v>448</v>
      </c>
      <c r="AA22" s="19">
        <f t="shared" si="8"/>
        <v>18</v>
      </c>
      <c r="AB22" s="19">
        <f t="shared" si="9"/>
        <v>466</v>
      </c>
      <c r="AC22" s="60">
        <f t="shared" si="10"/>
        <v>74.666666666666671</v>
      </c>
      <c r="AD22" s="60">
        <f t="shared" si="11"/>
        <v>3</v>
      </c>
      <c r="AE22" s="60">
        <f t="shared" si="12"/>
        <v>77.666666666666671</v>
      </c>
      <c r="AF22" s="19">
        <v>130</v>
      </c>
      <c r="AG22" s="19">
        <v>0</v>
      </c>
      <c r="AH22" s="905">
        <f t="shared" si="13"/>
        <v>130</v>
      </c>
      <c r="AI22" s="19">
        <v>77</v>
      </c>
      <c r="AJ22" s="19"/>
      <c r="AK22" s="19">
        <f t="shared" si="14"/>
        <v>77</v>
      </c>
      <c r="AL22" s="19">
        <v>106</v>
      </c>
      <c r="AM22" s="19"/>
      <c r="AN22" s="100">
        <f t="shared" si="15"/>
        <v>106</v>
      </c>
      <c r="AO22" s="19">
        <f t="shared" si="16"/>
        <v>761</v>
      </c>
      <c r="AP22" s="19">
        <f t="shared" si="17"/>
        <v>18</v>
      </c>
      <c r="AQ22" s="19">
        <f t="shared" si="18"/>
        <v>779</v>
      </c>
      <c r="AR22" s="703">
        <f t="shared" si="19"/>
        <v>84.555555555555557</v>
      </c>
      <c r="AS22" s="703">
        <f t="shared" si="20"/>
        <v>2</v>
      </c>
      <c r="AT22" s="703">
        <f t="shared" si="21"/>
        <v>86.555555555555557</v>
      </c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</row>
    <row r="23" spans="1:61" s="61" customFormat="1" ht="15.75">
      <c r="A23" s="19">
        <v>16</v>
      </c>
      <c r="B23" s="6">
        <v>16</v>
      </c>
      <c r="C23" s="66" t="s">
        <v>2846</v>
      </c>
      <c r="D23" s="19" t="s">
        <v>510</v>
      </c>
      <c r="E23" s="19" t="s">
        <v>537</v>
      </c>
      <c r="F23" s="19">
        <v>35</v>
      </c>
      <c r="G23" s="19">
        <v>156</v>
      </c>
      <c r="H23" s="19">
        <v>150</v>
      </c>
      <c r="I23" s="19"/>
      <c r="J23" s="19">
        <f t="shared" si="1"/>
        <v>150</v>
      </c>
      <c r="K23" s="19"/>
      <c r="L23" s="19"/>
      <c r="M23" s="19">
        <f t="shared" si="2"/>
        <v>0</v>
      </c>
      <c r="N23" s="19"/>
      <c r="O23" s="19"/>
      <c r="P23" s="19">
        <f t="shared" si="3"/>
        <v>0</v>
      </c>
      <c r="Q23" s="19"/>
      <c r="R23" s="19"/>
      <c r="S23" s="19">
        <f t="shared" si="4"/>
        <v>0</v>
      </c>
      <c r="T23" s="19"/>
      <c r="U23" s="19"/>
      <c r="V23" s="19">
        <f t="shared" si="5"/>
        <v>0</v>
      </c>
      <c r="W23" s="19"/>
      <c r="X23" s="19"/>
      <c r="Y23" s="100">
        <f t="shared" si="6"/>
        <v>0</v>
      </c>
      <c r="Z23" s="19">
        <f t="shared" si="7"/>
        <v>150</v>
      </c>
      <c r="AA23" s="19">
        <f t="shared" si="8"/>
        <v>0</v>
      </c>
      <c r="AB23" s="19">
        <f t="shared" si="9"/>
        <v>150</v>
      </c>
      <c r="AC23" s="60">
        <f t="shared" si="10"/>
        <v>25</v>
      </c>
      <c r="AD23" s="60">
        <f t="shared" si="11"/>
        <v>0</v>
      </c>
      <c r="AE23" s="60">
        <f t="shared" si="12"/>
        <v>25</v>
      </c>
      <c r="AF23" s="19">
        <v>0</v>
      </c>
      <c r="AG23" s="19">
        <v>0</v>
      </c>
      <c r="AH23" s="905">
        <f t="shared" si="13"/>
        <v>0</v>
      </c>
      <c r="AI23" s="19"/>
      <c r="AJ23" s="19"/>
      <c r="AK23" s="19">
        <f t="shared" si="14"/>
        <v>0</v>
      </c>
      <c r="AL23" s="19"/>
      <c r="AM23" s="19"/>
      <c r="AN23" s="100">
        <f t="shared" si="15"/>
        <v>0</v>
      </c>
      <c r="AO23" s="19">
        <f t="shared" si="16"/>
        <v>150</v>
      </c>
      <c r="AP23" s="19">
        <f t="shared" si="17"/>
        <v>0</v>
      </c>
      <c r="AQ23" s="19">
        <f t="shared" si="18"/>
        <v>150</v>
      </c>
      <c r="AR23" s="703">
        <f t="shared" si="19"/>
        <v>16.666666666666668</v>
      </c>
      <c r="AS23" s="703">
        <f t="shared" si="20"/>
        <v>0</v>
      </c>
      <c r="AT23" s="703">
        <f t="shared" si="21"/>
        <v>16.666666666666668</v>
      </c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</row>
    <row r="24" spans="1:61" s="61" customFormat="1" ht="18">
      <c r="A24" s="19">
        <v>17</v>
      </c>
      <c r="B24" s="6">
        <v>17</v>
      </c>
      <c r="C24" s="59" t="s">
        <v>538</v>
      </c>
      <c r="D24" s="19" t="s">
        <v>510</v>
      </c>
      <c r="E24" s="19" t="s">
        <v>539</v>
      </c>
      <c r="F24" s="19"/>
      <c r="G24" s="19">
        <v>94</v>
      </c>
      <c r="H24" s="19">
        <v>45</v>
      </c>
      <c r="I24" s="19"/>
      <c r="J24" s="19">
        <f t="shared" si="1"/>
        <v>45</v>
      </c>
      <c r="K24" s="19"/>
      <c r="L24" s="19"/>
      <c r="M24" s="19">
        <f t="shared" si="2"/>
        <v>0</v>
      </c>
      <c r="N24" s="19"/>
      <c r="O24" s="19"/>
      <c r="P24" s="19">
        <f t="shared" si="3"/>
        <v>0</v>
      </c>
      <c r="Q24" s="19"/>
      <c r="R24" s="19"/>
      <c r="S24" s="19">
        <f t="shared" si="4"/>
        <v>0</v>
      </c>
      <c r="T24" s="19"/>
      <c r="U24" s="19"/>
      <c r="V24" s="19">
        <f t="shared" si="5"/>
        <v>0</v>
      </c>
      <c r="W24" s="19"/>
      <c r="X24" s="19"/>
      <c r="Y24" s="100">
        <f t="shared" si="6"/>
        <v>0</v>
      </c>
      <c r="Z24" s="19">
        <f t="shared" si="7"/>
        <v>45</v>
      </c>
      <c r="AA24" s="19">
        <f t="shared" si="8"/>
        <v>0</v>
      </c>
      <c r="AB24" s="19">
        <f t="shared" si="9"/>
        <v>45</v>
      </c>
      <c r="AC24" s="60">
        <f t="shared" si="10"/>
        <v>7.5</v>
      </c>
      <c r="AD24" s="60">
        <f t="shared" si="11"/>
        <v>0</v>
      </c>
      <c r="AE24" s="60">
        <f t="shared" si="12"/>
        <v>7.5</v>
      </c>
      <c r="AF24" s="19">
        <v>0</v>
      </c>
      <c r="AG24" s="19">
        <v>0</v>
      </c>
      <c r="AH24" s="905">
        <f t="shared" si="13"/>
        <v>0</v>
      </c>
      <c r="AI24" s="19"/>
      <c r="AJ24" s="19"/>
      <c r="AK24" s="19">
        <f t="shared" si="14"/>
        <v>0</v>
      </c>
      <c r="AL24" s="19"/>
      <c r="AM24" s="19"/>
      <c r="AN24" s="100">
        <f t="shared" si="15"/>
        <v>0</v>
      </c>
      <c r="AO24" s="19">
        <f t="shared" si="16"/>
        <v>45</v>
      </c>
      <c r="AP24" s="19">
        <f t="shared" si="17"/>
        <v>0</v>
      </c>
      <c r="AQ24" s="19">
        <f t="shared" si="18"/>
        <v>45</v>
      </c>
      <c r="AR24" s="703">
        <f t="shared" si="19"/>
        <v>5</v>
      </c>
      <c r="AS24" s="703">
        <f t="shared" si="20"/>
        <v>0</v>
      </c>
      <c r="AT24" s="703">
        <f t="shared" si="21"/>
        <v>5</v>
      </c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</row>
    <row r="25" spans="1:61" s="61" customFormat="1" ht="18">
      <c r="A25" s="19">
        <v>18</v>
      </c>
      <c r="B25" s="6">
        <v>18</v>
      </c>
      <c r="C25" s="59" t="s">
        <v>540</v>
      </c>
      <c r="D25" s="19" t="s">
        <v>510</v>
      </c>
      <c r="E25" s="19" t="s">
        <v>541</v>
      </c>
      <c r="F25" s="19">
        <v>30</v>
      </c>
      <c r="G25" s="19">
        <v>160</v>
      </c>
      <c r="H25" s="19"/>
      <c r="I25" s="19"/>
      <c r="J25" s="19">
        <f t="shared" si="1"/>
        <v>0</v>
      </c>
      <c r="K25" s="19">
        <v>301</v>
      </c>
      <c r="L25" s="19"/>
      <c r="M25" s="19">
        <f t="shared" si="2"/>
        <v>301</v>
      </c>
      <c r="N25" s="19"/>
      <c r="O25" s="19"/>
      <c r="P25" s="19">
        <f t="shared" si="3"/>
        <v>0</v>
      </c>
      <c r="Q25" s="19"/>
      <c r="R25" s="19"/>
      <c r="S25" s="19">
        <f t="shared" si="4"/>
        <v>0</v>
      </c>
      <c r="T25" s="19"/>
      <c r="U25" s="19"/>
      <c r="V25" s="19">
        <f t="shared" si="5"/>
        <v>0</v>
      </c>
      <c r="W25" s="19">
        <v>150</v>
      </c>
      <c r="X25" s="19"/>
      <c r="Y25" s="100">
        <f t="shared" si="6"/>
        <v>150</v>
      </c>
      <c r="Z25" s="19">
        <f t="shared" si="7"/>
        <v>451</v>
      </c>
      <c r="AA25" s="19">
        <f t="shared" si="8"/>
        <v>0</v>
      </c>
      <c r="AB25" s="19">
        <f t="shared" si="9"/>
        <v>451</v>
      </c>
      <c r="AC25" s="60">
        <f t="shared" si="10"/>
        <v>75.166666666666671</v>
      </c>
      <c r="AD25" s="60">
        <f t="shared" si="11"/>
        <v>0</v>
      </c>
      <c r="AE25" s="60">
        <f t="shared" si="12"/>
        <v>75.166666666666671</v>
      </c>
      <c r="AF25" s="19">
        <v>163</v>
      </c>
      <c r="AG25" s="19">
        <v>0</v>
      </c>
      <c r="AH25" s="905">
        <f t="shared" si="13"/>
        <v>163</v>
      </c>
      <c r="AI25" s="19">
        <v>188</v>
      </c>
      <c r="AJ25" s="19"/>
      <c r="AK25" s="19">
        <f t="shared" si="14"/>
        <v>188</v>
      </c>
      <c r="AL25" s="19"/>
      <c r="AM25" s="19"/>
      <c r="AN25" s="100">
        <f t="shared" si="15"/>
        <v>0</v>
      </c>
      <c r="AO25" s="19">
        <f t="shared" si="16"/>
        <v>802</v>
      </c>
      <c r="AP25" s="19">
        <f t="shared" si="17"/>
        <v>0</v>
      </c>
      <c r="AQ25" s="19">
        <f t="shared" si="18"/>
        <v>802</v>
      </c>
      <c r="AR25" s="703">
        <f t="shared" si="19"/>
        <v>89.111111111111114</v>
      </c>
      <c r="AS25" s="703">
        <f t="shared" si="20"/>
        <v>0</v>
      </c>
      <c r="AT25" s="703">
        <f t="shared" si="21"/>
        <v>89.111111111111114</v>
      </c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</row>
    <row r="26" spans="1:61" s="61" customFormat="1" ht="18">
      <c r="A26" s="19">
        <v>19</v>
      </c>
      <c r="B26" s="6">
        <v>19</v>
      </c>
      <c r="C26" s="59" t="s">
        <v>542</v>
      </c>
      <c r="D26" s="19" t="s">
        <v>510</v>
      </c>
      <c r="E26" s="19" t="s">
        <v>543</v>
      </c>
      <c r="F26" s="19">
        <v>40</v>
      </c>
      <c r="G26" s="19">
        <v>616</v>
      </c>
      <c r="H26" s="19"/>
      <c r="I26" s="19"/>
      <c r="J26" s="19">
        <f t="shared" si="1"/>
        <v>0</v>
      </c>
      <c r="K26" s="19"/>
      <c r="L26" s="19"/>
      <c r="M26" s="19">
        <f t="shared" si="2"/>
        <v>0</v>
      </c>
      <c r="N26" s="19">
        <v>676</v>
      </c>
      <c r="O26" s="19"/>
      <c r="P26" s="19">
        <f t="shared" si="3"/>
        <v>676</v>
      </c>
      <c r="Q26" s="19"/>
      <c r="R26" s="19"/>
      <c r="S26" s="19">
        <f t="shared" si="4"/>
        <v>0</v>
      </c>
      <c r="T26" s="19"/>
      <c r="U26" s="19"/>
      <c r="V26" s="19">
        <f t="shared" si="5"/>
        <v>0</v>
      </c>
      <c r="W26" s="19"/>
      <c r="X26" s="19"/>
      <c r="Y26" s="100">
        <f t="shared" si="6"/>
        <v>0</v>
      </c>
      <c r="Z26" s="19">
        <f t="shared" si="7"/>
        <v>676</v>
      </c>
      <c r="AA26" s="19">
        <f t="shared" si="8"/>
        <v>0</v>
      </c>
      <c r="AB26" s="19">
        <f t="shared" si="9"/>
        <v>676</v>
      </c>
      <c r="AC26" s="60">
        <f t="shared" si="10"/>
        <v>112.66666666666667</v>
      </c>
      <c r="AD26" s="60">
        <f t="shared" si="11"/>
        <v>0</v>
      </c>
      <c r="AE26" s="60">
        <f t="shared" si="12"/>
        <v>112.66666666666667</v>
      </c>
      <c r="AF26" s="19">
        <v>458</v>
      </c>
      <c r="AG26" s="19">
        <v>128</v>
      </c>
      <c r="AH26" s="905">
        <f t="shared" si="13"/>
        <v>586</v>
      </c>
      <c r="AI26" s="19"/>
      <c r="AJ26" s="19"/>
      <c r="AK26" s="19">
        <f t="shared" si="14"/>
        <v>0</v>
      </c>
      <c r="AL26" s="19">
        <v>408</v>
      </c>
      <c r="AM26" s="19">
        <v>12</v>
      </c>
      <c r="AN26" s="100">
        <f t="shared" si="15"/>
        <v>420</v>
      </c>
      <c r="AO26" s="19">
        <f t="shared" si="16"/>
        <v>1542</v>
      </c>
      <c r="AP26" s="19">
        <f t="shared" si="17"/>
        <v>140</v>
      </c>
      <c r="AQ26" s="19">
        <f t="shared" si="18"/>
        <v>1682</v>
      </c>
      <c r="AR26" s="703">
        <f t="shared" si="19"/>
        <v>171.33333333333334</v>
      </c>
      <c r="AS26" s="703">
        <f t="shared" si="20"/>
        <v>15.555555555555555</v>
      </c>
      <c r="AT26" s="703">
        <f t="shared" si="21"/>
        <v>186.88888888888889</v>
      </c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</row>
    <row r="27" spans="1:61" ht="18" hidden="1">
      <c r="A27" s="6">
        <v>1</v>
      </c>
      <c r="B27" s="6">
        <v>20</v>
      </c>
      <c r="C27" s="16" t="s">
        <v>544</v>
      </c>
      <c r="D27" s="6" t="s">
        <v>545</v>
      </c>
      <c r="E27" s="6" t="s">
        <v>546</v>
      </c>
      <c r="F27" s="6"/>
      <c r="G27" s="17">
        <v>10</v>
      </c>
      <c r="H27" s="6">
        <v>30</v>
      </c>
      <c r="I27" s="6"/>
      <c r="J27" s="6">
        <f t="shared" si="1"/>
        <v>30</v>
      </c>
      <c r="K27" s="6"/>
      <c r="L27" s="6"/>
      <c r="M27" s="6">
        <f t="shared" si="2"/>
        <v>0</v>
      </c>
      <c r="N27" s="6"/>
      <c r="O27" s="6"/>
      <c r="P27" s="6">
        <f t="shared" si="3"/>
        <v>0</v>
      </c>
      <c r="Q27" s="6"/>
      <c r="R27" s="6"/>
      <c r="S27" s="6">
        <f t="shared" si="4"/>
        <v>0</v>
      </c>
      <c r="T27" s="6"/>
      <c r="U27" s="6"/>
      <c r="V27" s="6">
        <f t="shared" si="5"/>
        <v>0</v>
      </c>
      <c r="W27" s="6"/>
      <c r="X27" s="6"/>
      <c r="Y27" s="98">
        <f t="shared" si="6"/>
        <v>0</v>
      </c>
      <c r="Z27" s="64">
        <f t="shared" si="7"/>
        <v>30</v>
      </c>
      <c r="AA27" s="64">
        <f t="shared" si="8"/>
        <v>0</v>
      </c>
      <c r="AB27" s="64">
        <f t="shared" si="9"/>
        <v>30</v>
      </c>
      <c r="AC27" s="65">
        <f t="shared" si="10"/>
        <v>5</v>
      </c>
      <c r="AD27" s="65">
        <f t="shared" si="11"/>
        <v>0</v>
      </c>
      <c r="AE27" s="65">
        <f t="shared" si="12"/>
        <v>5</v>
      </c>
      <c r="AF27" s="6"/>
      <c r="AG27" s="6"/>
      <c r="AH27" s="904">
        <f t="shared" si="13"/>
        <v>0</v>
      </c>
      <c r="AI27" s="6"/>
      <c r="AJ27" s="6"/>
      <c r="AK27" s="6">
        <f t="shared" si="14"/>
        <v>0</v>
      </c>
      <c r="AL27" s="6"/>
      <c r="AM27" s="6"/>
      <c r="AN27" s="98">
        <f t="shared" si="15"/>
        <v>0</v>
      </c>
      <c r="AO27" s="6">
        <f t="shared" si="16"/>
        <v>30</v>
      </c>
      <c r="AP27" s="6">
        <f t="shared" si="17"/>
        <v>0</v>
      </c>
      <c r="AQ27" s="6">
        <f t="shared" si="18"/>
        <v>30</v>
      </c>
      <c r="AR27" s="943">
        <f t="shared" si="19"/>
        <v>3.3333333333333335</v>
      </c>
      <c r="AS27" s="943">
        <f t="shared" si="20"/>
        <v>0</v>
      </c>
      <c r="AT27" s="943">
        <f t="shared" si="21"/>
        <v>3.3333333333333335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spans="1:61" ht="18" hidden="1">
      <c r="A28" s="6">
        <v>2</v>
      </c>
      <c r="B28" s="6">
        <v>21</v>
      </c>
      <c r="C28" s="669" t="s">
        <v>547</v>
      </c>
      <c r="D28" s="6" t="s">
        <v>545</v>
      </c>
      <c r="E28" s="6" t="s">
        <v>548</v>
      </c>
      <c r="F28" s="6"/>
      <c r="G28" s="17">
        <v>20</v>
      </c>
      <c r="H28" s="6">
        <v>26</v>
      </c>
      <c r="I28" s="6"/>
      <c r="J28" s="6">
        <f t="shared" si="1"/>
        <v>26</v>
      </c>
      <c r="K28" s="6">
        <v>45</v>
      </c>
      <c r="L28" s="6"/>
      <c r="M28" s="6">
        <f t="shared" si="2"/>
        <v>45</v>
      </c>
      <c r="N28" s="6">
        <v>45</v>
      </c>
      <c r="O28" s="6"/>
      <c r="P28" s="6">
        <f t="shared" si="3"/>
        <v>45</v>
      </c>
      <c r="Q28" s="6"/>
      <c r="R28" s="6"/>
      <c r="S28" s="6">
        <f t="shared" si="4"/>
        <v>0</v>
      </c>
      <c r="T28" s="6"/>
      <c r="U28" s="6"/>
      <c r="V28" s="6">
        <f t="shared" si="5"/>
        <v>0</v>
      </c>
      <c r="W28" s="6"/>
      <c r="X28" s="6"/>
      <c r="Y28" s="98">
        <f t="shared" si="6"/>
        <v>0</v>
      </c>
      <c r="Z28" s="64">
        <f t="shared" si="7"/>
        <v>116</v>
      </c>
      <c r="AA28" s="64">
        <f t="shared" si="8"/>
        <v>0</v>
      </c>
      <c r="AB28" s="64">
        <f t="shared" si="9"/>
        <v>116</v>
      </c>
      <c r="AC28" s="65">
        <f t="shared" si="10"/>
        <v>19.333333333333332</v>
      </c>
      <c r="AD28" s="65">
        <f t="shared" si="11"/>
        <v>0</v>
      </c>
      <c r="AE28" s="65">
        <f t="shared" si="12"/>
        <v>19.333333333333332</v>
      </c>
      <c r="AF28" s="6"/>
      <c r="AG28" s="6"/>
      <c r="AH28" s="904">
        <f t="shared" si="13"/>
        <v>0</v>
      </c>
      <c r="AI28" s="6"/>
      <c r="AJ28" s="6"/>
      <c r="AK28" s="6">
        <f t="shared" si="14"/>
        <v>0</v>
      </c>
      <c r="AL28" s="6"/>
      <c r="AM28" s="6"/>
      <c r="AN28" s="98">
        <f t="shared" si="15"/>
        <v>0</v>
      </c>
      <c r="AO28" s="6">
        <f t="shared" si="16"/>
        <v>116</v>
      </c>
      <c r="AP28" s="6">
        <f t="shared" si="17"/>
        <v>0</v>
      </c>
      <c r="AQ28" s="6">
        <f t="shared" si="18"/>
        <v>116</v>
      </c>
      <c r="AR28" s="943">
        <f t="shared" si="19"/>
        <v>12.888888888888889</v>
      </c>
      <c r="AS28" s="943">
        <f t="shared" si="20"/>
        <v>0</v>
      </c>
      <c r="AT28" s="943">
        <f t="shared" si="21"/>
        <v>12.888888888888889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spans="1:61" ht="18" hidden="1">
      <c r="A29" s="6">
        <v>3</v>
      </c>
      <c r="B29" s="6">
        <v>22</v>
      </c>
      <c r="C29" s="669" t="s">
        <v>2847</v>
      </c>
      <c r="D29" s="6" t="s">
        <v>545</v>
      </c>
      <c r="E29" s="6" t="s">
        <v>549</v>
      </c>
      <c r="F29" s="6"/>
      <c r="G29" s="17">
        <v>10</v>
      </c>
      <c r="H29" s="6">
        <v>20</v>
      </c>
      <c r="I29" s="6"/>
      <c r="J29" s="6">
        <f t="shared" si="1"/>
        <v>20</v>
      </c>
      <c r="K29" s="6">
        <v>10</v>
      </c>
      <c r="L29" s="6"/>
      <c r="M29" s="6">
        <f t="shared" si="2"/>
        <v>10</v>
      </c>
      <c r="N29" s="6">
        <v>20</v>
      </c>
      <c r="O29" s="6"/>
      <c r="P29" s="6">
        <f t="shared" si="3"/>
        <v>20</v>
      </c>
      <c r="Q29" s="6"/>
      <c r="R29" s="6"/>
      <c r="S29" s="6">
        <f t="shared" si="4"/>
        <v>0</v>
      </c>
      <c r="T29" s="6"/>
      <c r="U29" s="6"/>
      <c r="V29" s="6">
        <f t="shared" si="5"/>
        <v>0</v>
      </c>
      <c r="W29" s="6"/>
      <c r="X29" s="6"/>
      <c r="Y29" s="98">
        <f t="shared" si="6"/>
        <v>0</v>
      </c>
      <c r="Z29" s="64">
        <f t="shared" si="7"/>
        <v>50</v>
      </c>
      <c r="AA29" s="64">
        <f t="shared" si="8"/>
        <v>0</v>
      </c>
      <c r="AB29" s="64">
        <f t="shared" si="9"/>
        <v>50</v>
      </c>
      <c r="AC29" s="65">
        <f t="shared" si="10"/>
        <v>8.3333333333333339</v>
      </c>
      <c r="AD29" s="65">
        <f t="shared" si="11"/>
        <v>0</v>
      </c>
      <c r="AE29" s="65">
        <f t="shared" si="12"/>
        <v>8.3333333333333339</v>
      </c>
      <c r="AF29" s="6">
        <v>20</v>
      </c>
      <c r="AG29" s="6"/>
      <c r="AH29" s="904">
        <f t="shared" si="13"/>
        <v>20</v>
      </c>
      <c r="AI29" s="6"/>
      <c r="AJ29" s="6"/>
      <c r="AK29" s="6">
        <f t="shared" si="14"/>
        <v>0</v>
      </c>
      <c r="AL29" s="6"/>
      <c r="AM29" s="6"/>
      <c r="AN29" s="98">
        <f t="shared" si="15"/>
        <v>0</v>
      </c>
      <c r="AO29" s="6">
        <f t="shared" si="16"/>
        <v>70</v>
      </c>
      <c r="AP29" s="6">
        <f t="shared" si="17"/>
        <v>0</v>
      </c>
      <c r="AQ29" s="6">
        <f t="shared" si="18"/>
        <v>70</v>
      </c>
      <c r="AR29" s="943">
        <f t="shared" si="19"/>
        <v>7.7777777777777777</v>
      </c>
      <c r="AS29" s="943">
        <f t="shared" si="20"/>
        <v>0</v>
      </c>
      <c r="AT29" s="943">
        <f t="shared" si="21"/>
        <v>7.7777777777777777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spans="1:61" ht="18" hidden="1">
      <c r="A30" s="6">
        <v>4</v>
      </c>
      <c r="B30" s="6">
        <v>23</v>
      </c>
      <c r="C30" s="669" t="s">
        <v>2848</v>
      </c>
      <c r="D30" s="6" t="s">
        <v>545</v>
      </c>
      <c r="E30" s="6" t="s">
        <v>550</v>
      </c>
      <c r="F30" s="6"/>
      <c r="G30" s="17">
        <v>10</v>
      </c>
      <c r="H30" s="6">
        <v>20</v>
      </c>
      <c r="I30" s="6"/>
      <c r="J30" s="6">
        <f t="shared" si="1"/>
        <v>20</v>
      </c>
      <c r="K30" s="6"/>
      <c r="L30" s="6"/>
      <c r="M30" s="6">
        <f t="shared" si="2"/>
        <v>0</v>
      </c>
      <c r="N30" s="6"/>
      <c r="O30" s="6"/>
      <c r="P30" s="6">
        <f t="shared" si="3"/>
        <v>0</v>
      </c>
      <c r="Q30" s="6"/>
      <c r="R30" s="6"/>
      <c r="S30" s="6">
        <f t="shared" si="4"/>
        <v>0</v>
      </c>
      <c r="T30" s="6"/>
      <c r="U30" s="6"/>
      <c r="V30" s="6">
        <f t="shared" si="5"/>
        <v>0</v>
      </c>
      <c r="W30" s="6"/>
      <c r="X30" s="6"/>
      <c r="Y30" s="98">
        <f t="shared" si="6"/>
        <v>0</v>
      </c>
      <c r="Z30" s="64">
        <f t="shared" si="7"/>
        <v>20</v>
      </c>
      <c r="AA30" s="64">
        <f t="shared" si="8"/>
        <v>0</v>
      </c>
      <c r="AB30" s="64">
        <f t="shared" si="9"/>
        <v>20</v>
      </c>
      <c r="AC30" s="65">
        <f t="shared" si="10"/>
        <v>3.3333333333333335</v>
      </c>
      <c r="AD30" s="65">
        <f t="shared" si="11"/>
        <v>0</v>
      </c>
      <c r="AE30" s="65">
        <f t="shared" si="12"/>
        <v>3.3333333333333335</v>
      </c>
      <c r="AF30" s="6"/>
      <c r="AG30" s="6"/>
      <c r="AH30" s="904">
        <f t="shared" si="13"/>
        <v>0</v>
      </c>
      <c r="AI30" s="6"/>
      <c r="AJ30" s="6"/>
      <c r="AK30" s="6">
        <f t="shared" si="14"/>
        <v>0</v>
      </c>
      <c r="AL30" s="6"/>
      <c r="AM30" s="6"/>
      <c r="AN30" s="98">
        <f t="shared" si="15"/>
        <v>0</v>
      </c>
      <c r="AO30" s="6">
        <f t="shared" si="16"/>
        <v>20</v>
      </c>
      <c r="AP30" s="6">
        <f t="shared" si="17"/>
        <v>0</v>
      </c>
      <c r="AQ30" s="6">
        <f t="shared" si="18"/>
        <v>20</v>
      </c>
      <c r="AR30" s="943">
        <f t="shared" si="19"/>
        <v>2.2222222222222223</v>
      </c>
      <c r="AS30" s="943">
        <f t="shared" si="20"/>
        <v>0</v>
      </c>
      <c r="AT30" s="943">
        <f t="shared" si="21"/>
        <v>2.2222222222222223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ht="18" hidden="1">
      <c r="A31" s="6">
        <v>5</v>
      </c>
      <c r="B31" s="6">
        <v>24</v>
      </c>
      <c r="C31" s="16" t="s">
        <v>523</v>
      </c>
      <c r="D31" s="6" t="s">
        <v>545</v>
      </c>
      <c r="E31" s="6" t="s">
        <v>551</v>
      </c>
      <c r="F31" s="6"/>
      <c r="G31" s="17">
        <v>10</v>
      </c>
      <c r="H31" s="6"/>
      <c r="I31" s="6"/>
      <c r="J31" s="6">
        <f t="shared" si="1"/>
        <v>0</v>
      </c>
      <c r="K31" s="6"/>
      <c r="L31" s="6"/>
      <c r="M31" s="6">
        <f t="shared" si="2"/>
        <v>0</v>
      </c>
      <c r="N31" s="6"/>
      <c r="O31" s="6"/>
      <c r="P31" s="6">
        <f t="shared" si="3"/>
        <v>0</v>
      </c>
      <c r="Q31" s="6"/>
      <c r="R31" s="6"/>
      <c r="S31" s="6">
        <f t="shared" si="4"/>
        <v>0</v>
      </c>
      <c r="T31" s="6"/>
      <c r="U31" s="6"/>
      <c r="V31" s="6">
        <f t="shared" si="5"/>
        <v>0</v>
      </c>
      <c r="W31" s="6"/>
      <c r="X31" s="6"/>
      <c r="Y31" s="98">
        <f t="shared" si="6"/>
        <v>0</v>
      </c>
      <c r="Z31" s="64">
        <f t="shared" si="7"/>
        <v>0</v>
      </c>
      <c r="AA31" s="64">
        <f t="shared" si="8"/>
        <v>0</v>
      </c>
      <c r="AB31" s="64">
        <f t="shared" si="9"/>
        <v>0</v>
      </c>
      <c r="AC31" s="65">
        <f t="shared" si="10"/>
        <v>0</v>
      </c>
      <c r="AD31" s="65">
        <f t="shared" si="11"/>
        <v>0</v>
      </c>
      <c r="AE31" s="65">
        <f t="shared" si="12"/>
        <v>0</v>
      </c>
      <c r="AF31" s="6"/>
      <c r="AG31" s="6"/>
      <c r="AH31" s="904">
        <f t="shared" si="13"/>
        <v>0</v>
      </c>
      <c r="AI31" s="6"/>
      <c r="AJ31" s="6"/>
      <c r="AK31" s="6">
        <f t="shared" si="14"/>
        <v>0</v>
      </c>
      <c r="AL31" s="6"/>
      <c r="AM31" s="6"/>
      <c r="AN31" s="98">
        <f t="shared" si="15"/>
        <v>0</v>
      </c>
      <c r="AO31" s="6">
        <f t="shared" si="16"/>
        <v>0</v>
      </c>
      <c r="AP31" s="6">
        <f t="shared" si="17"/>
        <v>0</v>
      </c>
      <c r="AQ31" s="6">
        <f t="shared" si="18"/>
        <v>0</v>
      </c>
      <c r="AR31" s="943">
        <f t="shared" si="19"/>
        <v>0</v>
      </c>
      <c r="AS31" s="943">
        <f t="shared" si="20"/>
        <v>0</v>
      </c>
      <c r="AT31" s="943">
        <f t="shared" si="21"/>
        <v>0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spans="1:61" ht="18" hidden="1">
      <c r="A32" s="6">
        <v>6</v>
      </c>
      <c r="B32" s="6">
        <v>25</v>
      </c>
      <c r="C32" s="16" t="s">
        <v>552</v>
      </c>
      <c r="D32" s="6" t="s">
        <v>545</v>
      </c>
      <c r="E32" s="6" t="s">
        <v>553</v>
      </c>
      <c r="F32" s="6"/>
      <c r="G32" s="17">
        <v>10</v>
      </c>
      <c r="H32" s="6">
        <v>20</v>
      </c>
      <c r="I32" s="6"/>
      <c r="J32" s="6">
        <f t="shared" si="1"/>
        <v>20</v>
      </c>
      <c r="K32" s="6"/>
      <c r="L32" s="6"/>
      <c r="M32" s="6">
        <f t="shared" si="2"/>
        <v>0</v>
      </c>
      <c r="N32" s="6"/>
      <c r="O32" s="6"/>
      <c r="P32" s="6">
        <f t="shared" si="3"/>
        <v>0</v>
      </c>
      <c r="Q32" s="6"/>
      <c r="R32" s="6"/>
      <c r="S32" s="6">
        <f t="shared" si="4"/>
        <v>0</v>
      </c>
      <c r="T32" s="6"/>
      <c r="U32" s="6"/>
      <c r="V32" s="6">
        <f t="shared" si="5"/>
        <v>0</v>
      </c>
      <c r="W32" s="6"/>
      <c r="X32" s="6"/>
      <c r="Y32" s="98">
        <f t="shared" si="6"/>
        <v>0</v>
      </c>
      <c r="Z32" s="64">
        <f t="shared" si="7"/>
        <v>20</v>
      </c>
      <c r="AA32" s="64">
        <f t="shared" si="8"/>
        <v>0</v>
      </c>
      <c r="AB32" s="64">
        <f t="shared" si="9"/>
        <v>20</v>
      </c>
      <c r="AC32" s="65">
        <f t="shared" si="10"/>
        <v>3.3333333333333335</v>
      </c>
      <c r="AD32" s="65">
        <f t="shared" si="11"/>
        <v>0</v>
      </c>
      <c r="AE32" s="65">
        <f t="shared" si="12"/>
        <v>3.3333333333333335</v>
      </c>
      <c r="AF32" s="6"/>
      <c r="AG32" s="6"/>
      <c r="AH32" s="904">
        <f t="shared" si="13"/>
        <v>0</v>
      </c>
      <c r="AI32" s="6"/>
      <c r="AJ32" s="6"/>
      <c r="AK32" s="6">
        <f t="shared" si="14"/>
        <v>0</v>
      </c>
      <c r="AL32" s="6"/>
      <c r="AM32" s="6"/>
      <c r="AN32" s="98">
        <f t="shared" si="15"/>
        <v>0</v>
      </c>
      <c r="AO32" s="6">
        <f t="shared" si="16"/>
        <v>20</v>
      </c>
      <c r="AP32" s="6">
        <f t="shared" si="17"/>
        <v>0</v>
      </c>
      <c r="AQ32" s="6">
        <f t="shared" si="18"/>
        <v>20</v>
      </c>
      <c r="AR32" s="943">
        <f t="shared" si="19"/>
        <v>2.2222222222222223</v>
      </c>
      <c r="AS32" s="943">
        <f t="shared" si="20"/>
        <v>0</v>
      </c>
      <c r="AT32" s="943">
        <f t="shared" si="21"/>
        <v>2.2222222222222223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spans="1:61" ht="18" hidden="1">
      <c r="A33" s="6">
        <v>7</v>
      </c>
      <c r="B33" s="6">
        <v>26</v>
      </c>
      <c r="C33" s="16" t="s">
        <v>2849</v>
      </c>
      <c r="D33" s="6" t="s">
        <v>545</v>
      </c>
      <c r="E33" s="6"/>
      <c r="F33" s="6"/>
      <c r="G33" s="17"/>
      <c r="H33" s="6"/>
      <c r="I33" s="6"/>
      <c r="J33" s="6">
        <f t="shared" si="1"/>
        <v>0</v>
      </c>
      <c r="K33" s="6"/>
      <c r="L33" s="6"/>
      <c r="M33" s="6">
        <f t="shared" si="2"/>
        <v>0</v>
      </c>
      <c r="N33" s="6">
        <v>25</v>
      </c>
      <c r="O33" s="6"/>
      <c r="P33" s="6">
        <f t="shared" si="3"/>
        <v>25</v>
      </c>
      <c r="Q33" s="6"/>
      <c r="R33" s="6"/>
      <c r="S33" s="6">
        <f t="shared" si="4"/>
        <v>0</v>
      </c>
      <c r="T33" s="6"/>
      <c r="U33" s="6"/>
      <c r="V33" s="6">
        <f t="shared" si="5"/>
        <v>0</v>
      </c>
      <c r="W33" s="6"/>
      <c r="X33" s="6"/>
      <c r="Y33" s="98">
        <f t="shared" si="6"/>
        <v>0</v>
      </c>
      <c r="Z33" s="64">
        <f t="shared" si="7"/>
        <v>25</v>
      </c>
      <c r="AA33" s="64">
        <f t="shared" si="8"/>
        <v>0</v>
      </c>
      <c r="AB33" s="64">
        <f t="shared" si="9"/>
        <v>25</v>
      </c>
      <c r="AC33" s="65">
        <f t="shared" si="10"/>
        <v>4.166666666666667</v>
      </c>
      <c r="AD33" s="65">
        <f t="shared" si="11"/>
        <v>0</v>
      </c>
      <c r="AE33" s="65">
        <f t="shared" si="12"/>
        <v>4.166666666666667</v>
      </c>
      <c r="AF33" s="6"/>
      <c r="AG33" s="6"/>
      <c r="AH33" s="904">
        <f t="shared" si="13"/>
        <v>0</v>
      </c>
      <c r="AI33" s="6"/>
      <c r="AJ33" s="6"/>
      <c r="AK33" s="6">
        <f t="shared" si="14"/>
        <v>0</v>
      </c>
      <c r="AL33" s="6"/>
      <c r="AM33" s="6"/>
      <c r="AN33" s="98">
        <f t="shared" si="15"/>
        <v>0</v>
      </c>
      <c r="AO33" s="6">
        <f t="shared" si="16"/>
        <v>25</v>
      </c>
      <c r="AP33" s="6">
        <f t="shared" si="17"/>
        <v>0</v>
      </c>
      <c r="AQ33" s="6">
        <f t="shared" si="18"/>
        <v>25</v>
      </c>
      <c r="AR33" s="943">
        <f t="shared" si="19"/>
        <v>2.7777777777777777</v>
      </c>
      <c r="AS33" s="943">
        <f t="shared" si="20"/>
        <v>0</v>
      </c>
      <c r="AT33" s="943">
        <f t="shared" si="21"/>
        <v>2.7777777777777777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spans="1:61" ht="18" hidden="1">
      <c r="A34" s="6">
        <v>8</v>
      </c>
      <c r="B34" s="6">
        <v>27</v>
      </c>
      <c r="C34" s="16" t="s">
        <v>2850</v>
      </c>
      <c r="D34" s="6" t="s">
        <v>545</v>
      </c>
      <c r="E34" s="6"/>
      <c r="F34" s="6"/>
      <c r="G34" s="17">
        <v>20</v>
      </c>
      <c r="H34" s="6">
        <v>50</v>
      </c>
      <c r="I34" s="6"/>
      <c r="J34" s="6">
        <f t="shared" si="1"/>
        <v>50</v>
      </c>
      <c r="K34" s="6"/>
      <c r="L34" s="6"/>
      <c r="M34" s="6">
        <f t="shared" si="2"/>
        <v>0</v>
      </c>
      <c r="N34" s="6"/>
      <c r="O34" s="6"/>
      <c r="P34" s="6">
        <f t="shared" si="3"/>
        <v>0</v>
      </c>
      <c r="Q34" s="6"/>
      <c r="R34" s="6"/>
      <c r="S34" s="6">
        <f t="shared" si="4"/>
        <v>0</v>
      </c>
      <c r="T34" s="6"/>
      <c r="U34" s="6"/>
      <c r="V34" s="6">
        <f t="shared" si="5"/>
        <v>0</v>
      </c>
      <c r="W34" s="6"/>
      <c r="X34" s="6"/>
      <c r="Y34" s="98">
        <f t="shared" si="6"/>
        <v>0</v>
      </c>
      <c r="Z34" s="64">
        <f t="shared" si="7"/>
        <v>50</v>
      </c>
      <c r="AA34" s="64">
        <f t="shared" si="8"/>
        <v>0</v>
      </c>
      <c r="AB34" s="64">
        <f t="shared" si="9"/>
        <v>50</v>
      </c>
      <c r="AC34" s="65">
        <f t="shared" si="10"/>
        <v>8.3333333333333339</v>
      </c>
      <c r="AD34" s="65">
        <f t="shared" si="11"/>
        <v>0</v>
      </c>
      <c r="AE34" s="65">
        <f t="shared" si="12"/>
        <v>8.3333333333333339</v>
      </c>
      <c r="AF34" s="6"/>
      <c r="AG34" s="6"/>
      <c r="AH34" s="904">
        <f t="shared" si="13"/>
        <v>0</v>
      </c>
      <c r="AI34" s="6"/>
      <c r="AJ34" s="6"/>
      <c r="AK34" s="6">
        <f t="shared" si="14"/>
        <v>0</v>
      </c>
      <c r="AL34" s="6"/>
      <c r="AM34" s="6"/>
      <c r="AN34" s="98">
        <f t="shared" si="15"/>
        <v>0</v>
      </c>
      <c r="AO34" s="6">
        <f t="shared" si="16"/>
        <v>50</v>
      </c>
      <c r="AP34" s="6">
        <f t="shared" si="17"/>
        <v>0</v>
      </c>
      <c r="AQ34" s="6">
        <f t="shared" si="18"/>
        <v>50</v>
      </c>
      <c r="AR34" s="943">
        <f t="shared" si="19"/>
        <v>5.5555555555555554</v>
      </c>
      <c r="AS34" s="943">
        <f t="shared" si="20"/>
        <v>0</v>
      </c>
      <c r="AT34" s="943">
        <f t="shared" si="21"/>
        <v>5.5555555555555554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spans="1:61" ht="18" hidden="1">
      <c r="A35" s="6">
        <v>9</v>
      </c>
      <c r="B35" s="6">
        <v>28</v>
      </c>
      <c r="C35" s="669" t="s">
        <v>554</v>
      </c>
      <c r="D35" s="6"/>
      <c r="E35" s="6"/>
      <c r="F35" s="6"/>
      <c r="G35" s="17">
        <v>10</v>
      </c>
      <c r="H35" s="6"/>
      <c r="I35" s="6"/>
      <c r="J35" s="6">
        <f t="shared" si="1"/>
        <v>0</v>
      </c>
      <c r="K35" s="6"/>
      <c r="L35" s="6"/>
      <c r="M35" s="6">
        <f t="shared" si="2"/>
        <v>0</v>
      </c>
      <c r="N35" s="6"/>
      <c r="O35" s="6"/>
      <c r="P35" s="6">
        <f t="shared" si="3"/>
        <v>0</v>
      </c>
      <c r="Q35" s="6"/>
      <c r="R35" s="6"/>
      <c r="S35" s="6">
        <f t="shared" si="4"/>
        <v>0</v>
      </c>
      <c r="T35" s="6"/>
      <c r="U35" s="6"/>
      <c r="V35" s="6">
        <f t="shared" si="5"/>
        <v>0</v>
      </c>
      <c r="W35" s="6"/>
      <c r="X35" s="6"/>
      <c r="Y35" s="98">
        <f t="shared" si="6"/>
        <v>0</v>
      </c>
      <c r="Z35" s="64">
        <f t="shared" si="7"/>
        <v>0</v>
      </c>
      <c r="AA35" s="64">
        <f t="shared" si="8"/>
        <v>0</v>
      </c>
      <c r="AB35" s="64">
        <f t="shared" si="9"/>
        <v>0</v>
      </c>
      <c r="AC35" s="65">
        <f t="shared" si="10"/>
        <v>0</v>
      </c>
      <c r="AD35" s="65">
        <f t="shared" si="11"/>
        <v>0</v>
      </c>
      <c r="AE35" s="65">
        <f t="shared" si="12"/>
        <v>0</v>
      </c>
      <c r="AF35" s="6"/>
      <c r="AG35" s="6"/>
      <c r="AH35" s="904">
        <f t="shared" si="13"/>
        <v>0</v>
      </c>
      <c r="AI35" s="6">
        <v>50</v>
      </c>
      <c r="AJ35" s="6"/>
      <c r="AK35" s="6">
        <f t="shared" si="14"/>
        <v>50</v>
      </c>
      <c r="AL35" s="6"/>
      <c r="AM35" s="6"/>
      <c r="AN35" s="98">
        <f t="shared" si="15"/>
        <v>0</v>
      </c>
      <c r="AO35" s="6">
        <f t="shared" si="16"/>
        <v>50</v>
      </c>
      <c r="AP35" s="6">
        <f t="shared" si="17"/>
        <v>0</v>
      </c>
      <c r="AQ35" s="6">
        <f t="shared" si="18"/>
        <v>50</v>
      </c>
      <c r="AR35" s="943">
        <f t="shared" si="19"/>
        <v>5.5555555555555554</v>
      </c>
      <c r="AS35" s="943">
        <f t="shared" si="20"/>
        <v>0</v>
      </c>
      <c r="AT35" s="943">
        <f t="shared" si="21"/>
        <v>5.5555555555555554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spans="1:61" ht="18" hidden="1">
      <c r="A36" s="6">
        <v>10</v>
      </c>
      <c r="B36" s="6">
        <v>29</v>
      </c>
      <c r="C36" s="669" t="s">
        <v>555</v>
      </c>
      <c r="D36" s="6"/>
      <c r="E36" s="6"/>
      <c r="F36" s="6"/>
      <c r="G36" s="17">
        <v>10</v>
      </c>
      <c r="H36" s="6">
        <v>20</v>
      </c>
      <c r="I36" s="6"/>
      <c r="J36" s="6">
        <f t="shared" si="1"/>
        <v>20</v>
      </c>
      <c r="K36" s="6"/>
      <c r="L36" s="6"/>
      <c r="M36" s="6">
        <f t="shared" si="2"/>
        <v>0</v>
      </c>
      <c r="N36" s="6"/>
      <c r="O36" s="6"/>
      <c r="P36" s="6">
        <f t="shared" si="3"/>
        <v>0</v>
      </c>
      <c r="Q36" s="6"/>
      <c r="R36" s="6"/>
      <c r="S36" s="6">
        <f t="shared" si="4"/>
        <v>0</v>
      </c>
      <c r="T36" s="6"/>
      <c r="U36" s="6"/>
      <c r="V36" s="6">
        <f t="shared" si="5"/>
        <v>0</v>
      </c>
      <c r="W36" s="6"/>
      <c r="X36" s="6"/>
      <c r="Y36" s="98">
        <f t="shared" si="6"/>
        <v>0</v>
      </c>
      <c r="Z36" s="64">
        <f t="shared" si="7"/>
        <v>20</v>
      </c>
      <c r="AA36" s="64">
        <f t="shared" si="8"/>
        <v>0</v>
      </c>
      <c r="AB36" s="64">
        <f t="shared" si="9"/>
        <v>20</v>
      </c>
      <c r="AC36" s="65">
        <f t="shared" si="10"/>
        <v>3.3333333333333335</v>
      </c>
      <c r="AD36" s="65">
        <f t="shared" si="11"/>
        <v>0</v>
      </c>
      <c r="AE36" s="65">
        <f t="shared" si="12"/>
        <v>3.3333333333333335</v>
      </c>
      <c r="AF36" s="6"/>
      <c r="AG36" s="6"/>
      <c r="AH36" s="904">
        <f t="shared" si="13"/>
        <v>0</v>
      </c>
      <c r="AI36" s="6">
        <v>50</v>
      </c>
      <c r="AJ36" s="6"/>
      <c r="AK36" s="6">
        <f t="shared" si="14"/>
        <v>50</v>
      </c>
      <c r="AL36" s="6"/>
      <c r="AM36" s="6"/>
      <c r="AN36" s="98">
        <f t="shared" si="15"/>
        <v>0</v>
      </c>
      <c r="AO36" s="6">
        <f t="shared" si="16"/>
        <v>70</v>
      </c>
      <c r="AP36" s="6">
        <f t="shared" si="17"/>
        <v>0</v>
      </c>
      <c r="AQ36" s="6">
        <f t="shared" si="18"/>
        <v>70</v>
      </c>
      <c r="AR36" s="943">
        <f t="shared" si="19"/>
        <v>7.7777777777777777</v>
      </c>
      <c r="AS36" s="943">
        <f t="shared" si="20"/>
        <v>0</v>
      </c>
      <c r="AT36" s="943">
        <f t="shared" si="21"/>
        <v>7.7777777777777777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spans="1:61" ht="18" hidden="1">
      <c r="A37" s="6">
        <v>11</v>
      </c>
      <c r="B37" s="6">
        <v>30</v>
      </c>
      <c r="C37" s="669" t="s">
        <v>556</v>
      </c>
      <c r="D37" s="6"/>
      <c r="E37" s="6"/>
      <c r="F37" s="6"/>
      <c r="G37" s="17">
        <v>20</v>
      </c>
      <c r="H37" s="6"/>
      <c r="I37" s="6"/>
      <c r="J37" s="6">
        <f t="shared" si="1"/>
        <v>0</v>
      </c>
      <c r="K37" s="6">
        <v>36</v>
      </c>
      <c r="L37" s="6"/>
      <c r="M37" s="6">
        <f t="shared" si="2"/>
        <v>36</v>
      </c>
      <c r="N37" s="6"/>
      <c r="O37" s="6"/>
      <c r="P37" s="6">
        <f t="shared" si="3"/>
        <v>0</v>
      </c>
      <c r="Q37" s="6"/>
      <c r="R37" s="6"/>
      <c r="S37" s="6">
        <f t="shared" si="4"/>
        <v>0</v>
      </c>
      <c r="T37" s="6"/>
      <c r="U37" s="6"/>
      <c r="V37" s="6">
        <f t="shared" si="5"/>
        <v>0</v>
      </c>
      <c r="W37" s="6"/>
      <c r="X37" s="6"/>
      <c r="Y37" s="98">
        <f t="shared" si="6"/>
        <v>0</v>
      </c>
      <c r="Z37" s="64">
        <f t="shared" si="7"/>
        <v>36</v>
      </c>
      <c r="AA37" s="64">
        <f t="shared" si="8"/>
        <v>0</v>
      </c>
      <c r="AB37" s="64">
        <f t="shared" si="9"/>
        <v>36</v>
      </c>
      <c r="AC37" s="65">
        <f t="shared" si="10"/>
        <v>6</v>
      </c>
      <c r="AD37" s="65">
        <f t="shared" si="11"/>
        <v>0</v>
      </c>
      <c r="AE37" s="65">
        <f t="shared" si="12"/>
        <v>6</v>
      </c>
      <c r="AF37" s="6"/>
      <c r="AG37" s="6"/>
      <c r="AH37" s="904">
        <f t="shared" si="13"/>
        <v>0</v>
      </c>
      <c r="AI37" s="6">
        <v>40</v>
      </c>
      <c r="AJ37" s="6"/>
      <c r="AK37" s="6">
        <f t="shared" si="14"/>
        <v>40</v>
      </c>
      <c r="AL37" s="6"/>
      <c r="AM37" s="6"/>
      <c r="AN37" s="98">
        <f t="shared" si="15"/>
        <v>0</v>
      </c>
      <c r="AO37" s="6">
        <f t="shared" si="16"/>
        <v>76</v>
      </c>
      <c r="AP37" s="6">
        <f t="shared" si="17"/>
        <v>0</v>
      </c>
      <c r="AQ37" s="6">
        <f t="shared" si="18"/>
        <v>76</v>
      </c>
      <c r="AR37" s="943">
        <f t="shared" si="19"/>
        <v>8.4444444444444446</v>
      </c>
      <c r="AS37" s="943">
        <f t="shared" si="20"/>
        <v>0</v>
      </c>
      <c r="AT37" s="943">
        <f t="shared" si="21"/>
        <v>8.4444444444444446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ht="18" hidden="1">
      <c r="A38" s="6">
        <v>12</v>
      </c>
      <c r="B38" s="6">
        <v>31</v>
      </c>
      <c r="C38" s="16" t="s">
        <v>557</v>
      </c>
      <c r="D38" s="6" t="s">
        <v>545</v>
      </c>
      <c r="E38" s="6" t="s">
        <v>558</v>
      </c>
      <c r="F38" s="6">
        <v>30</v>
      </c>
      <c r="G38" s="17">
        <v>25</v>
      </c>
      <c r="H38" s="6">
        <v>32</v>
      </c>
      <c r="I38" s="6"/>
      <c r="J38" s="6">
        <f t="shared" si="1"/>
        <v>32</v>
      </c>
      <c r="K38" s="6"/>
      <c r="L38" s="6"/>
      <c r="M38" s="6">
        <f t="shared" si="2"/>
        <v>0</v>
      </c>
      <c r="N38" s="6"/>
      <c r="O38" s="6"/>
      <c r="P38" s="6">
        <f t="shared" si="3"/>
        <v>0</v>
      </c>
      <c r="Q38" s="6"/>
      <c r="R38" s="6"/>
      <c r="S38" s="6">
        <f t="shared" si="4"/>
        <v>0</v>
      </c>
      <c r="T38" s="6"/>
      <c r="U38" s="6"/>
      <c r="V38" s="6">
        <f t="shared" si="5"/>
        <v>0</v>
      </c>
      <c r="W38" s="6"/>
      <c r="X38" s="6"/>
      <c r="Y38" s="98">
        <f t="shared" si="6"/>
        <v>0</v>
      </c>
      <c r="Z38" s="64">
        <f t="shared" si="7"/>
        <v>32</v>
      </c>
      <c r="AA38" s="64">
        <f t="shared" si="8"/>
        <v>0</v>
      </c>
      <c r="AB38" s="64">
        <f t="shared" si="9"/>
        <v>32</v>
      </c>
      <c r="AC38" s="65">
        <f t="shared" si="10"/>
        <v>5.333333333333333</v>
      </c>
      <c r="AD38" s="65">
        <f t="shared" si="11"/>
        <v>0</v>
      </c>
      <c r="AE38" s="65">
        <f t="shared" si="12"/>
        <v>5.333333333333333</v>
      </c>
      <c r="AF38" s="6"/>
      <c r="AG38" s="6"/>
      <c r="AH38" s="904">
        <f t="shared" si="13"/>
        <v>0</v>
      </c>
      <c r="AI38" s="6"/>
      <c r="AJ38" s="6"/>
      <c r="AK38" s="6">
        <f t="shared" si="14"/>
        <v>0</v>
      </c>
      <c r="AL38" s="6"/>
      <c r="AM38" s="6"/>
      <c r="AN38" s="98">
        <f t="shared" si="15"/>
        <v>0</v>
      </c>
      <c r="AO38" s="6">
        <f t="shared" si="16"/>
        <v>32</v>
      </c>
      <c r="AP38" s="6">
        <f t="shared" si="17"/>
        <v>0</v>
      </c>
      <c r="AQ38" s="6">
        <f t="shared" si="18"/>
        <v>32</v>
      </c>
      <c r="AR38" s="943">
        <f t="shared" si="19"/>
        <v>3.5555555555555554</v>
      </c>
      <c r="AS38" s="943">
        <f t="shared" si="20"/>
        <v>0</v>
      </c>
      <c r="AT38" s="943">
        <f t="shared" si="21"/>
        <v>3.5555555555555554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1:61" s="61" customFormat="1" ht="18">
      <c r="A39" s="19">
        <v>13</v>
      </c>
      <c r="B39" s="6">
        <v>32</v>
      </c>
      <c r="C39" s="673" t="s">
        <v>2851</v>
      </c>
      <c r="D39" s="19" t="s">
        <v>545</v>
      </c>
      <c r="E39" s="19" t="s">
        <v>560</v>
      </c>
      <c r="F39" s="19"/>
      <c r="G39" s="19">
        <v>971</v>
      </c>
      <c r="H39" s="19"/>
      <c r="I39" s="19"/>
      <c r="J39" s="19">
        <f t="shared" si="1"/>
        <v>0</v>
      </c>
      <c r="K39" s="19"/>
      <c r="L39" s="19"/>
      <c r="M39" s="19">
        <f t="shared" si="2"/>
        <v>0</v>
      </c>
      <c r="N39" s="19"/>
      <c r="O39" s="19"/>
      <c r="P39" s="19">
        <f t="shared" si="3"/>
        <v>0</v>
      </c>
      <c r="Q39" s="19"/>
      <c r="R39" s="19"/>
      <c r="S39" s="19">
        <f t="shared" si="4"/>
        <v>0</v>
      </c>
      <c r="T39" s="19"/>
      <c r="U39" s="19"/>
      <c r="V39" s="19">
        <f t="shared" si="5"/>
        <v>0</v>
      </c>
      <c r="W39" s="19"/>
      <c r="X39" s="19"/>
      <c r="Y39" s="100">
        <f t="shared" si="6"/>
        <v>0</v>
      </c>
      <c r="Z39" s="19">
        <f t="shared" si="7"/>
        <v>0</v>
      </c>
      <c r="AA39" s="19">
        <f t="shared" si="8"/>
        <v>0</v>
      </c>
      <c r="AB39" s="19">
        <f t="shared" si="9"/>
        <v>0</v>
      </c>
      <c r="AC39" s="60">
        <f t="shared" si="10"/>
        <v>0</v>
      </c>
      <c r="AD39" s="60">
        <f t="shared" si="11"/>
        <v>0</v>
      </c>
      <c r="AE39" s="60">
        <f t="shared" si="12"/>
        <v>0</v>
      </c>
      <c r="AF39" s="19">
        <v>0</v>
      </c>
      <c r="AG39" s="19">
        <v>0</v>
      </c>
      <c r="AH39" s="905">
        <f t="shared" si="13"/>
        <v>0</v>
      </c>
      <c r="AI39" s="19"/>
      <c r="AJ39" s="19"/>
      <c r="AK39" s="19">
        <f t="shared" si="14"/>
        <v>0</v>
      </c>
      <c r="AL39" s="19"/>
      <c r="AM39" s="19"/>
      <c r="AN39" s="100">
        <f t="shared" si="15"/>
        <v>0</v>
      </c>
      <c r="AO39" s="19">
        <f t="shared" si="16"/>
        <v>0</v>
      </c>
      <c r="AP39" s="19">
        <f t="shared" si="17"/>
        <v>0</v>
      </c>
      <c r="AQ39" s="19">
        <f t="shared" si="18"/>
        <v>0</v>
      </c>
      <c r="AR39" s="703">
        <f t="shared" si="19"/>
        <v>0</v>
      </c>
      <c r="AS39" s="703">
        <f t="shared" si="20"/>
        <v>0</v>
      </c>
      <c r="AT39" s="703">
        <f t="shared" si="21"/>
        <v>0</v>
      </c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</row>
    <row r="40" spans="1:61" ht="18" hidden="1">
      <c r="A40" s="6">
        <v>1</v>
      </c>
      <c r="B40" s="6">
        <v>33</v>
      </c>
      <c r="C40" s="16" t="s">
        <v>561</v>
      </c>
      <c r="D40" s="6" t="s">
        <v>562</v>
      </c>
      <c r="E40" s="6" t="s">
        <v>563</v>
      </c>
      <c r="F40" s="6">
        <v>30</v>
      </c>
      <c r="G40" s="17">
        <v>10</v>
      </c>
      <c r="H40" s="6"/>
      <c r="I40" s="6"/>
      <c r="J40" s="6">
        <f t="shared" si="1"/>
        <v>0</v>
      </c>
      <c r="K40" s="6"/>
      <c r="L40" s="6"/>
      <c r="M40" s="6">
        <f t="shared" si="2"/>
        <v>0</v>
      </c>
      <c r="N40" s="6"/>
      <c r="O40" s="6"/>
      <c r="P40" s="6">
        <f t="shared" si="3"/>
        <v>0</v>
      </c>
      <c r="Q40" s="6"/>
      <c r="R40" s="6"/>
      <c r="S40" s="6">
        <f t="shared" si="4"/>
        <v>0</v>
      </c>
      <c r="T40" s="6">
        <v>10</v>
      </c>
      <c r="U40" s="6"/>
      <c r="V40" s="6">
        <f t="shared" si="5"/>
        <v>10</v>
      </c>
      <c r="W40" s="6"/>
      <c r="X40" s="6"/>
      <c r="Y40" s="98">
        <f t="shared" si="6"/>
        <v>0</v>
      </c>
      <c r="Z40" s="6">
        <f t="shared" si="7"/>
        <v>10</v>
      </c>
      <c r="AA40" s="6">
        <f t="shared" si="8"/>
        <v>0</v>
      </c>
      <c r="AB40" s="6">
        <f t="shared" si="9"/>
        <v>10</v>
      </c>
      <c r="AC40" s="36">
        <f t="shared" si="10"/>
        <v>1.6666666666666667</v>
      </c>
      <c r="AD40" s="36">
        <f t="shared" si="11"/>
        <v>0</v>
      </c>
      <c r="AE40" s="36">
        <f t="shared" si="12"/>
        <v>1.6666666666666667</v>
      </c>
      <c r="AF40" s="6"/>
      <c r="AG40" s="6"/>
      <c r="AH40" s="904">
        <f t="shared" si="13"/>
        <v>0</v>
      </c>
      <c r="AI40" s="6">
        <v>20</v>
      </c>
      <c r="AJ40" s="6"/>
      <c r="AK40" s="6">
        <f t="shared" si="14"/>
        <v>20</v>
      </c>
      <c r="AL40" s="6"/>
      <c r="AM40" s="6"/>
      <c r="AN40" s="98">
        <f t="shared" si="15"/>
        <v>0</v>
      </c>
      <c r="AO40" s="6">
        <f t="shared" si="16"/>
        <v>30</v>
      </c>
      <c r="AP40" s="6">
        <f t="shared" si="17"/>
        <v>0</v>
      </c>
      <c r="AQ40" s="6">
        <f t="shared" si="18"/>
        <v>30</v>
      </c>
      <c r="AR40" s="943">
        <f t="shared" si="19"/>
        <v>3.3333333333333335</v>
      </c>
      <c r="AS40" s="943">
        <f t="shared" si="20"/>
        <v>0</v>
      </c>
      <c r="AT40" s="943">
        <f t="shared" si="21"/>
        <v>3.3333333333333335</v>
      </c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ht="18" hidden="1">
      <c r="A41" s="6">
        <v>2</v>
      </c>
      <c r="B41" s="6">
        <v>34</v>
      </c>
      <c r="C41" s="16" t="s">
        <v>564</v>
      </c>
      <c r="D41" s="6" t="s">
        <v>562</v>
      </c>
      <c r="E41" s="6" t="s">
        <v>565</v>
      </c>
      <c r="F41" s="6">
        <v>20</v>
      </c>
      <c r="G41" s="17">
        <v>10</v>
      </c>
      <c r="H41" s="6"/>
      <c r="I41" s="6"/>
      <c r="J41" s="6">
        <f t="shared" si="1"/>
        <v>0</v>
      </c>
      <c r="K41" s="6"/>
      <c r="L41" s="6"/>
      <c r="M41" s="6">
        <f t="shared" si="2"/>
        <v>0</v>
      </c>
      <c r="N41" s="6"/>
      <c r="O41" s="6"/>
      <c r="P41" s="6">
        <f t="shared" si="3"/>
        <v>0</v>
      </c>
      <c r="Q41" s="6"/>
      <c r="R41" s="6"/>
      <c r="S41" s="6">
        <f t="shared" si="4"/>
        <v>0</v>
      </c>
      <c r="T41" s="6"/>
      <c r="U41" s="6"/>
      <c r="V41" s="6">
        <f t="shared" si="5"/>
        <v>0</v>
      </c>
      <c r="W41" s="6"/>
      <c r="X41" s="6"/>
      <c r="Y41" s="98">
        <f t="shared" si="6"/>
        <v>0</v>
      </c>
      <c r="Z41" s="6">
        <f t="shared" si="7"/>
        <v>0</v>
      </c>
      <c r="AA41" s="6">
        <f t="shared" si="8"/>
        <v>0</v>
      </c>
      <c r="AB41" s="6">
        <f t="shared" si="9"/>
        <v>0</v>
      </c>
      <c r="AC41" s="36">
        <f t="shared" si="10"/>
        <v>0</v>
      </c>
      <c r="AD41" s="36">
        <f t="shared" si="11"/>
        <v>0</v>
      </c>
      <c r="AE41" s="36">
        <f t="shared" si="12"/>
        <v>0</v>
      </c>
      <c r="AF41" s="6"/>
      <c r="AG41" s="6"/>
      <c r="AH41" s="904">
        <f t="shared" si="13"/>
        <v>0</v>
      </c>
      <c r="AI41" s="6"/>
      <c r="AJ41" s="6"/>
      <c r="AK41" s="6">
        <f t="shared" si="14"/>
        <v>0</v>
      </c>
      <c r="AL41" s="6"/>
      <c r="AM41" s="6"/>
      <c r="AN41" s="98">
        <f t="shared" si="15"/>
        <v>0</v>
      </c>
      <c r="AO41" s="6">
        <f t="shared" si="16"/>
        <v>0</v>
      </c>
      <c r="AP41" s="6">
        <f t="shared" si="17"/>
        <v>0</v>
      </c>
      <c r="AQ41" s="6">
        <f t="shared" si="18"/>
        <v>0</v>
      </c>
      <c r="AR41" s="943">
        <f t="shared" si="19"/>
        <v>0</v>
      </c>
      <c r="AS41" s="943">
        <f t="shared" si="20"/>
        <v>0</v>
      </c>
      <c r="AT41" s="943">
        <f t="shared" si="21"/>
        <v>0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ht="18" hidden="1">
      <c r="A42" s="6">
        <v>3</v>
      </c>
      <c r="B42" s="6">
        <v>35</v>
      </c>
      <c r="C42" s="16" t="s">
        <v>2852</v>
      </c>
      <c r="D42" s="6" t="s">
        <v>562</v>
      </c>
      <c r="E42" s="6" t="s">
        <v>566</v>
      </c>
      <c r="F42" s="18">
        <v>40</v>
      </c>
      <c r="G42" s="17">
        <v>25</v>
      </c>
      <c r="H42" s="6">
        <v>50</v>
      </c>
      <c r="I42" s="6"/>
      <c r="J42" s="6">
        <f t="shared" si="1"/>
        <v>50</v>
      </c>
      <c r="K42" s="6">
        <v>206</v>
      </c>
      <c r="L42" s="6"/>
      <c r="M42" s="6">
        <f t="shared" si="2"/>
        <v>206</v>
      </c>
      <c r="N42" s="6"/>
      <c r="O42" s="6"/>
      <c r="P42" s="6">
        <f t="shared" si="3"/>
        <v>0</v>
      </c>
      <c r="Q42" s="6"/>
      <c r="R42" s="6"/>
      <c r="S42" s="6">
        <f t="shared" si="4"/>
        <v>0</v>
      </c>
      <c r="T42" s="6"/>
      <c r="U42" s="6"/>
      <c r="V42" s="6">
        <f t="shared" si="5"/>
        <v>0</v>
      </c>
      <c r="W42" s="6"/>
      <c r="X42" s="6"/>
      <c r="Y42" s="98">
        <f t="shared" si="6"/>
        <v>0</v>
      </c>
      <c r="Z42" s="6">
        <f t="shared" si="7"/>
        <v>256</v>
      </c>
      <c r="AA42" s="6">
        <f t="shared" si="8"/>
        <v>0</v>
      </c>
      <c r="AB42" s="6">
        <f t="shared" si="9"/>
        <v>256</v>
      </c>
      <c r="AC42" s="36">
        <f t="shared" si="10"/>
        <v>42.666666666666664</v>
      </c>
      <c r="AD42" s="36">
        <f t="shared" si="11"/>
        <v>0</v>
      </c>
      <c r="AE42" s="36">
        <f t="shared" si="12"/>
        <v>42.666666666666664</v>
      </c>
      <c r="AF42" s="6"/>
      <c r="AG42" s="6"/>
      <c r="AH42" s="904">
        <f t="shared" si="13"/>
        <v>0</v>
      </c>
      <c r="AI42" s="6">
        <v>40</v>
      </c>
      <c r="AJ42" s="6"/>
      <c r="AK42" s="6">
        <f t="shared" si="14"/>
        <v>40</v>
      </c>
      <c r="AL42" s="6">
        <v>146</v>
      </c>
      <c r="AM42" s="6"/>
      <c r="AN42" s="98">
        <f t="shared" si="15"/>
        <v>146</v>
      </c>
      <c r="AO42" s="6">
        <f t="shared" si="16"/>
        <v>442</v>
      </c>
      <c r="AP42" s="6">
        <f t="shared" si="17"/>
        <v>0</v>
      </c>
      <c r="AQ42" s="6">
        <f t="shared" si="18"/>
        <v>442</v>
      </c>
      <c r="AR42" s="943">
        <f t="shared" si="19"/>
        <v>49.111111111111114</v>
      </c>
      <c r="AS42" s="943">
        <f t="shared" si="20"/>
        <v>0</v>
      </c>
      <c r="AT42" s="943">
        <f t="shared" si="21"/>
        <v>49.111111111111114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spans="1:61" ht="18" hidden="1">
      <c r="A43" s="6">
        <v>4</v>
      </c>
      <c r="B43" s="6">
        <v>36</v>
      </c>
      <c r="C43" s="16" t="s">
        <v>567</v>
      </c>
      <c r="D43" s="6" t="s">
        <v>562</v>
      </c>
      <c r="E43" s="6" t="s">
        <v>568</v>
      </c>
      <c r="F43" s="6">
        <v>30</v>
      </c>
      <c r="G43" s="17">
        <v>20</v>
      </c>
      <c r="H43" s="6">
        <v>35</v>
      </c>
      <c r="I43" s="6"/>
      <c r="J43" s="6">
        <f t="shared" si="1"/>
        <v>35</v>
      </c>
      <c r="K43" s="6">
        <v>72</v>
      </c>
      <c r="L43" s="6">
        <v>18</v>
      </c>
      <c r="M43" s="6">
        <f t="shared" si="2"/>
        <v>90</v>
      </c>
      <c r="N43" s="6"/>
      <c r="O43" s="6"/>
      <c r="P43" s="6">
        <f t="shared" si="3"/>
        <v>0</v>
      </c>
      <c r="Q43" s="6"/>
      <c r="R43" s="6"/>
      <c r="S43" s="6">
        <f t="shared" si="4"/>
        <v>0</v>
      </c>
      <c r="T43" s="6">
        <v>71</v>
      </c>
      <c r="U43" s="6"/>
      <c r="V43" s="6">
        <f t="shared" si="5"/>
        <v>71</v>
      </c>
      <c r="W43" s="6"/>
      <c r="X43" s="6"/>
      <c r="Y43" s="98">
        <f t="shared" si="6"/>
        <v>0</v>
      </c>
      <c r="Z43" s="6">
        <f t="shared" si="7"/>
        <v>178</v>
      </c>
      <c r="AA43" s="6">
        <f t="shared" si="8"/>
        <v>18</v>
      </c>
      <c r="AB43" s="6">
        <f t="shared" si="9"/>
        <v>196</v>
      </c>
      <c r="AC43" s="36">
        <f t="shared" si="10"/>
        <v>29.666666666666668</v>
      </c>
      <c r="AD43" s="36">
        <f t="shared" si="11"/>
        <v>3</v>
      </c>
      <c r="AE43" s="36">
        <f t="shared" si="12"/>
        <v>32.666666666666664</v>
      </c>
      <c r="AF43" s="6">
        <v>103</v>
      </c>
      <c r="AG43" s="6"/>
      <c r="AH43" s="904">
        <f t="shared" si="13"/>
        <v>103</v>
      </c>
      <c r="AI43" s="6"/>
      <c r="AJ43" s="6"/>
      <c r="AK43" s="6">
        <f t="shared" si="14"/>
        <v>0</v>
      </c>
      <c r="AL43" s="6">
        <v>126</v>
      </c>
      <c r="AM43" s="6"/>
      <c r="AN43" s="98">
        <f t="shared" si="15"/>
        <v>126</v>
      </c>
      <c r="AO43" s="6">
        <f t="shared" si="16"/>
        <v>407</v>
      </c>
      <c r="AP43" s="6">
        <f t="shared" si="17"/>
        <v>18</v>
      </c>
      <c r="AQ43" s="6">
        <f t="shared" si="18"/>
        <v>425</v>
      </c>
      <c r="AR43" s="943">
        <f t="shared" si="19"/>
        <v>45.222222222222221</v>
      </c>
      <c r="AS43" s="943">
        <f t="shared" si="20"/>
        <v>2</v>
      </c>
      <c r="AT43" s="943">
        <f t="shared" si="21"/>
        <v>47.222222222222221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ht="18" hidden="1">
      <c r="A44" s="6">
        <v>5</v>
      </c>
      <c r="B44" s="6">
        <v>37</v>
      </c>
      <c r="C44" s="16" t="s">
        <v>569</v>
      </c>
      <c r="D44" s="6" t="s">
        <v>562</v>
      </c>
      <c r="E44" s="6" t="s">
        <v>570</v>
      </c>
      <c r="F44" s="6">
        <v>30</v>
      </c>
      <c r="G44" s="17">
        <v>25</v>
      </c>
      <c r="H44" s="6"/>
      <c r="I44" s="6"/>
      <c r="J44" s="6">
        <f t="shared" si="1"/>
        <v>0</v>
      </c>
      <c r="K44" s="6"/>
      <c r="L44" s="6">
        <v>18</v>
      </c>
      <c r="M44" s="6">
        <f t="shared" si="2"/>
        <v>18</v>
      </c>
      <c r="N44" s="6"/>
      <c r="O44" s="6">
        <v>36</v>
      </c>
      <c r="P44" s="6">
        <f t="shared" si="3"/>
        <v>36</v>
      </c>
      <c r="Q44" s="6"/>
      <c r="R44" s="6">
        <v>18</v>
      </c>
      <c r="S44" s="6">
        <f t="shared" si="4"/>
        <v>18</v>
      </c>
      <c r="T44" s="6">
        <v>10</v>
      </c>
      <c r="U44" s="6"/>
      <c r="V44" s="6">
        <f t="shared" si="5"/>
        <v>10</v>
      </c>
      <c r="W44" s="6"/>
      <c r="X44" s="6"/>
      <c r="Y44" s="98">
        <f t="shared" si="6"/>
        <v>0</v>
      </c>
      <c r="Z44" s="6">
        <f t="shared" si="7"/>
        <v>10</v>
      </c>
      <c r="AA44" s="6">
        <f t="shared" si="8"/>
        <v>72</v>
      </c>
      <c r="AB44" s="6">
        <f t="shared" si="9"/>
        <v>82</v>
      </c>
      <c r="AC44" s="36">
        <f t="shared" si="10"/>
        <v>1.6666666666666667</v>
      </c>
      <c r="AD44" s="36">
        <f t="shared" si="11"/>
        <v>12</v>
      </c>
      <c r="AE44" s="36">
        <f t="shared" si="12"/>
        <v>13.666666666666666</v>
      </c>
      <c r="AF44" s="6"/>
      <c r="AG44" s="6">
        <v>22</v>
      </c>
      <c r="AH44" s="904">
        <f t="shared" si="13"/>
        <v>22</v>
      </c>
      <c r="AI44" s="6"/>
      <c r="AJ44" s="6"/>
      <c r="AK44" s="6">
        <f t="shared" si="14"/>
        <v>0</v>
      </c>
      <c r="AL44" s="6">
        <v>100</v>
      </c>
      <c r="AM44" s="6"/>
      <c r="AN44" s="98">
        <f t="shared" si="15"/>
        <v>100</v>
      </c>
      <c r="AO44" s="6">
        <f t="shared" si="16"/>
        <v>110</v>
      </c>
      <c r="AP44" s="6">
        <f t="shared" si="17"/>
        <v>94</v>
      </c>
      <c r="AQ44" s="6">
        <f t="shared" si="18"/>
        <v>204</v>
      </c>
      <c r="AR44" s="943">
        <f t="shared" si="19"/>
        <v>12.222222222222221</v>
      </c>
      <c r="AS44" s="943">
        <f t="shared" si="20"/>
        <v>10.444444444444445</v>
      </c>
      <c r="AT44" s="943">
        <f t="shared" si="21"/>
        <v>22.666666666666668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ht="18" hidden="1">
      <c r="A45" s="6">
        <v>6</v>
      </c>
      <c r="B45" s="6">
        <v>38</v>
      </c>
      <c r="C45" s="16" t="s">
        <v>571</v>
      </c>
      <c r="D45" s="6" t="s">
        <v>562</v>
      </c>
      <c r="E45" s="6" t="s">
        <v>572</v>
      </c>
      <c r="F45" s="6">
        <v>30</v>
      </c>
      <c r="G45" s="17">
        <v>18</v>
      </c>
      <c r="H45" s="6">
        <v>36</v>
      </c>
      <c r="I45" s="6"/>
      <c r="J45" s="6">
        <f t="shared" si="1"/>
        <v>36</v>
      </c>
      <c r="K45" s="6">
        <v>36</v>
      </c>
      <c r="L45" s="6"/>
      <c r="M45" s="6">
        <f t="shared" si="2"/>
        <v>36</v>
      </c>
      <c r="N45" s="6">
        <v>36</v>
      </c>
      <c r="O45" s="6"/>
      <c r="P45" s="6">
        <f t="shared" si="3"/>
        <v>36</v>
      </c>
      <c r="Q45" s="6"/>
      <c r="R45" s="6"/>
      <c r="S45" s="6">
        <f t="shared" si="4"/>
        <v>0</v>
      </c>
      <c r="T45" s="6"/>
      <c r="U45" s="6"/>
      <c r="V45" s="6">
        <f t="shared" si="5"/>
        <v>0</v>
      </c>
      <c r="W45" s="6"/>
      <c r="X45" s="6"/>
      <c r="Y45" s="98">
        <f t="shared" si="6"/>
        <v>0</v>
      </c>
      <c r="Z45" s="6">
        <f t="shared" si="7"/>
        <v>108</v>
      </c>
      <c r="AA45" s="6">
        <f t="shared" si="8"/>
        <v>0</v>
      </c>
      <c r="AB45" s="6">
        <f t="shared" si="9"/>
        <v>108</v>
      </c>
      <c r="AC45" s="36">
        <f t="shared" si="10"/>
        <v>18</v>
      </c>
      <c r="AD45" s="36">
        <f t="shared" si="11"/>
        <v>0</v>
      </c>
      <c r="AE45" s="36">
        <f t="shared" si="12"/>
        <v>18</v>
      </c>
      <c r="AF45" s="6">
        <v>30</v>
      </c>
      <c r="AG45" s="6"/>
      <c r="AH45" s="904">
        <f t="shared" si="13"/>
        <v>30</v>
      </c>
      <c r="AI45" s="6">
        <v>50</v>
      </c>
      <c r="AJ45" s="6"/>
      <c r="AK45" s="6">
        <f t="shared" si="14"/>
        <v>50</v>
      </c>
      <c r="AL45" s="6">
        <v>150</v>
      </c>
      <c r="AM45" s="6"/>
      <c r="AN45" s="98">
        <f t="shared" si="15"/>
        <v>150</v>
      </c>
      <c r="AO45" s="6">
        <f t="shared" si="16"/>
        <v>338</v>
      </c>
      <c r="AP45" s="6">
        <f t="shared" si="17"/>
        <v>0</v>
      </c>
      <c r="AQ45" s="6">
        <f t="shared" si="18"/>
        <v>338</v>
      </c>
      <c r="AR45" s="943">
        <f t="shared" si="19"/>
        <v>37.555555555555557</v>
      </c>
      <c r="AS45" s="943">
        <f t="shared" si="20"/>
        <v>0</v>
      </c>
      <c r="AT45" s="943">
        <f t="shared" si="21"/>
        <v>37.555555555555557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spans="1:61" ht="18" hidden="1">
      <c r="A46" s="6">
        <v>7</v>
      </c>
      <c r="B46" s="6">
        <v>39</v>
      </c>
      <c r="C46" s="16" t="s">
        <v>573</v>
      </c>
      <c r="D46" s="6" t="s">
        <v>562</v>
      </c>
      <c r="E46" s="6" t="s">
        <v>574</v>
      </c>
      <c r="F46" s="18">
        <v>40</v>
      </c>
      <c r="G46" s="17">
        <v>25</v>
      </c>
      <c r="H46" s="6">
        <v>75</v>
      </c>
      <c r="I46" s="6"/>
      <c r="J46" s="6">
        <f t="shared" si="1"/>
        <v>75</v>
      </c>
      <c r="K46" s="6"/>
      <c r="L46" s="6"/>
      <c r="M46" s="6">
        <f t="shared" si="2"/>
        <v>0</v>
      </c>
      <c r="N46" s="6">
        <v>200</v>
      </c>
      <c r="O46" s="6"/>
      <c r="P46" s="6">
        <f t="shared" si="3"/>
        <v>200</v>
      </c>
      <c r="Q46" s="6"/>
      <c r="R46" s="6"/>
      <c r="S46" s="6">
        <f t="shared" si="4"/>
        <v>0</v>
      </c>
      <c r="T46" s="6"/>
      <c r="U46" s="6"/>
      <c r="V46" s="6">
        <f t="shared" si="5"/>
        <v>0</v>
      </c>
      <c r="W46" s="6"/>
      <c r="X46" s="6"/>
      <c r="Y46" s="98">
        <f t="shared" si="6"/>
        <v>0</v>
      </c>
      <c r="Z46" s="6">
        <f t="shared" si="7"/>
        <v>275</v>
      </c>
      <c r="AA46" s="6">
        <f t="shared" si="8"/>
        <v>0</v>
      </c>
      <c r="AB46" s="6">
        <f t="shared" si="9"/>
        <v>275</v>
      </c>
      <c r="AC46" s="36">
        <f t="shared" si="10"/>
        <v>45.833333333333336</v>
      </c>
      <c r="AD46" s="36">
        <f t="shared" si="11"/>
        <v>0</v>
      </c>
      <c r="AE46" s="36">
        <f t="shared" si="12"/>
        <v>45.833333333333336</v>
      </c>
      <c r="AF46" s="6"/>
      <c r="AG46" s="6"/>
      <c r="AH46" s="904">
        <f t="shared" si="13"/>
        <v>0</v>
      </c>
      <c r="AI46" s="6">
        <v>100</v>
      </c>
      <c r="AJ46" s="6"/>
      <c r="AK46" s="6">
        <f t="shared" si="14"/>
        <v>100</v>
      </c>
      <c r="AL46" s="6"/>
      <c r="AM46" s="6"/>
      <c r="AN46" s="98">
        <f t="shared" si="15"/>
        <v>0</v>
      </c>
      <c r="AO46" s="6">
        <f t="shared" si="16"/>
        <v>375</v>
      </c>
      <c r="AP46" s="6">
        <f t="shared" si="17"/>
        <v>0</v>
      </c>
      <c r="AQ46" s="6">
        <f t="shared" si="18"/>
        <v>375</v>
      </c>
      <c r="AR46" s="943">
        <f t="shared" si="19"/>
        <v>41.666666666666664</v>
      </c>
      <c r="AS46" s="943">
        <f t="shared" si="20"/>
        <v>0</v>
      </c>
      <c r="AT46" s="943">
        <f t="shared" si="21"/>
        <v>41.666666666666664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spans="1:61" ht="18" hidden="1">
      <c r="A47" s="6">
        <v>8</v>
      </c>
      <c r="B47" s="6">
        <v>40</v>
      </c>
      <c r="C47" s="669" t="s">
        <v>575</v>
      </c>
      <c r="D47" s="6" t="s">
        <v>562</v>
      </c>
      <c r="E47" s="6" t="s">
        <v>576</v>
      </c>
      <c r="F47" s="6">
        <v>30</v>
      </c>
      <c r="G47" s="17">
        <v>10</v>
      </c>
      <c r="H47" s="6"/>
      <c r="I47" s="6"/>
      <c r="J47" s="6">
        <f t="shared" si="1"/>
        <v>0</v>
      </c>
      <c r="K47" s="6"/>
      <c r="L47" s="6"/>
      <c r="M47" s="6">
        <f t="shared" si="2"/>
        <v>0</v>
      </c>
      <c r="N47" s="6">
        <v>10</v>
      </c>
      <c r="O47" s="6"/>
      <c r="P47" s="6">
        <f t="shared" si="3"/>
        <v>10</v>
      </c>
      <c r="Q47" s="6">
        <v>10</v>
      </c>
      <c r="R47" s="6"/>
      <c r="S47" s="6">
        <f t="shared" si="4"/>
        <v>10</v>
      </c>
      <c r="T47" s="6"/>
      <c r="U47" s="6"/>
      <c r="V47" s="6">
        <f t="shared" si="5"/>
        <v>0</v>
      </c>
      <c r="W47" s="6"/>
      <c r="X47" s="6"/>
      <c r="Y47" s="98">
        <f t="shared" si="6"/>
        <v>0</v>
      </c>
      <c r="Z47" s="6">
        <f t="shared" si="7"/>
        <v>20</v>
      </c>
      <c r="AA47" s="6">
        <f t="shared" si="8"/>
        <v>0</v>
      </c>
      <c r="AB47" s="6">
        <f t="shared" si="9"/>
        <v>20</v>
      </c>
      <c r="AC47" s="36">
        <f t="shared" si="10"/>
        <v>3.3333333333333335</v>
      </c>
      <c r="AD47" s="36">
        <f t="shared" si="11"/>
        <v>0</v>
      </c>
      <c r="AE47" s="36">
        <f t="shared" si="12"/>
        <v>3.3333333333333335</v>
      </c>
      <c r="AF47" s="6"/>
      <c r="AG47" s="6"/>
      <c r="AH47" s="904">
        <f t="shared" si="13"/>
        <v>0</v>
      </c>
      <c r="AI47" s="6"/>
      <c r="AJ47" s="6"/>
      <c r="AK47" s="6">
        <f t="shared" si="14"/>
        <v>0</v>
      </c>
      <c r="AL47" s="6"/>
      <c r="AM47" s="6"/>
      <c r="AN47" s="98">
        <f t="shared" si="15"/>
        <v>0</v>
      </c>
      <c r="AO47" s="6">
        <f t="shared" si="16"/>
        <v>20</v>
      </c>
      <c r="AP47" s="6">
        <f t="shared" si="17"/>
        <v>0</v>
      </c>
      <c r="AQ47" s="6">
        <f t="shared" si="18"/>
        <v>20</v>
      </c>
      <c r="AR47" s="943">
        <f t="shared" si="19"/>
        <v>2.2222222222222223</v>
      </c>
      <c r="AS47" s="943">
        <f t="shared" si="20"/>
        <v>0</v>
      </c>
      <c r="AT47" s="943">
        <f t="shared" si="21"/>
        <v>2.2222222222222223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spans="1:61" ht="18" hidden="1">
      <c r="A48" s="6">
        <v>9</v>
      </c>
      <c r="B48" s="6">
        <v>41</v>
      </c>
      <c r="C48" s="16" t="s">
        <v>577</v>
      </c>
      <c r="D48" s="6" t="s">
        <v>562</v>
      </c>
      <c r="E48" s="6" t="s">
        <v>578</v>
      </c>
      <c r="F48" s="6">
        <v>15</v>
      </c>
      <c r="G48" s="17">
        <v>20</v>
      </c>
      <c r="H48" s="6">
        <v>26</v>
      </c>
      <c r="I48" s="6"/>
      <c r="J48" s="6">
        <f t="shared" si="1"/>
        <v>26</v>
      </c>
      <c r="K48" s="6">
        <v>26</v>
      </c>
      <c r="L48" s="6"/>
      <c r="M48" s="6">
        <f t="shared" si="2"/>
        <v>26</v>
      </c>
      <c r="N48" s="6">
        <v>19</v>
      </c>
      <c r="O48" s="6"/>
      <c r="P48" s="6">
        <f t="shared" si="3"/>
        <v>19</v>
      </c>
      <c r="Q48" s="6"/>
      <c r="R48" s="6"/>
      <c r="S48" s="6">
        <f t="shared" si="4"/>
        <v>0</v>
      </c>
      <c r="T48" s="6">
        <v>24</v>
      </c>
      <c r="U48" s="6"/>
      <c r="V48" s="6">
        <f t="shared" si="5"/>
        <v>24</v>
      </c>
      <c r="W48" s="6"/>
      <c r="X48" s="6"/>
      <c r="Y48" s="98">
        <f t="shared" si="6"/>
        <v>0</v>
      </c>
      <c r="Z48" s="6">
        <f t="shared" si="7"/>
        <v>95</v>
      </c>
      <c r="AA48" s="6">
        <f t="shared" si="8"/>
        <v>0</v>
      </c>
      <c r="AB48" s="6">
        <f t="shared" si="9"/>
        <v>95</v>
      </c>
      <c r="AC48" s="36">
        <f t="shared" si="10"/>
        <v>15.833333333333334</v>
      </c>
      <c r="AD48" s="36">
        <f t="shared" si="11"/>
        <v>0</v>
      </c>
      <c r="AE48" s="36">
        <f t="shared" si="12"/>
        <v>15.833333333333334</v>
      </c>
      <c r="AF48" s="6"/>
      <c r="AG48" s="6"/>
      <c r="AH48" s="904">
        <f t="shared" si="13"/>
        <v>0</v>
      </c>
      <c r="AI48" s="6"/>
      <c r="AJ48" s="6"/>
      <c r="AK48" s="6">
        <f t="shared" si="14"/>
        <v>0</v>
      </c>
      <c r="AL48" s="6"/>
      <c r="AM48" s="6"/>
      <c r="AN48" s="98">
        <f t="shared" si="15"/>
        <v>0</v>
      </c>
      <c r="AO48" s="6">
        <f t="shared" si="16"/>
        <v>95</v>
      </c>
      <c r="AP48" s="6">
        <f t="shared" si="17"/>
        <v>0</v>
      </c>
      <c r="AQ48" s="6">
        <f t="shared" si="18"/>
        <v>95</v>
      </c>
      <c r="AR48" s="943">
        <f t="shared" si="19"/>
        <v>10.555555555555555</v>
      </c>
      <c r="AS48" s="943">
        <f t="shared" si="20"/>
        <v>0</v>
      </c>
      <c r="AT48" s="943">
        <f t="shared" si="21"/>
        <v>10.555555555555555</v>
      </c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spans="1:61" ht="18" hidden="1">
      <c r="A49" s="6">
        <v>10</v>
      </c>
      <c r="B49" s="6">
        <v>42</v>
      </c>
      <c r="C49" s="16" t="s">
        <v>579</v>
      </c>
      <c r="D49" s="6" t="s">
        <v>562</v>
      </c>
      <c r="E49" s="6" t="s">
        <v>580</v>
      </c>
      <c r="F49" s="6">
        <v>30</v>
      </c>
      <c r="G49" s="17">
        <v>10</v>
      </c>
      <c r="H49" s="6"/>
      <c r="I49" s="6"/>
      <c r="J49" s="6">
        <f t="shared" si="1"/>
        <v>0</v>
      </c>
      <c r="K49" s="6"/>
      <c r="L49" s="6"/>
      <c r="M49" s="6">
        <f t="shared" si="2"/>
        <v>0</v>
      </c>
      <c r="N49" s="6"/>
      <c r="O49" s="6"/>
      <c r="P49" s="6">
        <f t="shared" si="3"/>
        <v>0</v>
      </c>
      <c r="Q49" s="6"/>
      <c r="R49" s="6"/>
      <c r="S49" s="6">
        <f t="shared" si="4"/>
        <v>0</v>
      </c>
      <c r="T49" s="6"/>
      <c r="U49" s="6"/>
      <c r="V49" s="6">
        <f t="shared" si="5"/>
        <v>0</v>
      </c>
      <c r="W49" s="6"/>
      <c r="X49" s="6"/>
      <c r="Y49" s="98">
        <f t="shared" si="6"/>
        <v>0</v>
      </c>
      <c r="Z49" s="6">
        <f t="shared" si="7"/>
        <v>0</v>
      </c>
      <c r="AA49" s="6">
        <f t="shared" si="8"/>
        <v>0</v>
      </c>
      <c r="AB49" s="6">
        <f t="shared" si="9"/>
        <v>0</v>
      </c>
      <c r="AC49" s="36">
        <f t="shared" si="10"/>
        <v>0</v>
      </c>
      <c r="AD49" s="36">
        <f t="shared" si="11"/>
        <v>0</v>
      </c>
      <c r="AE49" s="36">
        <f t="shared" si="12"/>
        <v>0</v>
      </c>
      <c r="AF49" s="6"/>
      <c r="AG49" s="6"/>
      <c r="AH49" s="904">
        <f t="shared" si="13"/>
        <v>0</v>
      </c>
      <c r="AI49" s="6"/>
      <c r="AJ49" s="6"/>
      <c r="AK49" s="6">
        <f t="shared" si="14"/>
        <v>0</v>
      </c>
      <c r="AL49" s="6"/>
      <c r="AM49" s="6"/>
      <c r="AN49" s="98">
        <f t="shared" si="15"/>
        <v>0</v>
      </c>
      <c r="AO49" s="6">
        <f t="shared" si="16"/>
        <v>0</v>
      </c>
      <c r="AP49" s="6">
        <f t="shared" si="17"/>
        <v>0</v>
      </c>
      <c r="AQ49" s="6">
        <f t="shared" si="18"/>
        <v>0</v>
      </c>
      <c r="AR49" s="943">
        <f t="shared" si="19"/>
        <v>0</v>
      </c>
      <c r="AS49" s="943">
        <f t="shared" si="20"/>
        <v>0</v>
      </c>
      <c r="AT49" s="943">
        <f t="shared" si="21"/>
        <v>0</v>
      </c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spans="1:61" ht="18" hidden="1">
      <c r="A50" s="6">
        <v>11</v>
      </c>
      <c r="B50" s="6">
        <v>43</v>
      </c>
      <c r="C50" s="16" t="s">
        <v>581</v>
      </c>
      <c r="D50" s="6" t="s">
        <v>562</v>
      </c>
      <c r="E50" s="6" t="s">
        <v>582</v>
      </c>
      <c r="F50" s="18">
        <v>40</v>
      </c>
      <c r="G50" s="17">
        <v>25</v>
      </c>
      <c r="H50" s="6">
        <v>5</v>
      </c>
      <c r="I50" s="6">
        <v>4.5</v>
      </c>
      <c r="J50" s="6">
        <f t="shared" si="1"/>
        <v>9.5</v>
      </c>
      <c r="K50" s="6">
        <v>86</v>
      </c>
      <c r="L50" s="6">
        <v>18</v>
      </c>
      <c r="M50" s="6">
        <f t="shared" si="2"/>
        <v>104</v>
      </c>
      <c r="N50" s="6"/>
      <c r="O50" s="6"/>
      <c r="P50" s="6">
        <f t="shared" si="3"/>
        <v>0</v>
      </c>
      <c r="Q50" s="6"/>
      <c r="R50" s="6"/>
      <c r="S50" s="6">
        <f t="shared" si="4"/>
        <v>0</v>
      </c>
      <c r="T50" s="6"/>
      <c r="U50" s="6"/>
      <c r="V50" s="6">
        <f t="shared" si="5"/>
        <v>0</v>
      </c>
      <c r="W50" s="6"/>
      <c r="X50" s="6"/>
      <c r="Y50" s="98">
        <f t="shared" si="6"/>
        <v>0</v>
      </c>
      <c r="Z50" s="6">
        <f t="shared" si="7"/>
        <v>91</v>
      </c>
      <c r="AA50" s="6">
        <f t="shared" si="8"/>
        <v>22.5</v>
      </c>
      <c r="AB50" s="6">
        <f t="shared" si="9"/>
        <v>113.5</v>
      </c>
      <c r="AC50" s="36">
        <f t="shared" si="10"/>
        <v>15.166666666666666</v>
      </c>
      <c r="AD50" s="36">
        <f t="shared" si="11"/>
        <v>3.75</v>
      </c>
      <c r="AE50" s="36">
        <f t="shared" si="12"/>
        <v>18.916666666666668</v>
      </c>
      <c r="AF50" s="6"/>
      <c r="AG50" s="6"/>
      <c r="AH50" s="904">
        <f t="shared" si="13"/>
        <v>0</v>
      </c>
      <c r="AI50" s="6"/>
      <c r="AJ50" s="6"/>
      <c r="AK50" s="6">
        <f t="shared" si="14"/>
        <v>0</v>
      </c>
      <c r="AL50" s="6"/>
      <c r="AM50" s="6"/>
      <c r="AN50" s="98">
        <f t="shared" si="15"/>
        <v>0</v>
      </c>
      <c r="AO50" s="6">
        <f t="shared" si="16"/>
        <v>91</v>
      </c>
      <c r="AP50" s="6">
        <f t="shared" si="17"/>
        <v>22.5</v>
      </c>
      <c r="AQ50" s="6">
        <f t="shared" si="18"/>
        <v>113.5</v>
      </c>
      <c r="AR50" s="943">
        <f t="shared" si="19"/>
        <v>10.111111111111111</v>
      </c>
      <c r="AS50" s="943">
        <f t="shared" si="20"/>
        <v>2.5</v>
      </c>
      <c r="AT50" s="943">
        <f t="shared" si="21"/>
        <v>12.611111111111111</v>
      </c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spans="1:61" ht="18" hidden="1">
      <c r="A51" s="6">
        <v>12</v>
      </c>
      <c r="B51" s="6">
        <v>44</v>
      </c>
      <c r="C51" s="16" t="s">
        <v>583</v>
      </c>
      <c r="D51" s="6" t="s">
        <v>562</v>
      </c>
      <c r="E51" s="6"/>
      <c r="F51" s="18"/>
      <c r="G51" s="17">
        <v>10</v>
      </c>
      <c r="H51" s="6"/>
      <c r="I51" s="6"/>
      <c r="J51" s="6">
        <f t="shared" si="1"/>
        <v>0</v>
      </c>
      <c r="K51" s="6"/>
      <c r="L51" s="6"/>
      <c r="M51" s="6">
        <f t="shared" si="2"/>
        <v>0</v>
      </c>
      <c r="N51" s="6"/>
      <c r="O51" s="6"/>
      <c r="P51" s="6">
        <f t="shared" si="3"/>
        <v>0</v>
      </c>
      <c r="Q51" s="6"/>
      <c r="R51" s="6"/>
      <c r="S51" s="6">
        <f t="shared" si="4"/>
        <v>0</v>
      </c>
      <c r="T51" s="6"/>
      <c r="U51" s="6"/>
      <c r="V51" s="6">
        <f t="shared" si="5"/>
        <v>0</v>
      </c>
      <c r="W51" s="6"/>
      <c r="X51" s="6"/>
      <c r="Y51" s="98">
        <f t="shared" si="6"/>
        <v>0</v>
      </c>
      <c r="Z51" s="6">
        <f t="shared" si="7"/>
        <v>0</v>
      </c>
      <c r="AA51" s="6">
        <f t="shared" si="8"/>
        <v>0</v>
      </c>
      <c r="AB51" s="6">
        <f t="shared" si="9"/>
        <v>0</v>
      </c>
      <c r="AC51" s="36">
        <f t="shared" si="10"/>
        <v>0</v>
      </c>
      <c r="AD51" s="36">
        <f t="shared" si="11"/>
        <v>0</v>
      </c>
      <c r="AE51" s="36">
        <f t="shared" si="12"/>
        <v>0</v>
      </c>
      <c r="AF51" s="6"/>
      <c r="AG51" s="6"/>
      <c r="AH51" s="904">
        <f t="shared" si="13"/>
        <v>0</v>
      </c>
      <c r="AI51" s="6"/>
      <c r="AJ51" s="6"/>
      <c r="AK51" s="6">
        <f t="shared" si="14"/>
        <v>0</v>
      </c>
      <c r="AL51" s="6"/>
      <c r="AM51" s="6"/>
      <c r="AN51" s="98">
        <f t="shared" si="15"/>
        <v>0</v>
      </c>
      <c r="AO51" s="6">
        <f t="shared" si="16"/>
        <v>0</v>
      </c>
      <c r="AP51" s="6">
        <f t="shared" si="17"/>
        <v>0</v>
      </c>
      <c r="AQ51" s="6">
        <f t="shared" si="18"/>
        <v>0</v>
      </c>
      <c r="AR51" s="943">
        <f t="shared" si="19"/>
        <v>0</v>
      </c>
      <c r="AS51" s="943">
        <f t="shared" si="20"/>
        <v>0</v>
      </c>
      <c r="AT51" s="943">
        <f t="shared" si="21"/>
        <v>0</v>
      </c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spans="1:61" ht="18" hidden="1">
      <c r="A52" s="6">
        <v>13</v>
      </c>
      <c r="B52" s="6">
        <v>45</v>
      </c>
      <c r="C52" s="16" t="s">
        <v>584</v>
      </c>
      <c r="D52" s="6" t="s">
        <v>562</v>
      </c>
      <c r="E52" s="6"/>
      <c r="F52" s="18"/>
      <c r="G52" s="17">
        <v>10</v>
      </c>
      <c r="H52" s="6"/>
      <c r="I52" s="6"/>
      <c r="J52" s="6">
        <f t="shared" si="1"/>
        <v>0</v>
      </c>
      <c r="K52" s="6"/>
      <c r="L52" s="6"/>
      <c r="M52" s="6">
        <f t="shared" si="2"/>
        <v>0</v>
      </c>
      <c r="N52" s="6"/>
      <c r="O52" s="6"/>
      <c r="P52" s="6">
        <f t="shared" si="3"/>
        <v>0</v>
      </c>
      <c r="Q52" s="6"/>
      <c r="R52" s="6"/>
      <c r="S52" s="6">
        <f t="shared" si="4"/>
        <v>0</v>
      </c>
      <c r="T52" s="6"/>
      <c r="U52" s="6"/>
      <c r="V52" s="6">
        <f t="shared" si="5"/>
        <v>0</v>
      </c>
      <c r="W52" s="6"/>
      <c r="X52" s="6"/>
      <c r="Y52" s="98">
        <f t="shared" si="6"/>
        <v>0</v>
      </c>
      <c r="Z52" s="6">
        <f t="shared" si="7"/>
        <v>0</v>
      </c>
      <c r="AA52" s="6">
        <f t="shared" si="8"/>
        <v>0</v>
      </c>
      <c r="AB52" s="6">
        <f t="shared" si="9"/>
        <v>0</v>
      </c>
      <c r="AC52" s="36">
        <f t="shared" si="10"/>
        <v>0</v>
      </c>
      <c r="AD52" s="36">
        <f t="shared" si="11"/>
        <v>0</v>
      </c>
      <c r="AE52" s="36">
        <f t="shared" si="12"/>
        <v>0</v>
      </c>
      <c r="AF52" s="6"/>
      <c r="AG52" s="6"/>
      <c r="AH52" s="904">
        <f t="shared" si="13"/>
        <v>0</v>
      </c>
      <c r="AI52" s="6"/>
      <c r="AJ52" s="6"/>
      <c r="AK52" s="6">
        <f t="shared" si="14"/>
        <v>0</v>
      </c>
      <c r="AL52" s="6">
        <v>49</v>
      </c>
      <c r="AM52" s="6"/>
      <c r="AN52" s="98">
        <f t="shared" si="15"/>
        <v>49</v>
      </c>
      <c r="AO52" s="6">
        <f t="shared" si="16"/>
        <v>49</v>
      </c>
      <c r="AP52" s="6">
        <f t="shared" si="17"/>
        <v>0</v>
      </c>
      <c r="AQ52" s="6">
        <f t="shared" si="18"/>
        <v>49</v>
      </c>
      <c r="AR52" s="943">
        <f t="shared" si="19"/>
        <v>5.4444444444444446</v>
      </c>
      <c r="AS52" s="943">
        <f t="shared" si="20"/>
        <v>0</v>
      </c>
      <c r="AT52" s="943">
        <f t="shared" si="21"/>
        <v>5.4444444444444446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spans="1:61" s="61" customFormat="1" ht="18">
      <c r="A53" s="19">
        <v>14</v>
      </c>
      <c r="B53" s="6">
        <v>46</v>
      </c>
      <c r="C53" s="59" t="s">
        <v>585</v>
      </c>
      <c r="D53" s="19" t="s">
        <v>562</v>
      </c>
      <c r="E53" s="19" t="s">
        <v>586</v>
      </c>
      <c r="F53" s="19">
        <v>35</v>
      </c>
      <c r="G53" s="19">
        <v>53</v>
      </c>
      <c r="H53" s="19">
        <v>55</v>
      </c>
      <c r="I53" s="19"/>
      <c r="J53" s="19">
        <f t="shared" si="1"/>
        <v>55</v>
      </c>
      <c r="K53" s="19">
        <v>106</v>
      </c>
      <c r="L53" s="19">
        <v>18</v>
      </c>
      <c r="M53" s="19">
        <f t="shared" si="2"/>
        <v>124</v>
      </c>
      <c r="N53" s="19">
        <v>38</v>
      </c>
      <c r="O53" s="19">
        <v>18</v>
      </c>
      <c r="P53" s="19">
        <f t="shared" si="3"/>
        <v>56</v>
      </c>
      <c r="Q53" s="19">
        <v>34</v>
      </c>
      <c r="R53" s="19">
        <v>14</v>
      </c>
      <c r="S53" s="19">
        <f t="shared" si="4"/>
        <v>48</v>
      </c>
      <c r="T53" s="19">
        <v>60</v>
      </c>
      <c r="U53" s="19">
        <v>15</v>
      </c>
      <c r="V53" s="19">
        <f t="shared" si="5"/>
        <v>75</v>
      </c>
      <c r="W53" s="19"/>
      <c r="X53" s="19"/>
      <c r="Y53" s="100">
        <f t="shared" si="6"/>
        <v>0</v>
      </c>
      <c r="Z53" s="19">
        <f t="shared" si="7"/>
        <v>293</v>
      </c>
      <c r="AA53" s="19">
        <f t="shared" si="8"/>
        <v>65</v>
      </c>
      <c r="AB53" s="19">
        <f t="shared" si="9"/>
        <v>358</v>
      </c>
      <c r="AC53" s="60">
        <f t="shared" si="10"/>
        <v>48.833333333333336</v>
      </c>
      <c r="AD53" s="60">
        <f t="shared" si="11"/>
        <v>10.833333333333334</v>
      </c>
      <c r="AE53" s="60">
        <f t="shared" si="12"/>
        <v>59.666666666666664</v>
      </c>
      <c r="AF53" s="19">
        <v>0</v>
      </c>
      <c r="AG53" s="19">
        <v>0</v>
      </c>
      <c r="AH53" s="905">
        <f t="shared" si="13"/>
        <v>0</v>
      </c>
      <c r="AI53" s="19">
        <v>56</v>
      </c>
      <c r="AJ53" s="19">
        <v>9</v>
      </c>
      <c r="AK53" s="19">
        <f t="shared" si="14"/>
        <v>65</v>
      </c>
      <c r="AL53" s="19"/>
      <c r="AM53" s="19"/>
      <c r="AN53" s="100">
        <f t="shared" si="15"/>
        <v>0</v>
      </c>
      <c r="AO53" s="19">
        <f t="shared" si="16"/>
        <v>349</v>
      </c>
      <c r="AP53" s="19">
        <f t="shared" si="17"/>
        <v>74</v>
      </c>
      <c r="AQ53" s="19">
        <f t="shared" si="18"/>
        <v>423</v>
      </c>
      <c r="AR53" s="703">
        <f t="shared" si="19"/>
        <v>38.777777777777779</v>
      </c>
      <c r="AS53" s="703">
        <f t="shared" si="20"/>
        <v>8.2222222222222214</v>
      </c>
      <c r="AT53" s="703">
        <f t="shared" si="21"/>
        <v>47</v>
      </c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</row>
    <row r="54" spans="1:61" s="61" customFormat="1" ht="18">
      <c r="A54" s="19">
        <v>15</v>
      </c>
      <c r="B54" s="6">
        <v>47</v>
      </c>
      <c r="C54" s="59" t="s">
        <v>587</v>
      </c>
      <c r="D54" s="19" t="s">
        <v>562</v>
      </c>
      <c r="E54" s="19" t="s">
        <v>588</v>
      </c>
      <c r="F54" s="19">
        <v>40</v>
      </c>
      <c r="G54" s="19">
        <v>808</v>
      </c>
      <c r="H54" s="19"/>
      <c r="I54" s="19"/>
      <c r="J54" s="19">
        <f t="shared" si="1"/>
        <v>0</v>
      </c>
      <c r="K54" s="19">
        <v>908</v>
      </c>
      <c r="L54" s="19">
        <v>90</v>
      </c>
      <c r="M54" s="19">
        <f t="shared" si="2"/>
        <v>998</v>
      </c>
      <c r="N54" s="19"/>
      <c r="O54" s="19"/>
      <c r="P54" s="19">
        <f t="shared" si="3"/>
        <v>0</v>
      </c>
      <c r="Q54" s="19"/>
      <c r="R54" s="19"/>
      <c r="S54" s="19">
        <f t="shared" si="4"/>
        <v>0</v>
      </c>
      <c r="T54" s="19"/>
      <c r="U54" s="19"/>
      <c r="V54" s="19">
        <f t="shared" si="5"/>
        <v>0</v>
      </c>
      <c r="W54" s="19">
        <v>986</v>
      </c>
      <c r="X54" s="19">
        <v>244</v>
      </c>
      <c r="Y54" s="100">
        <f t="shared" si="6"/>
        <v>1230</v>
      </c>
      <c r="Z54" s="19">
        <f t="shared" si="7"/>
        <v>1894</v>
      </c>
      <c r="AA54" s="19">
        <f t="shared" si="8"/>
        <v>334</v>
      </c>
      <c r="AB54" s="19">
        <f t="shared" si="9"/>
        <v>2228</v>
      </c>
      <c r="AC54" s="60">
        <f t="shared" si="10"/>
        <v>315.66666666666669</v>
      </c>
      <c r="AD54" s="60">
        <f t="shared" si="11"/>
        <v>55.666666666666664</v>
      </c>
      <c r="AE54" s="60">
        <f t="shared" si="12"/>
        <v>371.33333333333331</v>
      </c>
      <c r="AF54" s="19">
        <v>613</v>
      </c>
      <c r="AG54" s="19">
        <v>90</v>
      </c>
      <c r="AH54" s="905">
        <f t="shared" si="13"/>
        <v>703</v>
      </c>
      <c r="AI54" s="19"/>
      <c r="AJ54" s="19"/>
      <c r="AK54" s="19">
        <f t="shared" si="14"/>
        <v>0</v>
      </c>
      <c r="AL54" s="19">
        <v>200</v>
      </c>
      <c r="AM54" s="19"/>
      <c r="AN54" s="100">
        <f t="shared" si="15"/>
        <v>200</v>
      </c>
      <c r="AO54" s="19">
        <f t="shared" si="16"/>
        <v>2707</v>
      </c>
      <c r="AP54" s="19">
        <f t="shared" si="17"/>
        <v>424</v>
      </c>
      <c r="AQ54" s="19">
        <f t="shared" si="18"/>
        <v>3131</v>
      </c>
      <c r="AR54" s="703">
        <f t="shared" si="19"/>
        <v>300.77777777777777</v>
      </c>
      <c r="AS54" s="703">
        <f t="shared" si="20"/>
        <v>47.111111111111114</v>
      </c>
      <c r="AT54" s="703">
        <f t="shared" si="21"/>
        <v>347.88888888888891</v>
      </c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</row>
    <row r="55" spans="1:61" ht="18" hidden="1">
      <c r="A55" s="6">
        <v>1</v>
      </c>
      <c r="B55" s="6">
        <v>48</v>
      </c>
      <c r="C55" s="16" t="s">
        <v>589</v>
      </c>
      <c r="D55" s="6" t="s">
        <v>590</v>
      </c>
      <c r="E55" s="6" t="s">
        <v>591</v>
      </c>
      <c r="F55" s="6">
        <v>30</v>
      </c>
      <c r="G55" s="17">
        <v>20</v>
      </c>
      <c r="H55" s="6"/>
      <c r="I55" s="6"/>
      <c r="J55" s="6">
        <f t="shared" si="1"/>
        <v>0</v>
      </c>
      <c r="K55" s="6">
        <v>20</v>
      </c>
      <c r="L55" s="6"/>
      <c r="M55" s="6">
        <f t="shared" si="2"/>
        <v>20</v>
      </c>
      <c r="N55" s="6"/>
      <c r="O55" s="6"/>
      <c r="P55" s="6">
        <f t="shared" si="3"/>
        <v>0</v>
      </c>
      <c r="Q55" s="6"/>
      <c r="R55" s="6"/>
      <c r="S55" s="6">
        <f t="shared" si="4"/>
        <v>0</v>
      </c>
      <c r="T55" s="6"/>
      <c r="U55" s="6"/>
      <c r="V55" s="6">
        <f t="shared" si="5"/>
        <v>0</v>
      </c>
      <c r="W55" s="6"/>
      <c r="X55" s="6"/>
      <c r="Y55" s="98">
        <f t="shared" si="6"/>
        <v>0</v>
      </c>
      <c r="Z55" s="6">
        <f t="shared" si="7"/>
        <v>20</v>
      </c>
      <c r="AA55" s="6">
        <f t="shared" si="8"/>
        <v>0</v>
      </c>
      <c r="AB55" s="6">
        <f t="shared" si="9"/>
        <v>20</v>
      </c>
      <c r="AC55" s="36">
        <f t="shared" si="10"/>
        <v>3.3333333333333335</v>
      </c>
      <c r="AD55" s="36">
        <f t="shared" si="11"/>
        <v>0</v>
      </c>
      <c r="AE55" s="36">
        <f t="shared" si="12"/>
        <v>3.3333333333333335</v>
      </c>
      <c r="AF55" s="6"/>
      <c r="AG55" s="6"/>
      <c r="AH55" s="904">
        <f t="shared" si="13"/>
        <v>0</v>
      </c>
      <c r="AI55" s="6"/>
      <c r="AJ55" s="6"/>
      <c r="AK55" s="6">
        <f t="shared" si="14"/>
        <v>0</v>
      </c>
      <c r="AL55" s="6"/>
      <c r="AM55" s="6"/>
      <c r="AN55" s="98">
        <f t="shared" si="15"/>
        <v>0</v>
      </c>
      <c r="AO55" s="6">
        <f t="shared" si="16"/>
        <v>20</v>
      </c>
      <c r="AP55" s="6">
        <f t="shared" si="17"/>
        <v>0</v>
      </c>
      <c r="AQ55" s="6">
        <f t="shared" si="18"/>
        <v>20</v>
      </c>
      <c r="AR55" s="943">
        <f t="shared" si="19"/>
        <v>2.2222222222222223</v>
      </c>
      <c r="AS55" s="943">
        <f t="shared" si="20"/>
        <v>0</v>
      </c>
      <c r="AT55" s="943">
        <f t="shared" si="21"/>
        <v>2.2222222222222223</v>
      </c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spans="1:61" ht="18" hidden="1">
      <c r="A56" s="6">
        <v>2</v>
      </c>
      <c r="B56" s="6">
        <v>49</v>
      </c>
      <c r="C56" s="16" t="s">
        <v>592</v>
      </c>
      <c r="D56" s="6" t="s">
        <v>590</v>
      </c>
      <c r="E56" s="6" t="s">
        <v>593</v>
      </c>
      <c r="F56" s="6">
        <v>30</v>
      </c>
      <c r="G56" s="17">
        <v>10</v>
      </c>
      <c r="H56" s="6">
        <v>50</v>
      </c>
      <c r="I56" s="6"/>
      <c r="J56" s="6">
        <f t="shared" si="1"/>
        <v>50</v>
      </c>
      <c r="K56" s="6"/>
      <c r="L56" s="6"/>
      <c r="M56" s="6">
        <f t="shared" si="2"/>
        <v>0</v>
      </c>
      <c r="N56" s="6"/>
      <c r="O56" s="6"/>
      <c r="P56" s="6">
        <f t="shared" si="3"/>
        <v>0</v>
      </c>
      <c r="Q56" s="6"/>
      <c r="R56" s="6"/>
      <c r="S56" s="6">
        <f t="shared" si="4"/>
        <v>0</v>
      </c>
      <c r="T56" s="6"/>
      <c r="U56" s="6"/>
      <c r="V56" s="6">
        <f t="shared" si="5"/>
        <v>0</v>
      </c>
      <c r="W56" s="6"/>
      <c r="X56" s="6"/>
      <c r="Y56" s="98">
        <f t="shared" si="6"/>
        <v>0</v>
      </c>
      <c r="Z56" s="6">
        <f t="shared" si="7"/>
        <v>50</v>
      </c>
      <c r="AA56" s="6">
        <f t="shared" si="8"/>
        <v>0</v>
      </c>
      <c r="AB56" s="6">
        <f t="shared" si="9"/>
        <v>50</v>
      </c>
      <c r="AC56" s="36">
        <f t="shared" si="10"/>
        <v>8.3333333333333339</v>
      </c>
      <c r="AD56" s="36">
        <f t="shared" si="11"/>
        <v>0</v>
      </c>
      <c r="AE56" s="36">
        <f t="shared" si="12"/>
        <v>8.3333333333333339</v>
      </c>
      <c r="AF56" s="6"/>
      <c r="AG56" s="6"/>
      <c r="AH56" s="904">
        <f t="shared" si="13"/>
        <v>0</v>
      </c>
      <c r="AI56" s="6"/>
      <c r="AJ56" s="6"/>
      <c r="AK56" s="6">
        <f t="shared" si="14"/>
        <v>0</v>
      </c>
      <c r="AL56" s="6"/>
      <c r="AM56" s="6"/>
      <c r="AN56" s="98">
        <f t="shared" si="15"/>
        <v>0</v>
      </c>
      <c r="AO56" s="6">
        <f t="shared" si="16"/>
        <v>50</v>
      </c>
      <c r="AP56" s="6">
        <f t="shared" si="17"/>
        <v>0</v>
      </c>
      <c r="AQ56" s="6">
        <f t="shared" si="18"/>
        <v>50</v>
      </c>
      <c r="AR56" s="943">
        <f t="shared" si="19"/>
        <v>5.5555555555555554</v>
      </c>
      <c r="AS56" s="943">
        <f t="shared" si="20"/>
        <v>0</v>
      </c>
      <c r="AT56" s="943">
        <f t="shared" si="21"/>
        <v>5.5555555555555554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spans="1:61" ht="18" hidden="1">
      <c r="A57" s="6">
        <v>3</v>
      </c>
      <c r="B57" s="6">
        <v>50</v>
      </c>
      <c r="C57" s="16" t="s">
        <v>594</v>
      </c>
      <c r="D57" s="6" t="s">
        <v>590</v>
      </c>
      <c r="E57" s="6" t="s">
        <v>595</v>
      </c>
      <c r="F57" s="6">
        <v>25</v>
      </c>
      <c r="G57" s="17">
        <v>10</v>
      </c>
      <c r="H57" s="6"/>
      <c r="I57" s="6"/>
      <c r="J57" s="6">
        <f t="shared" si="1"/>
        <v>0</v>
      </c>
      <c r="K57" s="6"/>
      <c r="L57" s="6"/>
      <c r="M57" s="6">
        <f t="shared" si="2"/>
        <v>0</v>
      </c>
      <c r="N57" s="6"/>
      <c r="O57" s="6"/>
      <c r="P57" s="6">
        <f t="shared" si="3"/>
        <v>0</v>
      </c>
      <c r="Q57" s="6"/>
      <c r="R57" s="6"/>
      <c r="S57" s="6">
        <f t="shared" si="4"/>
        <v>0</v>
      </c>
      <c r="T57" s="6"/>
      <c r="U57" s="6"/>
      <c r="V57" s="6">
        <f t="shared" si="5"/>
        <v>0</v>
      </c>
      <c r="W57" s="6"/>
      <c r="X57" s="6"/>
      <c r="Y57" s="98">
        <f t="shared" si="6"/>
        <v>0</v>
      </c>
      <c r="Z57" s="6">
        <f t="shared" si="7"/>
        <v>0</v>
      </c>
      <c r="AA57" s="6">
        <f t="shared" si="8"/>
        <v>0</v>
      </c>
      <c r="AB57" s="6">
        <f t="shared" si="9"/>
        <v>0</v>
      </c>
      <c r="AC57" s="36">
        <f t="shared" si="10"/>
        <v>0</v>
      </c>
      <c r="AD57" s="36">
        <f t="shared" si="11"/>
        <v>0</v>
      </c>
      <c r="AE57" s="36">
        <f t="shared" si="12"/>
        <v>0</v>
      </c>
      <c r="AF57" s="6"/>
      <c r="AG57" s="6"/>
      <c r="AH57" s="904">
        <f t="shared" si="13"/>
        <v>0</v>
      </c>
      <c r="AI57" s="6"/>
      <c r="AJ57" s="6"/>
      <c r="AK57" s="6">
        <f t="shared" si="14"/>
        <v>0</v>
      </c>
      <c r="AL57" s="6"/>
      <c r="AM57" s="6"/>
      <c r="AN57" s="98">
        <f t="shared" si="15"/>
        <v>0</v>
      </c>
      <c r="AO57" s="6">
        <f t="shared" si="16"/>
        <v>0</v>
      </c>
      <c r="AP57" s="6">
        <f t="shared" si="17"/>
        <v>0</v>
      </c>
      <c r="AQ57" s="6">
        <f t="shared" si="18"/>
        <v>0</v>
      </c>
      <c r="AR57" s="943">
        <f t="shared" si="19"/>
        <v>0</v>
      </c>
      <c r="AS57" s="943">
        <f t="shared" si="20"/>
        <v>0</v>
      </c>
      <c r="AT57" s="943">
        <f t="shared" si="21"/>
        <v>0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spans="1:61" ht="18" hidden="1">
      <c r="A58" s="6">
        <v>4</v>
      </c>
      <c r="B58" s="6">
        <v>51</v>
      </c>
      <c r="C58" s="16" t="s">
        <v>885</v>
      </c>
      <c r="D58" s="6" t="s">
        <v>590</v>
      </c>
      <c r="E58" s="6" t="s">
        <v>596</v>
      </c>
      <c r="F58" s="6">
        <v>25</v>
      </c>
      <c r="G58" s="17">
        <v>15</v>
      </c>
      <c r="H58" s="6"/>
      <c r="I58" s="6">
        <v>60</v>
      </c>
      <c r="J58" s="6">
        <f t="shared" si="1"/>
        <v>60</v>
      </c>
      <c r="K58" s="6"/>
      <c r="L58" s="6"/>
      <c r="M58" s="6">
        <f t="shared" si="2"/>
        <v>0</v>
      </c>
      <c r="N58" s="6"/>
      <c r="O58" s="6"/>
      <c r="P58" s="6">
        <f t="shared" si="3"/>
        <v>0</v>
      </c>
      <c r="Q58" s="6"/>
      <c r="R58" s="6"/>
      <c r="S58" s="6">
        <f t="shared" si="4"/>
        <v>0</v>
      </c>
      <c r="T58" s="6"/>
      <c r="U58" s="6"/>
      <c r="V58" s="6">
        <f t="shared" si="5"/>
        <v>0</v>
      </c>
      <c r="W58" s="6"/>
      <c r="X58" s="6"/>
      <c r="Y58" s="98">
        <f t="shared" si="6"/>
        <v>0</v>
      </c>
      <c r="Z58" s="6">
        <f t="shared" si="7"/>
        <v>0</v>
      </c>
      <c r="AA58" s="6">
        <f t="shared" si="8"/>
        <v>60</v>
      </c>
      <c r="AB58" s="6">
        <f t="shared" si="9"/>
        <v>60</v>
      </c>
      <c r="AC58" s="36">
        <f t="shared" si="10"/>
        <v>0</v>
      </c>
      <c r="AD58" s="36">
        <f t="shared" si="11"/>
        <v>10</v>
      </c>
      <c r="AE58" s="36">
        <f t="shared" si="12"/>
        <v>10</v>
      </c>
      <c r="AF58" s="6">
        <v>25</v>
      </c>
      <c r="AG58" s="6">
        <v>27</v>
      </c>
      <c r="AH58" s="904">
        <f t="shared" si="13"/>
        <v>52</v>
      </c>
      <c r="AI58" s="6"/>
      <c r="AJ58" s="6"/>
      <c r="AK58" s="6">
        <f t="shared" si="14"/>
        <v>0</v>
      </c>
      <c r="AL58" s="6">
        <v>85</v>
      </c>
      <c r="AM58" s="6"/>
      <c r="AN58" s="98">
        <f t="shared" si="15"/>
        <v>85</v>
      </c>
      <c r="AO58" s="6">
        <f t="shared" si="16"/>
        <v>110</v>
      </c>
      <c r="AP58" s="6">
        <f t="shared" si="17"/>
        <v>87</v>
      </c>
      <c r="AQ58" s="6">
        <f t="shared" si="18"/>
        <v>197</v>
      </c>
      <c r="AR58" s="943">
        <f t="shared" si="19"/>
        <v>12.222222222222221</v>
      </c>
      <c r="AS58" s="943">
        <f t="shared" si="20"/>
        <v>9.6666666666666661</v>
      </c>
      <c r="AT58" s="943">
        <f t="shared" si="21"/>
        <v>21.888888888888889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spans="1:61" ht="18" hidden="1">
      <c r="A59" s="6">
        <v>5</v>
      </c>
      <c r="B59" s="6">
        <v>52</v>
      </c>
      <c r="C59" s="16" t="s">
        <v>597</v>
      </c>
      <c r="D59" s="6" t="s">
        <v>590</v>
      </c>
      <c r="E59" s="6" t="s">
        <v>598</v>
      </c>
      <c r="F59" s="6">
        <v>30</v>
      </c>
      <c r="G59" s="17">
        <v>18</v>
      </c>
      <c r="H59" s="6"/>
      <c r="I59" s="6">
        <v>13.5</v>
      </c>
      <c r="J59" s="6">
        <f t="shared" si="1"/>
        <v>13.5</v>
      </c>
      <c r="K59" s="6"/>
      <c r="L59" s="6"/>
      <c r="M59" s="6">
        <f t="shared" si="2"/>
        <v>0</v>
      </c>
      <c r="N59" s="6">
        <v>10</v>
      </c>
      <c r="O59" s="6">
        <v>21</v>
      </c>
      <c r="P59" s="6">
        <f t="shared" si="3"/>
        <v>31</v>
      </c>
      <c r="Q59" s="6"/>
      <c r="R59" s="6"/>
      <c r="S59" s="6">
        <f t="shared" si="4"/>
        <v>0</v>
      </c>
      <c r="T59" s="6"/>
      <c r="U59" s="6"/>
      <c r="V59" s="6">
        <f t="shared" si="5"/>
        <v>0</v>
      </c>
      <c r="W59" s="6"/>
      <c r="X59" s="6"/>
      <c r="Y59" s="98">
        <f t="shared" si="6"/>
        <v>0</v>
      </c>
      <c r="Z59" s="6">
        <f t="shared" si="7"/>
        <v>10</v>
      </c>
      <c r="AA59" s="6">
        <f t="shared" si="8"/>
        <v>34.5</v>
      </c>
      <c r="AB59" s="6">
        <f t="shared" si="9"/>
        <v>44.5</v>
      </c>
      <c r="AC59" s="36">
        <f t="shared" si="10"/>
        <v>1.6666666666666667</v>
      </c>
      <c r="AD59" s="36">
        <f t="shared" si="11"/>
        <v>5.75</v>
      </c>
      <c r="AE59" s="36">
        <f t="shared" si="12"/>
        <v>7.416666666666667</v>
      </c>
      <c r="AF59" s="6"/>
      <c r="AG59" s="6">
        <v>18</v>
      </c>
      <c r="AH59" s="904">
        <f t="shared" si="13"/>
        <v>18</v>
      </c>
      <c r="AI59" s="6"/>
      <c r="AJ59" s="6"/>
      <c r="AK59" s="6">
        <f t="shared" si="14"/>
        <v>0</v>
      </c>
      <c r="AL59" s="6"/>
      <c r="AM59" s="6">
        <v>36</v>
      </c>
      <c r="AN59" s="98">
        <f t="shared" si="15"/>
        <v>36</v>
      </c>
      <c r="AO59" s="6">
        <f t="shared" si="16"/>
        <v>10</v>
      </c>
      <c r="AP59" s="6">
        <f t="shared" si="17"/>
        <v>88.5</v>
      </c>
      <c r="AQ59" s="6">
        <f t="shared" si="18"/>
        <v>98.5</v>
      </c>
      <c r="AR59" s="943">
        <f t="shared" si="19"/>
        <v>1.1111111111111112</v>
      </c>
      <c r="AS59" s="943">
        <f t="shared" si="20"/>
        <v>9.8333333333333339</v>
      </c>
      <c r="AT59" s="943">
        <f t="shared" si="21"/>
        <v>10.944444444444445</v>
      </c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spans="1:61" ht="18" hidden="1">
      <c r="A60" s="6">
        <v>6</v>
      </c>
      <c r="B60" s="6">
        <v>53</v>
      </c>
      <c r="C60" s="16" t="s">
        <v>599</v>
      </c>
      <c r="D60" s="6" t="s">
        <v>590</v>
      </c>
      <c r="E60" s="6" t="s">
        <v>600</v>
      </c>
      <c r="F60" s="18">
        <v>35</v>
      </c>
      <c r="G60" s="17">
        <v>20</v>
      </c>
      <c r="H60" s="6"/>
      <c r="I60" s="6"/>
      <c r="J60" s="6">
        <f t="shared" si="1"/>
        <v>0</v>
      </c>
      <c r="K60" s="6"/>
      <c r="L60" s="6"/>
      <c r="M60" s="6">
        <f t="shared" si="2"/>
        <v>0</v>
      </c>
      <c r="N60" s="6"/>
      <c r="O60" s="6"/>
      <c r="P60" s="6">
        <f t="shared" si="3"/>
        <v>0</v>
      </c>
      <c r="Q60" s="6"/>
      <c r="R60" s="6"/>
      <c r="S60" s="6">
        <f t="shared" si="4"/>
        <v>0</v>
      </c>
      <c r="T60" s="6"/>
      <c r="U60" s="6"/>
      <c r="V60" s="6">
        <f t="shared" si="5"/>
        <v>0</v>
      </c>
      <c r="W60" s="6"/>
      <c r="X60" s="6"/>
      <c r="Y60" s="98">
        <f t="shared" si="6"/>
        <v>0</v>
      </c>
      <c r="Z60" s="6">
        <f t="shared" si="7"/>
        <v>0</v>
      </c>
      <c r="AA60" s="6">
        <f t="shared" si="8"/>
        <v>0</v>
      </c>
      <c r="AB60" s="6">
        <f t="shared" si="9"/>
        <v>0</v>
      </c>
      <c r="AC60" s="36">
        <f t="shared" si="10"/>
        <v>0</v>
      </c>
      <c r="AD60" s="36">
        <f t="shared" si="11"/>
        <v>0</v>
      </c>
      <c r="AE60" s="36">
        <f t="shared" si="12"/>
        <v>0</v>
      </c>
      <c r="AF60" s="6"/>
      <c r="AG60" s="6"/>
      <c r="AH60" s="904">
        <f t="shared" si="13"/>
        <v>0</v>
      </c>
      <c r="AI60" s="6"/>
      <c r="AJ60" s="6"/>
      <c r="AK60" s="6">
        <f t="shared" si="14"/>
        <v>0</v>
      </c>
      <c r="AL60" s="6"/>
      <c r="AM60" s="6"/>
      <c r="AN60" s="98">
        <f t="shared" si="15"/>
        <v>0</v>
      </c>
      <c r="AO60" s="6">
        <f t="shared" si="16"/>
        <v>0</v>
      </c>
      <c r="AP60" s="6">
        <f t="shared" si="17"/>
        <v>0</v>
      </c>
      <c r="AQ60" s="6">
        <f t="shared" si="18"/>
        <v>0</v>
      </c>
      <c r="AR60" s="943">
        <f t="shared" si="19"/>
        <v>0</v>
      </c>
      <c r="AS60" s="943">
        <f t="shared" si="20"/>
        <v>0</v>
      </c>
      <c r="AT60" s="943">
        <f t="shared" si="21"/>
        <v>0</v>
      </c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spans="1:61" ht="18" hidden="1">
      <c r="A61" s="6">
        <v>7</v>
      </c>
      <c r="B61" s="6">
        <v>54</v>
      </c>
      <c r="C61" s="16" t="s">
        <v>601</v>
      </c>
      <c r="D61" s="6" t="s">
        <v>590</v>
      </c>
      <c r="E61" s="6" t="s">
        <v>602</v>
      </c>
      <c r="F61" s="6">
        <v>20</v>
      </c>
      <c r="G61" s="17">
        <v>18</v>
      </c>
      <c r="H61" s="6">
        <v>50</v>
      </c>
      <c r="I61" s="6"/>
      <c r="J61" s="6">
        <f t="shared" si="1"/>
        <v>50</v>
      </c>
      <c r="K61" s="6"/>
      <c r="L61" s="6"/>
      <c r="M61" s="6">
        <f t="shared" si="2"/>
        <v>0</v>
      </c>
      <c r="N61" s="6"/>
      <c r="O61" s="6"/>
      <c r="P61" s="6">
        <f t="shared" si="3"/>
        <v>0</v>
      </c>
      <c r="Q61" s="6"/>
      <c r="R61" s="6"/>
      <c r="S61" s="6">
        <f t="shared" si="4"/>
        <v>0</v>
      </c>
      <c r="T61" s="6"/>
      <c r="U61" s="6"/>
      <c r="V61" s="6">
        <f t="shared" si="5"/>
        <v>0</v>
      </c>
      <c r="W61" s="6"/>
      <c r="X61" s="6"/>
      <c r="Y61" s="98">
        <f t="shared" si="6"/>
        <v>0</v>
      </c>
      <c r="Z61" s="6">
        <f t="shared" si="7"/>
        <v>50</v>
      </c>
      <c r="AA61" s="6">
        <f t="shared" si="8"/>
        <v>0</v>
      </c>
      <c r="AB61" s="6">
        <f t="shared" si="9"/>
        <v>50</v>
      </c>
      <c r="AC61" s="36">
        <f t="shared" si="10"/>
        <v>8.3333333333333339</v>
      </c>
      <c r="AD61" s="36">
        <f t="shared" si="11"/>
        <v>0</v>
      </c>
      <c r="AE61" s="36">
        <f t="shared" si="12"/>
        <v>8.3333333333333339</v>
      </c>
      <c r="AF61" s="6"/>
      <c r="AG61" s="6"/>
      <c r="AH61" s="904">
        <f t="shared" si="13"/>
        <v>0</v>
      </c>
      <c r="AI61" s="6"/>
      <c r="AJ61" s="6"/>
      <c r="AK61" s="6">
        <f t="shared" si="14"/>
        <v>0</v>
      </c>
      <c r="AL61" s="6"/>
      <c r="AM61" s="6"/>
      <c r="AN61" s="98">
        <f t="shared" si="15"/>
        <v>0</v>
      </c>
      <c r="AO61" s="6">
        <f t="shared" si="16"/>
        <v>50</v>
      </c>
      <c r="AP61" s="6">
        <f t="shared" si="17"/>
        <v>0</v>
      </c>
      <c r="AQ61" s="6">
        <f t="shared" si="18"/>
        <v>50</v>
      </c>
      <c r="AR61" s="943">
        <f t="shared" si="19"/>
        <v>5.5555555555555554</v>
      </c>
      <c r="AS61" s="943">
        <f t="shared" si="20"/>
        <v>0</v>
      </c>
      <c r="AT61" s="943">
        <f t="shared" si="21"/>
        <v>5.5555555555555554</v>
      </c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spans="1:61" ht="18" hidden="1">
      <c r="A62" s="6">
        <v>8</v>
      </c>
      <c r="B62" s="6">
        <v>55</v>
      </c>
      <c r="C62" s="16" t="s">
        <v>603</v>
      </c>
      <c r="D62" s="6" t="s">
        <v>590</v>
      </c>
      <c r="E62" s="6" t="s">
        <v>604</v>
      </c>
      <c r="F62" s="6">
        <v>15</v>
      </c>
      <c r="G62" s="17">
        <v>20</v>
      </c>
      <c r="H62" s="6">
        <v>25</v>
      </c>
      <c r="I62" s="6"/>
      <c r="J62" s="6">
        <f t="shared" si="1"/>
        <v>25</v>
      </c>
      <c r="K62" s="6"/>
      <c r="L62" s="6"/>
      <c r="M62" s="6">
        <f t="shared" si="2"/>
        <v>0</v>
      </c>
      <c r="N62" s="6"/>
      <c r="O62" s="6"/>
      <c r="P62" s="6">
        <f t="shared" si="3"/>
        <v>0</v>
      </c>
      <c r="Q62" s="6"/>
      <c r="R62" s="6"/>
      <c r="S62" s="6">
        <f t="shared" si="4"/>
        <v>0</v>
      </c>
      <c r="T62" s="6"/>
      <c r="U62" s="6"/>
      <c r="V62" s="6">
        <f t="shared" si="5"/>
        <v>0</v>
      </c>
      <c r="W62" s="6"/>
      <c r="X62" s="6"/>
      <c r="Y62" s="98">
        <f t="shared" si="6"/>
        <v>0</v>
      </c>
      <c r="Z62" s="6">
        <f t="shared" si="7"/>
        <v>25</v>
      </c>
      <c r="AA62" s="6">
        <f t="shared" si="8"/>
        <v>0</v>
      </c>
      <c r="AB62" s="6">
        <f t="shared" si="9"/>
        <v>25</v>
      </c>
      <c r="AC62" s="36">
        <f t="shared" si="10"/>
        <v>4.166666666666667</v>
      </c>
      <c r="AD62" s="36">
        <f t="shared" si="11"/>
        <v>0</v>
      </c>
      <c r="AE62" s="36">
        <f t="shared" si="12"/>
        <v>4.166666666666667</v>
      </c>
      <c r="AF62" s="6"/>
      <c r="AG62" s="6"/>
      <c r="AH62" s="904">
        <f t="shared" si="13"/>
        <v>0</v>
      </c>
      <c r="AI62" s="6"/>
      <c r="AJ62" s="6"/>
      <c r="AK62" s="6">
        <f t="shared" si="14"/>
        <v>0</v>
      </c>
      <c r="AL62" s="6"/>
      <c r="AM62" s="6"/>
      <c r="AN62" s="98">
        <f t="shared" si="15"/>
        <v>0</v>
      </c>
      <c r="AO62" s="6">
        <f t="shared" si="16"/>
        <v>25</v>
      </c>
      <c r="AP62" s="6">
        <f t="shared" si="17"/>
        <v>0</v>
      </c>
      <c r="AQ62" s="6">
        <f t="shared" si="18"/>
        <v>25</v>
      </c>
      <c r="AR62" s="943">
        <f t="shared" si="19"/>
        <v>2.7777777777777777</v>
      </c>
      <c r="AS62" s="943">
        <f t="shared" si="20"/>
        <v>0</v>
      </c>
      <c r="AT62" s="943">
        <f t="shared" si="21"/>
        <v>2.7777777777777777</v>
      </c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spans="1:61" ht="18" hidden="1">
      <c r="A63" s="6">
        <v>9</v>
      </c>
      <c r="B63" s="6">
        <v>56</v>
      </c>
      <c r="C63" s="16" t="s">
        <v>605</v>
      </c>
      <c r="D63" s="6" t="s">
        <v>590</v>
      </c>
      <c r="E63" s="6" t="s">
        <v>606</v>
      </c>
      <c r="F63" s="6">
        <v>25</v>
      </c>
      <c r="G63" s="17">
        <v>20</v>
      </c>
      <c r="H63" s="6"/>
      <c r="I63" s="6"/>
      <c r="J63" s="6">
        <f t="shared" si="1"/>
        <v>0</v>
      </c>
      <c r="K63" s="6"/>
      <c r="L63" s="6"/>
      <c r="M63" s="6">
        <f t="shared" si="2"/>
        <v>0</v>
      </c>
      <c r="N63" s="6"/>
      <c r="O63" s="6"/>
      <c r="P63" s="6">
        <f t="shared" si="3"/>
        <v>0</v>
      </c>
      <c r="Q63" s="6"/>
      <c r="R63" s="6"/>
      <c r="S63" s="6">
        <f t="shared" si="4"/>
        <v>0</v>
      </c>
      <c r="T63" s="6"/>
      <c r="U63" s="6"/>
      <c r="V63" s="6">
        <f t="shared" si="5"/>
        <v>0</v>
      </c>
      <c r="W63" s="6"/>
      <c r="X63" s="6"/>
      <c r="Y63" s="98">
        <f t="shared" si="6"/>
        <v>0</v>
      </c>
      <c r="Z63" s="6">
        <f t="shared" si="7"/>
        <v>0</v>
      </c>
      <c r="AA63" s="6">
        <f t="shared" si="8"/>
        <v>0</v>
      </c>
      <c r="AB63" s="6">
        <f t="shared" si="9"/>
        <v>0</v>
      </c>
      <c r="AC63" s="36">
        <f t="shared" si="10"/>
        <v>0</v>
      </c>
      <c r="AD63" s="36">
        <f t="shared" si="11"/>
        <v>0</v>
      </c>
      <c r="AE63" s="36">
        <f t="shared" si="12"/>
        <v>0</v>
      </c>
      <c r="AF63" s="6"/>
      <c r="AG63" s="6"/>
      <c r="AH63" s="904">
        <f t="shared" si="13"/>
        <v>0</v>
      </c>
      <c r="AI63" s="6"/>
      <c r="AJ63" s="6"/>
      <c r="AK63" s="6">
        <f t="shared" si="14"/>
        <v>0</v>
      </c>
      <c r="AL63" s="6"/>
      <c r="AM63" s="6"/>
      <c r="AN63" s="98">
        <f t="shared" si="15"/>
        <v>0</v>
      </c>
      <c r="AO63" s="6">
        <f t="shared" si="16"/>
        <v>0</v>
      </c>
      <c r="AP63" s="6">
        <f t="shared" si="17"/>
        <v>0</v>
      </c>
      <c r="AQ63" s="6">
        <f t="shared" si="18"/>
        <v>0</v>
      </c>
      <c r="AR63" s="943">
        <f t="shared" si="19"/>
        <v>0</v>
      </c>
      <c r="AS63" s="943">
        <f t="shared" si="20"/>
        <v>0</v>
      </c>
      <c r="AT63" s="943">
        <f t="shared" si="21"/>
        <v>0</v>
      </c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spans="1:61" ht="18" hidden="1">
      <c r="A64" s="6">
        <v>10</v>
      </c>
      <c r="B64" s="6">
        <v>57</v>
      </c>
      <c r="C64" s="16" t="s">
        <v>607</v>
      </c>
      <c r="D64" s="6" t="s">
        <v>590</v>
      </c>
      <c r="E64" s="6" t="s">
        <v>608</v>
      </c>
      <c r="F64" s="6">
        <v>30</v>
      </c>
      <c r="G64" s="17">
        <v>20</v>
      </c>
      <c r="H64" s="6"/>
      <c r="I64" s="6"/>
      <c r="J64" s="6">
        <f t="shared" si="1"/>
        <v>0</v>
      </c>
      <c r="K64" s="6"/>
      <c r="L64" s="6"/>
      <c r="M64" s="6">
        <f t="shared" si="2"/>
        <v>0</v>
      </c>
      <c r="N64" s="6"/>
      <c r="O64" s="6"/>
      <c r="P64" s="6">
        <f t="shared" si="3"/>
        <v>0</v>
      </c>
      <c r="Q64" s="6"/>
      <c r="R64" s="6"/>
      <c r="S64" s="6">
        <f t="shared" si="4"/>
        <v>0</v>
      </c>
      <c r="T64" s="6"/>
      <c r="U64" s="6"/>
      <c r="V64" s="6">
        <f t="shared" si="5"/>
        <v>0</v>
      </c>
      <c r="W64" s="6"/>
      <c r="X64" s="6"/>
      <c r="Y64" s="98">
        <f t="shared" si="6"/>
        <v>0</v>
      </c>
      <c r="Z64" s="6">
        <f t="shared" si="7"/>
        <v>0</v>
      </c>
      <c r="AA64" s="6">
        <f t="shared" si="8"/>
        <v>0</v>
      </c>
      <c r="AB64" s="6">
        <f t="shared" si="9"/>
        <v>0</v>
      </c>
      <c r="AC64" s="36">
        <f t="shared" si="10"/>
        <v>0</v>
      </c>
      <c r="AD64" s="36">
        <f t="shared" si="11"/>
        <v>0</v>
      </c>
      <c r="AE64" s="36">
        <f t="shared" si="12"/>
        <v>0</v>
      </c>
      <c r="AF64" s="6"/>
      <c r="AG64" s="6"/>
      <c r="AH64" s="904">
        <f t="shared" si="13"/>
        <v>0</v>
      </c>
      <c r="AI64" s="6"/>
      <c r="AJ64" s="6"/>
      <c r="AK64" s="6">
        <f t="shared" si="14"/>
        <v>0</v>
      </c>
      <c r="AL64" s="6"/>
      <c r="AM64" s="6"/>
      <c r="AN64" s="98">
        <f t="shared" si="15"/>
        <v>0</v>
      </c>
      <c r="AO64" s="6">
        <f t="shared" si="16"/>
        <v>0</v>
      </c>
      <c r="AP64" s="6">
        <f t="shared" si="17"/>
        <v>0</v>
      </c>
      <c r="AQ64" s="6">
        <f t="shared" si="18"/>
        <v>0</v>
      </c>
      <c r="AR64" s="943">
        <f t="shared" si="19"/>
        <v>0</v>
      </c>
      <c r="AS64" s="943">
        <f t="shared" si="20"/>
        <v>0</v>
      </c>
      <c r="AT64" s="943">
        <f t="shared" si="21"/>
        <v>0</v>
      </c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spans="1:61" ht="18" hidden="1">
      <c r="A65" s="6">
        <v>11</v>
      </c>
      <c r="B65" s="6">
        <v>58</v>
      </c>
      <c r="C65" s="669" t="s">
        <v>609</v>
      </c>
      <c r="D65" s="6"/>
      <c r="E65" s="6"/>
      <c r="F65" s="6"/>
      <c r="G65" s="17">
        <v>20</v>
      </c>
      <c r="H65" s="6"/>
      <c r="I65" s="6"/>
      <c r="J65" s="6">
        <f t="shared" si="1"/>
        <v>0</v>
      </c>
      <c r="K65" s="6"/>
      <c r="L65" s="6">
        <v>42</v>
      </c>
      <c r="M65" s="6">
        <f t="shared" si="2"/>
        <v>42</v>
      </c>
      <c r="N65" s="6"/>
      <c r="O65" s="6"/>
      <c r="P65" s="6">
        <f t="shared" si="3"/>
        <v>0</v>
      </c>
      <c r="Q65" s="6"/>
      <c r="R65" s="6"/>
      <c r="S65" s="6">
        <f t="shared" si="4"/>
        <v>0</v>
      </c>
      <c r="T65" s="6"/>
      <c r="U65" s="6">
        <v>36</v>
      </c>
      <c r="V65" s="6">
        <f t="shared" si="5"/>
        <v>36</v>
      </c>
      <c r="W65" s="6"/>
      <c r="X65" s="6"/>
      <c r="Y65" s="98">
        <f t="shared" si="6"/>
        <v>0</v>
      </c>
      <c r="Z65" s="6">
        <f t="shared" si="7"/>
        <v>0</v>
      </c>
      <c r="AA65" s="6">
        <f t="shared" si="8"/>
        <v>78</v>
      </c>
      <c r="AB65" s="6">
        <f t="shared" si="9"/>
        <v>78</v>
      </c>
      <c r="AC65" s="36">
        <f t="shared" si="10"/>
        <v>0</v>
      </c>
      <c r="AD65" s="36">
        <f t="shared" si="11"/>
        <v>13</v>
      </c>
      <c r="AE65" s="36">
        <f t="shared" si="12"/>
        <v>13</v>
      </c>
      <c r="AF65" s="6"/>
      <c r="AG65" s="6">
        <v>36</v>
      </c>
      <c r="AH65" s="904">
        <f t="shared" si="13"/>
        <v>36</v>
      </c>
      <c r="AI65" s="6"/>
      <c r="AJ65" s="6"/>
      <c r="AK65" s="6">
        <f t="shared" si="14"/>
        <v>0</v>
      </c>
      <c r="AL65" s="6"/>
      <c r="AM65" s="6"/>
      <c r="AN65" s="98">
        <f t="shared" si="15"/>
        <v>0</v>
      </c>
      <c r="AO65" s="6">
        <f t="shared" si="16"/>
        <v>0</v>
      </c>
      <c r="AP65" s="6">
        <f t="shared" si="17"/>
        <v>114</v>
      </c>
      <c r="AQ65" s="6">
        <f t="shared" si="18"/>
        <v>114</v>
      </c>
      <c r="AR65" s="943">
        <f t="shared" si="19"/>
        <v>0</v>
      </c>
      <c r="AS65" s="943">
        <f t="shared" si="20"/>
        <v>12.666666666666666</v>
      </c>
      <c r="AT65" s="943">
        <f t="shared" si="21"/>
        <v>12.666666666666666</v>
      </c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spans="1:61" s="61" customFormat="1" ht="18">
      <c r="A66" s="19">
        <v>12</v>
      </c>
      <c r="B66" s="6">
        <v>59</v>
      </c>
      <c r="C66" s="59" t="s">
        <v>610</v>
      </c>
      <c r="D66" s="19" t="s">
        <v>590</v>
      </c>
      <c r="E66" s="19" t="s">
        <v>611</v>
      </c>
      <c r="F66" s="19">
        <v>25</v>
      </c>
      <c r="G66" s="19">
        <v>132</v>
      </c>
      <c r="H66" s="19">
        <v>60</v>
      </c>
      <c r="I66" s="19"/>
      <c r="J66" s="19">
        <f t="shared" si="1"/>
        <v>60</v>
      </c>
      <c r="K66" s="19"/>
      <c r="L66" s="19"/>
      <c r="M66" s="19">
        <f t="shared" si="2"/>
        <v>0</v>
      </c>
      <c r="N66" s="19">
        <v>25</v>
      </c>
      <c r="O66" s="19">
        <v>18</v>
      </c>
      <c r="P66" s="19">
        <f t="shared" si="3"/>
        <v>43</v>
      </c>
      <c r="Q66" s="19"/>
      <c r="R66" s="19"/>
      <c r="S66" s="19">
        <f t="shared" si="4"/>
        <v>0</v>
      </c>
      <c r="T66" s="19"/>
      <c r="U66" s="19">
        <v>36</v>
      </c>
      <c r="V66" s="19">
        <f t="shared" si="5"/>
        <v>36</v>
      </c>
      <c r="W66" s="19"/>
      <c r="X66" s="19"/>
      <c r="Y66" s="100">
        <f t="shared" si="6"/>
        <v>0</v>
      </c>
      <c r="Z66" s="19">
        <f t="shared" si="7"/>
        <v>85</v>
      </c>
      <c r="AA66" s="19">
        <f t="shared" si="8"/>
        <v>54</v>
      </c>
      <c r="AB66" s="19">
        <f t="shared" si="9"/>
        <v>139</v>
      </c>
      <c r="AC66" s="60">
        <f t="shared" si="10"/>
        <v>14.166666666666666</v>
      </c>
      <c r="AD66" s="60">
        <f t="shared" si="11"/>
        <v>9</v>
      </c>
      <c r="AE66" s="60">
        <f t="shared" si="12"/>
        <v>23.166666666666668</v>
      </c>
      <c r="AF66" s="19">
        <v>0</v>
      </c>
      <c r="AG66" s="19">
        <v>0</v>
      </c>
      <c r="AH66" s="905">
        <f t="shared" si="13"/>
        <v>0</v>
      </c>
      <c r="AI66" s="19"/>
      <c r="AJ66" s="19"/>
      <c r="AK66" s="19">
        <f t="shared" si="14"/>
        <v>0</v>
      </c>
      <c r="AL66" s="19"/>
      <c r="AM66" s="19">
        <v>87</v>
      </c>
      <c r="AN66" s="100">
        <f t="shared" si="15"/>
        <v>87</v>
      </c>
      <c r="AO66" s="19">
        <f t="shared" si="16"/>
        <v>85</v>
      </c>
      <c r="AP66" s="19">
        <f t="shared" si="17"/>
        <v>141</v>
      </c>
      <c r="AQ66" s="19">
        <f t="shared" si="18"/>
        <v>226</v>
      </c>
      <c r="AR66" s="703">
        <f t="shared" si="19"/>
        <v>9.4444444444444446</v>
      </c>
      <c r="AS66" s="703">
        <f t="shared" si="20"/>
        <v>15.666666666666666</v>
      </c>
      <c r="AT66" s="703">
        <f t="shared" si="21"/>
        <v>25.111111111111111</v>
      </c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</row>
    <row r="67" spans="1:61" s="61" customFormat="1" ht="18">
      <c r="A67" s="19">
        <v>13</v>
      </c>
      <c r="B67" s="6">
        <v>60</v>
      </c>
      <c r="C67" s="59" t="s">
        <v>612</v>
      </c>
      <c r="D67" s="19" t="s">
        <v>590</v>
      </c>
      <c r="E67" s="19" t="s">
        <v>613</v>
      </c>
      <c r="F67" s="19">
        <v>40</v>
      </c>
      <c r="G67" s="19">
        <v>444</v>
      </c>
      <c r="H67" s="19"/>
      <c r="I67" s="19"/>
      <c r="J67" s="19">
        <f t="shared" si="1"/>
        <v>0</v>
      </c>
      <c r="K67" s="19"/>
      <c r="L67" s="19"/>
      <c r="M67" s="19">
        <f t="shared" si="2"/>
        <v>0</v>
      </c>
      <c r="N67" s="19"/>
      <c r="O67" s="19"/>
      <c r="P67" s="19">
        <f t="shared" si="3"/>
        <v>0</v>
      </c>
      <c r="Q67" s="19"/>
      <c r="R67" s="19">
        <v>36</v>
      </c>
      <c r="S67" s="19">
        <f t="shared" si="4"/>
        <v>36</v>
      </c>
      <c r="T67" s="19"/>
      <c r="U67" s="19"/>
      <c r="V67" s="19">
        <f t="shared" si="5"/>
        <v>0</v>
      </c>
      <c r="W67" s="19"/>
      <c r="X67" s="19"/>
      <c r="Y67" s="100">
        <f t="shared" si="6"/>
        <v>0</v>
      </c>
      <c r="Z67" s="19">
        <f t="shared" si="7"/>
        <v>0</v>
      </c>
      <c r="AA67" s="19">
        <f t="shared" si="8"/>
        <v>36</v>
      </c>
      <c r="AB67" s="19">
        <f t="shared" si="9"/>
        <v>36</v>
      </c>
      <c r="AC67" s="60">
        <f t="shared" si="10"/>
        <v>0</v>
      </c>
      <c r="AD67" s="60">
        <f t="shared" si="11"/>
        <v>6</v>
      </c>
      <c r="AE67" s="60">
        <f t="shared" si="12"/>
        <v>6</v>
      </c>
      <c r="AF67" s="19">
        <v>300</v>
      </c>
      <c r="AG67" s="19">
        <v>6</v>
      </c>
      <c r="AH67" s="905">
        <f t="shared" si="13"/>
        <v>306</v>
      </c>
      <c r="AI67" s="19"/>
      <c r="AJ67" s="19"/>
      <c r="AK67" s="19">
        <f t="shared" si="14"/>
        <v>0</v>
      </c>
      <c r="AL67" s="19"/>
      <c r="AM67" s="19"/>
      <c r="AN67" s="100">
        <f t="shared" si="15"/>
        <v>0</v>
      </c>
      <c r="AO67" s="19">
        <f t="shared" si="16"/>
        <v>300</v>
      </c>
      <c r="AP67" s="19">
        <f t="shared" si="17"/>
        <v>42</v>
      </c>
      <c r="AQ67" s="19">
        <f t="shared" si="18"/>
        <v>342</v>
      </c>
      <c r="AR67" s="703">
        <f t="shared" si="19"/>
        <v>33.333333333333336</v>
      </c>
      <c r="AS67" s="703">
        <f t="shared" si="20"/>
        <v>4.666666666666667</v>
      </c>
      <c r="AT67" s="703">
        <f t="shared" si="21"/>
        <v>38</v>
      </c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</row>
    <row r="68" spans="1:61" ht="18" hidden="1">
      <c r="A68" s="6">
        <v>1</v>
      </c>
      <c r="B68" s="6">
        <v>61</v>
      </c>
      <c r="C68" s="669" t="s">
        <v>2853</v>
      </c>
      <c r="D68" s="6" t="s">
        <v>614</v>
      </c>
      <c r="E68" s="6" t="s">
        <v>615</v>
      </c>
      <c r="F68" s="18">
        <v>40</v>
      </c>
      <c r="G68" s="17">
        <v>20</v>
      </c>
      <c r="H68" s="6"/>
      <c r="I68" s="6">
        <v>36</v>
      </c>
      <c r="J68" s="6">
        <f t="shared" si="1"/>
        <v>36</v>
      </c>
      <c r="K68" s="6"/>
      <c r="L68" s="6"/>
      <c r="M68" s="6">
        <f t="shared" si="2"/>
        <v>0</v>
      </c>
      <c r="N68" s="6"/>
      <c r="O68" s="6"/>
      <c r="P68" s="6">
        <f t="shared" si="3"/>
        <v>0</v>
      </c>
      <c r="Q68" s="6"/>
      <c r="R68" s="6"/>
      <c r="S68" s="6">
        <f t="shared" si="4"/>
        <v>0</v>
      </c>
      <c r="T68" s="6"/>
      <c r="U68" s="6"/>
      <c r="V68" s="6">
        <f t="shared" si="5"/>
        <v>0</v>
      </c>
      <c r="W68" s="6"/>
      <c r="X68" s="6"/>
      <c r="Y68" s="98">
        <f t="shared" si="6"/>
        <v>0</v>
      </c>
      <c r="Z68" s="6">
        <f t="shared" si="7"/>
        <v>0</v>
      </c>
      <c r="AA68" s="6">
        <f t="shared" si="8"/>
        <v>36</v>
      </c>
      <c r="AB68" s="6">
        <f t="shared" si="9"/>
        <v>36</v>
      </c>
      <c r="AC68" s="36">
        <f t="shared" si="10"/>
        <v>0</v>
      </c>
      <c r="AD68" s="36">
        <f t="shared" si="11"/>
        <v>6</v>
      </c>
      <c r="AE68" s="36">
        <f t="shared" si="12"/>
        <v>6</v>
      </c>
      <c r="AF68" s="6"/>
      <c r="AG68" s="6"/>
      <c r="AH68" s="904">
        <f t="shared" si="13"/>
        <v>0</v>
      </c>
      <c r="AI68" s="6"/>
      <c r="AJ68" s="6"/>
      <c r="AK68" s="6">
        <f t="shared" si="14"/>
        <v>0</v>
      </c>
      <c r="AL68" s="6"/>
      <c r="AM68" s="6"/>
      <c r="AN68" s="98">
        <f t="shared" si="15"/>
        <v>0</v>
      </c>
      <c r="AO68" s="6">
        <f t="shared" si="16"/>
        <v>0</v>
      </c>
      <c r="AP68" s="6">
        <f t="shared" si="17"/>
        <v>36</v>
      </c>
      <c r="AQ68" s="6">
        <f t="shared" si="18"/>
        <v>36</v>
      </c>
      <c r="AR68" s="943">
        <f t="shared" si="19"/>
        <v>0</v>
      </c>
      <c r="AS68" s="943">
        <f t="shared" si="20"/>
        <v>4</v>
      </c>
      <c r="AT68" s="943">
        <f t="shared" si="21"/>
        <v>4</v>
      </c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spans="1:61" ht="18" hidden="1">
      <c r="A69" s="6">
        <v>2</v>
      </c>
      <c r="B69" s="6">
        <v>62</v>
      </c>
      <c r="C69" s="16" t="s">
        <v>616</v>
      </c>
      <c r="D69" s="6" t="s">
        <v>614</v>
      </c>
      <c r="E69" s="6" t="s">
        <v>617</v>
      </c>
      <c r="F69" s="6">
        <v>30</v>
      </c>
      <c r="G69" s="17">
        <v>10</v>
      </c>
      <c r="H69" s="6">
        <v>100</v>
      </c>
      <c r="I69" s="6"/>
      <c r="J69" s="6">
        <f t="shared" si="1"/>
        <v>100</v>
      </c>
      <c r="K69" s="6">
        <v>133</v>
      </c>
      <c r="L69" s="6"/>
      <c r="M69" s="6">
        <f t="shared" si="2"/>
        <v>133</v>
      </c>
      <c r="N69" s="6"/>
      <c r="O69" s="6"/>
      <c r="P69" s="6">
        <f t="shared" si="3"/>
        <v>0</v>
      </c>
      <c r="Q69" s="6"/>
      <c r="R69" s="6"/>
      <c r="S69" s="6">
        <f t="shared" si="4"/>
        <v>0</v>
      </c>
      <c r="T69" s="6"/>
      <c r="U69" s="6"/>
      <c r="V69" s="6">
        <f t="shared" si="5"/>
        <v>0</v>
      </c>
      <c r="W69" s="6">
        <v>78</v>
      </c>
      <c r="X69" s="6"/>
      <c r="Y69" s="98">
        <f t="shared" si="6"/>
        <v>78</v>
      </c>
      <c r="Z69" s="6">
        <f t="shared" si="7"/>
        <v>311</v>
      </c>
      <c r="AA69" s="6">
        <f t="shared" si="8"/>
        <v>0</v>
      </c>
      <c r="AB69" s="6">
        <f t="shared" si="9"/>
        <v>311</v>
      </c>
      <c r="AC69" s="36">
        <f t="shared" si="10"/>
        <v>51.833333333333336</v>
      </c>
      <c r="AD69" s="36">
        <f t="shared" si="11"/>
        <v>0</v>
      </c>
      <c r="AE69" s="36">
        <f t="shared" si="12"/>
        <v>51.833333333333336</v>
      </c>
      <c r="AF69" s="6"/>
      <c r="AG69" s="6"/>
      <c r="AH69" s="904">
        <f t="shared" si="13"/>
        <v>0</v>
      </c>
      <c r="AI69" s="6">
        <v>50</v>
      </c>
      <c r="AJ69" s="6"/>
      <c r="AK69" s="6">
        <f t="shared" si="14"/>
        <v>50</v>
      </c>
      <c r="AL69" s="6">
        <v>300</v>
      </c>
      <c r="AM69" s="6"/>
      <c r="AN69" s="98">
        <f t="shared" si="15"/>
        <v>300</v>
      </c>
      <c r="AO69" s="6">
        <f t="shared" si="16"/>
        <v>661</v>
      </c>
      <c r="AP69" s="6">
        <f t="shared" si="17"/>
        <v>0</v>
      </c>
      <c r="AQ69" s="6">
        <f t="shared" si="18"/>
        <v>661</v>
      </c>
      <c r="AR69" s="943">
        <f t="shared" si="19"/>
        <v>73.444444444444443</v>
      </c>
      <c r="AS69" s="943">
        <f t="shared" si="20"/>
        <v>0</v>
      </c>
      <c r="AT69" s="943">
        <f t="shared" si="21"/>
        <v>73.444444444444443</v>
      </c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spans="1:61" ht="18" hidden="1">
      <c r="A70" s="6">
        <v>3</v>
      </c>
      <c r="B70" s="6">
        <v>63</v>
      </c>
      <c r="C70" s="16" t="s">
        <v>618</v>
      </c>
      <c r="D70" s="6" t="s">
        <v>614</v>
      </c>
      <c r="E70" s="6" t="s">
        <v>619</v>
      </c>
      <c r="F70" s="18">
        <v>40</v>
      </c>
      <c r="G70" s="17">
        <v>20</v>
      </c>
      <c r="H70" s="6"/>
      <c r="I70" s="6"/>
      <c r="J70" s="6">
        <f t="shared" si="1"/>
        <v>0</v>
      </c>
      <c r="K70" s="6"/>
      <c r="L70" s="6"/>
      <c r="M70" s="6">
        <f t="shared" si="2"/>
        <v>0</v>
      </c>
      <c r="N70" s="6"/>
      <c r="O70" s="6"/>
      <c r="P70" s="6">
        <f t="shared" si="3"/>
        <v>0</v>
      </c>
      <c r="Q70" s="6"/>
      <c r="R70" s="6"/>
      <c r="S70" s="6">
        <f t="shared" si="4"/>
        <v>0</v>
      </c>
      <c r="T70" s="6"/>
      <c r="U70" s="6"/>
      <c r="V70" s="6">
        <f t="shared" si="5"/>
        <v>0</v>
      </c>
      <c r="W70" s="6"/>
      <c r="X70" s="6"/>
      <c r="Y70" s="98">
        <f t="shared" si="6"/>
        <v>0</v>
      </c>
      <c r="Z70" s="6">
        <f t="shared" si="7"/>
        <v>0</v>
      </c>
      <c r="AA70" s="6">
        <f t="shared" si="8"/>
        <v>0</v>
      </c>
      <c r="AB70" s="6">
        <f t="shared" si="9"/>
        <v>0</v>
      </c>
      <c r="AC70" s="36">
        <f t="shared" si="10"/>
        <v>0</v>
      </c>
      <c r="AD70" s="36">
        <f t="shared" si="11"/>
        <v>0</v>
      </c>
      <c r="AE70" s="36">
        <f t="shared" si="12"/>
        <v>0</v>
      </c>
      <c r="AF70" s="6"/>
      <c r="AG70" s="6"/>
      <c r="AH70" s="904">
        <f t="shared" si="13"/>
        <v>0</v>
      </c>
      <c r="AI70" s="6"/>
      <c r="AJ70" s="6"/>
      <c r="AK70" s="6">
        <f t="shared" si="14"/>
        <v>0</v>
      </c>
      <c r="AL70" s="6"/>
      <c r="AM70" s="6"/>
      <c r="AN70" s="98">
        <f t="shared" si="15"/>
        <v>0</v>
      </c>
      <c r="AO70" s="6">
        <f t="shared" si="16"/>
        <v>0</v>
      </c>
      <c r="AP70" s="6">
        <f t="shared" si="17"/>
        <v>0</v>
      </c>
      <c r="AQ70" s="6">
        <f t="shared" si="18"/>
        <v>0</v>
      </c>
      <c r="AR70" s="943">
        <f t="shared" si="19"/>
        <v>0</v>
      </c>
      <c r="AS70" s="943">
        <f t="shared" si="20"/>
        <v>0</v>
      </c>
      <c r="AT70" s="943">
        <f t="shared" si="21"/>
        <v>0</v>
      </c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spans="1:61" ht="18" hidden="1">
      <c r="A71" s="6">
        <v>4</v>
      </c>
      <c r="B71" s="6">
        <v>64</v>
      </c>
      <c r="C71" s="16" t="s">
        <v>620</v>
      </c>
      <c r="D71" s="6" t="s">
        <v>614</v>
      </c>
      <c r="E71" s="6" t="s">
        <v>621</v>
      </c>
      <c r="F71" s="18">
        <v>35</v>
      </c>
      <c r="G71" s="17">
        <v>15</v>
      </c>
      <c r="H71" s="6"/>
      <c r="I71" s="6"/>
      <c r="J71" s="6">
        <f t="shared" si="1"/>
        <v>0</v>
      </c>
      <c r="K71" s="6"/>
      <c r="L71" s="6"/>
      <c r="M71" s="6">
        <f t="shared" si="2"/>
        <v>0</v>
      </c>
      <c r="N71" s="6"/>
      <c r="O71" s="6"/>
      <c r="P71" s="6">
        <f t="shared" si="3"/>
        <v>0</v>
      </c>
      <c r="Q71" s="6"/>
      <c r="R71" s="6"/>
      <c r="S71" s="6">
        <f t="shared" si="4"/>
        <v>0</v>
      </c>
      <c r="T71" s="6"/>
      <c r="U71" s="6"/>
      <c r="V71" s="6">
        <f t="shared" si="5"/>
        <v>0</v>
      </c>
      <c r="W71" s="6"/>
      <c r="X71" s="6"/>
      <c r="Y71" s="98">
        <f t="shared" si="6"/>
        <v>0</v>
      </c>
      <c r="Z71" s="6">
        <f t="shared" si="7"/>
        <v>0</v>
      </c>
      <c r="AA71" s="6">
        <f t="shared" si="8"/>
        <v>0</v>
      </c>
      <c r="AB71" s="6">
        <f t="shared" si="9"/>
        <v>0</v>
      </c>
      <c r="AC71" s="36">
        <f t="shared" si="10"/>
        <v>0</v>
      </c>
      <c r="AD71" s="36">
        <f t="shared" si="11"/>
        <v>0</v>
      </c>
      <c r="AE71" s="36">
        <f t="shared" si="12"/>
        <v>0</v>
      </c>
      <c r="AF71" s="6"/>
      <c r="AG71" s="6"/>
      <c r="AH71" s="904">
        <f t="shared" si="13"/>
        <v>0</v>
      </c>
      <c r="AI71" s="6"/>
      <c r="AJ71" s="6"/>
      <c r="AK71" s="6">
        <f t="shared" si="14"/>
        <v>0</v>
      </c>
      <c r="AL71" s="6"/>
      <c r="AM71" s="6"/>
      <c r="AN71" s="98">
        <f t="shared" si="15"/>
        <v>0</v>
      </c>
      <c r="AO71" s="6">
        <f t="shared" si="16"/>
        <v>0</v>
      </c>
      <c r="AP71" s="6">
        <f t="shared" si="17"/>
        <v>0</v>
      </c>
      <c r="AQ71" s="6">
        <f t="shared" si="18"/>
        <v>0</v>
      </c>
      <c r="AR71" s="943">
        <f t="shared" si="19"/>
        <v>0</v>
      </c>
      <c r="AS71" s="943">
        <f t="shared" si="20"/>
        <v>0</v>
      </c>
      <c r="AT71" s="943">
        <f t="shared" si="21"/>
        <v>0</v>
      </c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spans="1:61" ht="18" hidden="1">
      <c r="A72" s="6">
        <v>5</v>
      </c>
      <c r="B72" s="6">
        <v>65</v>
      </c>
      <c r="C72" s="16" t="s">
        <v>622</v>
      </c>
      <c r="D72" s="6" t="s">
        <v>2854</v>
      </c>
      <c r="E72" s="6" t="s">
        <v>623</v>
      </c>
      <c r="F72" s="6">
        <v>20</v>
      </c>
      <c r="G72" s="17">
        <v>10</v>
      </c>
      <c r="H72" s="6"/>
      <c r="I72" s="6"/>
      <c r="J72" s="6">
        <f t="shared" si="1"/>
        <v>0</v>
      </c>
      <c r="K72" s="6"/>
      <c r="L72" s="6"/>
      <c r="M72" s="6">
        <f t="shared" si="2"/>
        <v>0</v>
      </c>
      <c r="N72" s="6"/>
      <c r="O72" s="6"/>
      <c r="P72" s="6">
        <f t="shared" si="3"/>
        <v>0</v>
      </c>
      <c r="Q72" s="6"/>
      <c r="R72" s="6"/>
      <c r="S72" s="6">
        <f t="shared" si="4"/>
        <v>0</v>
      </c>
      <c r="T72" s="6"/>
      <c r="U72" s="6"/>
      <c r="V72" s="6">
        <f t="shared" si="5"/>
        <v>0</v>
      </c>
      <c r="W72" s="6"/>
      <c r="X72" s="6"/>
      <c r="Y72" s="98">
        <f t="shared" si="6"/>
        <v>0</v>
      </c>
      <c r="Z72" s="6">
        <f t="shared" si="7"/>
        <v>0</v>
      </c>
      <c r="AA72" s="6">
        <f t="shared" si="8"/>
        <v>0</v>
      </c>
      <c r="AB72" s="6">
        <f t="shared" si="9"/>
        <v>0</v>
      </c>
      <c r="AC72" s="36">
        <f t="shared" si="10"/>
        <v>0</v>
      </c>
      <c r="AD72" s="36">
        <f t="shared" si="11"/>
        <v>0</v>
      </c>
      <c r="AE72" s="36">
        <f t="shared" si="12"/>
        <v>0</v>
      </c>
      <c r="AF72" s="6"/>
      <c r="AG72" s="6"/>
      <c r="AH72" s="904">
        <f t="shared" si="13"/>
        <v>0</v>
      </c>
      <c r="AI72" s="6"/>
      <c r="AJ72" s="6"/>
      <c r="AK72" s="6">
        <f t="shared" si="14"/>
        <v>0</v>
      </c>
      <c r="AL72" s="6"/>
      <c r="AM72" s="6"/>
      <c r="AN72" s="98">
        <f t="shared" si="15"/>
        <v>0</v>
      </c>
      <c r="AO72" s="6">
        <f t="shared" si="16"/>
        <v>0</v>
      </c>
      <c r="AP72" s="6">
        <f t="shared" si="17"/>
        <v>0</v>
      </c>
      <c r="AQ72" s="6">
        <f t="shared" si="18"/>
        <v>0</v>
      </c>
      <c r="AR72" s="943">
        <f t="shared" si="19"/>
        <v>0</v>
      </c>
      <c r="AS72" s="943">
        <f t="shared" si="20"/>
        <v>0</v>
      </c>
      <c r="AT72" s="943">
        <f t="shared" si="21"/>
        <v>0</v>
      </c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spans="1:61" ht="18" hidden="1">
      <c r="A73" s="6">
        <v>6</v>
      </c>
      <c r="B73" s="6">
        <v>66</v>
      </c>
      <c r="C73" s="16" t="s">
        <v>624</v>
      </c>
      <c r="D73" s="6" t="s">
        <v>2854</v>
      </c>
      <c r="E73" s="6" t="s">
        <v>625</v>
      </c>
      <c r="F73" s="6">
        <v>30</v>
      </c>
      <c r="G73" s="17">
        <v>15</v>
      </c>
      <c r="H73" s="6"/>
      <c r="I73" s="6"/>
      <c r="J73" s="6">
        <f t="shared" ref="J73:J98" si="22">SUM(H73:I73)</f>
        <v>0</v>
      </c>
      <c r="K73" s="6"/>
      <c r="L73" s="6"/>
      <c r="M73" s="6">
        <f t="shared" ref="M73:M98" si="23">SUM(K73:L73)</f>
        <v>0</v>
      </c>
      <c r="N73" s="6"/>
      <c r="O73" s="6"/>
      <c r="P73" s="6">
        <f t="shared" ref="P73:P98" si="24">SUM(N73:O73)</f>
        <v>0</v>
      </c>
      <c r="Q73" s="6"/>
      <c r="R73" s="6"/>
      <c r="S73" s="6">
        <f t="shared" ref="S73:S98" si="25">SUM(Q73:R73)</f>
        <v>0</v>
      </c>
      <c r="T73" s="6"/>
      <c r="U73" s="6"/>
      <c r="V73" s="6">
        <f t="shared" ref="V73:V98" si="26">T73+U73</f>
        <v>0</v>
      </c>
      <c r="W73" s="6"/>
      <c r="X73" s="6"/>
      <c r="Y73" s="98">
        <f t="shared" ref="Y73:Y99" si="27">W73+X73</f>
        <v>0</v>
      </c>
      <c r="Z73" s="6">
        <f t="shared" ref="Z73:Z99" si="28">H73+K73+N73+Q73+T73+W73</f>
        <v>0</v>
      </c>
      <c r="AA73" s="6">
        <f t="shared" ref="AA73:AA99" si="29">I73+L73+O73+R73+U73+X73</f>
        <v>0</v>
      </c>
      <c r="AB73" s="6">
        <f t="shared" ref="AB73:AB99" si="30">J73+M73+P73+S73+V73+Y73</f>
        <v>0</v>
      </c>
      <c r="AC73" s="36">
        <f t="shared" ref="AC73:AC99" si="31">Z73/6</f>
        <v>0</v>
      </c>
      <c r="AD73" s="36">
        <f t="shared" ref="AD73:AD99" si="32">AA73/6</f>
        <v>0</v>
      </c>
      <c r="AE73" s="36">
        <f t="shared" ref="AE73:AE99" si="33">AB73/6</f>
        <v>0</v>
      </c>
      <c r="AF73" s="6"/>
      <c r="AG73" s="6"/>
      <c r="AH73" s="904">
        <f t="shared" ref="AH73:AH99" si="34">AF73+AG73</f>
        <v>0</v>
      </c>
      <c r="AI73" s="6">
        <v>45</v>
      </c>
      <c r="AJ73" s="6"/>
      <c r="AK73" s="6">
        <f t="shared" ref="AK73:AK99" si="35">AI73+AJ73</f>
        <v>45</v>
      </c>
      <c r="AL73" s="6"/>
      <c r="AM73" s="6"/>
      <c r="AN73" s="98">
        <f t="shared" ref="AN73:AN98" si="36">AL73+AM73</f>
        <v>0</v>
      </c>
      <c r="AO73" s="6">
        <f t="shared" ref="AO73:AO98" si="37">Z73+AF73+AI73+AL73</f>
        <v>45</v>
      </c>
      <c r="AP73" s="6">
        <f t="shared" ref="AP73:AP98" si="38">AA73+AG73+AJ73+AM73</f>
        <v>0</v>
      </c>
      <c r="AQ73" s="6">
        <f t="shared" ref="AQ73:AQ98" si="39">AB73+AH73+AK73+AN73</f>
        <v>45</v>
      </c>
      <c r="AR73" s="943">
        <f t="shared" si="19"/>
        <v>5</v>
      </c>
      <c r="AS73" s="943">
        <f t="shared" si="20"/>
        <v>0</v>
      </c>
      <c r="AT73" s="943">
        <f t="shared" si="21"/>
        <v>5</v>
      </c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spans="1:61" ht="18" hidden="1">
      <c r="A74" s="6">
        <v>7</v>
      </c>
      <c r="B74" s="6">
        <v>67</v>
      </c>
      <c r="C74" s="16" t="s">
        <v>626</v>
      </c>
      <c r="D74" s="6" t="s">
        <v>2854</v>
      </c>
      <c r="E74" s="6" t="s">
        <v>627</v>
      </c>
      <c r="F74" s="6">
        <v>30</v>
      </c>
      <c r="G74" s="17">
        <v>15</v>
      </c>
      <c r="H74" s="6">
        <v>25</v>
      </c>
      <c r="I74" s="6"/>
      <c r="J74" s="6">
        <f t="shared" si="22"/>
        <v>25</v>
      </c>
      <c r="K74" s="6"/>
      <c r="L74" s="6"/>
      <c r="M74" s="6">
        <f t="shared" si="23"/>
        <v>0</v>
      </c>
      <c r="N74" s="6"/>
      <c r="O74" s="6"/>
      <c r="P74" s="6">
        <f t="shared" si="24"/>
        <v>0</v>
      </c>
      <c r="Q74" s="6"/>
      <c r="R74" s="6"/>
      <c r="S74" s="6">
        <f t="shared" si="25"/>
        <v>0</v>
      </c>
      <c r="T74" s="6">
        <v>25</v>
      </c>
      <c r="U74" s="6"/>
      <c r="V74" s="6">
        <f t="shared" si="26"/>
        <v>25</v>
      </c>
      <c r="W74" s="6"/>
      <c r="X74" s="6"/>
      <c r="Y74" s="98">
        <f t="shared" si="27"/>
        <v>0</v>
      </c>
      <c r="Z74" s="6">
        <f t="shared" si="28"/>
        <v>50</v>
      </c>
      <c r="AA74" s="6">
        <f t="shared" si="29"/>
        <v>0</v>
      </c>
      <c r="AB74" s="6">
        <f t="shared" si="30"/>
        <v>50</v>
      </c>
      <c r="AC74" s="36">
        <f t="shared" si="31"/>
        <v>8.3333333333333339</v>
      </c>
      <c r="AD74" s="36">
        <f t="shared" si="32"/>
        <v>0</v>
      </c>
      <c r="AE74" s="36">
        <f t="shared" si="33"/>
        <v>8.3333333333333339</v>
      </c>
      <c r="AF74" s="6"/>
      <c r="AG74" s="6"/>
      <c r="AH74" s="904">
        <f t="shared" si="34"/>
        <v>0</v>
      </c>
      <c r="AI74" s="6">
        <v>40</v>
      </c>
      <c r="AJ74" s="6"/>
      <c r="AK74" s="6">
        <f t="shared" si="35"/>
        <v>40</v>
      </c>
      <c r="AL74" s="6"/>
      <c r="AM74" s="6"/>
      <c r="AN74" s="98">
        <f t="shared" si="36"/>
        <v>0</v>
      </c>
      <c r="AO74" s="6">
        <f t="shared" si="37"/>
        <v>90</v>
      </c>
      <c r="AP74" s="6">
        <f t="shared" si="38"/>
        <v>0</v>
      </c>
      <c r="AQ74" s="6">
        <f t="shared" si="39"/>
        <v>90</v>
      </c>
      <c r="AR74" s="943">
        <f t="shared" ref="AR74:AR98" si="40">AO74/9</f>
        <v>10</v>
      </c>
      <c r="AS74" s="943">
        <f t="shared" ref="AS74:AS98" si="41">AP74/9</f>
        <v>0</v>
      </c>
      <c r="AT74" s="943">
        <f t="shared" ref="AT74:AT98" si="42">AQ74/9</f>
        <v>10</v>
      </c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spans="1:61" ht="18" hidden="1">
      <c r="A75" s="6">
        <v>8</v>
      </c>
      <c r="B75" s="6">
        <v>68</v>
      </c>
      <c r="C75" s="16" t="s">
        <v>628</v>
      </c>
      <c r="D75" s="6" t="s">
        <v>2854</v>
      </c>
      <c r="E75" s="6" t="s">
        <v>629</v>
      </c>
      <c r="F75" s="6">
        <v>25</v>
      </c>
      <c r="G75" s="17">
        <v>20</v>
      </c>
      <c r="H75" s="6">
        <v>50</v>
      </c>
      <c r="I75" s="6"/>
      <c r="J75" s="6">
        <f t="shared" si="22"/>
        <v>50</v>
      </c>
      <c r="K75" s="6"/>
      <c r="L75" s="6"/>
      <c r="M75" s="6">
        <f t="shared" si="23"/>
        <v>0</v>
      </c>
      <c r="N75" s="6">
        <v>50</v>
      </c>
      <c r="O75" s="6"/>
      <c r="P75" s="6">
        <f t="shared" si="24"/>
        <v>50</v>
      </c>
      <c r="Q75" s="6"/>
      <c r="R75" s="6"/>
      <c r="S75" s="6">
        <f t="shared" si="25"/>
        <v>0</v>
      </c>
      <c r="T75" s="6">
        <v>50</v>
      </c>
      <c r="U75" s="6"/>
      <c r="V75" s="6">
        <f t="shared" si="26"/>
        <v>50</v>
      </c>
      <c r="W75" s="6"/>
      <c r="X75" s="6"/>
      <c r="Y75" s="98">
        <f t="shared" si="27"/>
        <v>0</v>
      </c>
      <c r="Z75" s="6">
        <f t="shared" si="28"/>
        <v>150</v>
      </c>
      <c r="AA75" s="6">
        <f t="shared" si="29"/>
        <v>0</v>
      </c>
      <c r="AB75" s="6">
        <f t="shared" si="30"/>
        <v>150</v>
      </c>
      <c r="AC75" s="36">
        <f t="shared" si="31"/>
        <v>25</v>
      </c>
      <c r="AD75" s="36">
        <f t="shared" si="32"/>
        <v>0</v>
      </c>
      <c r="AE75" s="36">
        <f t="shared" si="33"/>
        <v>25</v>
      </c>
      <c r="AF75" s="6">
        <v>70</v>
      </c>
      <c r="AG75" s="6"/>
      <c r="AH75" s="904">
        <f t="shared" si="34"/>
        <v>70</v>
      </c>
      <c r="AI75" s="6">
        <v>50</v>
      </c>
      <c r="AJ75" s="6"/>
      <c r="AK75" s="6">
        <f t="shared" si="35"/>
        <v>50</v>
      </c>
      <c r="AL75" s="6">
        <v>100</v>
      </c>
      <c r="AM75" s="6"/>
      <c r="AN75" s="98">
        <f t="shared" si="36"/>
        <v>100</v>
      </c>
      <c r="AO75" s="6">
        <f t="shared" si="37"/>
        <v>370</v>
      </c>
      <c r="AP75" s="6">
        <f t="shared" si="38"/>
        <v>0</v>
      </c>
      <c r="AQ75" s="6">
        <f t="shared" si="39"/>
        <v>370</v>
      </c>
      <c r="AR75" s="943">
        <f t="shared" si="40"/>
        <v>41.111111111111114</v>
      </c>
      <c r="AS75" s="943">
        <f t="shared" si="41"/>
        <v>0</v>
      </c>
      <c r="AT75" s="943">
        <f t="shared" si="42"/>
        <v>41.111111111111114</v>
      </c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spans="1:61" ht="18" hidden="1">
      <c r="A76" s="6">
        <v>9</v>
      </c>
      <c r="B76" s="6">
        <v>69</v>
      </c>
      <c r="C76" s="16" t="s">
        <v>630</v>
      </c>
      <c r="D76" s="6" t="s">
        <v>2854</v>
      </c>
      <c r="E76" s="6" t="s">
        <v>631</v>
      </c>
      <c r="F76" s="6">
        <v>30</v>
      </c>
      <c r="G76" s="17">
        <v>10</v>
      </c>
      <c r="H76" s="6">
        <v>22</v>
      </c>
      <c r="I76" s="6"/>
      <c r="J76" s="6">
        <f t="shared" si="22"/>
        <v>22</v>
      </c>
      <c r="K76" s="6">
        <v>40</v>
      </c>
      <c r="L76" s="6"/>
      <c r="M76" s="6">
        <f t="shared" si="23"/>
        <v>40</v>
      </c>
      <c r="N76" s="6">
        <v>30</v>
      </c>
      <c r="O76" s="6"/>
      <c r="P76" s="6">
        <f t="shared" si="24"/>
        <v>30</v>
      </c>
      <c r="Q76" s="6">
        <v>30</v>
      </c>
      <c r="R76" s="6"/>
      <c r="S76" s="6">
        <f t="shared" si="25"/>
        <v>30</v>
      </c>
      <c r="T76" s="6">
        <v>30</v>
      </c>
      <c r="U76" s="6"/>
      <c r="V76" s="6">
        <f t="shared" si="26"/>
        <v>30</v>
      </c>
      <c r="W76" s="6"/>
      <c r="X76" s="6"/>
      <c r="Y76" s="98">
        <f t="shared" si="27"/>
        <v>0</v>
      </c>
      <c r="Z76" s="6">
        <f t="shared" si="28"/>
        <v>152</v>
      </c>
      <c r="AA76" s="6">
        <f t="shared" si="29"/>
        <v>0</v>
      </c>
      <c r="AB76" s="6">
        <f t="shared" si="30"/>
        <v>152</v>
      </c>
      <c r="AC76" s="36">
        <f t="shared" si="31"/>
        <v>25.333333333333332</v>
      </c>
      <c r="AD76" s="36">
        <f t="shared" si="32"/>
        <v>0</v>
      </c>
      <c r="AE76" s="36">
        <f t="shared" si="33"/>
        <v>25.333333333333332</v>
      </c>
      <c r="AF76" s="6">
        <v>50</v>
      </c>
      <c r="AG76" s="6"/>
      <c r="AH76" s="904">
        <f t="shared" si="34"/>
        <v>50</v>
      </c>
      <c r="AI76" s="6">
        <v>20</v>
      </c>
      <c r="AJ76" s="6"/>
      <c r="AK76" s="6">
        <f t="shared" si="35"/>
        <v>20</v>
      </c>
      <c r="AL76" s="6">
        <v>100</v>
      </c>
      <c r="AM76" s="6"/>
      <c r="AN76" s="98">
        <f t="shared" si="36"/>
        <v>100</v>
      </c>
      <c r="AO76" s="6">
        <f t="shared" si="37"/>
        <v>322</v>
      </c>
      <c r="AP76" s="6">
        <f t="shared" si="38"/>
        <v>0</v>
      </c>
      <c r="AQ76" s="6">
        <f t="shared" si="39"/>
        <v>322</v>
      </c>
      <c r="AR76" s="943">
        <f t="shared" si="40"/>
        <v>35.777777777777779</v>
      </c>
      <c r="AS76" s="943">
        <f t="shared" si="41"/>
        <v>0</v>
      </c>
      <c r="AT76" s="943">
        <f t="shared" si="42"/>
        <v>35.777777777777779</v>
      </c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spans="1:61" ht="18" hidden="1">
      <c r="A77" s="6">
        <v>10</v>
      </c>
      <c r="B77" s="6">
        <v>70</v>
      </c>
      <c r="C77" s="16" t="s">
        <v>632</v>
      </c>
      <c r="D77" s="6" t="s">
        <v>2854</v>
      </c>
      <c r="E77" s="6" t="s">
        <v>633</v>
      </c>
      <c r="F77" s="18">
        <v>35</v>
      </c>
      <c r="G77" s="17">
        <v>10</v>
      </c>
      <c r="H77" s="6">
        <v>15</v>
      </c>
      <c r="I77" s="6"/>
      <c r="J77" s="6">
        <f t="shared" si="22"/>
        <v>15</v>
      </c>
      <c r="K77" s="6"/>
      <c r="L77" s="6"/>
      <c r="M77" s="6">
        <f t="shared" si="23"/>
        <v>0</v>
      </c>
      <c r="N77" s="6">
        <v>30</v>
      </c>
      <c r="O77" s="6"/>
      <c r="P77" s="6">
        <f t="shared" si="24"/>
        <v>30</v>
      </c>
      <c r="Q77" s="6"/>
      <c r="R77" s="6"/>
      <c r="S77" s="6">
        <f t="shared" si="25"/>
        <v>0</v>
      </c>
      <c r="T77" s="6"/>
      <c r="U77" s="6"/>
      <c r="V77" s="6">
        <f t="shared" si="26"/>
        <v>0</v>
      </c>
      <c r="W77" s="6"/>
      <c r="X77" s="6"/>
      <c r="Y77" s="98">
        <f t="shared" si="27"/>
        <v>0</v>
      </c>
      <c r="Z77" s="6">
        <f t="shared" si="28"/>
        <v>45</v>
      </c>
      <c r="AA77" s="6">
        <f t="shared" si="29"/>
        <v>0</v>
      </c>
      <c r="AB77" s="6">
        <f t="shared" si="30"/>
        <v>45</v>
      </c>
      <c r="AC77" s="36">
        <f t="shared" si="31"/>
        <v>7.5</v>
      </c>
      <c r="AD77" s="36">
        <f t="shared" si="32"/>
        <v>0</v>
      </c>
      <c r="AE77" s="36">
        <f t="shared" si="33"/>
        <v>7.5</v>
      </c>
      <c r="AF77" s="6"/>
      <c r="AG77" s="6"/>
      <c r="AH77" s="904">
        <f t="shared" si="34"/>
        <v>0</v>
      </c>
      <c r="AI77" s="6"/>
      <c r="AJ77" s="6"/>
      <c r="AK77" s="6">
        <f t="shared" si="35"/>
        <v>0</v>
      </c>
      <c r="AL77" s="6"/>
      <c r="AM77" s="6"/>
      <c r="AN77" s="98">
        <f t="shared" si="36"/>
        <v>0</v>
      </c>
      <c r="AO77" s="6">
        <f t="shared" si="37"/>
        <v>45</v>
      </c>
      <c r="AP77" s="6">
        <f t="shared" si="38"/>
        <v>0</v>
      </c>
      <c r="AQ77" s="6">
        <f t="shared" si="39"/>
        <v>45</v>
      </c>
      <c r="AR77" s="943">
        <f t="shared" si="40"/>
        <v>5</v>
      </c>
      <c r="AS77" s="943">
        <f t="shared" si="41"/>
        <v>0</v>
      </c>
      <c r="AT77" s="943">
        <f t="shared" si="42"/>
        <v>5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spans="1:61" ht="18" hidden="1">
      <c r="A78" s="6">
        <v>11</v>
      </c>
      <c r="B78" s="6">
        <v>71</v>
      </c>
      <c r="C78" s="16" t="s">
        <v>634</v>
      </c>
      <c r="D78" s="6" t="s">
        <v>2854</v>
      </c>
      <c r="E78" s="6"/>
      <c r="F78" s="18"/>
      <c r="G78" s="17">
        <v>20</v>
      </c>
      <c r="H78" s="6">
        <v>40</v>
      </c>
      <c r="I78" s="6"/>
      <c r="J78" s="6">
        <f t="shared" si="22"/>
        <v>40</v>
      </c>
      <c r="K78" s="6"/>
      <c r="L78" s="6"/>
      <c r="M78" s="6">
        <f t="shared" si="23"/>
        <v>0</v>
      </c>
      <c r="N78" s="6">
        <v>160</v>
      </c>
      <c r="O78" s="6"/>
      <c r="P78" s="6">
        <f t="shared" si="24"/>
        <v>160</v>
      </c>
      <c r="Q78" s="6"/>
      <c r="R78" s="6"/>
      <c r="S78" s="6">
        <f t="shared" si="25"/>
        <v>0</v>
      </c>
      <c r="T78" s="6"/>
      <c r="U78" s="6"/>
      <c r="V78" s="6">
        <f t="shared" si="26"/>
        <v>0</v>
      </c>
      <c r="W78" s="6"/>
      <c r="X78" s="6"/>
      <c r="Y78" s="98">
        <f t="shared" si="27"/>
        <v>0</v>
      </c>
      <c r="Z78" s="6">
        <f t="shared" si="28"/>
        <v>200</v>
      </c>
      <c r="AA78" s="6">
        <f t="shared" si="29"/>
        <v>0</v>
      </c>
      <c r="AB78" s="6">
        <f t="shared" si="30"/>
        <v>200</v>
      </c>
      <c r="AC78" s="36">
        <f t="shared" si="31"/>
        <v>33.333333333333336</v>
      </c>
      <c r="AD78" s="36">
        <f t="shared" si="32"/>
        <v>0</v>
      </c>
      <c r="AE78" s="36">
        <f t="shared" si="33"/>
        <v>33.333333333333336</v>
      </c>
      <c r="AF78" s="6"/>
      <c r="AG78" s="6"/>
      <c r="AH78" s="904">
        <f t="shared" si="34"/>
        <v>0</v>
      </c>
      <c r="AI78" s="6"/>
      <c r="AJ78" s="6"/>
      <c r="AK78" s="6">
        <f t="shared" si="35"/>
        <v>0</v>
      </c>
      <c r="AL78" s="6"/>
      <c r="AM78" s="6"/>
      <c r="AN78" s="98">
        <f t="shared" si="36"/>
        <v>0</v>
      </c>
      <c r="AO78" s="6">
        <f t="shared" si="37"/>
        <v>200</v>
      </c>
      <c r="AP78" s="6">
        <f t="shared" si="38"/>
        <v>0</v>
      </c>
      <c r="AQ78" s="6">
        <f t="shared" si="39"/>
        <v>200</v>
      </c>
      <c r="AR78" s="943">
        <f t="shared" si="40"/>
        <v>22.222222222222221</v>
      </c>
      <c r="AS78" s="943">
        <f t="shared" si="41"/>
        <v>0</v>
      </c>
      <c r="AT78" s="943">
        <f t="shared" si="42"/>
        <v>22.222222222222221</v>
      </c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spans="1:61" ht="18" hidden="1">
      <c r="A79" s="6">
        <v>12</v>
      </c>
      <c r="B79" s="6">
        <v>72</v>
      </c>
      <c r="C79" s="16" t="s">
        <v>635</v>
      </c>
      <c r="D79" s="6" t="s">
        <v>2854</v>
      </c>
      <c r="E79" s="6"/>
      <c r="F79" s="18"/>
      <c r="G79" s="17">
        <v>20</v>
      </c>
      <c r="H79" s="6"/>
      <c r="I79" s="6">
        <v>28</v>
      </c>
      <c r="J79" s="6">
        <f t="shared" si="22"/>
        <v>28</v>
      </c>
      <c r="K79" s="6"/>
      <c r="L79" s="6"/>
      <c r="M79" s="6">
        <f t="shared" si="23"/>
        <v>0</v>
      </c>
      <c r="N79" s="6"/>
      <c r="O79" s="6"/>
      <c r="P79" s="6">
        <f t="shared" si="24"/>
        <v>0</v>
      </c>
      <c r="Q79" s="6"/>
      <c r="R79" s="6"/>
      <c r="S79" s="6">
        <f t="shared" si="25"/>
        <v>0</v>
      </c>
      <c r="T79" s="6"/>
      <c r="U79" s="6"/>
      <c r="V79" s="6">
        <f t="shared" si="26"/>
        <v>0</v>
      </c>
      <c r="W79" s="6"/>
      <c r="X79" s="6"/>
      <c r="Y79" s="98">
        <f t="shared" si="27"/>
        <v>0</v>
      </c>
      <c r="Z79" s="6">
        <f t="shared" si="28"/>
        <v>0</v>
      </c>
      <c r="AA79" s="6">
        <f t="shared" si="29"/>
        <v>28</v>
      </c>
      <c r="AB79" s="6">
        <f t="shared" si="30"/>
        <v>28</v>
      </c>
      <c r="AC79" s="36">
        <f t="shared" si="31"/>
        <v>0</v>
      </c>
      <c r="AD79" s="36">
        <f t="shared" si="32"/>
        <v>4.666666666666667</v>
      </c>
      <c r="AE79" s="36">
        <f t="shared" si="33"/>
        <v>4.666666666666667</v>
      </c>
      <c r="AF79" s="6"/>
      <c r="AG79" s="6"/>
      <c r="AH79" s="904">
        <f t="shared" si="34"/>
        <v>0</v>
      </c>
      <c r="AI79" s="6"/>
      <c r="AJ79" s="6"/>
      <c r="AK79" s="6">
        <f t="shared" si="35"/>
        <v>0</v>
      </c>
      <c r="AL79" s="6"/>
      <c r="AM79" s="6"/>
      <c r="AN79" s="98">
        <f t="shared" si="36"/>
        <v>0</v>
      </c>
      <c r="AO79" s="6">
        <f t="shared" si="37"/>
        <v>0</v>
      </c>
      <c r="AP79" s="6">
        <f t="shared" si="38"/>
        <v>28</v>
      </c>
      <c r="AQ79" s="6">
        <f t="shared" si="39"/>
        <v>28</v>
      </c>
      <c r="AR79" s="943">
        <f t="shared" si="40"/>
        <v>0</v>
      </c>
      <c r="AS79" s="943">
        <f t="shared" si="41"/>
        <v>3.1111111111111112</v>
      </c>
      <c r="AT79" s="943">
        <f t="shared" si="42"/>
        <v>3.1111111111111112</v>
      </c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spans="1:61" ht="18" hidden="1">
      <c r="A80" s="6">
        <v>13</v>
      </c>
      <c r="B80" s="6">
        <v>73</v>
      </c>
      <c r="C80" s="16" t="s">
        <v>636</v>
      </c>
      <c r="D80" s="6" t="s">
        <v>2854</v>
      </c>
      <c r="E80" s="6" t="s">
        <v>637</v>
      </c>
      <c r="F80" s="18">
        <v>35</v>
      </c>
      <c r="G80" s="17">
        <v>15</v>
      </c>
      <c r="H80" s="6">
        <v>54</v>
      </c>
      <c r="I80" s="6"/>
      <c r="J80" s="6">
        <f t="shared" si="22"/>
        <v>54</v>
      </c>
      <c r="K80" s="6"/>
      <c r="L80" s="6"/>
      <c r="M80" s="6">
        <f t="shared" si="23"/>
        <v>0</v>
      </c>
      <c r="N80" s="6">
        <v>36</v>
      </c>
      <c r="O80" s="6"/>
      <c r="P80" s="6">
        <f t="shared" si="24"/>
        <v>36</v>
      </c>
      <c r="Q80" s="6"/>
      <c r="R80" s="6"/>
      <c r="S80" s="6">
        <f t="shared" si="25"/>
        <v>0</v>
      </c>
      <c r="T80" s="6"/>
      <c r="U80" s="6"/>
      <c r="V80" s="6">
        <f t="shared" si="26"/>
        <v>0</v>
      </c>
      <c r="W80" s="6"/>
      <c r="X80" s="6"/>
      <c r="Y80" s="98">
        <f t="shared" si="27"/>
        <v>0</v>
      </c>
      <c r="Z80" s="6">
        <f t="shared" si="28"/>
        <v>90</v>
      </c>
      <c r="AA80" s="6">
        <f t="shared" si="29"/>
        <v>0</v>
      </c>
      <c r="AB80" s="6">
        <f t="shared" si="30"/>
        <v>90</v>
      </c>
      <c r="AC80" s="36">
        <f t="shared" si="31"/>
        <v>15</v>
      </c>
      <c r="AD80" s="36">
        <f t="shared" si="32"/>
        <v>0</v>
      </c>
      <c r="AE80" s="36">
        <f t="shared" si="33"/>
        <v>15</v>
      </c>
      <c r="AF80" s="6"/>
      <c r="AG80" s="6"/>
      <c r="AH80" s="904">
        <f t="shared" si="34"/>
        <v>0</v>
      </c>
      <c r="AI80" s="6"/>
      <c r="AJ80" s="6"/>
      <c r="AK80" s="6">
        <f t="shared" si="35"/>
        <v>0</v>
      </c>
      <c r="AL80" s="6"/>
      <c r="AM80" s="6"/>
      <c r="AN80" s="98">
        <f t="shared" si="36"/>
        <v>0</v>
      </c>
      <c r="AO80" s="6">
        <f t="shared" si="37"/>
        <v>90</v>
      </c>
      <c r="AP80" s="6">
        <f t="shared" si="38"/>
        <v>0</v>
      </c>
      <c r="AQ80" s="6">
        <f t="shared" si="39"/>
        <v>90</v>
      </c>
      <c r="AR80" s="943">
        <f t="shared" si="40"/>
        <v>10</v>
      </c>
      <c r="AS80" s="943">
        <f t="shared" si="41"/>
        <v>0</v>
      </c>
      <c r="AT80" s="943">
        <f t="shared" si="42"/>
        <v>10</v>
      </c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spans="1:61" ht="18" hidden="1">
      <c r="A81" s="6">
        <v>1</v>
      </c>
      <c r="B81" s="6">
        <v>74</v>
      </c>
      <c r="C81" s="16" t="s">
        <v>638</v>
      </c>
      <c r="D81" s="6" t="s">
        <v>639</v>
      </c>
      <c r="E81" s="6" t="s">
        <v>640</v>
      </c>
      <c r="F81" s="6"/>
      <c r="G81" s="17">
        <v>10</v>
      </c>
      <c r="H81" s="6">
        <v>350</v>
      </c>
      <c r="I81" s="6"/>
      <c r="J81" s="6">
        <f t="shared" si="22"/>
        <v>350</v>
      </c>
      <c r="K81" s="6">
        <v>375</v>
      </c>
      <c r="L81" s="6"/>
      <c r="M81" s="6">
        <f t="shared" si="23"/>
        <v>375</v>
      </c>
      <c r="N81" s="6"/>
      <c r="O81" s="6"/>
      <c r="P81" s="6">
        <f t="shared" si="24"/>
        <v>0</v>
      </c>
      <c r="Q81" s="6"/>
      <c r="R81" s="6"/>
      <c r="S81" s="6">
        <f t="shared" si="25"/>
        <v>0</v>
      </c>
      <c r="T81" s="6"/>
      <c r="U81" s="6"/>
      <c r="V81" s="6">
        <f t="shared" si="26"/>
        <v>0</v>
      </c>
      <c r="W81" s="6">
        <v>200</v>
      </c>
      <c r="X81" s="6"/>
      <c r="Y81" s="98">
        <f t="shared" si="27"/>
        <v>200</v>
      </c>
      <c r="Z81" s="6">
        <f t="shared" si="28"/>
        <v>925</v>
      </c>
      <c r="AA81" s="6">
        <f t="shared" si="29"/>
        <v>0</v>
      </c>
      <c r="AB81" s="6">
        <f t="shared" si="30"/>
        <v>925</v>
      </c>
      <c r="AC81" s="36">
        <f t="shared" si="31"/>
        <v>154.16666666666666</v>
      </c>
      <c r="AD81" s="36">
        <f t="shared" si="32"/>
        <v>0</v>
      </c>
      <c r="AE81" s="36">
        <f t="shared" si="33"/>
        <v>154.16666666666666</v>
      </c>
      <c r="AF81" s="6"/>
      <c r="AG81" s="6"/>
      <c r="AH81" s="904">
        <f t="shared" si="34"/>
        <v>0</v>
      </c>
      <c r="AI81" s="6"/>
      <c r="AJ81" s="6"/>
      <c r="AK81" s="6">
        <f t="shared" si="35"/>
        <v>0</v>
      </c>
      <c r="AL81" s="6"/>
      <c r="AM81" s="6"/>
      <c r="AN81" s="98">
        <f t="shared" si="36"/>
        <v>0</v>
      </c>
      <c r="AO81" s="6">
        <f t="shared" si="37"/>
        <v>925</v>
      </c>
      <c r="AP81" s="6">
        <f t="shared" si="38"/>
        <v>0</v>
      </c>
      <c r="AQ81" s="6">
        <f t="shared" si="39"/>
        <v>925</v>
      </c>
      <c r="AR81" s="943">
        <f t="shared" si="40"/>
        <v>102.77777777777777</v>
      </c>
      <c r="AS81" s="943">
        <f t="shared" si="41"/>
        <v>0</v>
      </c>
      <c r="AT81" s="943">
        <f t="shared" si="42"/>
        <v>102.77777777777777</v>
      </c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spans="1:61" ht="18" hidden="1">
      <c r="A82" s="6">
        <v>2</v>
      </c>
      <c r="B82" s="6">
        <v>75</v>
      </c>
      <c r="C82" s="669" t="s">
        <v>2855</v>
      </c>
      <c r="D82" s="6" t="s">
        <v>639</v>
      </c>
      <c r="E82" s="6" t="s">
        <v>641</v>
      </c>
      <c r="F82" s="6">
        <v>30</v>
      </c>
      <c r="G82" s="17">
        <v>50</v>
      </c>
      <c r="H82" s="6">
        <v>315</v>
      </c>
      <c r="I82" s="6"/>
      <c r="J82" s="6">
        <f t="shared" si="22"/>
        <v>315</v>
      </c>
      <c r="K82" s="6"/>
      <c r="L82" s="6"/>
      <c r="M82" s="6">
        <f t="shared" si="23"/>
        <v>0</v>
      </c>
      <c r="N82" s="6"/>
      <c r="O82" s="6"/>
      <c r="P82" s="6">
        <f t="shared" si="24"/>
        <v>0</v>
      </c>
      <c r="Q82" s="6"/>
      <c r="R82" s="6"/>
      <c r="S82" s="6">
        <f t="shared" si="25"/>
        <v>0</v>
      </c>
      <c r="T82" s="6"/>
      <c r="U82" s="6"/>
      <c r="V82" s="6">
        <f t="shared" si="26"/>
        <v>0</v>
      </c>
      <c r="W82" s="6"/>
      <c r="X82" s="6"/>
      <c r="Y82" s="98">
        <f t="shared" si="27"/>
        <v>0</v>
      </c>
      <c r="Z82" s="6">
        <f t="shared" si="28"/>
        <v>315</v>
      </c>
      <c r="AA82" s="6">
        <f t="shared" si="29"/>
        <v>0</v>
      </c>
      <c r="AB82" s="6">
        <f t="shared" si="30"/>
        <v>315</v>
      </c>
      <c r="AC82" s="36">
        <f t="shared" si="31"/>
        <v>52.5</v>
      </c>
      <c r="AD82" s="36">
        <f t="shared" si="32"/>
        <v>0</v>
      </c>
      <c r="AE82" s="36">
        <f t="shared" si="33"/>
        <v>52.5</v>
      </c>
      <c r="AF82" s="6"/>
      <c r="AG82" s="6"/>
      <c r="AH82" s="904">
        <f t="shared" si="34"/>
        <v>0</v>
      </c>
      <c r="AI82" s="6">
        <v>40</v>
      </c>
      <c r="AJ82" s="6"/>
      <c r="AK82" s="6">
        <f t="shared" si="35"/>
        <v>40</v>
      </c>
      <c r="AL82" s="6"/>
      <c r="AM82" s="6"/>
      <c r="AN82" s="98">
        <f t="shared" si="36"/>
        <v>0</v>
      </c>
      <c r="AO82" s="6">
        <f t="shared" si="37"/>
        <v>355</v>
      </c>
      <c r="AP82" s="6">
        <f t="shared" si="38"/>
        <v>0</v>
      </c>
      <c r="AQ82" s="6">
        <f t="shared" si="39"/>
        <v>355</v>
      </c>
      <c r="AR82" s="943">
        <f t="shared" si="40"/>
        <v>39.444444444444443</v>
      </c>
      <c r="AS82" s="943">
        <f t="shared" si="41"/>
        <v>0</v>
      </c>
      <c r="AT82" s="943">
        <f t="shared" si="42"/>
        <v>39.444444444444443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spans="1:61" ht="18" hidden="1">
      <c r="A83" s="6">
        <v>3</v>
      </c>
      <c r="B83" s="6">
        <v>76</v>
      </c>
      <c r="C83" s="16" t="s">
        <v>642</v>
      </c>
      <c r="D83" s="6" t="s">
        <v>639</v>
      </c>
      <c r="E83" s="6" t="s">
        <v>643</v>
      </c>
      <c r="F83" s="6">
        <v>25</v>
      </c>
      <c r="G83" s="17">
        <v>20</v>
      </c>
      <c r="H83" s="6">
        <v>36</v>
      </c>
      <c r="I83" s="6"/>
      <c r="J83" s="6">
        <f t="shared" si="22"/>
        <v>36</v>
      </c>
      <c r="K83" s="6"/>
      <c r="L83" s="6"/>
      <c r="M83" s="6">
        <f t="shared" si="23"/>
        <v>0</v>
      </c>
      <c r="N83" s="6"/>
      <c r="O83" s="6"/>
      <c r="P83" s="6">
        <f t="shared" si="24"/>
        <v>0</v>
      </c>
      <c r="Q83" s="6"/>
      <c r="R83" s="6"/>
      <c r="S83" s="6">
        <f t="shared" si="25"/>
        <v>0</v>
      </c>
      <c r="T83" s="6"/>
      <c r="U83" s="6"/>
      <c r="V83" s="6">
        <f t="shared" si="26"/>
        <v>0</v>
      </c>
      <c r="W83" s="6"/>
      <c r="X83" s="6"/>
      <c r="Y83" s="98">
        <f t="shared" si="27"/>
        <v>0</v>
      </c>
      <c r="Z83" s="6">
        <f t="shared" si="28"/>
        <v>36</v>
      </c>
      <c r="AA83" s="6">
        <f t="shared" si="29"/>
        <v>0</v>
      </c>
      <c r="AB83" s="6">
        <f t="shared" si="30"/>
        <v>36</v>
      </c>
      <c r="AC83" s="36">
        <f t="shared" si="31"/>
        <v>6</v>
      </c>
      <c r="AD83" s="36">
        <f t="shared" si="32"/>
        <v>0</v>
      </c>
      <c r="AE83" s="36">
        <f t="shared" si="33"/>
        <v>6</v>
      </c>
      <c r="AF83" s="6"/>
      <c r="AG83" s="6"/>
      <c r="AH83" s="904">
        <f t="shared" si="34"/>
        <v>0</v>
      </c>
      <c r="AI83" s="6">
        <v>50</v>
      </c>
      <c r="AJ83" s="6"/>
      <c r="AK83" s="6">
        <f t="shared" si="35"/>
        <v>50</v>
      </c>
      <c r="AL83" s="6">
        <v>200</v>
      </c>
      <c r="AM83" s="6"/>
      <c r="AN83" s="98">
        <f t="shared" si="36"/>
        <v>200</v>
      </c>
      <c r="AO83" s="6">
        <f t="shared" si="37"/>
        <v>286</v>
      </c>
      <c r="AP83" s="6">
        <f t="shared" si="38"/>
        <v>0</v>
      </c>
      <c r="AQ83" s="6">
        <f t="shared" si="39"/>
        <v>286</v>
      </c>
      <c r="AR83" s="943">
        <f t="shared" si="40"/>
        <v>31.777777777777779</v>
      </c>
      <c r="AS83" s="943">
        <f t="shared" si="41"/>
        <v>0</v>
      </c>
      <c r="AT83" s="943">
        <f t="shared" si="42"/>
        <v>31.777777777777779</v>
      </c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spans="1:61" ht="18" hidden="1">
      <c r="A84" s="6">
        <v>4</v>
      </c>
      <c r="B84" s="6">
        <v>77</v>
      </c>
      <c r="C84" s="16" t="s">
        <v>644</v>
      </c>
      <c r="D84" s="6" t="s">
        <v>639</v>
      </c>
      <c r="E84" s="6" t="s">
        <v>645</v>
      </c>
      <c r="F84" s="6">
        <v>25</v>
      </c>
      <c r="G84" s="17">
        <v>20</v>
      </c>
      <c r="H84" s="6"/>
      <c r="I84" s="6"/>
      <c r="J84" s="6">
        <f t="shared" si="22"/>
        <v>0</v>
      </c>
      <c r="K84" s="6"/>
      <c r="L84" s="6"/>
      <c r="M84" s="6">
        <f t="shared" si="23"/>
        <v>0</v>
      </c>
      <c r="N84" s="6"/>
      <c r="O84" s="6"/>
      <c r="P84" s="6">
        <f t="shared" si="24"/>
        <v>0</v>
      </c>
      <c r="Q84" s="6"/>
      <c r="R84" s="6"/>
      <c r="S84" s="6">
        <f t="shared" si="25"/>
        <v>0</v>
      </c>
      <c r="T84" s="6"/>
      <c r="U84" s="6"/>
      <c r="V84" s="6">
        <f t="shared" si="26"/>
        <v>0</v>
      </c>
      <c r="W84" s="6"/>
      <c r="X84" s="6"/>
      <c r="Y84" s="98">
        <f t="shared" si="27"/>
        <v>0</v>
      </c>
      <c r="Z84" s="6">
        <f t="shared" si="28"/>
        <v>0</v>
      </c>
      <c r="AA84" s="6">
        <f t="shared" si="29"/>
        <v>0</v>
      </c>
      <c r="AB84" s="6">
        <f t="shared" si="30"/>
        <v>0</v>
      </c>
      <c r="AC84" s="36">
        <f t="shared" si="31"/>
        <v>0</v>
      </c>
      <c r="AD84" s="36">
        <f t="shared" si="32"/>
        <v>0</v>
      </c>
      <c r="AE84" s="36">
        <f t="shared" si="33"/>
        <v>0</v>
      </c>
      <c r="AF84" s="6">
        <v>857</v>
      </c>
      <c r="AG84" s="6">
        <v>220</v>
      </c>
      <c r="AH84" s="904">
        <f t="shared" si="34"/>
        <v>1077</v>
      </c>
      <c r="AI84" s="6"/>
      <c r="AJ84" s="6"/>
      <c r="AK84" s="6">
        <f t="shared" si="35"/>
        <v>0</v>
      </c>
      <c r="AL84" s="6"/>
      <c r="AM84" s="6"/>
      <c r="AN84" s="98">
        <f t="shared" si="36"/>
        <v>0</v>
      </c>
      <c r="AO84" s="6">
        <f t="shared" si="37"/>
        <v>857</v>
      </c>
      <c r="AP84" s="6">
        <f t="shared" si="38"/>
        <v>220</v>
      </c>
      <c r="AQ84" s="6">
        <f t="shared" si="39"/>
        <v>1077</v>
      </c>
      <c r="AR84" s="943">
        <f t="shared" si="40"/>
        <v>95.222222222222229</v>
      </c>
      <c r="AS84" s="943">
        <f t="shared" si="41"/>
        <v>24.444444444444443</v>
      </c>
      <c r="AT84" s="943">
        <f t="shared" si="42"/>
        <v>119.66666666666667</v>
      </c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spans="1:61" ht="18" hidden="1">
      <c r="A85" s="6">
        <v>5</v>
      </c>
      <c r="B85" s="6">
        <v>78</v>
      </c>
      <c r="C85" s="16" t="s">
        <v>646</v>
      </c>
      <c r="D85" s="6" t="s">
        <v>639</v>
      </c>
      <c r="E85" s="6" t="s">
        <v>647</v>
      </c>
      <c r="F85" s="6">
        <v>30</v>
      </c>
      <c r="G85" s="17">
        <v>80</v>
      </c>
      <c r="H85" s="6"/>
      <c r="I85" s="6"/>
      <c r="J85" s="6">
        <f t="shared" si="22"/>
        <v>0</v>
      </c>
      <c r="K85" s="6">
        <v>90</v>
      </c>
      <c r="L85" s="6">
        <v>72</v>
      </c>
      <c r="M85" s="6">
        <f t="shared" si="23"/>
        <v>162</v>
      </c>
      <c r="N85" s="6">
        <v>420</v>
      </c>
      <c r="O85" s="6"/>
      <c r="P85" s="6">
        <f t="shared" si="24"/>
        <v>420</v>
      </c>
      <c r="Q85" s="6">
        <v>160</v>
      </c>
      <c r="R85" s="6"/>
      <c r="S85" s="6">
        <f t="shared" si="25"/>
        <v>160</v>
      </c>
      <c r="T85" s="6">
        <v>158</v>
      </c>
      <c r="U85" s="6">
        <v>18</v>
      </c>
      <c r="V85" s="6">
        <f t="shared" si="26"/>
        <v>176</v>
      </c>
      <c r="W85" s="6">
        <v>200</v>
      </c>
      <c r="X85" s="6"/>
      <c r="Y85" s="98">
        <f t="shared" si="27"/>
        <v>200</v>
      </c>
      <c r="Z85" s="6">
        <f t="shared" si="28"/>
        <v>1028</v>
      </c>
      <c r="AA85" s="6">
        <f t="shared" si="29"/>
        <v>90</v>
      </c>
      <c r="AB85" s="6">
        <f t="shared" si="30"/>
        <v>1118</v>
      </c>
      <c r="AC85" s="36">
        <f t="shared" si="31"/>
        <v>171.33333333333334</v>
      </c>
      <c r="AD85" s="36">
        <f t="shared" si="32"/>
        <v>15</v>
      </c>
      <c r="AE85" s="36">
        <f t="shared" si="33"/>
        <v>186.33333333333334</v>
      </c>
      <c r="AF85" s="6">
        <v>140</v>
      </c>
      <c r="AG85" s="6">
        <v>56</v>
      </c>
      <c r="AH85" s="904">
        <f t="shared" si="34"/>
        <v>196</v>
      </c>
      <c r="AI85" s="6"/>
      <c r="AJ85" s="6"/>
      <c r="AK85" s="6">
        <f t="shared" si="35"/>
        <v>0</v>
      </c>
      <c r="AL85" s="6"/>
      <c r="AM85" s="6"/>
      <c r="AN85" s="98">
        <f t="shared" si="36"/>
        <v>0</v>
      </c>
      <c r="AO85" s="6">
        <f t="shared" si="37"/>
        <v>1168</v>
      </c>
      <c r="AP85" s="6">
        <f t="shared" si="38"/>
        <v>146</v>
      </c>
      <c r="AQ85" s="6">
        <f t="shared" si="39"/>
        <v>1314</v>
      </c>
      <c r="AR85" s="943">
        <f t="shared" si="40"/>
        <v>129.77777777777777</v>
      </c>
      <c r="AS85" s="943">
        <f t="shared" si="41"/>
        <v>16.222222222222221</v>
      </c>
      <c r="AT85" s="943">
        <f t="shared" si="42"/>
        <v>146</v>
      </c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spans="1:61" ht="18" hidden="1">
      <c r="A86" s="6">
        <v>6</v>
      </c>
      <c r="B86" s="6">
        <v>79</v>
      </c>
      <c r="C86" s="16" t="s">
        <v>648</v>
      </c>
      <c r="D86" s="6" t="s">
        <v>639</v>
      </c>
      <c r="E86" s="6" t="s">
        <v>649</v>
      </c>
      <c r="F86" s="18">
        <v>35</v>
      </c>
      <c r="G86" s="17">
        <v>115</v>
      </c>
      <c r="H86" s="6">
        <v>200</v>
      </c>
      <c r="I86" s="6"/>
      <c r="J86" s="6">
        <f t="shared" si="22"/>
        <v>200</v>
      </c>
      <c r="K86" s="6">
        <v>286</v>
      </c>
      <c r="L86" s="6">
        <v>27</v>
      </c>
      <c r="M86" s="6">
        <f t="shared" si="23"/>
        <v>313</v>
      </c>
      <c r="N86" s="6">
        <v>386</v>
      </c>
      <c r="O86" s="6"/>
      <c r="P86" s="6">
        <f t="shared" si="24"/>
        <v>386</v>
      </c>
      <c r="Q86" s="6"/>
      <c r="R86" s="6"/>
      <c r="S86" s="6">
        <f t="shared" si="25"/>
        <v>0</v>
      </c>
      <c r="T86" s="6">
        <v>308</v>
      </c>
      <c r="U86" s="6"/>
      <c r="V86" s="6">
        <f t="shared" si="26"/>
        <v>308</v>
      </c>
      <c r="W86" s="6"/>
      <c r="X86" s="6"/>
      <c r="Y86" s="98">
        <f t="shared" si="27"/>
        <v>0</v>
      </c>
      <c r="Z86" s="6">
        <f t="shared" si="28"/>
        <v>1180</v>
      </c>
      <c r="AA86" s="6">
        <f t="shared" si="29"/>
        <v>27</v>
      </c>
      <c r="AB86" s="6">
        <f t="shared" si="30"/>
        <v>1207</v>
      </c>
      <c r="AC86" s="36">
        <f t="shared" si="31"/>
        <v>196.66666666666666</v>
      </c>
      <c r="AD86" s="36">
        <f t="shared" si="32"/>
        <v>4.5</v>
      </c>
      <c r="AE86" s="36">
        <f t="shared" si="33"/>
        <v>201.16666666666666</v>
      </c>
      <c r="AF86" s="6"/>
      <c r="AG86" s="6"/>
      <c r="AH86" s="904">
        <f t="shared" si="34"/>
        <v>0</v>
      </c>
      <c r="AI86" s="6">
        <v>376</v>
      </c>
      <c r="AJ86" s="6"/>
      <c r="AK86" s="6">
        <f t="shared" si="35"/>
        <v>376</v>
      </c>
      <c r="AL86" s="6">
        <v>354</v>
      </c>
      <c r="AM86" s="6"/>
      <c r="AN86" s="98">
        <f t="shared" si="36"/>
        <v>354</v>
      </c>
      <c r="AO86" s="6">
        <f t="shared" si="37"/>
        <v>1910</v>
      </c>
      <c r="AP86" s="6">
        <f t="shared" si="38"/>
        <v>27</v>
      </c>
      <c r="AQ86" s="6">
        <f t="shared" si="39"/>
        <v>1937</v>
      </c>
      <c r="AR86" s="943">
        <f t="shared" si="40"/>
        <v>212.22222222222223</v>
      </c>
      <c r="AS86" s="943">
        <f t="shared" si="41"/>
        <v>3</v>
      </c>
      <c r="AT86" s="943">
        <f t="shared" si="42"/>
        <v>215.22222222222223</v>
      </c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spans="1:61" ht="18" hidden="1">
      <c r="A87" s="6">
        <v>7</v>
      </c>
      <c r="B87" s="6">
        <v>80</v>
      </c>
      <c r="C87" s="16" t="s">
        <v>650</v>
      </c>
      <c r="D87" s="6" t="s">
        <v>639</v>
      </c>
      <c r="E87" s="6" t="s">
        <v>651</v>
      </c>
      <c r="F87" s="18">
        <v>35</v>
      </c>
      <c r="G87" s="17">
        <v>100</v>
      </c>
      <c r="H87" s="6">
        <v>97</v>
      </c>
      <c r="I87" s="6">
        <v>18</v>
      </c>
      <c r="J87" s="6">
        <f t="shared" si="22"/>
        <v>115</v>
      </c>
      <c r="K87" s="6">
        <v>165</v>
      </c>
      <c r="L87" s="6"/>
      <c r="M87" s="6">
        <f t="shared" si="23"/>
        <v>165</v>
      </c>
      <c r="N87" s="6">
        <v>158</v>
      </c>
      <c r="O87" s="6"/>
      <c r="P87" s="6">
        <f t="shared" si="24"/>
        <v>158</v>
      </c>
      <c r="Q87" s="6"/>
      <c r="R87" s="6"/>
      <c r="S87" s="6">
        <f t="shared" si="25"/>
        <v>0</v>
      </c>
      <c r="T87" s="6">
        <v>100</v>
      </c>
      <c r="U87" s="6"/>
      <c r="V87" s="6">
        <f t="shared" si="26"/>
        <v>100</v>
      </c>
      <c r="W87" s="6">
        <v>167</v>
      </c>
      <c r="X87" s="6">
        <v>18</v>
      </c>
      <c r="Y87" s="98">
        <f t="shared" si="27"/>
        <v>185</v>
      </c>
      <c r="Z87" s="6">
        <f t="shared" si="28"/>
        <v>687</v>
      </c>
      <c r="AA87" s="6">
        <f t="shared" si="29"/>
        <v>36</v>
      </c>
      <c r="AB87" s="6">
        <f t="shared" si="30"/>
        <v>723</v>
      </c>
      <c r="AC87" s="36">
        <f t="shared" si="31"/>
        <v>114.5</v>
      </c>
      <c r="AD87" s="36">
        <f t="shared" si="32"/>
        <v>6</v>
      </c>
      <c r="AE87" s="36">
        <f t="shared" si="33"/>
        <v>120.5</v>
      </c>
      <c r="AF87" s="6"/>
      <c r="AG87" s="6"/>
      <c r="AH87" s="904">
        <f t="shared" si="34"/>
        <v>0</v>
      </c>
      <c r="AI87" s="6">
        <v>166</v>
      </c>
      <c r="AJ87" s="6">
        <v>54</v>
      </c>
      <c r="AK87" s="6">
        <f t="shared" si="35"/>
        <v>220</v>
      </c>
      <c r="AL87" s="6"/>
      <c r="AM87" s="6"/>
      <c r="AN87" s="98">
        <f t="shared" si="36"/>
        <v>0</v>
      </c>
      <c r="AO87" s="6">
        <f t="shared" si="37"/>
        <v>853</v>
      </c>
      <c r="AP87" s="6">
        <f t="shared" si="38"/>
        <v>90</v>
      </c>
      <c r="AQ87" s="6">
        <f t="shared" si="39"/>
        <v>943</v>
      </c>
      <c r="AR87" s="943">
        <f t="shared" si="40"/>
        <v>94.777777777777771</v>
      </c>
      <c r="AS87" s="943">
        <f t="shared" si="41"/>
        <v>10</v>
      </c>
      <c r="AT87" s="943">
        <f t="shared" si="42"/>
        <v>104.77777777777777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spans="1:61" ht="18" hidden="1">
      <c r="A88" s="6">
        <v>8</v>
      </c>
      <c r="B88" s="6">
        <v>81</v>
      </c>
      <c r="C88" s="16" t="s">
        <v>652</v>
      </c>
      <c r="D88" s="6" t="s">
        <v>639</v>
      </c>
      <c r="E88" s="6" t="s">
        <v>653</v>
      </c>
      <c r="F88" s="6">
        <v>25</v>
      </c>
      <c r="G88" s="17">
        <v>20</v>
      </c>
      <c r="H88" s="6">
        <v>45</v>
      </c>
      <c r="I88" s="6"/>
      <c r="J88" s="6">
        <f t="shared" si="22"/>
        <v>45</v>
      </c>
      <c r="K88" s="6"/>
      <c r="L88" s="6"/>
      <c r="M88" s="6">
        <f t="shared" si="23"/>
        <v>0</v>
      </c>
      <c r="N88" s="6"/>
      <c r="O88" s="6"/>
      <c r="P88" s="6">
        <f t="shared" si="24"/>
        <v>0</v>
      </c>
      <c r="Q88" s="6">
        <v>40</v>
      </c>
      <c r="R88" s="6"/>
      <c r="S88" s="6">
        <f t="shared" si="25"/>
        <v>40</v>
      </c>
      <c r="T88" s="6"/>
      <c r="U88" s="6"/>
      <c r="V88" s="6">
        <f t="shared" si="26"/>
        <v>0</v>
      </c>
      <c r="W88" s="6"/>
      <c r="X88" s="6"/>
      <c r="Y88" s="98">
        <f t="shared" si="27"/>
        <v>0</v>
      </c>
      <c r="Z88" s="6">
        <f t="shared" si="28"/>
        <v>85</v>
      </c>
      <c r="AA88" s="6">
        <f t="shared" si="29"/>
        <v>0</v>
      </c>
      <c r="AB88" s="6">
        <f t="shared" si="30"/>
        <v>85</v>
      </c>
      <c r="AC88" s="36">
        <f t="shared" si="31"/>
        <v>14.166666666666666</v>
      </c>
      <c r="AD88" s="36">
        <f t="shared" si="32"/>
        <v>0</v>
      </c>
      <c r="AE88" s="36">
        <f t="shared" si="33"/>
        <v>14.166666666666666</v>
      </c>
      <c r="AF88" s="6">
        <v>40</v>
      </c>
      <c r="AG88" s="6"/>
      <c r="AH88" s="904">
        <f t="shared" si="34"/>
        <v>40</v>
      </c>
      <c r="AI88" s="6"/>
      <c r="AJ88" s="6"/>
      <c r="AK88" s="6">
        <f t="shared" si="35"/>
        <v>0</v>
      </c>
      <c r="AL88" s="6"/>
      <c r="AM88" s="6"/>
      <c r="AN88" s="98">
        <f t="shared" si="36"/>
        <v>0</v>
      </c>
      <c r="AO88" s="6">
        <f t="shared" si="37"/>
        <v>125</v>
      </c>
      <c r="AP88" s="6">
        <f t="shared" si="38"/>
        <v>0</v>
      </c>
      <c r="AQ88" s="6">
        <f t="shared" si="39"/>
        <v>125</v>
      </c>
      <c r="AR88" s="943">
        <f t="shared" si="40"/>
        <v>13.888888888888889</v>
      </c>
      <c r="AS88" s="943">
        <f t="shared" si="41"/>
        <v>0</v>
      </c>
      <c r="AT88" s="943">
        <f t="shared" si="42"/>
        <v>13.888888888888889</v>
      </c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spans="1:61" ht="18" hidden="1">
      <c r="A89" s="6">
        <v>9</v>
      </c>
      <c r="B89" s="6">
        <v>82</v>
      </c>
      <c r="C89" s="16" t="s">
        <v>654</v>
      </c>
      <c r="D89" s="6" t="s">
        <v>639</v>
      </c>
      <c r="E89" s="6" t="s">
        <v>655</v>
      </c>
      <c r="F89" s="18">
        <v>35</v>
      </c>
      <c r="G89" s="17">
        <v>140</v>
      </c>
      <c r="H89" s="6">
        <v>300</v>
      </c>
      <c r="I89" s="6"/>
      <c r="J89" s="6">
        <f t="shared" si="22"/>
        <v>300</v>
      </c>
      <c r="K89" s="6">
        <v>300</v>
      </c>
      <c r="L89" s="6"/>
      <c r="M89" s="6">
        <f t="shared" si="23"/>
        <v>300</v>
      </c>
      <c r="N89" s="6"/>
      <c r="O89" s="6"/>
      <c r="P89" s="6">
        <f t="shared" si="24"/>
        <v>0</v>
      </c>
      <c r="Q89" s="6"/>
      <c r="R89" s="6"/>
      <c r="S89" s="6">
        <f t="shared" si="25"/>
        <v>0</v>
      </c>
      <c r="T89" s="6"/>
      <c r="U89" s="6"/>
      <c r="V89" s="6">
        <f t="shared" si="26"/>
        <v>0</v>
      </c>
      <c r="W89" s="6">
        <v>270</v>
      </c>
      <c r="X89" s="6"/>
      <c r="Y89" s="98">
        <f t="shared" si="27"/>
        <v>270</v>
      </c>
      <c r="Z89" s="6">
        <f t="shared" si="28"/>
        <v>870</v>
      </c>
      <c r="AA89" s="6">
        <f t="shared" si="29"/>
        <v>0</v>
      </c>
      <c r="AB89" s="6">
        <f t="shared" si="30"/>
        <v>870</v>
      </c>
      <c r="AC89" s="36">
        <f t="shared" si="31"/>
        <v>145</v>
      </c>
      <c r="AD89" s="36">
        <f t="shared" si="32"/>
        <v>0</v>
      </c>
      <c r="AE89" s="36">
        <f t="shared" si="33"/>
        <v>145</v>
      </c>
      <c r="AF89" s="6"/>
      <c r="AG89" s="6"/>
      <c r="AH89" s="904">
        <f t="shared" si="34"/>
        <v>0</v>
      </c>
      <c r="AI89" s="6">
        <v>156</v>
      </c>
      <c r="AJ89" s="6">
        <v>40</v>
      </c>
      <c r="AK89" s="6">
        <f t="shared" si="35"/>
        <v>196</v>
      </c>
      <c r="AL89" s="6"/>
      <c r="AM89" s="6"/>
      <c r="AN89" s="98">
        <f t="shared" si="36"/>
        <v>0</v>
      </c>
      <c r="AO89" s="6">
        <f t="shared" si="37"/>
        <v>1026</v>
      </c>
      <c r="AP89" s="6">
        <f t="shared" si="38"/>
        <v>40</v>
      </c>
      <c r="AQ89" s="6">
        <f t="shared" si="39"/>
        <v>1066</v>
      </c>
      <c r="AR89" s="943">
        <f t="shared" si="40"/>
        <v>114</v>
      </c>
      <c r="AS89" s="943">
        <f t="shared" si="41"/>
        <v>4.4444444444444446</v>
      </c>
      <c r="AT89" s="943">
        <f t="shared" si="42"/>
        <v>118.44444444444444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spans="1:61" ht="18" hidden="1">
      <c r="A90" s="6">
        <v>10</v>
      </c>
      <c r="B90" s="6">
        <v>83</v>
      </c>
      <c r="C90" s="16" t="s">
        <v>656</v>
      </c>
      <c r="D90" s="6" t="s">
        <v>639</v>
      </c>
      <c r="E90" s="6" t="s">
        <v>657</v>
      </c>
      <c r="F90" s="6">
        <v>25</v>
      </c>
      <c r="G90" s="17">
        <v>25</v>
      </c>
      <c r="H90" s="6">
        <v>50</v>
      </c>
      <c r="I90" s="6"/>
      <c r="J90" s="6">
        <f t="shared" si="22"/>
        <v>50</v>
      </c>
      <c r="K90" s="6">
        <v>45</v>
      </c>
      <c r="L90" s="6"/>
      <c r="M90" s="6">
        <f t="shared" si="23"/>
        <v>45</v>
      </c>
      <c r="N90" s="6">
        <v>55</v>
      </c>
      <c r="O90" s="6"/>
      <c r="P90" s="6">
        <f t="shared" si="24"/>
        <v>55</v>
      </c>
      <c r="Q90" s="6"/>
      <c r="R90" s="6"/>
      <c r="S90" s="6">
        <f t="shared" si="25"/>
        <v>0</v>
      </c>
      <c r="T90" s="6">
        <v>66</v>
      </c>
      <c r="U90" s="6"/>
      <c r="V90" s="6">
        <f t="shared" si="26"/>
        <v>66</v>
      </c>
      <c r="W90" s="6">
        <v>171</v>
      </c>
      <c r="X90" s="6">
        <v>15</v>
      </c>
      <c r="Y90" s="98">
        <f t="shared" si="27"/>
        <v>186</v>
      </c>
      <c r="Z90" s="6">
        <f t="shared" si="28"/>
        <v>387</v>
      </c>
      <c r="AA90" s="6">
        <f t="shared" si="29"/>
        <v>15</v>
      </c>
      <c r="AB90" s="6">
        <f t="shared" si="30"/>
        <v>402</v>
      </c>
      <c r="AC90" s="36">
        <f t="shared" si="31"/>
        <v>64.5</v>
      </c>
      <c r="AD90" s="36">
        <f t="shared" si="32"/>
        <v>2.5</v>
      </c>
      <c r="AE90" s="36">
        <f t="shared" si="33"/>
        <v>67</v>
      </c>
      <c r="AF90" s="6"/>
      <c r="AG90" s="6"/>
      <c r="AH90" s="904">
        <f t="shared" si="34"/>
        <v>0</v>
      </c>
      <c r="AI90" s="6"/>
      <c r="AJ90" s="6"/>
      <c r="AK90" s="6">
        <f t="shared" si="35"/>
        <v>0</v>
      </c>
      <c r="AL90" s="6"/>
      <c r="AM90" s="6"/>
      <c r="AN90" s="98">
        <f t="shared" si="36"/>
        <v>0</v>
      </c>
      <c r="AO90" s="6">
        <f t="shared" si="37"/>
        <v>387</v>
      </c>
      <c r="AP90" s="6">
        <f t="shared" si="38"/>
        <v>15</v>
      </c>
      <c r="AQ90" s="6">
        <f t="shared" si="39"/>
        <v>402</v>
      </c>
      <c r="AR90" s="943">
        <f t="shared" si="40"/>
        <v>43</v>
      </c>
      <c r="AS90" s="943">
        <f t="shared" si="41"/>
        <v>1.6666666666666667</v>
      </c>
      <c r="AT90" s="943">
        <f t="shared" si="42"/>
        <v>44.666666666666664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spans="1:61" ht="18" hidden="1">
      <c r="A91" s="6">
        <v>11</v>
      </c>
      <c r="B91" s="6">
        <v>84</v>
      </c>
      <c r="C91" s="16" t="s">
        <v>658</v>
      </c>
      <c r="D91" s="6" t="s">
        <v>639</v>
      </c>
      <c r="E91" s="6" t="s">
        <v>659</v>
      </c>
      <c r="F91" s="6">
        <v>30</v>
      </c>
      <c r="G91" s="17">
        <v>20</v>
      </c>
      <c r="H91" s="6">
        <v>50</v>
      </c>
      <c r="I91" s="6"/>
      <c r="J91" s="6">
        <f t="shared" si="22"/>
        <v>50</v>
      </c>
      <c r="K91" s="6">
        <v>200</v>
      </c>
      <c r="L91" s="6"/>
      <c r="M91" s="6">
        <f t="shared" si="23"/>
        <v>200</v>
      </c>
      <c r="N91" s="6"/>
      <c r="O91" s="6"/>
      <c r="P91" s="6">
        <f t="shared" si="24"/>
        <v>0</v>
      </c>
      <c r="Q91" s="6"/>
      <c r="R91" s="6"/>
      <c r="S91" s="6">
        <f t="shared" si="25"/>
        <v>0</v>
      </c>
      <c r="T91" s="6"/>
      <c r="U91" s="6"/>
      <c r="V91" s="6">
        <f t="shared" si="26"/>
        <v>0</v>
      </c>
      <c r="W91" s="6"/>
      <c r="X91" s="6"/>
      <c r="Y91" s="98">
        <f t="shared" si="27"/>
        <v>0</v>
      </c>
      <c r="Z91" s="6">
        <f t="shared" si="28"/>
        <v>250</v>
      </c>
      <c r="AA91" s="6">
        <f t="shared" si="29"/>
        <v>0</v>
      </c>
      <c r="AB91" s="6">
        <f t="shared" si="30"/>
        <v>250</v>
      </c>
      <c r="AC91" s="36">
        <f t="shared" si="31"/>
        <v>41.666666666666664</v>
      </c>
      <c r="AD91" s="36">
        <f t="shared" si="32"/>
        <v>0</v>
      </c>
      <c r="AE91" s="36">
        <f t="shared" si="33"/>
        <v>41.666666666666664</v>
      </c>
      <c r="AF91" s="6">
        <v>80</v>
      </c>
      <c r="AG91" s="6"/>
      <c r="AH91" s="904">
        <f t="shared" si="34"/>
        <v>80</v>
      </c>
      <c r="AI91" s="6">
        <v>23</v>
      </c>
      <c r="AJ91" s="6">
        <v>40</v>
      </c>
      <c r="AK91" s="6">
        <f t="shared" si="35"/>
        <v>63</v>
      </c>
      <c r="AL91" s="6"/>
      <c r="AM91" s="6"/>
      <c r="AN91" s="98">
        <f t="shared" si="36"/>
        <v>0</v>
      </c>
      <c r="AO91" s="6">
        <f t="shared" si="37"/>
        <v>353</v>
      </c>
      <c r="AP91" s="6">
        <f t="shared" si="38"/>
        <v>40</v>
      </c>
      <c r="AQ91" s="6">
        <f t="shared" si="39"/>
        <v>393</v>
      </c>
      <c r="AR91" s="943">
        <f t="shared" si="40"/>
        <v>39.222222222222221</v>
      </c>
      <c r="AS91" s="943">
        <f t="shared" si="41"/>
        <v>4.4444444444444446</v>
      </c>
      <c r="AT91" s="943">
        <f t="shared" si="42"/>
        <v>43.666666666666664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</row>
    <row r="92" spans="1:61" ht="18" hidden="1">
      <c r="A92" s="6">
        <v>12</v>
      </c>
      <c r="B92" s="6">
        <v>85</v>
      </c>
      <c r="C92" s="16" t="s">
        <v>660</v>
      </c>
      <c r="D92" s="6" t="s">
        <v>639</v>
      </c>
      <c r="E92" s="6" t="s">
        <v>661</v>
      </c>
      <c r="F92" s="18">
        <v>35</v>
      </c>
      <c r="G92" s="17">
        <v>105</v>
      </c>
      <c r="H92" s="6"/>
      <c r="I92" s="6"/>
      <c r="J92" s="6">
        <f t="shared" si="22"/>
        <v>0</v>
      </c>
      <c r="K92" s="6">
        <v>145</v>
      </c>
      <c r="L92" s="6">
        <v>36</v>
      </c>
      <c r="M92" s="6">
        <f t="shared" si="23"/>
        <v>181</v>
      </c>
      <c r="N92" s="6"/>
      <c r="O92" s="6"/>
      <c r="P92" s="6">
        <f t="shared" si="24"/>
        <v>0</v>
      </c>
      <c r="Q92" s="6"/>
      <c r="R92" s="6"/>
      <c r="S92" s="6">
        <f t="shared" si="25"/>
        <v>0</v>
      </c>
      <c r="T92" s="6">
        <v>213</v>
      </c>
      <c r="U92" s="6">
        <v>18</v>
      </c>
      <c r="V92" s="6">
        <f t="shared" si="26"/>
        <v>231</v>
      </c>
      <c r="W92" s="6"/>
      <c r="X92" s="6"/>
      <c r="Y92" s="98">
        <f t="shared" si="27"/>
        <v>0</v>
      </c>
      <c r="Z92" s="6">
        <f t="shared" si="28"/>
        <v>358</v>
      </c>
      <c r="AA92" s="6">
        <f t="shared" si="29"/>
        <v>54</v>
      </c>
      <c r="AB92" s="6">
        <f t="shared" si="30"/>
        <v>412</v>
      </c>
      <c r="AC92" s="36">
        <f t="shared" si="31"/>
        <v>59.666666666666664</v>
      </c>
      <c r="AD92" s="36">
        <f t="shared" si="32"/>
        <v>9</v>
      </c>
      <c r="AE92" s="36">
        <f t="shared" si="33"/>
        <v>68.666666666666671</v>
      </c>
      <c r="AF92" s="6"/>
      <c r="AG92" s="6"/>
      <c r="AH92" s="904">
        <f t="shared" si="34"/>
        <v>0</v>
      </c>
      <c r="AI92" s="6">
        <v>336</v>
      </c>
      <c r="AJ92" s="6">
        <v>50</v>
      </c>
      <c r="AK92" s="6">
        <f t="shared" si="35"/>
        <v>386</v>
      </c>
      <c r="AL92" s="6"/>
      <c r="AM92" s="6"/>
      <c r="AN92" s="98">
        <f t="shared" si="36"/>
        <v>0</v>
      </c>
      <c r="AO92" s="6">
        <f t="shared" si="37"/>
        <v>694</v>
      </c>
      <c r="AP92" s="6">
        <f t="shared" si="38"/>
        <v>104</v>
      </c>
      <c r="AQ92" s="6">
        <f t="shared" si="39"/>
        <v>798</v>
      </c>
      <c r="AR92" s="943">
        <f t="shared" si="40"/>
        <v>77.111111111111114</v>
      </c>
      <c r="AS92" s="943">
        <f t="shared" si="41"/>
        <v>11.555555555555555</v>
      </c>
      <c r="AT92" s="943">
        <f t="shared" si="42"/>
        <v>88.666666666666671</v>
      </c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spans="1:61" ht="18" hidden="1">
      <c r="A93" s="6">
        <v>13</v>
      </c>
      <c r="B93" s="6">
        <v>86</v>
      </c>
      <c r="C93" s="16" t="s">
        <v>662</v>
      </c>
      <c r="D93" s="6" t="s">
        <v>639</v>
      </c>
      <c r="E93" s="6" t="s">
        <v>663</v>
      </c>
      <c r="F93" s="6">
        <v>30</v>
      </c>
      <c r="G93" s="17">
        <v>100</v>
      </c>
      <c r="H93" s="6">
        <v>418</v>
      </c>
      <c r="I93" s="6">
        <v>18</v>
      </c>
      <c r="J93" s="6">
        <f t="shared" si="22"/>
        <v>436</v>
      </c>
      <c r="K93" s="6">
        <f>371-178</f>
        <v>193</v>
      </c>
      <c r="L93" s="6">
        <v>58</v>
      </c>
      <c r="M93" s="6">
        <f t="shared" si="23"/>
        <v>251</v>
      </c>
      <c r="N93" s="6">
        <v>400</v>
      </c>
      <c r="O93" s="6"/>
      <c r="P93" s="6">
        <f t="shared" si="24"/>
        <v>400</v>
      </c>
      <c r="Q93" s="6">
        <v>380</v>
      </c>
      <c r="R93" s="6">
        <v>20</v>
      </c>
      <c r="S93" s="6">
        <f t="shared" si="25"/>
        <v>400</v>
      </c>
      <c r="T93" s="6">
        <v>240</v>
      </c>
      <c r="U93" s="6">
        <v>78</v>
      </c>
      <c r="V93" s="6">
        <f t="shared" si="26"/>
        <v>318</v>
      </c>
      <c r="W93" s="6"/>
      <c r="X93" s="6">
        <v>18</v>
      </c>
      <c r="Y93" s="98">
        <f t="shared" si="27"/>
        <v>18</v>
      </c>
      <c r="Z93" s="6">
        <f t="shared" si="28"/>
        <v>1631</v>
      </c>
      <c r="AA93" s="6">
        <f t="shared" si="29"/>
        <v>192</v>
      </c>
      <c r="AB93" s="6">
        <f t="shared" si="30"/>
        <v>1823</v>
      </c>
      <c r="AC93" s="36">
        <f t="shared" si="31"/>
        <v>271.83333333333331</v>
      </c>
      <c r="AD93" s="36">
        <f t="shared" si="32"/>
        <v>32</v>
      </c>
      <c r="AE93" s="36">
        <f t="shared" si="33"/>
        <v>303.83333333333331</v>
      </c>
      <c r="AF93" s="6">
        <v>320</v>
      </c>
      <c r="AG93" s="6">
        <v>36</v>
      </c>
      <c r="AH93" s="904">
        <f t="shared" si="34"/>
        <v>356</v>
      </c>
      <c r="AI93" s="6">
        <v>218</v>
      </c>
      <c r="AJ93" s="6">
        <v>40</v>
      </c>
      <c r="AK93" s="6">
        <f t="shared" si="35"/>
        <v>258</v>
      </c>
      <c r="AL93" s="6">
        <v>200</v>
      </c>
      <c r="AM93" s="6"/>
      <c r="AN93" s="98">
        <f t="shared" si="36"/>
        <v>200</v>
      </c>
      <c r="AO93" s="6">
        <f t="shared" si="37"/>
        <v>2369</v>
      </c>
      <c r="AP93" s="6">
        <f t="shared" si="38"/>
        <v>268</v>
      </c>
      <c r="AQ93" s="6">
        <f t="shared" si="39"/>
        <v>2637</v>
      </c>
      <c r="AR93" s="943">
        <f t="shared" si="40"/>
        <v>263.22222222222223</v>
      </c>
      <c r="AS93" s="943">
        <f t="shared" si="41"/>
        <v>29.777777777777779</v>
      </c>
      <c r="AT93" s="943">
        <f t="shared" si="42"/>
        <v>293</v>
      </c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1:61" ht="18" hidden="1">
      <c r="A94" s="6">
        <v>14</v>
      </c>
      <c r="B94" s="6">
        <v>87</v>
      </c>
      <c r="C94" s="16" t="s">
        <v>664</v>
      </c>
      <c r="D94" s="6" t="s">
        <v>639</v>
      </c>
      <c r="E94" s="6" t="s">
        <v>665</v>
      </c>
      <c r="F94" s="6">
        <v>30</v>
      </c>
      <c r="G94" s="17">
        <v>10</v>
      </c>
      <c r="H94" s="6"/>
      <c r="I94" s="6"/>
      <c r="J94" s="6">
        <f t="shared" si="22"/>
        <v>0</v>
      </c>
      <c r="K94" s="6"/>
      <c r="L94" s="6"/>
      <c r="M94" s="6">
        <f t="shared" si="23"/>
        <v>0</v>
      </c>
      <c r="N94" s="6"/>
      <c r="O94" s="6"/>
      <c r="P94" s="6">
        <f t="shared" si="24"/>
        <v>0</v>
      </c>
      <c r="Q94" s="6"/>
      <c r="R94" s="6"/>
      <c r="S94" s="6">
        <f t="shared" si="25"/>
        <v>0</v>
      </c>
      <c r="T94" s="6"/>
      <c r="U94" s="6"/>
      <c r="V94" s="6">
        <f t="shared" si="26"/>
        <v>0</v>
      </c>
      <c r="W94" s="6"/>
      <c r="X94" s="6"/>
      <c r="Y94" s="98">
        <f t="shared" si="27"/>
        <v>0</v>
      </c>
      <c r="Z94" s="6">
        <f t="shared" si="28"/>
        <v>0</v>
      </c>
      <c r="AA94" s="6">
        <f t="shared" si="29"/>
        <v>0</v>
      </c>
      <c r="AB94" s="6">
        <f t="shared" si="30"/>
        <v>0</v>
      </c>
      <c r="AC94" s="36">
        <f t="shared" si="31"/>
        <v>0</v>
      </c>
      <c r="AD94" s="36">
        <f t="shared" si="32"/>
        <v>0</v>
      </c>
      <c r="AE94" s="36">
        <f t="shared" si="33"/>
        <v>0</v>
      </c>
      <c r="AF94" s="6"/>
      <c r="AG94" s="6"/>
      <c r="AH94" s="904">
        <f t="shared" si="34"/>
        <v>0</v>
      </c>
      <c r="AI94" s="6"/>
      <c r="AJ94" s="6"/>
      <c r="AK94" s="6">
        <f t="shared" si="35"/>
        <v>0</v>
      </c>
      <c r="AL94" s="6"/>
      <c r="AM94" s="6"/>
      <c r="AN94" s="98">
        <f t="shared" si="36"/>
        <v>0</v>
      </c>
      <c r="AO94" s="6">
        <f t="shared" si="37"/>
        <v>0</v>
      </c>
      <c r="AP94" s="6">
        <f t="shared" si="38"/>
        <v>0</v>
      </c>
      <c r="AQ94" s="6">
        <f t="shared" si="39"/>
        <v>0</v>
      </c>
      <c r="AR94" s="943">
        <f t="shared" si="40"/>
        <v>0</v>
      </c>
      <c r="AS94" s="943">
        <f t="shared" si="41"/>
        <v>0</v>
      </c>
      <c r="AT94" s="943">
        <f t="shared" si="42"/>
        <v>0</v>
      </c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spans="1:61" ht="18" hidden="1">
      <c r="A95" s="6">
        <v>15</v>
      </c>
      <c r="B95" s="6">
        <v>88</v>
      </c>
      <c r="C95" s="669" t="s">
        <v>2856</v>
      </c>
      <c r="D95" s="6" t="s">
        <v>666</v>
      </c>
      <c r="E95" s="6" t="s">
        <v>667</v>
      </c>
      <c r="F95" s="6">
        <v>25</v>
      </c>
      <c r="G95" s="17">
        <v>50</v>
      </c>
      <c r="H95" s="6"/>
      <c r="I95" s="6"/>
      <c r="J95" s="6">
        <f t="shared" si="22"/>
        <v>0</v>
      </c>
      <c r="K95" s="6"/>
      <c r="L95" s="6"/>
      <c r="M95" s="6">
        <f t="shared" si="23"/>
        <v>0</v>
      </c>
      <c r="N95" s="6"/>
      <c r="O95" s="6"/>
      <c r="P95" s="6">
        <f t="shared" si="24"/>
        <v>0</v>
      </c>
      <c r="Q95" s="6"/>
      <c r="R95" s="6"/>
      <c r="S95" s="6">
        <f t="shared" si="25"/>
        <v>0</v>
      </c>
      <c r="T95" s="6"/>
      <c r="U95" s="6"/>
      <c r="V95" s="6">
        <f t="shared" si="26"/>
        <v>0</v>
      </c>
      <c r="W95" s="6"/>
      <c r="X95" s="6"/>
      <c r="Y95" s="98">
        <f t="shared" si="27"/>
        <v>0</v>
      </c>
      <c r="Z95" s="6">
        <f t="shared" si="28"/>
        <v>0</v>
      </c>
      <c r="AA95" s="6">
        <f t="shared" si="29"/>
        <v>0</v>
      </c>
      <c r="AB95" s="6">
        <f t="shared" si="30"/>
        <v>0</v>
      </c>
      <c r="AC95" s="36">
        <f t="shared" si="31"/>
        <v>0</v>
      </c>
      <c r="AD95" s="36">
        <f t="shared" si="32"/>
        <v>0</v>
      </c>
      <c r="AE95" s="36">
        <f t="shared" si="33"/>
        <v>0</v>
      </c>
      <c r="AF95" s="6"/>
      <c r="AG95" s="6"/>
      <c r="AH95" s="904">
        <f t="shared" si="34"/>
        <v>0</v>
      </c>
      <c r="AI95" s="6"/>
      <c r="AJ95" s="6"/>
      <c r="AK95" s="6">
        <f t="shared" si="35"/>
        <v>0</v>
      </c>
      <c r="AL95" s="6"/>
      <c r="AM95" s="6"/>
      <c r="AN95" s="98">
        <f t="shared" si="36"/>
        <v>0</v>
      </c>
      <c r="AO95" s="6">
        <f t="shared" si="37"/>
        <v>0</v>
      </c>
      <c r="AP95" s="6">
        <f t="shared" si="38"/>
        <v>0</v>
      </c>
      <c r="AQ95" s="6">
        <f t="shared" si="39"/>
        <v>0</v>
      </c>
      <c r="AR95" s="943">
        <f t="shared" si="40"/>
        <v>0</v>
      </c>
      <c r="AS95" s="943">
        <f t="shared" si="41"/>
        <v>0</v>
      </c>
      <c r="AT95" s="943">
        <f t="shared" si="42"/>
        <v>0</v>
      </c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spans="1:61" ht="18" hidden="1">
      <c r="A96" s="6">
        <v>16</v>
      </c>
      <c r="B96" s="6">
        <v>89</v>
      </c>
      <c r="C96" s="16" t="s">
        <v>668</v>
      </c>
      <c r="D96" s="6" t="s">
        <v>666</v>
      </c>
      <c r="E96" s="6" t="s">
        <v>669</v>
      </c>
      <c r="F96" s="6">
        <v>30</v>
      </c>
      <c r="G96" s="17">
        <v>60</v>
      </c>
      <c r="H96" s="6">
        <v>76</v>
      </c>
      <c r="I96" s="6"/>
      <c r="J96" s="6">
        <f t="shared" si="22"/>
        <v>76</v>
      </c>
      <c r="K96" s="6"/>
      <c r="L96" s="6"/>
      <c r="M96" s="6">
        <f t="shared" si="23"/>
        <v>0</v>
      </c>
      <c r="N96" s="6">
        <v>163</v>
      </c>
      <c r="O96" s="6"/>
      <c r="P96" s="6">
        <f t="shared" si="24"/>
        <v>163</v>
      </c>
      <c r="Q96" s="6">
        <v>180</v>
      </c>
      <c r="R96" s="6"/>
      <c r="S96" s="6">
        <f t="shared" si="25"/>
        <v>180</v>
      </c>
      <c r="T96" s="6"/>
      <c r="U96" s="6"/>
      <c r="V96" s="6">
        <f t="shared" si="26"/>
        <v>0</v>
      </c>
      <c r="W96" s="6">
        <v>46</v>
      </c>
      <c r="X96" s="6">
        <v>29</v>
      </c>
      <c r="Y96" s="98">
        <f t="shared" si="27"/>
        <v>75</v>
      </c>
      <c r="Z96" s="6">
        <f t="shared" si="28"/>
        <v>465</v>
      </c>
      <c r="AA96" s="6">
        <f t="shared" si="29"/>
        <v>29</v>
      </c>
      <c r="AB96" s="6">
        <f t="shared" si="30"/>
        <v>494</v>
      </c>
      <c r="AC96" s="36">
        <f t="shared" si="31"/>
        <v>77.5</v>
      </c>
      <c r="AD96" s="36">
        <f t="shared" si="32"/>
        <v>4.833333333333333</v>
      </c>
      <c r="AE96" s="36">
        <f t="shared" si="33"/>
        <v>82.333333333333329</v>
      </c>
      <c r="AF96" s="6"/>
      <c r="AG96" s="6"/>
      <c r="AH96" s="904">
        <f t="shared" si="34"/>
        <v>0</v>
      </c>
      <c r="AI96" s="6">
        <v>125</v>
      </c>
      <c r="AJ96" s="6">
        <v>6</v>
      </c>
      <c r="AK96" s="6">
        <f t="shared" si="35"/>
        <v>131</v>
      </c>
      <c r="AL96" s="6"/>
      <c r="AM96" s="6"/>
      <c r="AN96" s="98">
        <f t="shared" si="36"/>
        <v>0</v>
      </c>
      <c r="AO96" s="6">
        <f t="shared" si="37"/>
        <v>590</v>
      </c>
      <c r="AP96" s="6">
        <f t="shared" si="38"/>
        <v>35</v>
      </c>
      <c r="AQ96" s="6">
        <f t="shared" si="39"/>
        <v>625</v>
      </c>
      <c r="AR96" s="943">
        <f t="shared" si="40"/>
        <v>65.555555555555557</v>
      </c>
      <c r="AS96" s="943">
        <f t="shared" si="41"/>
        <v>3.8888888888888888</v>
      </c>
      <c r="AT96" s="943">
        <f t="shared" si="42"/>
        <v>69.444444444444443</v>
      </c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spans="1:61" ht="18" hidden="1">
      <c r="A97" s="6">
        <v>17</v>
      </c>
      <c r="B97" s="6">
        <v>90</v>
      </c>
      <c r="C97" s="16" t="s">
        <v>670</v>
      </c>
      <c r="D97" s="6" t="s">
        <v>666</v>
      </c>
      <c r="E97" s="6"/>
      <c r="F97" s="6"/>
      <c r="G97" s="17"/>
      <c r="H97" s="6">
        <v>198</v>
      </c>
      <c r="I97" s="6">
        <v>78</v>
      </c>
      <c r="J97" s="6">
        <f t="shared" si="22"/>
        <v>276</v>
      </c>
      <c r="K97" s="6"/>
      <c r="L97" s="6"/>
      <c r="M97" s="6">
        <f t="shared" si="23"/>
        <v>0</v>
      </c>
      <c r="N97" s="6">
        <f>233-102</f>
        <v>131</v>
      </c>
      <c r="O97" s="6">
        <v>30</v>
      </c>
      <c r="P97" s="6">
        <f t="shared" si="24"/>
        <v>161</v>
      </c>
      <c r="Q97" s="6">
        <v>250</v>
      </c>
      <c r="R97" s="6">
        <v>54</v>
      </c>
      <c r="S97" s="6">
        <f t="shared" si="25"/>
        <v>304</v>
      </c>
      <c r="T97" s="6"/>
      <c r="U97" s="6"/>
      <c r="V97" s="6">
        <f t="shared" si="26"/>
        <v>0</v>
      </c>
      <c r="W97" s="6">
        <v>105</v>
      </c>
      <c r="X97" s="6"/>
      <c r="Y97" s="98">
        <f t="shared" si="27"/>
        <v>105</v>
      </c>
      <c r="Z97" s="6">
        <f t="shared" si="28"/>
        <v>684</v>
      </c>
      <c r="AA97" s="6">
        <f t="shared" si="29"/>
        <v>162</v>
      </c>
      <c r="AB97" s="6">
        <f t="shared" si="30"/>
        <v>846</v>
      </c>
      <c r="AC97" s="36">
        <f t="shared" si="31"/>
        <v>114</v>
      </c>
      <c r="AD97" s="36">
        <f t="shared" si="32"/>
        <v>27</v>
      </c>
      <c r="AE97" s="36">
        <f t="shared" si="33"/>
        <v>141</v>
      </c>
      <c r="AF97" s="6"/>
      <c r="AG97" s="6"/>
      <c r="AH97" s="904">
        <f t="shared" si="34"/>
        <v>0</v>
      </c>
      <c r="AI97" s="6">
        <v>197</v>
      </c>
      <c r="AJ97" s="6">
        <v>42</v>
      </c>
      <c r="AK97" s="6">
        <f t="shared" si="35"/>
        <v>239</v>
      </c>
      <c r="AL97" s="6"/>
      <c r="AM97" s="6"/>
      <c r="AN97" s="98">
        <f t="shared" si="36"/>
        <v>0</v>
      </c>
      <c r="AO97" s="6">
        <f t="shared" si="37"/>
        <v>881</v>
      </c>
      <c r="AP97" s="6">
        <f t="shared" si="38"/>
        <v>204</v>
      </c>
      <c r="AQ97" s="6">
        <f t="shared" si="39"/>
        <v>1085</v>
      </c>
      <c r="AR97" s="943">
        <f t="shared" si="40"/>
        <v>97.888888888888886</v>
      </c>
      <c r="AS97" s="943">
        <f t="shared" si="41"/>
        <v>22.666666666666668</v>
      </c>
      <c r="AT97" s="943">
        <f t="shared" si="42"/>
        <v>120.55555555555556</v>
      </c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spans="1:61" ht="17.25" hidden="1" customHeight="1">
      <c r="A98" s="6">
        <v>18</v>
      </c>
      <c r="B98" s="6">
        <v>91</v>
      </c>
      <c r="C98" s="16" t="s">
        <v>671</v>
      </c>
      <c r="D98" s="6" t="s">
        <v>666</v>
      </c>
      <c r="E98" s="6" t="s">
        <v>672</v>
      </c>
      <c r="F98" s="6">
        <v>30</v>
      </c>
      <c r="G98" s="17">
        <v>150</v>
      </c>
      <c r="H98" s="6">
        <v>383</v>
      </c>
      <c r="I98" s="6">
        <v>56</v>
      </c>
      <c r="J98" s="6">
        <f t="shared" si="22"/>
        <v>439</v>
      </c>
      <c r="K98" s="6"/>
      <c r="L98" s="6"/>
      <c r="M98" s="6">
        <f t="shared" si="23"/>
        <v>0</v>
      </c>
      <c r="N98" s="6">
        <v>430</v>
      </c>
      <c r="O98" s="6">
        <v>72</v>
      </c>
      <c r="P98" s="6">
        <f t="shared" si="24"/>
        <v>502</v>
      </c>
      <c r="Q98" s="6">
        <v>206</v>
      </c>
      <c r="R98" s="6">
        <v>78</v>
      </c>
      <c r="S98" s="6">
        <f t="shared" si="25"/>
        <v>284</v>
      </c>
      <c r="T98" s="6"/>
      <c r="U98" s="6"/>
      <c r="V98" s="6">
        <f t="shared" si="26"/>
        <v>0</v>
      </c>
      <c r="W98" s="6"/>
      <c r="X98" s="6"/>
      <c r="Y98" s="98">
        <f t="shared" si="27"/>
        <v>0</v>
      </c>
      <c r="Z98" s="6">
        <f t="shared" si="28"/>
        <v>1019</v>
      </c>
      <c r="AA98" s="6">
        <f t="shared" si="29"/>
        <v>206</v>
      </c>
      <c r="AB98" s="6">
        <f t="shared" si="30"/>
        <v>1225</v>
      </c>
      <c r="AC98" s="36">
        <f t="shared" si="31"/>
        <v>169.83333333333334</v>
      </c>
      <c r="AD98" s="36">
        <f t="shared" si="32"/>
        <v>34.333333333333336</v>
      </c>
      <c r="AE98" s="36">
        <f t="shared" si="33"/>
        <v>204.16666666666666</v>
      </c>
      <c r="AF98" s="6">
        <v>439</v>
      </c>
      <c r="AG98" s="6"/>
      <c r="AH98" s="904">
        <f t="shared" si="34"/>
        <v>439</v>
      </c>
      <c r="AI98" s="6">
        <v>293</v>
      </c>
      <c r="AJ98" s="6"/>
      <c r="AK98" s="6">
        <f t="shared" si="35"/>
        <v>293</v>
      </c>
      <c r="AL98" s="6"/>
      <c r="AM98" s="6"/>
      <c r="AN98" s="98">
        <f t="shared" si="36"/>
        <v>0</v>
      </c>
      <c r="AO98" s="6">
        <f t="shared" si="37"/>
        <v>1751</v>
      </c>
      <c r="AP98" s="6">
        <f t="shared" si="38"/>
        <v>206</v>
      </c>
      <c r="AQ98" s="6">
        <f t="shared" si="39"/>
        <v>1957</v>
      </c>
      <c r="AR98" s="943">
        <f t="shared" si="40"/>
        <v>194.55555555555554</v>
      </c>
      <c r="AS98" s="943">
        <f t="shared" si="41"/>
        <v>22.888888888888889</v>
      </c>
      <c r="AT98" s="943">
        <f t="shared" si="42"/>
        <v>217.44444444444446</v>
      </c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spans="1:61" ht="22.5" customHeight="1">
      <c r="A99" s="35" t="s">
        <v>11</v>
      </c>
      <c r="B99" s="679"/>
      <c r="C99" s="46"/>
      <c r="D99" s="19"/>
      <c r="E99" s="19"/>
      <c r="F99" s="19"/>
      <c r="G99" s="19">
        <f t="shared" ref="G99" si="43">SUM(G8:G98)</f>
        <v>5576</v>
      </c>
      <c r="H99" s="19">
        <f>SUM(H8:H98)</f>
        <v>4015</v>
      </c>
      <c r="I99" s="19">
        <f>SUM(I8:I98)</f>
        <v>330</v>
      </c>
      <c r="J99" s="19">
        <f>SUM(H99:I99)</f>
        <v>4345</v>
      </c>
      <c r="K99" s="19">
        <f>SUM(K8:K98)</f>
        <v>4143</v>
      </c>
      <c r="L99" s="19">
        <f>SUM(L8:L98)</f>
        <v>451</v>
      </c>
      <c r="M99" s="19">
        <f>SUM(K99:L99)</f>
        <v>4594</v>
      </c>
      <c r="N99" s="19">
        <f>SUM(N8:N98)</f>
        <v>3866</v>
      </c>
      <c r="O99" s="19">
        <f>SUM(O8:O98)</f>
        <v>204</v>
      </c>
      <c r="P99" s="19">
        <f>SUM(N99:O99)</f>
        <v>4070</v>
      </c>
      <c r="Q99" s="19">
        <f>SUM(Q8:Q98)</f>
        <v>1310</v>
      </c>
      <c r="R99" s="19">
        <f>SUM(R8:R98)</f>
        <v>220</v>
      </c>
      <c r="S99" s="19">
        <f>SUM(Q99:R99)</f>
        <v>1530</v>
      </c>
      <c r="T99" s="19">
        <f>SUM(T8:T98)</f>
        <v>1556</v>
      </c>
      <c r="U99" s="19">
        <f>SUM(U8:U98)</f>
        <v>201</v>
      </c>
      <c r="V99" s="19">
        <f>SUM(T99:U99)</f>
        <v>1757</v>
      </c>
      <c r="W99" s="19">
        <f>SUM(W8:W98)</f>
        <v>2373</v>
      </c>
      <c r="X99" s="19">
        <f>SUM(X8:X98)</f>
        <v>342</v>
      </c>
      <c r="Y99" s="19">
        <f t="shared" si="27"/>
        <v>2715</v>
      </c>
      <c r="Z99" s="19">
        <f t="shared" si="28"/>
        <v>17263</v>
      </c>
      <c r="AA99" s="19">
        <f t="shared" si="29"/>
        <v>1748</v>
      </c>
      <c r="AB99" s="19">
        <f t="shared" si="30"/>
        <v>19011</v>
      </c>
      <c r="AC99" s="60">
        <f t="shared" si="31"/>
        <v>2877.1666666666665</v>
      </c>
      <c r="AD99" s="60">
        <f t="shared" si="32"/>
        <v>291.33333333333331</v>
      </c>
      <c r="AE99" s="60">
        <f t="shared" si="33"/>
        <v>3168.5</v>
      </c>
      <c r="AF99" s="19">
        <f>SUM(AF8:AF98)</f>
        <v>3898</v>
      </c>
      <c r="AG99" s="19">
        <f>SUM(AG8:AG98)</f>
        <v>677</v>
      </c>
      <c r="AH99" s="19">
        <f t="shared" si="34"/>
        <v>4575</v>
      </c>
      <c r="AI99" s="19">
        <f>SUM(AI8:AI98)</f>
        <v>3251</v>
      </c>
      <c r="AJ99" s="19">
        <f>SUM(AJ8:AJ98)</f>
        <v>281</v>
      </c>
      <c r="AK99" s="19">
        <f t="shared" si="35"/>
        <v>3532</v>
      </c>
      <c r="AL99" s="19">
        <f>SUM(AL8:AL98)</f>
        <v>2774</v>
      </c>
      <c r="AM99" s="19">
        <f>SUM(AM8:AM98)</f>
        <v>135</v>
      </c>
      <c r="AN99" s="19">
        <f t="shared" ref="AN99" si="44">AL99+AM99</f>
        <v>2909</v>
      </c>
      <c r="AO99" s="19">
        <f>SUM(AO8:AO98)</f>
        <v>27186</v>
      </c>
      <c r="AP99" s="19">
        <f>SUM(AP8:AP98)</f>
        <v>2841</v>
      </c>
      <c r="AQ99" s="19">
        <f t="shared" ref="AQ99" si="45">AO99+AP99</f>
        <v>30027</v>
      </c>
      <c r="AR99" s="703">
        <f>SUM(AR8:AR98)</f>
        <v>3020.6666666666661</v>
      </c>
      <c r="AS99" s="703">
        <f>SUM(AS8:AS98)</f>
        <v>315.66666666666674</v>
      </c>
      <c r="AT99" s="703">
        <f t="shared" ref="AT99" si="46">AR99+AS99</f>
        <v>3336.333333333333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spans="1:61" ht="14.65" thickBot="1">
      <c r="H100" s="69"/>
      <c r="N100" s="69"/>
      <c r="O100" s="22"/>
      <c r="X100" s="69"/>
    </row>
    <row r="101" spans="1:61" ht="17.25" customHeight="1">
      <c r="C101" s="76" t="s">
        <v>338</v>
      </c>
      <c r="D101" s="77"/>
      <c r="E101" s="83"/>
      <c r="F101" s="94" t="e">
        <f t="shared" ref="F101" si="47">F75+F51+F50+F17+F16+#REF!+#REF!</f>
        <v>#REF!</v>
      </c>
      <c r="G101" s="215">
        <v>3514</v>
      </c>
      <c r="H101" s="215">
        <f>H22+H23+H24+H25+H26+H39+H53+H54+H66+H67</f>
        <v>400</v>
      </c>
      <c r="I101" s="215">
        <f>I22+I23+I24+I25+I26+I39+I53+I54+I66+I67</f>
        <v>0</v>
      </c>
      <c r="J101" s="215">
        <f>H101+I101</f>
        <v>400</v>
      </c>
      <c r="K101" s="215">
        <f>K22+K23+K24+K25+K26+K39+K53+K54+K66+K67</f>
        <v>1461</v>
      </c>
      <c r="L101" s="215">
        <f>L22+L23+L24+L25+L26+L39+L53+L54+L66+L67</f>
        <v>126</v>
      </c>
      <c r="M101" s="215">
        <f>K101+L101</f>
        <v>1587</v>
      </c>
      <c r="N101" s="215">
        <f>N22+N23+N24+N25+N26+N39+N53+N54+N66+N67</f>
        <v>845</v>
      </c>
      <c r="O101" s="215">
        <f>O22+O23+O24+O25+O26+O39+O53+O54+O66+O67</f>
        <v>36</v>
      </c>
      <c r="P101" s="215">
        <f>N101+O101</f>
        <v>881</v>
      </c>
      <c r="Q101" s="215">
        <f>Q22+Q23+Q24+Q25+Q26+Q39+Q53+Q54+Q66+Q67</f>
        <v>34</v>
      </c>
      <c r="R101" s="215">
        <f>R22+R23+R24+R25+R26+R39+R53+R54+R66+R67</f>
        <v>50</v>
      </c>
      <c r="S101" s="215">
        <f>Q101+R101</f>
        <v>84</v>
      </c>
      <c r="T101" s="215">
        <f>T22+T23+T24+T25+T26+T39+T53+T54+T66+T67</f>
        <v>166</v>
      </c>
      <c r="U101" s="215">
        <f>U22+U23+U24+U25+U26+U39+U53+U54+U66+U67</f>
        <v>51</v>
      </c>
      <c r="V101" s="215">
        <f>T101+U101</f>
        <v>217</v>
      </c>
      <c r="W101" s="215">
        <f>W22+W23+W24+W25+W26+W39+W53+W54+W66+W67</f>
        <v>1136</v>
      </c>
      <c r="X101" s="215">
        <f>X22+X23+X24+X25+X26+X39+X53+X54+X66+X67</f>
        <v>244</v>
      </c>
      <c r="Y101" s="215">
        <f>W101+X101</f>
        <v>1380</v>
      </c>
      <c r="Z101" s="236">
        <v>4042</v>
      </c>
      <c r="AA101" s="236">
        <v>507</v>
      </c>
      <c r="AB101" s="236">
        <f>Z101+AA101</f>
        <v>4549</v>
      </c>
      <c r="AC101" s="208">
        <f>Z101/6</f>
        <v>673.66666666666663</v>
      </c>
      <c r="AD101" s="208">
        <f>AA101/6</f>
        <v>84.5</v>
      </c>
      <c r="AE101" s="208">
        <f>AB101/6</f>
        <v>758.16666666666663</v>
      </c>
      <c r="AF101" s="215">
        <f>AF22+AF23+AF24+AF25+AF26+AF39+AF53+AF54+AF66+AF67</f>
        <v>1664</v>
      </c>
      <c r="AG101" s="215">
        <f>AG22+AG23+AG24+AG25+AG26+AG39+AG53+AG54+AG66+AG67</f>
        <v>224</v>
      </c>
      <c r="AH101" s="215">
        <f>AF101+AG101</f>
        <v>1888</v>
      </c>
      <c r="AI101" s="215">
        <f>AI22+AI23+AI24+AI25+AI26+AI39+AI53+AI54+AI66+AI67</f>
        <v>321</v>
      </c>
      <c r="AJ101" s="215">
        <f>AJ22+AJ23+AJ24+AJ25+AJ26+AJ39+AJ53+AJ54+AJ66+AJ67</f>
        <v>9</v>
      </c>
      <c r="AK101" s="215">
        <f>AI101+AJ101</f>
        <v>330</v>
      </c>
      <c r="AL101" s="215">
        <f>AL22+AL23+AL24+AL25+AL26+AL39+AL53+AL54+AL66+AL67</f>
        <v>714</v>
      </c>
      <c r="AM101" s="215">
        <f>AM22+AM23+AM24+AM25+AM26+AM39+AM53+AM54+AM66+AM67</f>
        <v>99</v>
      </c>
      <c r="AN101" s="215">
        <f>AL101+AM101</f>
        <v>813</v>
      </c>
      <c r="AO101" s="215">
        <f>AO22+AO23+AO24+AO25+AO26+AO39+AO53+AO54+AO66+AO67</f>
        <v>6741</v>
      </c>
      <c r="AP101" s="215">
        <f>AP22+AP23+AP24+AP25+AP26+AP39+AP53+AP54+AP66+AP67</f>
        <v>839</v>
      </c>
      <c r="AQ101" s="215">
        <f>AO101+AP101</f>
        <v>7580</v>
      </c>
      <c r="AR101" s="952">
        <f>AR22+AR23+AR24+AR25+AR26+AR39+AR53+AR54+AR66+AR67</f>
        <v>749</v>
      </c>
      <c r="AS101" s="940">
        <f>AS22+AS23+AS24+AS25+AS26+AS39+AS53+AS54+AS66+AS67</f>
        <v>93.222222222222229</v>
      </c>
      <c r="AT101" s="940">
        <f>AR101+AS101</f>
        <v>842.22222222222217</v>
      </c>
      <c r="AU101" s="215">
        <f>AU22+AU23+AU24+AU25+AU26+AU39+AU53+AU54+AU66+AU67</f>
        <v>0</v>
      </c>
      <c r="AV101" s="215">
        <f>AV22+AV23+AV24+AV25+AV26+AV39+AV53+AV54+AV66+AV67</f>
        <v>0</v>
      </c>
      <c r="AW101" s="215"/>
      <c r="AX101" s="215"/>
      <c r="AY101" s="215"/>
      <c r="AZ101" s="215"/>
      <c r="BA101" s="215"/>
      <c r="BB101" s="215"/>
      <c r="BC101" s="215">
        <f>AU101+AV101</f>
        <v>0</v>
      </c>
      <c r="BD101" s="215">
        <f>BD22+BD23+BD24+BD25+BD26+BD39+BD53+BD54+BD66+BD67</f>
        <v>0</v>
      </c>
      <c r="BE101" s="215">
        <f>BE22+BE23+BE24+BE25+BE26+BE39+BE53+BE54+BE66+BE67</f>
        <v>0</v>
      </c>
      <c r="BF101" s="215">
        <f>BD101+BE101</f>
        <v>0</v>
      </c>
      <c r="BG101" s="215">
        <f>BG22+BG23+BG24+BG25+BG26+BG39+BG53+BG54+BG66+BG67</f>
        <v>0</v>
      </c>
      <c r="BH101" s="215">
        <f>BH22+BH23+BH24+BH25+BH26+BH39+BH53+BH54+BH66+BH67</f>
        <v>0</v>
      </c>
      <c r="BI101" s="215">
        <f>BG101+BH101</f>
        <v>0</v>
      </c>
    </row>
    <row r="102" spans="1:61" ht="18" customHeight="1">
      <c r="C102" s="7" t="s">
        <v>339</v>
      </c>
      <c r="D102" s="6"/>
      <c r="E102" s="15"/>
      <c r="F102" s="95" t="e">
        <f t="shared" ref="F102:AE102" si="48">F99-F101</f>
        <v>#REF!</v>
      </c>
      <c r="G102" s="99">
        <f t="shared" si="48"/>
        <v>2062</v>
      </c>
      <c r="H102" s="99">
        <f t="shared" si="48"/>
        <v>3615</v>
      </c>
      <c r="I102" s="99">
        <f t="shared" si="48"/>
        <v>330</v>
      </c>
      <c r="J102" s="99">
        <f t="shared" si="48"/>
        <v>3945</v>
      </c>
      <c r="K102" s="99">
        <f t="shared" si="48"/>
        <v>2682</v>
      </c>
      <c r="L102" s="99">
        <f t="shared" si="48"/>
        <v>325</v>
      </c>
      <c r="M102" s="99">
        <f t="shared" si="48"/>
        <v>3007</v>
      </c>
      <c r="N102" s="99">
        <f t="shared" si="48"/>
        <v>3021</v>
      </c>
      <c r="O102" s="99">
        <f t="shared" si="48"/>
        <v>168</v>
      </c>
      <c r="P102" s="99">
        <f t="shared" si="48"/>
        <v>3189</v>
      </c>
      <c r="Q102" s="99">
        <f t="shared" si="48"/>
        <v>1276</v>
      </c>
      <c r="R102" s="99">
        <f t="shared" si="48"/>
        <v>170</v>
      </c>
      <c r="S102" s="99">
        <f t="shared" si="48"/>
        <v>1446</v>
      </c>
      <c r="T102" s="99">
        <f t="shared" si="48"/>
        <v>1390</v>
      </c>
      <c r="U102" s="99">
        <f t="shared" si="48"/>
        <v>150</v>
      </c>
      <c r="V102" s="99">
        <f t="shared" si="48"/>
        <v>1540</v>
      </c>
      <c r="W102" s="99">
        <f t="shared" si="48"/>
        <v>1237</v>
      </c>
      <c r="X102" s="99">
        <f t="shared" si="48"/>
        <v>98</v>
      </c>
      <c r="Y102" s="99">
        <f t="shared" si="48"/>
        <v>1335</v>
      </c>
      <c r="Z102" s="237">
        <f t="shared" si="48"/>
        <v>13221</v>
      </c>
      <c r="AA102" s="237">
        <f t="shared" si="48"/>
        <v>1241</v>
      </c>
      <c r="AB102" s="237">
        <f t="shared" si="48"/>
        <v>14462</v>
      </c>
      <c r="AC102" s="238">
        <f t="shared" si="48"/>
        <v>2203.5</v>
      </c>
      <c r="AD102" s="238">
        <f t="shared" si="48"/>
        <v>206.83333333333331</v>
      </c>
      <c r="AE102" s="238">
        <f t="shared" si="48"/>
        <v>2410.3333333333335</v>
      </c>
      <c r="AF102" s="99">
        <f t="shared" ref="AF102:BI102" si="49">AF99-AF101</f>
        <v>2234</v>
      </c>
      <c r="AG102" s="99">
        <f t="shared" si="49"/>
        <v>453</v>
      </c>
      <c r="AH102" s="99">
        <f t="shared" si="49"/>
        <v>2687</v>
      </c>
      <c r="AI102" s="99">
        <f t="shared" si="49"/>
        <v>2930</v>
      </c>
      <c r="AJ102" s="99">
        <f t="shared" si="49"/>
        <v>272</v>
      </c>
      <c r="AK102" s="99">
        <f t="shared" si="49"/>
        <v>3202</v>
      </c>
      <c r="AL102" s="99">
        <f t="shared" si="49"/>
        <v>2060</v>
      </c>
      <c r="AM102" s="99">
        <f t="shared" si="49"/>
        <v>36</v>
      </c>
      <c r="AN102" s="99">
        <f t="shared" si="49"/>
        <v>2096</v>
      </c>
      <c r="AO102" s="99">
        <f t="shared" si="49"/>
        <v>20445</v>
      </c>
      <c r="AP102" s="99">
        <f t="shared" si="49"/>
        <v>2002</v>
      </c>
      <c r="AQ102" s="99">
        <f t="shared" si="49"/>
        <v>22447</v>
      </c>
      <c r="AR102" s="941">
        <f t="shared" si="49"/>
        <v>2271.6666666666661</v>
      </c>
      <c r="AS102" s="941">
        <f t="shared" si="49"/>
        <v>222.44444444444451</v>
      </c>
      <c r="AT102" s="941">
        <f t="shared" si="49"/>
        <v>2494.1111111111109</v>
      </c>
      <c r="AU102" s="99">
        <f t="shared" si="49"/>
        <v>0</v>
      </c>
      <c r="AV102" s="99">
        <f t="shared" si="49"/>
        <v>0</v>
      </c>
      <c r="AW102" s="99"/>
      <c r="AX102" s="99"/>
      <c r="AY102" s="99"/>
      <c r="AZ102" s="99"/>
      <c r="BA102" s="99"/>
      <c r="BB102" s="99"/>
      <c r="BC102" s="99">
        <f t="shared" si="49"/>
        <v>0</v>
      </c>
      <c r="BD102" s="99">
        <f t="shared" si="49"/>
        <v>0</v>
      </c>
      <c r="BE102" s="99">
        <f t="shared" si="49"/>
        <v>0</v>
      </c>
      <c r="BF102" s="99">
        <f t="shared" si="49"/>
        <v>0</v>
      </c>
      <c r="BG102" s="99">
        <f t="shared" si="49"/>
        <v>0</v>
      </c>
      <c r="BH102" s="99">
        <f t="shared" si="49"/>
        <v>0</v>
      </c>
      <c r="BI102" s="99">
        <f t="shared" si="49"/>
        <v>0</v>
      </c>
    </row>
    <row r="103" spans="1:61" ht="18" customHeight="1">
      <c r="C103" s="7" t="s">
        <v>340</v>
      </c>
      <c r="D103" s="6"/>
      <c r="E103" s="15"/>
      <c r="F103" s="96" t="e">
        <f>F102/F99%</f>
        <v>#REF!</v>
      </c>
      <c r="G103" s="86">
        <f>G102/G99%</f>
        <v>36.979913916786231</v>
      </c>
      <c r="H103" s="216">
        <f t="shared" ref="H103:AE103" si="50">H102/H99%</f>
        <v>90.037359900373602</v>
      </c>
      <c r="I103" s="217">
        <f t="shared" si="50"/>
        <v>100</v>
      </c>
      <c r="J103" s="218">
        <f t="shared" si="50"/>
        <v>90.794016110471802</v>
      </c>
      <c r="K103" s="219">
        <f t="shared" si="50"/>
        <v>64.735698769007968</v>
      </c>
      <c r="L103" s="217">
        <f t="shared" si="50"/>
        <v>72.062084257206209</v>
      </c>
      <c r="M103" s="218">
        <f t="shared" si="50"/>
        <v>65.454941227688295</v>
      </c>
      <c r="N103" s="219">
        <f t="shared" si="50"/>
        <v>78.1427832384894</v>
      </c>
      <c r="O103" s="217">
        <f t="shared" si="50"/>
        <v>82.35294117647058</v>
      </c>
      <c r="P103" s="218">
        <f t="shared" si="50"/>
        <v>78.353808353808347</v>
      </c>
      <c r="Q103" s="219">
        <f t="shared" si="50"/>
        <v>97.404580152671755</v>
      </c>
      <c r="R103" s="217">
        <f t="shared" si="50"/>
        <v>77.272727272727266</v>
      </c>
      <c r="S103" s="218">
        <f t="shared" si="50"/>
        <v>94.509803921568619</v>
      </c>
      <c r="T103" s="219">
        <f t="shared" si="50"/>
        <v>89.33161953727506</v>
      </c>
      <c r="U103" s="217">
        <f t="shared" si="50"/>
        <v>74.626865671641795</v>
      </c>
      <c r="V103" s="218">
        <f t="shared" si="50"/>
        <v>87.64940239043824</v>
      </c>
      <c r="W103" s="219">
        <f t="shared" si="50"/>
        <v>52.128107880320272</v>
      </c>
      <c r="X103" s="217">
        <f t="shared" si="50"/>
        <v>28.654970760233919</v>
      </c>
      <c r="Y103" s="218">
        <f t="shared" si="50"/>
        <v>49.171270718232044</v>
      </c>
      <c r="Z103" s="220">
        <f t="shared" si="50"/>
        <v>76.585761455135255</v>
      </c>
      <c r="AA103" s="221">
        <f t="shared" si="50"/>
        <v>70.995423340961096</v>
      </c>
      <c r="AB103" s="222">
        <f t="shared" si="50"/>
        <v>76.07174793540581</v>
      </c>
      <c r="AC103" s="223">
        <f t="shared" si="50"/>
        <v>76.58576145513527</v>
      </c>
      <c r="AD103" s="224">
        <f t="shared" si="50"/>
        <v>70.995423340961096</v>
      </c>
      <c r="AE103" s="225">
        <f t="shared" si="50"/>
        <v>76.071747935405824</v>
      </c>
      <c r="AF103" s="220">
        <f t="shared" ref="AF103:BI103" si="51">AF102/AF99%</f>
        <v>57.3114417650077</v>
      </c>
      <c r="AG103" s="221">
        <f t="shared" si="51"/>
        <v>66.912850812407683</v>
      </c>
      <c r="AH103" s="222">
        <f t="shared" si="51"/>
        <v>58.732240437158467</v>
      </c>
      <c r="AI103" s="219">
        <f t="shared" si="51"/>
        <v>90.126115041525694</v>
      </c>
      <c r="AJ103" s="217">
        <f t="shared" si="51"/>
        <v>96.797153024911026</v>
      </c>
      <c r="AK103" s="218">
        <f t="shared" si="51"/>
        <v>90.656851642129098</v>
      </c>
      <c r="AL103" s="219">
        <f t="shared" si="51"/>
        <v>74.260994953136276</v>
      </c>
      <c r="AM103" s="217">
        <f t="shared" si="51"/>
        <v>26.666666666666664</v>
      </c>
      <c r="AN103" s="218">
        <f t="shared" si="51"/>
        <v>72.052251632863531</v>
      </c>
      <c r="AO103" s="219">
        <f t="shared" si="51"/>
        <v>75.204149194438315</v>
      </c>
      <c r="AP103" s="217">
        <f t="shared" si="51"/>
        <v>70.468145019359383</v>
      </c>
      <c r="AQ103" s="218">
        <f t="shared" si="51"/>
        <v>74.756052885736182</v>
      </c>
      <c r="AR103" s="942">
        <f t="shared" si="51"/>
        <v>75.204149194438315</v>
      </c>
      <c r="AS103" s="943">
        <f t="shared" si="51"/>
        <v>70.468145019359383</v>
      </c>
      <c r="AT103" s="944">
        <f t="shared" si="51"/>
        <v>74.756052885736167</v>
      </c>
      <c r="AU103" s="219" t="e">
        <f t="shared" si="51"/>
        <v>#DIV/0!</v>
      </c>
      <c r="AV103" s="217" t="e">
        <f t="shared" si="51"/>
        <v>#DIV/0!</v>
      </c>
      <c r="AW103" s="695"/>
      <c r="AX103" s="695"/>
      <c r="AY103" s="695"/>
      <c r="AZ103" s="695"/>
      <c r="BA103" s="695"/>
      <c r="BB103" s="695"/>
      <c r="BC103" s="218" t="e">
        <f t="shared" si="51"/>
        <v>#DIV/0!</v>
      </c>
      <c r="BD103" s="219" t="e">
        <f t="shared" si="51"/>
        <v>#DIV/0!</v>
      </c>
      <c r="BE103" s="217" t="e">
        <f t="shared" si="51"/>
        <v>#DIV/0!</v>
      </c>
      <c r="BF103" s="218" t="e">
        <f t="shared" si="51"/>
        <v>#DIV/0!</v>
      </c>
      <c r="BG103" s="219" t="e">
        <f t="shared" si="51"/>
        <v>#DIV/0!</v>
      </c>
      <c r="BH103" s="217" t="e">
        <f t="shared" si="51"/>
        <v>#DIV/0!</v>
      </c>
      <c r="BI103" s="218" t="e">
        <f t="shared" si="51"/>
        <v>#DIV/0!</v>
      </c>
    </row>
    <row r="104" spans="1:61" ht="20.25" customHeight="1" thickBot="1">
      <c r="C104" s="81" t="s">
        <v>341</v>
      </c>
      <c r="D104" s="82"/>
      <c r="E104" s="85"/>
      <c r="F104" s="97" t="e">
        <f>F101/F99%</f>
        <v>#REF!</v>
      </c>
      <c r="G104" s="87">
        <f>G101/G99%</f>
        <v>63.020086083213776</v>
      </c>
      <c r="H104" s="226">
        <f t="shared" ref="H104:AE104" si="52">H101/H99%</f>
        <v>9.9626400996264017</v>
      </c>
      <c r="I104" s="227">
        <f t="shared" si="52"/>
        <v>0</v>
      </c>
      <c r="J104" s="228">
        <f t="shared" si="52"/>
        <v>9.2059838895281931</v>
      </c>
      <c r="K104" s="229">
        <f t="shared" si="52"/>
        <v>35.264301230992032</v>
      </c>
      <c r="L104" s="227">
        <f t="shared" si="52"/>
        <v>27.937915742793791</v>
      </c>
      <c r="M104" s="228">
        <f t="shared" si="52"/>
        <v>34.545058772311712</v>
      </c>
      <c r="N104" s="229">
        <f t="shared" si="52"/>
        <v>21.857216761510607</v>
      </c>
      <c r="O104" s="227">
        <f t="shared" si="52"/>
        <v>17.647058823529413</v>
      </c>
      <c r="P104" s="228">
        <f t="shared" si="52"/>
        <v>21.646191646191646</v>
      </c>
      <c r="Q104" s="229">
        <f t="shared" si="52"/>
        <v>2.5954198473282442</v>
      </c>
      <c r="R104" s="227">
        <f t="shared" si="52"/>
        <v>22.727272727272727</v>
      </c>
      <c r="S104" s="228">
        <f t="shared" si="52"/>
        <v>5.4901960784313726</v>
      </c>
      <c r="T104" s="229">
        <f t="shared" si="52"/>
        <v>10.668380462724935</v>
      </c>
      <c r="U104" s="227">
        <f t="shared" si="52"/>
        <v>25.373134328358212</v>
      </c>
      <c r="V104" s="228">
        <f t="shared" si="52"/>
        <v>12.350597609561753</v>
      </c>
      <c r="W104" s="229">
        <f t="shared" si="52"/>
        <v>47.871892119679728</v>
      </c>
      <c r="X104" s="227">
        <f t="shared" si="52"/>
        <v>71.345029239766077</v>
      </c>
      <c r="Y104" s="228">
        <f t="shared" si="52"/>
        <v>50.828729281767956</v>
      </c>
      <c r="Z104" s="230">
        <f t="shared" si="52"/>
        <v>23.414238544864741</v>
      </c>
      <c r="AA104" s="231">
        <f t="shared" si="52"/>
        <v>29.0045766590389</v>
      </c>
      <c r="AB104" s="232">
        <f t="shared" si="52"/>
        <v>23.928252064594179</v>
      </c>
      <c r="AC104" s="233">
        <f t="shared" si="52"/>
        <v>23.414238544864741</v>
      </c>
      <c r="AD104" s="234">
        <f t="shared" si="52"/>
        <v>29.004576659038904</v>
      </c>
      <c r="AE104" s="235">
        <f t="shared" si="52"/>
        <v>23.928252064594183</v>
      </c>
      <c r="AF104" s="230">
        <f t="shared" ref="AF104:BI104" si="53">AF101/AF99%</f>
        <v>42.688558234992307</v>
      </c>
      <c r="AG104" s="231">
        <f t="shared" si="53"/>
        <v>33.087149187592324</v>
      </c>
      <c r="AH104" s="232">
        <f t="shared" si="53"/>
        <v>41.267759562841533</v>
      </c>
      <c r="AI104" s="229">
        <f t="shared" si="53"/>
        <v>9.8738849584743154</v>
      </c>
      <c r="AJ104" s="227">
        <f t="shared" si="53"/>
        <v>3.2028469750889679</v>
      </c>
      <c r="AK104" s="228">
        <f t="shared" si="53"/>
        <v>9.3431483578708949</v>
      </c>
      <c r="AL104" s="229">
        <f t="shared" si="53"/>
        <v>25.739005046863735</v>
      </c>
      <c r="AM104" s="227">
        <f t="shared" si="53"/>
        <v>73.333333333333329</v>
      </c>
      <c r="AN104" s="228">
        <f t="shared" si="53"/>
        <v>27.947748367136473</v>
      </c>
      <c r="AO104" s="229">
        <f t="shared" si="53"/>
        <v>24.795850805561685</v>
      </c>
      <c r="AP104" s="227">
        <f t="shared" si="53"/>
        <v>29.53185498064062</v>
      </c>
      <c r="AQ104" s="228">
        <f t="shared" si="53"/>
        <v>25.243947114263829</v>
      </c>
      <c r="AR104" s="945">
        <f t="shared" si="53"/>
        <v>24.795850805561692</v>
      </c>
      <c r="AS104" s="946">
        <f t="shared" si="53"/>
        <v>29.531854980640613</v>
      </c>
      <c r="AT104" s="947">
        <f t="shared" si="53"/>
        <v>25.243947114263829</v>
      </c>
      <c r="AU104" s="229" t="e">
        <f t="shared" si="53"/>
        <v>#DIV/0!</v>
      </c>
      <c r="AV104" s="227" t="e">
        <f t="shared" si="53"/>
        <v>#DIV/0!</v>
      </c>
      <c r="AW104" s="936"/>
      <c r="AX104" s="936"/>
      <c r="AY104" s="936"/>
      <c r="AZ104" s="936"/>
      <c r="BA104" s="936"/>
      <c r="BB104" s="936"/>
      <c r="BC104" s="228" t="e">
        <f t="shared" si="53"/>
        <v>#DIV/0!</v>
      </c>
      <c r="BD104" s="229" t="e">
        <f t="shared" si="53"/>
        <v>#DIV/0!</v>
      </c>
      <c r="BE104" s="227" t="e">
        <f t="shared" si="53"/>
        <v>#DIV/0!</v>
      </c>
      <c r="BF104" s="228" t="e">
        <f t="shared" si="53"/>
        <v>#DIV/0!</v>
      </c>
      <c r="BG104" s="229" t="e">
        <f t="shared" si="53"/>
        <v>#DIV/0!</v>
      </c>
      <c r="BH104" s="227" t="e">
        <f t="shared" si="53"/>
        <v>#DIV/0!</v>
      </c>
      <c r="BI104" s="228" t="e">
        <f t="shared" si="53"/>
        <v>#DIV/0!</v>
      </c>
    </row>
    <row r="105" spans="1:61" ht="18" customHeight="1"/>
    <row r="106" spans="1:61">
      <c r="AF106" s="657">
        <f>AF99/AC99%</f>
        <v>135.48050744366566</v>
      </c>
      <c r="AG106" s="657">
        <f>AG99/AD99%</f>
        <v>232.37986270022884</v>
      </c>
      <c r="AH106" s="657">
        <f>AH99/AE99%</f>
        <v>144.39008994792488</v>
      </c>
    </row>
  </sheetData>
  <autoFilter ref="A7:BI99">
    <filterColumn colId="43">
      <colorFilter dxfId="1"/>
    </filterColumn>
  </autoFilter>
  <mergeCells count="18">
    <mergeCell ref="BD6:BF6"/>
    <mergeCell ref="BG6:BI6"/>
    <mergeCell ref="AF6:AH6"/>
    <mergeCell ref="AI6:AK6"/>
    <mergeCell ref="AL6:AN6"/>
    <mergeCell ref="AO6:AQ6"/>
    <mergeCell ref="AR6:AT6"/>
    <mergeCell ref="AU6:AW6"/>
    <mergeCell ref="AX6:AZ6"/>
    <mergeCell ref="BA6:BC6"/>
    <mergeCell ref="AC6:AE6"/>
    <mergeCell ref="A1:J1"/>
    <mergeCell ref="F6:F7"/>
    <mergeCell ref="G6:G7"/>
    <mergeCell ref="W6:Y6"/>
    <mergeCell ref="Z6:AB6"/>
    <mergeCell ref="T6:V6"/>
    <mergeCell ref="Q6:S6"/>
  </mergeCells>
  <pageMargins left="0.7" right="0.7" top="0" bottom="0" header="0.3" footer="0.3"/>
  <pageSetup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6"/>
  </sheetPr>
  <dimension ref="A1:BI125"/>
  <sheetViews>
    <sheetView zoomScale="90" zoomScaleNormal="90" workbookViewId="0">
      <pane xSplit="6" ySplit="7" topLeftCell="AD8" activePane="bottomRight" state="frozen"/>
      <selection pane="topRight" activeCell="G1" sqref="G1"/>
      <selection pane="bottomLeft" activeCell="A8" sqref="A8"/>
      <selection pane="bottomRight" activeCell="AD4" sqref="AD4"/>
    </sheetView>
  </sheetViews>
  <sheetFormatPr defaultRowHeight="14.25"/>
  <cols>
    <col min="1" max="1" width="4.59765625" customWidth="1"/>
    <col min="2" max="2" width="50.265625" bestFit="1" customWidth="1"/>
    <col min="3" max="3" width="27.3984375" bestFit="1" customWidth="1"/>
    <col min="4" max="4" width="8" customWidth="1"/>
    <col min="5" max="5" width="0" hidden="1" customWidth="1"/>
    <col min="6" max="6" width="9" customWidth="1"/>
    <col min="7" max="18" width="8" customWidth="1"/>
    <col min="31" max="31" width="0" hidden="1" customWidth="1"/>
  </cols>
  <sheetData>
    <row r="1" spans="1:61" ht="25.5">
      <c r="A1" s="973" t="s">
        <v>884</v>
      </c>
      <c r="B1" s="974"/>
      <c r="C1" s="974"/>
      <c r="D1" s="974"/>
      <c r="E1" s="974"/>
      <c r="F1" s="974"/>
      <c r="G1" s="974"/>
      <c r="H1" s="974"/>
      <c r="I1" s="974"/>
      <c r="J1" s="23"/>
      <c r="K1" s="23"/>
      <c r="L1" s="23"/>
      <c r="M1" s="29"/>
      <c r="N1" s="29"/>
      <c r="O1" s="29"/>
      <c r="P1" s="30"/>
      <c r="Q1" s="30"/>
      <c r="R1" s="30"/>
    </row>
    <row r="3" spans="1:61">
      <c r="A3" t="s">
        <v>0</v>
      </c>
    </row>
    <row r="5" spans="1:61">
      <c r="A5" t="s">
        <v>673</v>
      </c>
    </row>
    <row r="6" spans="1:61" ht="29.25" customHeight="1">
      <c r="A6" s="37"/>
      <c r="B6" s="37"/>
      <c r="C6" s="37"/>
      <c r="D6" s="37"/>
      <c r="E6" s="975" t="s">
        <v>2</v>
      </c>
      <c r="F6" s="34" t="s">
        <v>3</v>
      </c>
      <c r="G6" s="976" t="s">
        <v>880</v>
      </c>
      <c r="H6" s="976"/>
      <c r="I6" s="976"/>
      <c r="J6" s="976" t="s">
        <v>891</v>
      </c>
      <c r="K6" s="976"/>
      <c r="L6" s="976"/>
      <c r="M6" s="38"/>
      <c r="N6" s="39"/>
      <c r="O6" s="39" t="s">
        <v>895</v>
      </c>
      <c r="P6" s="38"/>
      <c r="Q6" s="39"/>
      <c r="R6" s="39" t="s">
        <v>896</v>
      </c>
      <c r="S6" s="38"/>
      <c r="T6" s="39"/>
      <c r="U6" s="39" t="s">
        <v>897</v>
      </c>
      <c r="V6" s="967" t="s">
        <v>898</v>
      </c>
      <c r="W6" s="967"/>
      <c r="X6" s="967"/>
      <c r="Y6" s="970" t="s">
        <v>901</v>
      </c>
      <c r="Z6" s="970"/>
      <c r="AA6" s="970"/>
      <c r="AB6" s="970" t="s">
        <v>902</v>
      </c>
      <c r="AC6" s="970"/>
      <c r="AD6" s="970"/>
      <c r="AE6" s="62" t="s">
        <v>4</v>
      </c>
      <c r="AF6" s="967" t="s">
        <v>3319</v>
      </c>
      <c r="AG6" s="967"/>
      <c r="AH6" s="967"/>
      <c r="AI6" s="967" t="s">
        <v>3312</v>
      </c>
      <c r="AJ6" s="967"/>
      <c r="AK6" s="967"/>
      <c r="AL6" s="967" t="s">
        <v>3313</v>
      </c>
      <c r="AM6" s="967"/>
      <c r="AN6" s="967"/>
      <c r="AO6" s="970" t="s">
        <v>3332</v>
      </c>
      <c r="AP6" s="970"/>
      <c r="AQ6" s="970"/>
      <c r="AR6" s="977" t="s">
        <v>3335</v>
      </c>
      <c r="AS6" s="977"/>
      <c r="AT6" s="977"/>
      <c r="AU6" s="967" t="s">
        <v>3349</v>
      </c>
      <c r="AV6" s="967"/>
      <c r="AW6" s="967"/>
      <c r="AX6" s="967" t="s">
        <v>3350</v>
      </c>
      <c r="AY6" s="967"/>
      <c r="AZ6" s="967"/>
      <c r="BA6" s="967" t="s">
        <v>3351</v>
      </c>
      <c r="BB6" s="967"/>
      <c r="BC6" s="967"/>
      <c r="BD6" s="970" t="s">
        <v>3317</v>
      </c>
      <c r="BE6" s="970"/>
      <c r="BF6" s="970"/>
      <c r="BG6" s="970" t="s">
        <v>3318</v>
      </c>
      <c r="BH6" s="970"/>
      <c r="BI6" s="970"/>
    </row>
    <row r="7" spans="1:61" ht="18.75" customHeight="1">
      <c r="A7" s="37" t="s">
        <v>5</v>
      </c>
      <c r="B7" s="34" t="s">
        <v>6</v>
      </c>
      <c r="C7" s="34" t="s">
        <v>7</v>
      </c>
      <c r="D7" s="34" t="s">
        <v>8</v>
      </c>
      <c r="E7" s="975"/>
      <c r="F7" s="34"/>
      <c r="G7" s="34" t="s">
        <v>9</v>
      </c>
      <c r="H7" s="37" t="s">
        <v>10</v>
      </c>
      <c r="I7" s="37" t="s">
        <v>11</v>
      </c>
      <c r="J7" s="34" t="s">
        <v>9</v>
      </c>
      <c r="K7" s="37" t="s">
        <v>10</v>
      </c>
      <c r="L7" s="37" t="s">
        <v>11</v>
      </c>
      <c r="M7" s="34" t="s">
        <v>9</v>
      </c>
      <c r="N7" s="37" t="s">
        <v>10</v>
      </c>
      <c r="O7" s="37" t="s">
        <v>11</v>
      </c>
      <c r="P7" s="34" t="s">
        <v>9</v>
      </c>
      <c r="Q7" s="37" t="s">
        <v>10</v>
      </c>
      <c r="R7" s="37" t="s">
        <v>11</v>
      </c>
      <c r="S7" s="34" t="s">
        <v>9</v>
      </c>
      <c r="T7" s="37" t="s">
        <v>10</v>
      </c>
      <c r="U7" s="37" t="s">
        <v>11</v>
      </c>
      <c r="V7" s="34" t="s">
        <v>9</v>
      </c>
      <c r="W7" s="34" t="s">
        <v>10</v>
      </c>
      <c r="X7" s="34" t="s">
        <v>11</v>
      </c>
      <c r="Y7" s="63" t="s">
        <v>9</v>
      </c>
      <c r="Z7" s="63" t="s">
        <v>10</v>
      </c>
      <c r="AA7" s="63" t="s">
        <v>11</v>
      </c>
      <c r="AB7" s="63" t="s">
        <v>9</v>
      </c>
      <c r="AC7" s="63" t="s">
        <v>10</v>
      </c>
      <c r="AD7" s="63" t="s">
        <v>11</v>
      </c>
      <c r="AE7" s="6"/>
      <c r="AF7" s="685" t="s">
        <v>9</v>
      </c>
      <c r="AG7" s="685" t="s">
        <v>10</v>
      </c>
      <c r="AH7" s="684" t="s">
        <v>11</v>
      </c>
      <c r="AI7" s="685" t="s">
        <v>9</v>
      </c>
      <c r="AJ7" s="685" t="s">
        <v>10</v>
      </c>
      <c r="AK7" s="685" t="s">
        <v>11</v>
      </c>
      <c r="AL7" s="685" t="s">
        <v>9</v>
      </c>
      <c r="AM7" s="685" t="s">
        <v>10</v>
      </c>
      <c r="AN7" s="685" t="s">
        <v>11</v>
      </c>
      <c r="AO7" s="63" t="s">
        <v>9</v>
      </c>
      <c r="AP7" s="63" t="s">
        <v>10</v>
      </c>
      <c r="AQ7" s="63" t="s">
        <v>11</v>
      </c>
      <c r="AR7" s="953" t="s">
        <v>9</v>
      </c>
      <c r="AS7" s="953" t="s">
        <v>10</v>
      </c>
      <c r="AT7" s="953" t="s">
        <v>11</v>
      </c>
      <c r="AU7" s="685" t="s">
        <v>9</v>
      </c>
      <c r="AV7" s="685" t="s">
        <v>10</v>
      </c>
      <c r="AW7" s="925" t="s">
        <v>2780</v>
      </c>
      <c r="AX7" s="925" t="s">
        <v>9</v>
      </c>
      <c r="AY7" s="925" t="s">
        <v>10</v>
      </c>
      <c r="AZ7" s="925" t="s">
        <v>2780</v>
      </c>
      <c r="BA7" s="925" t="s">
        <v>9</v>
      </c>
      <c r="BB7" s="925" t="s">
        <v>10</v>
      </c>
      <c r="BC7" s="925" t="s">
        <v>2780</v>
      </c>
      <c r="BD7" s="64"/>
      <c r="BE7" s="64"/>
      <c r="BF7" s="64"/>
      <c r="BG7" s="64"/>
      <c r="BH7" s="64"/>
      <c r="BI7" s="64"/>
    </row>
    <row r="8" spans="1:61" ht="18">
      <c r="A8" s="6">
        <v>1</v>
      </c>
      <c r="B8" s="16" t="s">
        <v>674</v>
      </c>
      <c r="C8" s="6" t="s">
        <v>675</v>
      </c>
      <c r="D8" s="6" t="s">
        <v>676</v>
      </c>
      <c r="E8" s="18" t="s">
        <v>403</v>
      </c>
      <c r="F8" s="6">
        <v>40</v>
      </c>
      <c r="G8" s="6">
        <v>50</v>
      </c>
      <c r="H8" s="6"/>
      <c r="I8" s="6">
        <f>SUM(G8:H8)</f>
        <v>50</v>
      </c>
      <c r="J8" s="6"/>
      <c r="K8" s="6"/>
      <c r="L8" s="6">
        <f>SUM(J8:K8)</f>
        <v>0</v>
      </c>
      <c r="M8" s="6">
        <v>30</v>
      </c>
      <c r="N8" s="6"/>
      <c r="O8" s="6">
        <f>SUM(M8:N8)</f>
        <v>30</v>
      </c>
      <c r="P8" s="6">
        <v>40</v>
      </c>
      <c r="Q8" s="6"/>
      <c r="R8" s="6">
        <f>SUM(P8:Q8)</f>
        <v>40</v>
      </c>
      <c r="S8" s="6">
        <v>60</v>
      </c>
      <c r="T8" s="6"/>
      <c r="U8" s="6">
        <f>SUM(S8:T8)</f>
        <v>60</v>
      </c>
      <c r="V8" s="6"/>
      <c r="W8" s="6"/>
      <c r="X8" s="6">
        <f>V8+W8</f>
        <v>0</v>
      </c>
      <c r="Y8" s="101">
        <f>G8+J8+M8+P8+S8+V8</f>
        <v>180</v>
      </c>
      <c r="Z8" s="64">
        <f>H8+K8+N8+Q8+T8+W8</f>
        <v>0</v>
      </c>
      <c r="AA8" s="64">
        <f>I8+L8+O8+R8+U8+X8</f>
        <v>180</v>
      </c>
      <c r="AB8" s="65">
        <f>Y8/6</f>
        <v>30</v>
      </c>
      <c r="AC8" s="65">
        <f>Z8/6</f>
        <v>0</v>
      </c>
      <c r="AD8" s="65">
        <f>AA8/6</f>
        <v>30</v>
      </c>
      <c r="AE8" s="35" t="s">
        <v>352</v>
      </c>
      <c r="AF8" s="6">
        <v>20</v>
      </c>
      <c r="AG8" s="6"/>
      <c r="AH8" s="906">
        <f>AF8+AG8</f>
        <v>20</v>
      </c>
      <c r="AI8" s="6"/>
      <c r="AJ8" s="6"/>
      <c r="AK8" s="98">
        <f>AI8+AJ8</f>
        <v>0</v>
      </c>
      <c r="AL8" s="6">
        <v>25</v>
      </c>
      <c r="AM8" s="6"/>
      <c r="AN8" s="98">
        <f>AL8+AM8</f>
        <v>25</v>
      </c>
      <c r="AO8" s="6">
        <f>Y8+AF8+AI8+AL8</f>
        <v>225</v>
      </c>
      <c r="AP8" s="6">
        <f>Z8+AG8+AJ8+AM8</f>
        <v>0</v>
      </c>
      <c r="AQ8" s="6">
        <f>AA8+AH8+AK8+AN8</f>
        <v>225</v>
      </c>
      <c r="AR8" s="954">
        <f>AO8/9</f>
        <v>25</v>
      </c>
      <c r="AS8" s="954">
        <f t="shared" ref="AS8:AT8" si="0">AP8/9</f>
        <v>0</v>
      </c>
      <c r="AT8" s="954">
        <f t="shared" si="0"/>
        <v>25</v>
      </c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spans="1:61" ht="18">
      <c r="A9" s="6">
        <v>2</v>
      </c>
      <c r="B9" s="16" t="s">
        <v>677</v>
      </c>
      <c r="C9" s="6" t="s">
        <v>675</v>
      </c>
      <c r="D9" s="6" t="s">
        <v>678</v>
      </c>
      <c r="E9" s="6" t="s">
        <v>347</v>
      </c>
      <c r="F9" s="6">
        <v>76</v>
      </c>
      <c r="G9" s="6">
        <v>40</v>
      </c>
      <c r="H9" s="6"/>
      <c r="I9" s="6">
        <f t="shared" ref="I9:I72" si="1">SUM(G9:H9)</f>
        <v>40</v>
      </c>
      <c r="J9" s="6">
        <v>40</v>
      </c>
      <c r="K9" s="6"/>
      <c r="L9" s="6">
        <f t="shared" ref="L9:L72" si="2">SUM(J9:K9)</f>
        <v>40</v>
      </c>
      <c r="M9" s="6">
        <v>60</v>
      </c>
      <c r="N9" s="6"/>
      <c r="O9" s="6">
        <f t="shared" ref="O9:O72" si="3">SUM(M9:N9)</f>
        <v>60</v>
      </c>
      <c r="P9" s="6">
        <v>50</v>
      </c>
      <c r="Q9" s="6"/>
      <c r="R9" s="6">
        <f t="shared" ref="R9:R72" si="4">SUM(P9:Q9)</f>
        <v>50</v>
      </c>
      <c r="S9" s="6">
        <v>70</v>
      </c>
      <c r="T9" s="6"/>
      <c r="U9" s="6">
        <f t="shared" ref="U9:U72" si="5">SUM(S9:T9)</f>
        <v>70</v>
      </c>
      <c r="V9" s="6"/>
      <c r="W9" s="6"/>
      <c r="X9" s="6">
        <f t="shared" ref="X9:X72" si="6">V9+W9</f>
        <v>0</v>
      </c>
      <c r="Y9" s="101">
        <f t="shared" ref="Y9:Y72" si="7">G9+J9+M9+P9+S9+V9</f>
        <v>260</v>
      </c>
      <c r="Z9" s="64">
        <f t="shared" ref="Z9:Z72" si="8">H9+K9+N9+Q9+T9+W9</f>
        <v>0</v>
      </c>
      <c r="AA9" s="64">
        <f t="shared" ref="AA9:AA72" si="9">I9+L9+O9+R9+U9+X9</f>
        <v>260</v>
      </c>
      <c r="AB9" s="65">
        <f t="shared" ref="AB9:AB72" si="10">Y9/6</f>
        <v>43.333333333333336</v>
      </c>
      <c r="AC9" s="65">
        <f t="shared" ref="AC9:AC72" si="11">Z9/6</f>
        <v>0</v>
      </c>
      <c r="AD9" s="65">
        <f t="shared" ref="AD9:AD72" si="12">AA9/6</f>
        <v>43.333333333333336</v>
      </c>
      <c r="AE9" s="35" t="s">
        <v>352</v>
      </c>
      <c r="AF9" s="6">
        <v>50</v>
      </c>
      <c r="AG9" s="6"/>
      <c r="AH9" s="906">
        <f t="shared" ref="AH9:AH72" si="13">AF9+AG9</f>
        <v>50</v>
      </c>
      <c r="AI9" s="6"/>
      <c r="AJ9" s="6"/>
      <c r="AK9" s="98">
        <f t="shared" ref="AK9:AK72" si="14">AI9+AJ9</f>
        <v>0</v>
      </c>
      <c r="AL9" s="6">
        <v>20</v>
      </c>
      <c r="AM9" s="6"/>
      <c r="AN9" s="98">
        <f t="shared" ref="AN9:AN72" si="15">AL9+AM9</f>
        <v>20</v>
      </c>
      <c r="AO9" s="6">
        <f t="shared" ref="AO9:AO72" si="16">Y9+AF9+AI9+AL9</f>
        <v>330</v>
      </c>
      <c r="AP9" s="6">
        <f t="shared" ref="AP9:AP72" si="17">Z9+AG9+AJ9+AM9</f>
        <v>0</v>
      </c>
      <c r="AQ9" s="6">
        <f t="shared" ref="AQ9:AQ72" si="18">AA9+AH9+AK9+AN9</f>
        <v>330</v>
      </c>
      <c r="AR9" s="955">
        <f t="shared" ref="AR9:AR23" si="19">AO9/9</f>
        <v>36.666666666666664</v>
      </c>
      <c r="AS9" s="955">
        <f t="shared" ref="AS9:AS28" si="20">AP9/9</f>
        <v>0</v>
      </c>
      <c r="AT9" s="955">
        <f t="shared" ref="AT9:AT28" si="21">AQ9/9</f>
        <v>36.666666666666664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61" ht="18">
      <c r="A10" s="6">
        <v>3</v>
      </c>
      <c r="B10" s="16" t="s">
        <v>679</v>
      </c>
      <c r="C10" s="6" t="s">
        <v>675</v>
      </c>
      <c r="D10" s="6" t="s">
        <v>680</v>
      </c>
      <c r="E10" s="18" t="s">
        <v>423</v>
      </c>
      <c r="F10" s="6">
        <v>40</v>
      </c>
      <c r="G10" s="6">
        <v>50</v>
      </c>
      <c r="H10" s="6"/>
      <c r="I10" s="6">
        <f t="shared" si="1"/>
        <v>50</v>
      </c>
      <c r="J10" s="6"/>
      <c r="K10" s="6"/>
      <c r="L10" s="6">
        <f t="shared" si="2"/>
        <v>0</v>
      </c>
      <c r="M10" s="6"/>
      <c r="N10" s="6"/>
      <c r="O10" s="6">
        <f t="shared" si="3"/>
        <v>0</v>
      </c>
      <c r="P10" s="6"/>
      <c r="Q10" s="6"/>
      <c r="R10" s="6">
        <f t="shared" si="4"/>
        <v>0</v>
      </c>
      <c r="S10" s="6"/>
      <c r="T10" s="6"/>
      <c r="U10" s="6">
        <f t="shared" si="5"/>
        <v>0</v>
      </c>
      <c r="V10" s="6"/>
      <c r="W10" s="6"/>
      <c r="X10" s="6">
        <f t="shared" si="6"/>
        <v>0</v>
      </c>
      <c r="Y10" s="101">
        <f t="shared" si="7"/>
        <v>50</v>
      </c>
      <c r="Z10" s="64">
        <f t="shared" si="8"/>
        <v>0</v>
      </c>
      <c r="AA10" s="64">
        <f t="shared" si="9"/>
        <v>50</v>
      </c>
      <c r="AB10" s="65">
        <f t="shared" si="10"/>
        <v>8.3333333333333339</v>
      </c>
      <c r="AC10" s="65">
        <f t="shared" si="11"/>
        <v>0</v>
      </c>
      <c r="AD10" s="65">
        <f t="shared" si="12"/>
        <v>8.3333333333333339</v>
      </c>
      <c r="AE10" s="35" t="s">
        <v>352</v>
      </c>
      <c r="AF10" s="6">
        <v>20</v>
      </c>
      <c r="AG10" s="6"/>
      <c r="AH10" s="906">
        <f t="shared" si="13"/>
        <v>20</v>
      </c>
      <c r="AI10" s="6"/>
      <c r="AJ10" s="6"/>
      <c r="AK10" s="98">
        <f t="shared" si="14"/>
        <v>0</v>
      </c>
      <c r="AL10" s="6"/>
      <c r="AM10" s="6"/>
      <c r="AN10" s="98">
        <f t="shared" si="15"/>
        <v>0</v>
      </c>
      <c r="AO10" s="6">
        <f t="shared" si="16"/>
        <v>70</v>
      </c>
      <c r="AP10" s="6">
        <f t="shared" si="17"/>
        <v>0</v>
      </c>
      <c r="AQ10" s="6">
        <f t="shared" si="18"/>
        <v>70</v>
      </c>
      <c r="AR10" s="955">
        <f t="shared" si="19"/>
        <v>7.7777777777777777</v>
      </c>
      <c r="AS10" s="955">
        <f t="shared" si="20"/>
        <v>0</v>
      </c>
      <c r="AT10" s="955">
        <f t="shared" si="21"/>
        <v>7.7777777777777777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spans="1:61" ht="18">
      <c r="A11" s="6">
        <v>4</v>
      </c>
      <c r="B11" s="16" t="s">
        <v>681</v>
      </c>
      <c r="C11" s="6" t="s">
        <v>675</v>
      </c>
      <c r="D11" s="6" t="s">
        <v>682</v>
      </c>
      <c r="E11" s="6" t="s">
        <v>351</v>
      </c>
      <c r="F11" s="6">
        <v>40</v>
      </c>
      <c r="G11" s="6">
        <v>20</v>
      </c>
      <c r="H11" s="6"/>
      <c r="I11" s="6">
        <f t="shared" si="1"/>
        <v>20</v>
      </c>
      <c r="J11" s="6">
        <v>60</v>
      </c>
      <c r="K11" s="6"/>
      <c r="L11" s="6">
        <f t="shared" si="2"/>
        <v>60</v>
      </c>
      <c r="M11" s="6"/>
      <c r="N11" s="6"/>
      <c r="O11" s="6">
        <f t="shared" si="3"/>
        <v>0</v>
      </c>
      <c r="P11" s="6"/>
      <c r="Q11" s="6"/>
      <c r="R11" s="6">
        <f t="shared" si="4"/>
        <v>0</v>
      </c>
      <c r="S11" s="6"/>
      <c r="T11" s="6"/>
      <c r="U11" s="6">
        <f t="shared" si="5"/>
        <v>0</v>
      </c>
      <c r="V11" s="6"/>
      <c r="W11" s="6"/>
      <c r="X11" s="6">
        <f t="shared" si="6"/>
        <v>0</v>
      </c>
      <c r="Y11" s="101">
        <f t="shared" si="7"/>
        <v>80</v>
      </c>
      <c r="Z11" s="64">
        <f t="shared" si="8"/>
        <v>0</v>
      </c>
      <c r="AA11" s="64">
        <f t="shared" si="9"/>
        <v>80</v>
      </c>
      <c r="AB11" s="65">
        <f t="shared" si="10"/>
        <v>13.333333333333334</v>
      </c>
      <c r="AC11" s="65">
        <f t="shared" si="11"/>
        <v>0</v>
      </c>
      <c r="AD11" s="65">
        <f t="shared" si="12"/>
        <v>13.333333333333334</v>
      </c>
      <c r="AE11" s="35" t="s">
        <v>352</v>
      </c>
      <c r="AF11" s="6"/>
      <c r="AG11" s="6"/>
      <c r="AH11" s="906">
        <f t="shared" si="13"/>
        <v>0</v>
      </c>
      <c r="AI11" s="6"/>
      <c r="AJ11" s="6"/>
      <c r="AK11" s="98">
        <f t="shared" si="14"/>
        <v>0</v>
      </c>
      <c r="AL11" s="6"/>
      <c r="AM11" s="6"/>
      <c r="AN11" s="98">
        <f t="shared" si="15"/>
        <v>0</v>
      </c>
      <c r="AO11" s="6">
        <f t="shared" si="16"/>
        <v>80</v>
      </c>
      <c r="AP11" s="6">
        <f t="shared" si="17"/>
        <v>0</v>
      </c>
      <c r="AQ11" s="6">
        <f t="shared" si="18"/>
        <v>80</v>
      </c>
      <c r="AR11" s="955">
        <f t="shared" si="19"/>
        <v>8.8888888888888893</v>
      </c>
      <c r="AS11" s="955">
        <f t="shared" si="20"/>
        <v>0</v>
      </c>
      <c r="AT11" s="955">
        <f t="shared" si="21"/>
        <v>8.8888888888888893</v>
      </c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spans="1:61" ht="18">
      <c r="A12" s="6">
        <v>5</v>
      </c>
      <c r="B12" s="16" t="s">
        <v>683</v>
      </c>
      <c r="C12" s="6" t="s">
        <v>675</v>
      </c>
      <c r="D12" s="6" t="s">
        <v>684</v>
      </c>
      <c r="E12" s="6" t="s">
        <v>347</v>
      </c>
      <c r="F12" s="6">
        <v>20</v>
      </c>
      <c r="G12" s="6"/>
      <c r="H12" s="6"/>
      <c r="I12" s="6">
        <f t="shared" si="1"/>
        <v>0</v>
      </c>
      <c r="J12" s="6"/>
      <c r="K12" s="6"/>
      <c r="L12" s="6">
        <f t="shared" si="2"/>
        <v>0</v>
      </c>
      <c r="M12" s="6">
        <v>38</v>
      </c>
      <c r="N12" s="6"/>
      <c r="O12" s="6">
        <f t="shared" si="3"/>
        <v>38</v>
      </c>
      <c r="P12" s="6"/>
      <c r="Q12" s="6"/>
      <c r="R12" s="6">
        <f t="shared" si="4"/>
        <v>0</v>
      </c>
      <c r="S12" s="6"/>
      <c r="T12" s="6"/>
      <c r="U12" s="6">
        <f t="shared" si="5"/>
        <v>0</v>
      </c>
      <c r="V12" s="6"/>
      <c r="W12" s="6"/>
      <c r="X12" s="6">
        <f t="shared" si="6"/>
        <v>0</v>
      </c>
      <c r="Y12" s="101">
        <f t="shared" si="7"/>
        <v>38</v>
      </c>
      <c r="Z12" s="64">
        <f t="shared" si="8"/>
        <v>0</v>
      </c>
      <c r="AA12" s="64">
        <f t="shared" si="9"/>
        <v>38</v>
      </c>
      <c r="AB12" s="65">
        <f t="shared" si="10"/>
        <v>6.333333333333333</v>
      </c>
      <c r="AC12" s="65">
        <f t="shared" si="11"/>
        <v>0</v>
      </c>
      <c r="AD12" s="65">
        <f t="shared" si="12"/>
        <v>6.333333333333333</v>
      </c>
      <c r="AE12" s="35" t="s">
        <v>352</v>
      </c>
      <c r="AF12" s="6">
        <v>10</v>
      </c>
      <c r="AG12" s="6"/>
      <c r="AH12" s="906">
        <f t="shared" si="13"/>
        <v>10</v>
      </c>
      <c r="AI12" s="6">
        <v>18</v>
      </c>
      <c r="AJ12" s="6"/>
      <c r="AK12" s="98">
        <f t="shared" si="14"/>
        <v>18</v>
      </c>
      <c r="AL12" s="6"/>
      <c r="AM12" s="6"/>
      <c r="AN12" s="98">
        <f t="shared" si="15"/>
        <v>0</v>
      </c>
      <c r="AO12" s="6">
        <f t="shared" si="16"/>
        <v>66</v>
      </c>
      <c r="AP12" s="6">
        <f t="shared" si="17"/>
        <v>0</v>
      </c>
      <c r="AQ12" s="6">
        <f t="shared" si="18"/>
        <v>66</v>
      </c>
      <c r="AR12" s="955">
        <f t="shared" si="19"/>
        <v>7.333333333333333</v>
      </c>
      <c r="AS12" s="955">
        <f t="shared" si="20"/>
        <v>0</v>
      </c>
      <c r="AT12" s="955">
        <f t="shared" si="21"/>
        <v>7.333333333333333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spans="1:61" ht="18">
      <c r="A13" s="6">
        <v>6</v>
      </c>
      <c r="B13" s="16" t="s">
        <v>685</v>
      </c>
      <c r="C13" s="6" t="s">
        <v>675</v>
      </c>
      <c r="D13" s="6" t="s">
        <v>686</v>
      </c>
      <c r="E13" s="6" t="s">
        <v>351</v>
      </c>
      <c r="F13" s="6">
        <v>50</v>
      </c>
      <c r="G13" s="6"/>
      <c r="H13" s="6"/>
      <c r="I13" s="6">
        <f t="shared" si="1"/>
        <v>0</v>
      </c>
      <c r="J13" s="6">
        <v>20</v>
      </c>
      <c r="K13" s="6"/>
      <c r="L13" s="6">
        <f t="shared" si="2"/>
        <v>20</v>
      </c>
      <c r="M13" s="6"/>
      <c r="N13" s="6"/>
      <c r="O13" s="6">
        <f t="shared" si="3"/>
        <v>0</v>
      </c>
      <c r="P13" s="6">
        <v>20</v>
      </c>
      <c r="Q13" s="6"/>
      <c r="R13" s="6">
        <f t="shared" si="4"/>
        <v>20</v>
      </c>
      <c r="S13" s="6"/>
      <c r="T13" s="6"/>
      <c r="U13" s="6">
        <f t="shared" si="5"/>
        <v>0</v>
      </c>
      <c r="V13" s="6"/>
      <c r="W13" s="6"/>
      <c r="X13" s="6">
        <f t="shared" si="6"/>
        <v>0</v>
      </c>
      <c r="Y13" s="101">
        <f t="shared" si="7"/>
        <v>40</v>
      </c>
      <c r="Z13" s="64">
        <f t="shared" si="8"/>
        <v>0</v>
      </c>
      <c r="AA13" s="64">
        <f t="shared" si="9"/>
        <v>40</v>
      </c>
      <c r="AB13" s="65">
        <f t="shared" si="10"/>
        <v>6.666666666666667</v>
      </c>
      <c r="AC13" s="65">
        <f t="shared" si="11"/>
        <v>0</v>
      </c>
      <c r="AD13" s="65">
        <f t="shared" si="12"/>
        <v>6.666666666666667</v>
      </c>
      <c r="AE13" s="35" t="s">
        <v>352</v>
      </c>
      <c r="AF13" s="6">
        <v>10</v>
      </c>
      <c r="AG13" s="6"/>
      <c r="AH13" s="906">
        <f t="shared" si="13"/>
        <v>10</v>
      </c>
      <c r="AI13" s="6">
        <v>100</v>
      </c>
      <c r="AJ13" s="6"/>
      <c r="AK13" s="98">
        <f t="shared" si="14"/>
        <v>100</v>
      </c>
      <c r="AL13" s="6"/>
      <c r="AM13" s="6"/>
      <c r="AN13" s="98">
        <f t="shared" si="15"/>
        <v>0</v>
      </c>
      <c r="AO13" s="6">
        <f t="shared" si="16"/>
        <v>150</v>
      </c>
      <c r="AP13" s="6">
        <f t="shared" si="17"/>
        <v>0</v>
      </c>
      <c r="AQ13" s="6">
        <f t="shared" si="18"/>
        <v>150</v>
      </c>
      <c r="AR13" s="955">
        <f t="shared" si="19"/>
        <v>16.666666666666668</v>
      </c>
      <c r="AS13" s="955">
        <f t="shared" si="20"/>
        <v>0</v>
      </c>
      <c r="AT13" s="955">
        <f t="shared" si="21"/>
        <v>16.666666666666668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spans="1:61" ht="18">
      <c r="A14" s="6">
        <v>7</v>
      </c>
      <c r="B14" s="16" t="s">
        <v>687</v>
      </c>
      <c r="C14" s="6" t="s">
        <v>675</v>
      </c>
      <c r="D14" s="6" t="s">
        <v>688</v>
      </c>
      <c r="E14" s="6" t="s">
        <v>347</v>
      </c>
      <c r="F14" s="6">
        <v>81</v>
      </c>
      <c r="G14" s="6">
        <v>58</v>
      </c>
      <c r="H14" s="6"/>
      <c r="I14" s="6">
        <f t="shared" si="1"/>
        <v>58</v>
      </c>
      <c r="J14" s="6"/>
      <c r="K14" s="6"/>
      <c r="L14" s="6">
        <f t="shared" si="2"/>
        <v>0</v>
      </c>
      <c r="M14" s="6"/>
      <c r="N14" s="6"/>
      <c r="O14" s="6">
        <f t="shared" si="3"/>
        <v>0</v>
      </c>
      <c r="P14" s="6"/>
      <c r="Q14" s="6"/>
      <c r="R14" s="6">
        <f t="shared" si="4"/>
        <v>0</v>
      </c>
      <c r="S14" s="6"/>
      <c r="T14" s="6"/>
      <c r="U14" s="6">
        <f t="shared" si="5"/>
        <v>0</v>
      </c>
      <c r="V14" s="6">
        <v>53</v>
      </c>
      <c r="W14" s="6"/>
      <c r="X14" s="6">
        <f t="shared" si="6"/>
        <v>53</v>
      </c>
      <c r="Y14" s="101">
        <f t="shared" si="7"/>
        <v>111</v>
      </c>
      <c r="Z14" s="64">
        <f t="shared" si="8"/>
        <v>0</v>
      </c>
      <c r="AA14" s="64">
        <f t="shared" si="9"/>
        <v>111</v>
      </c>
      <c r="AB14" s="65">
        <f t="shared" si="10"/>
        <v>18.5</v>
      </c>
      <c r="AC14" s="65">
        <f t="shared" si="11"/>
        <v>0</v>
      </c>
      <c r="AD14" s="65">
        <f t="shared" si="12"/>
        <v>18.5</v>
      </c>
      <c r="AE14" s="35" t="s">
        <v>352</v>
      </c>
      <c r="AF14" s="6">
        <v>86</v>
      </c>
      <c r="AG14" s="6"/>
      <c r="AH14" s="906">
        <f t="shared" si="13"/>
        <v>86</v>
      </c>
      <c r="AI14" s="6"/>
      <c r="AJ14" s="6"/>
      <c r="AK14" s="98">
        <f t="shared" si="14"/>
        <v>0</v>
      </c>
      <c r="AL14" s="6">
        <v>116</v>
      </c>
      <c r="AM14" s="6"/>
      <c r="AN14" s="98">
        <f t="shared" si="15"/>
        <v>116</v>
      </c>
      <c r="AO14" s="6">
        <f t="shared" si="16"/>
        <v>313</v>
      </c>
      <c r="AP14" s="6">
        <f t="shared" si="17"/>
        <v>0</v>
      </c>
      <c r="AQ14" s="6">
        <f t="shared" si="18"/>
        <v>313</v>
      </c>
      <c r="AR14" s="955">
        <f t="shared" si="19"/>
        <v>34.777777777777779</v>
      </c>
      <c r="AS14" s="955">
        <f t="shared" si="20"/>
        <v>0</v>
      </c>
      <c r="AT14" s="955">
        <f t="shared" si="21"/>
        <v>34.777777777777779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 spans="1:61" ht="18">
      <c r="A15" s="6">
        <v>8</v>
      </c>
      <c r="B15" s="16" t="s">
        <v>893</v>
      </c>
      <c r="C15" s="6" t="s">
        <v>675</v>
      </c>
      <c r="D15" s="6" t="s">
        <v>689</v>
      </c>
      <c r="E15" s="18" t="s">
        <v>423</v>
      </c>
      <c r="F15" s="6">
        <v>20</v>
      </c>
      <c r="G15" s="6">
        <v>20</v>
      </c>
      <c r="H15" s="6"/>
      <c r="I15" s="6">
        <f t="shared" si="1"/>
        <v>20</v>
      </c>
      <c r="J15" s="6">
        <v>20</v>
      </c>
      <c r="K15" s="6"/>
      <c r="L15" s="6">
        <f t="shared" si="2"/>
        <v>20</v>
      </c>
      <c r="M15" s="6"/>
      <c r="N15" s="6"/>
      <c r="O15" s="6">
        <f t="shared" si="3"/>
        <v>0</v>
      </c>
      <c r="P15" s="6">
        <v>20</v>
      </c>
      <c r="Q15" s="6"/>
      <c r="R15" s="6">
        <f t="shared" si="4"/>
        <v>20</v>
      </c>
      <c r="S15" s="6"/>
      <c r="T15" s="6"/>
      <c r="U15" s="6">
        <f t="shared" si="5"/>
        <v>0</v>
      </c>
      <c r="V15" s="6"/>
      <c r="W15" s="6"/>
      <c r="X15" s="6">
        <f t="shared" si="6"/>
        <v>0</v>
      </c>
      <c r="Y15" s="101">
        <f t="shared" si="7"/>
        <v>60</v>
      </c>
      <c r="Z15" s="64">
        <f t="shared" si="8"/>
        <v>0</v>
      </c>
      <c r="AA15" s="64">
        <f t="shared" si="9"/>
        <v>60</v>
      </c>
      <c r="AB15" s="65">
        <f t="shared" si="10"/>
        <v>10</v>
      </c>
      <c r="AC15" s="65">
        <f t="shared" si="11"/>
        <v>0</v>
      </c>
      <c r="AD15" s="65">
        <f t="shared" si="12"/>
        <v>10</v>
      </c>
      <c r="AE15" s="35" t="s">
        <v>352</v>
      </c>
      <c r="AF15" s="6">
        <v>5</v>
      </c>
      <c r="AG15" s="6"/>
      <c r="AH15" s="906">
        <f t="shared" si="13"/>
        <v>5</v>
      </c>
      <c r="AI15" s="6"/>
      <c r="AJ15" s="6"/>
      <c r="AK15" s="98">
        <f t="shared" si="14"/>
        <v>0</v>
      </c>
      <c r="AL15" s="6"/>
      <c r="AM15" s="6"/>
      <c r="AN15" s="98">
        <f t="shared" si="15"/>
        <v>0</v>
      </c>
      <c r="AO15" s="6">
        <f t="shared" si="16"/>
        <v>65</v>
      </c>
      <c r="AP15" s="6">
        <f t="shared" si="17"/>
        <v>0</v>
      </c>
      <c r="AQ15" s="6">
        <f t="shared" si="18"/>
        <v>65</v>
      </c>
      <c r="AR15" s="955">
        <f t="shared" si="19"/>
        <v>7.2222222222222223</v>
      </c>
      <c r="AS15" s="955">
        <f t="shared" si="20"/>
        <v>0</v>
      </c>
      <c r="AT15" s="955">
        <f t="shared" si="21"/>
        <v>7.2222222222222223</v>
      </c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spans="1:61" ht="18">
      <c r="A16" s="6">
        <v>9</v>
      </c>
      <c r="B16" s="16" t="s">
        <v>690</v>
      </c>
      <c r="C16" s="6" t="s">
        <v>675</v>
      </c>
      <c r="D16" s="6" t="s">
        <v>691</v>
      </c>
      <c r="E16" s="6" t="s">
        <v>692</v>
      </c>
      <c r="F16" s="6">
        <v>40</v>
      </c>
      <c r="G16" s="6">
        <v>20</v>
      </c>
      <c r="H16" s="6"/>
      <c r="I16" s="6">
        <f t="shared" si="1"/>
        <v>20</v>
      </c>
      <c r="J16" s="6"/>
      <c r="K16" s="6"/>
      <c r="L16" s="6">
        <f t="shared" si="2"/>
        <v>0</v>
      </c>
      <c r="M16" s="6">
        <v>25</v>
      </c>
      <c r="N16" s="6"/>
      <c r="O16" s="6">
        <f t="shared" si="3"/>
        <v>25</v>
      </c>
      <c r="P16" s="6"/>
      <c r="Q16" s="6"/>
      <c r="R16" s="6">
        <f t="shared" si="4"/>
        <v>0</v>
      </c>
      <c r="S16" s="6"/>
      <c r="T16" s="6"/>
      <c r="U16" s="6">
        <f t="shared" si="5"/>
        <v>0</v>
      </c>
      <c r="V16" s="6"/>
      <c r="W16" s="6"/>
      <c r="X16" s="6">
        <f t="shared" si="6"/>
        <v>0</v>
      </c>
      <c r="Y16" s="101">
        <f t="shared" si="7"/>
        <v>45</v>
      </c>
      <c r="Z16" s="64">
        <f t="shared" si="8"/>
        <v>0</v>
      </c>
      <c r="AA16" s="64">
        <f t="shared" si="9"/>
        <v>45</v>
      </c>
      <c r="AB16" s="65">
        <f t="shared" si="10"/>
        <v>7.5</v>
      </c>
      <c r="AC16" s="65">
        <f t="shared" si="11"/>
        <v>0</v>
      </c>
      <c r="AD16" s="65">
        <f t="shared" si="12"/>
        <v>7.5</v>
      </c>
      <c r="AE16" s="35" t="s">
        <v>352</v>
      </c>
      <c r="AF16" s="6">
        <v>50</v>
      </c>
      <c r="AG16" s="6"/>
      <c r="AH16" s="906">
        <f t="shared" si="13"/>
        <v>50</v>
      </c>
      <c r="AI16" s="6">
        <v>25</v>
      </c>
      <c r="AJ16" s="6"/>
      <c r="AK16" s="98">
        <f t="shared" si="14"/>
        <v>25</v>
      </c>
      <c r="AL16" s="6">
        <v>50</v>
      </c>
      <c r="AM16" s="6"/>
      <c r="AN16" s="98">
        <f t="shared" si="15"/>
        <v>50</v>
      </c>
      <c r="AO16" s="6">
        <f t="shared" si="16"/>
        <v>170</v>
      </c>
      <c r="AP16" s="6">
        <f t="shared" si="17"/>
        <v>0</v>
      </c>
      <c r="AQ16" s="6">
        <f t="shared" si="18"/>
        <v>170</v>
      </c>
      <c r="AR16" s="955">
        <f t="shared" si="19"/>
        <v>18.888888888888889</v>
      </c>
      <c r="AS16" s="955">
        <f t="shared" si="20"/>
        <v>0</v>
      </c>
      <c r="AT16" s="955">
        <f t="shared" si="21"/>
        <v>18.888888888888889</v>
      </c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spans="1:61" ht="18">
      <c r="A17" s="6">
        <v>10</v>
      </c>
      <c r="B17" s="16" t="s">
        <v>693</v>
      </c>
      <c r="C17" s="6" t="s">
        <v>675</v>
      </c>
      <c r="D17" s="6" t="s">
        <v>694</v>
      </c>
      <c r="E17" s="6" t="s">
        <v>695</v>
      </c>
      <c r="F17" s="6">
        <v>10</v>
      </c>
      <c r="G17" s="6">
        <v>10</v>
      </c>
      <c r="H17" s="6"/>
      <c r="I17" s="6">
        <f t="shared" si="1"/>
        <v>10</v>
      </c>
      <c r="J17" s="6"/>
      <c r="K17" s="6"/>
      <c r="L17" s="6">
        <f t="shared" si="2"/>
        <v>0</v>
      </c>
      <c r="M17" s="6"/>
      <c r="N17" s="6"/>
      <c r="O17" s="6">
        <f t="shared" si="3"/>
        <v>0</v>
      </c>
      <c r="P17" s="6"/>
      <c r="Q17" s="6"/>
      <c r="R17" s="6">
        <f t="shared" si="4"/>
        <v>0</v>
      </c>
      <c r="S17" s="6"/>
      <c r="T17" s="6"/>
      <c r="U17" s="6">
        <f t="shared" si="5"/>
        <v>0</v>
      </c>
      <c r="V17" s="6"/>
      <c r="W17" s="6"/>
      <c r="X17" s="6">
        <f t="shared" si="6"/>
        <v>0</v>
      </c>
      <c r="Y17" s="101">
        <f t="shared" si="7"/>
        <v>10</v>
      </c>
      <c r="Z17" s="64">
        <f t="shared" si="8"/>
        <v>0</v>
      </c>
      <c r="AA17" s="64">
        <f t="shared" si="9"/>
        <v>10</v>
      </c>
      <c r="AB17" s="65">
        <f t="shared" si="10"/>
        <v>1.6666666666666667</v>
      </c>
      <c r="AC17" s="65">
        <f t="shared" si="11"/>
        <v>0</v>
      </c>
      <c r="AD17" s="65">
        <f t="shared" si="12"/>
        <v>1.6666666666666667</v>
      </c>
      <c r="AE17" s="35" t="s">
        <v>352</v>
      </c>
      <c r="AF17" s="6"/>
      <c r="AG17" s="6"/>
      <c r="AH17" s="906">
        <f t="shared" si="13"/>
        <v>0</v>
      </c>
      <c r="AI17" s="6"/>
      <c r="AJ17" s="6"/>
      <c r="AK17" s="98">
        <f t="shared" si="14"/>
        <v>0</v>
      </c>
      <c r="AL17" s="6"/>
      <c r="AM17" s="6"/>
      <c r="AN17" s="98">
        <f t="shared" si="15"/>
        <v>0</v>
      </c>
      <c r="AO17" s="6">
        <f t="shared" si="16"/>
        <v>10</v>
      </c>
      <c r="AP17" s="6">
        <f t="shared" si="17"/>
        <v>0</v>
      </c>
      <c r="AQ17" s="6">
        <f t="shared" si="18"/>
        <v>10</v>
      </c>
      <c r="AR17" s="955">
        <f t="shared" si="19"/>
        <v>1.1111111111111112</v>
      </c>
      <c r="AS17" s="955">
        <f t="shared" si="20"/>
        <v>0</v>
      </c>
      <c r="AT17" s="955">
        <f t="shared" si="21"/>
        <v>1.1111111111111112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spans="1:61" ht="18">
      <c r="A18" s="6">
        <v>11</v>
      </c>
      <c r="B18" s="16" t="s">
        <v>696</v>
      </c>
      <c r="C18" s="6" t="s">
        <v>675</v>
      </c>
      <c r="D18" s="6" t="s">
        <v>697</v>
      </c>
      <c r="E18" s="6" t="s">
        <v>692</v>
      </c>
      <c r="F18" s="6">
        <v>20</v>
      </c>
      <c r="G18" s="6"/>
      <c r="H18" s="6"/>
      <c r="I18" s="6">
        <f t="shared" si="1"/>
        <v>0</v>
      </c>
      <c r="J18" s="6"/>
      <c r="K18" s="6"/>
      <c r="L18" s="6">
        <f t="shared" si="2"/>
        <v>0</v>
      </c>
      <c r="M18" s="6"/>
      <c r="N18" s="6"/>
      <c r="O18" s="6">
        <f t="shared" si="3"/>
        <v>0</v>
      </c>
      <c r="P18" s="6"/>
      <c r="Q18" s="6"/>
      <c r="R18" s="6">
        <f t="shared" si="4"/>
        <v>0</v>
      </c>
      <c r="S18" s="6">
        <v>60</v>
      </c>
      <c r="T18" s="6"/>
      <c r="U18" s="6">
        <f t="shared" si="5"/>
        <v>60</v>
      </c>
      <c r="V18" s="6"/>
      <c r="W18" s="6"/>
      <c r="X18" s="6">
        <f t="shared" si="6"/>
        <v>0</v>
      </c>
      <c r="Y18" s="101">
        <f t="shared" si="7"/>
        <v>60</v>
      </c>
      <c r="Z18" s="64">
        <f t="shared" si="8"/>
        <v>0</v>
      </c>
      <c r="AA18" s="64">
        <f t="shared" si="9"/>
        <v>60</v>
      </c>
      <c r="AB18" s="65">
        <f t="shared" si="10"/>
        <v>10</v>
      </c>
      <c r="AC18" s="65">
        <f t="shared" si="11"/>
        <v>0</v>
      </c>
      <c r="AD18" s="65">
        <f t="shared" si="12"/>
        <v>10</v>
      </c>
      <c r="AE18" s="35" t="s">
        <v>352</v>
      </c>
      <c r="AF18" s="6">
        <v>5</v>
      </c>
      <c r="AG18" s="6"/>
      <c r="AH18" s="906">
        <f t="shared" si="13"/>
        <v>5</v>
      </c>
      <c r="AI18" s="6"/>
      <c r="AJ18" s="6"/>
      <c r="AK18" s="98">
        <f t="shared" si="14"/>
        <v>0</v>
      </c>
      <c r="AL18" s="6"/>
      <c r="AM18" s="6"/>
      <c r="AN18" s="98">
        <f t="shared" si="15"/>
        <v>0</v>
      </c>
      <c r="AO18" s="6">
        <f t="shared" si="16"/>
        <v>65</v>
      </c>
      <c r="AP18" s="6">
        <f t="shared" si="17"/>
        <v>0</v>
      </c>
      <c r="AQ18" s="6">
        <f t="shared" si="18"/>
        <v>65</v>
      </c>
      <c r="AR18" s="955">
        <f t="shared" si="19"/>
        <v>7.2222222222222223</v>
      </c>
      <c r="AS18" s="955">
        <f t="shared" si="20"/>
        <v>0</v>
      </c>
      <c r="AT18" s="955">
        <f t="shared" si="21"/>
        <v>7.2222222222222223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spans="1:61" ht="18">
      <c r="A19" s="6">
        <v>12</v>
      </c>
      <c r="B19" s="16" t="s">
        <v>698</v>
      </c>
      <c r="C19" s="6" t="s">
        <v>675</v>
      </c>
      <c r="D19" s="6" t="s">
        <v>699</v>
      </c>
      <c r="E19" s="6" t="s">
        <v>351</v>
      </c>
      <c r="F19" s="6">
        <v>40</v>
      </c>
      <c r="G19" s="6">
        <v>40</v>
      </c>
      <c r="H19" s="6"/>
      <c r="I19" s="6">
        <f t="shared" si="1"/>
        <v>40</v>
      </c>
      <c r="J19" s="6"/>
      <c r="K19" s="6"/>
      <c r="L19" s="6">
        <f t="shared" si="2"/>
        <v>0</v>
      </c>
      <c r="M19" s="6"/>
      <c r="N19" s="6"/>
      <c r="O19" s="6">
        <f t="shared" si="3"/>
        <v>0</v>
      </c>
      <c r="P19" s="6">
        <v>50</v>
      </c>
      <c r="Q19" s="6"/>
      <c r="R19" s="6">
        <f t="shared" si="4"/>
        <v>50</v>
      </c>
      <c r="S19" s="6">
        <v>80</v>
      </c>
      <c r="T19" s="6"/>
      <c r="U19" s="6">
        <f t="shared" si="5"/>
        <v>80</v>
      </c>
      <c r="V19" s="6"/>
      <c r="W19" s="6"/>
      <c r="X19" s="6">
        <f t="shared" si="6"/>
        <v>0</v>
      </c>
      <c r="Y19" s="101">
        <f t="shared" si="7"/>
        <v>170</v>
      </c>
      <c r="Z19" s="64">
        <f t="shared" si="8"/>
        <v>0</v>
      </c>
      <c r="AA19" s="64">
        <f t="shared" si="9"/>
        <v>170</v>
      </c>
      <c r="AB19" s="65">
        <f t="shared" si="10"/>
        <v>28.333333333333332</v>
      </c>
      <c r="AC19" s="65">
        <f t="shared" si="11"/>
        <v>0</v>
      </c>
      <c r="AD19" s="65">
        <f t="shared" si="12"/>
        <v>28.333333333333332</v>
      </c>
      <c r="AE19" s="35" t="s">
        <v>352</v>
      </c>
      <c r="AF19" s="6"/>
      <c r="AG19" s="6"/>
      <c r="AH19" s="906">
        <f t="shared" si="13"/>
        <v>0</v>
      </c>
      <c r="AI19" s="6">
        <v>25</v>
      </c>
      <c r="AJ19" s="6"/>
      <c r="AK19" s="98">
        <f t="shared" si="14"/>
        <v>25</v>
      </c>
      <c r="AL19" s="6">
        <v>40</v>
      </c>
      <c r="AM19" s="6"/>
      <c r="AN19" s="98">
        <f t="shared" si="15"/>
        <v>40</v>
      </c>
      <c r="AO19" s="6">
        <f t="shared" si="16"/>
        <v>235</v>
      </c>
      <c r="AP19" s="6">
        <f t="shared" si="17"/>
        <v>0</v>
      </c>
      <c r="AQ19" s="6">
        <f t="shared" si="18"/>
        <v>235</v>
      </c>
      <c r="AR19" s="955">
        <f t="shared" si="19"/>
        <v>26.111111111111111</v>
      </c>
      <c r="AS19" s="955">
        <f t="shared" si="20"/>
        <v>0</v>
      </c>
      <c r="AT19" s="955">
        <f t="shared" si="21"/>
        <v>26.111111111111111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spans="1:61" ht="18">
      <c r="A20" s="6">
        <v>13</v>
      </c>
      <c r="B20" s="16" t="s">
        <v>700</v>
      </c>
      <c r="C20" s="6" t="s">
        <v>675</v>
      </c>
      <c r="D20" s="6" t="s">
        <v>701</v>
      </c>
      <c r="E20" s="19" t="s">
        <v>355</v>
      </c>
      <c r="F20" s="6">
        <v>10</v>
      </c>
      <c r="G20" s="6">
        <v>43</v>
      </c>
      <c r="H20" s="6"/>
      <c r="I20" s="6">
        <f t="shared" si="1"/>
        <v>43</v>
      </c>
      <c r="J20" s="6"/>
      <c r="K20" s="6"/>
      <c r="L20" s="6">
        <f t="shared" si="2"/>
        <v>0</v>
      </c>
      <c r="M20" s="6"/>
      <c r="N20" s="6"/>
      <c r="O20" s="6">
        <f t="shared" si="3"/>
        <v>0</v>
      </c>
      <c r="P20" s="6"/>
      <c r="Q20" s="6"/>
      <c r="R20" s="6">
        <f t="shared" si="4"/>
        <v>0</v>
      </c>
      <c r="S20" s="6">
        <v>100</v>
      </c>
      <c r="T20" s="6"/>
      <c r="U20" s="6">
        <f t="shared" si="5"/>
        <v>100</v>
      </c>
      <c r="V20" s="6">
        <v>50</v>
      </c>
      <c r="W20" s="6"/>
      <c r="X20" s="6">
        <f t="shared" si="6"/>
        <v>50</v>
      </c>
      <c r="Y20" s="101">
        <f t="shared" si="7"/>
        <v>193</v>
      </c>
      <c r="Z20" s="64">
        <f t="shared" si="8"/>
        <v>0</v>
      </c>
      <c r="AA20" s="64">
        <f t="shared" si="9"/>
        <v>193</v>
      </c>
      <c r="AB20" s="65">
        <f t="shared" si="10"/>
        <v>32.166666666666664</v>
      </c>
      <c r="AC20" s="65">
        <f t="shared" si="11"/>
        <v>0</v>
      </c>
      <c r="AD20" s="65">
        <f t="shared" si="12"/>
        <v>32.166666666666664</v>
      </c>
      <c r="AE20" s="35" t="s">
        <v>352</v>
      </c>
      <c r="AF20" s="6">
        <v>50</v>
      </c>
      <c r="AG20" s="6"/>
      <c r="AH20" s="906">
        <f t="shared" si="13"/>
        <v>50</v>
      </c>
      <c r="AI20" s="6"/>
      <c r="AJ20" s="6"/>
      <c r="AK20" s="98">
        <f t="shared" si="14"/>
        <v>0</v>
      </c>
      <c r="AL20" s="6">
        <v>300</v>
      </c>
      <c r="AM20" s="6"/>
      <c r="AN20" s="98">
        <f t="shared" si="15"/>
        <v>300</v>
      </c>
      <c r="AO20" s="6">
        <f t="shared" si="16"/>
        <v>543</v>
      </c>
      <c r="AP20" s="6">
        <f t="shared" si="17"/>
        <v>0</v>
      </c>
      <c r="AQ20" s="6">
        <f t="shared" si="18"/>
        <v>543</v>
      </c>
      <c r="AR20" s="955">
        <f t="shared" si="19"/>
        <v>60.333333333333336</v>
      </c>
      <c r="AS20" s="955">
        <f t="shared" si="20"/>
        <v>0</v>
      </c>
      <c r="AT20" s="955">
        <f t="shared" si="21"/>
        <v>60.333333333333336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spans="1:61" ht="18">
      <c r="A21" s="6">
        <v>14</v>
      </c>
      <c r="B21" s="16" t="s">
        <v>892</v>
      </c>
      <c r="C21" s="6" t="s">
        <v>675</v>
      </c>
      <c r="D21" s="6" t="s">
        <v>702</v>
      </c>
      <c r="E21" s="6" t="s">
        <v>695</v>
      </c>
      <c r="F21" s="6">
        <v>10</v>
      </c>
      <c r="G21" s="6"/>
      <c r="H21" s="6"/>
      <c r="I21" s="6">
        <f t="shared" si="1"/>
        <v>0</v>
      </c>
      <c r="J21" s="6">
        <v>50</v>
      </c>
      <c r="K21" s="6"/>
      <c r="L21" s="6">
        <f t="shared" si="2"/>
        <v>50</v>
      </c>
      <c r="M21" s="6"/>
      <c r="N21" s="6"/>
      <c r="O21" s="6">
        <f t="shared" si="3"/>
        <v>0</v>
      </c>
      <c r="P21" s="6"/>
      <c r="Q21" s="6"/>
      <c r="R21" s="6">
        <f t="shared" si="4"/>
        <v>0</v>
      </c>
      <c r="S21" s="6"/>
      <c r="T21" s="6"/>
      <c r="U21" s="6">
        <f t="shared" si="5"/>
        <v>0</v>
      </c>
      <c r="V21" s="6"/>
      <c r="W21" s="6"/>
      <c r="X21" s="6">
        <f t="shared" si="6"/>
        <v>0</v>
      </c>
      <c r="Y21" s="101">
        <f t="shared" si="7"/>
        <v>50</v>
      </c>
      <c r="Z21" s="64">
        <f t="shared" si="8"/>
        <v>0</v>
      </c>
      <c r="AA21" s="64">
        <f t="shared" si="9"/>
        <v>50</v>
      </c>
      <c r="AB21" s="65">
        <f t="shared" si="10"/>
        <v>8.3333333333333339</v>
      </c>
      <c r="AC21" s="65">
        <f t="shared" si="11"/>
        <v>0</v>
      </c>
      <c r="AD21" s="65">
        <f t="shared" si="12"/>
        <v>8.3333333333333339</v>
      </c>
      <c r="AE21" s="35" t="s">
        <v>352</v>
      </c>
      <c r="AF21" s="6">
        <v>50</v>
      </c>
      <c r="AG21" s="6"/>
      <c r="AH21" s="906">
        <f t="shared" si="13"/>
        <v>50</v>
      </c>
      <c r="AI21" s="6"/>
      <c r="AJ21" s="6"/>
      <c r="AK21" s="98">
        <f t="shared" si="14"/>
        <v>0</v>
      </c>
      <c r="AL21" s="6"/>
      <c r="AM21" s="6"/>
      <c r="AN21" s="98">
        <f t="shared" si="15"/>
        <v>0</v>
      </c>
      <c r="AO21" s="6">
        <f t="shared" si="16"/>
        <v>100</v>
      </c>
      <c r="AP21" s="6">
        <f t="shared" si="17"/>
        <v>0</v>
      </c>
      <c r="AQ21" s="6">
        <f t="shared" si="18"/>
        <v>100</v>
      </c>
      <c r="AR21" s="955">
        <f t="shared" si="19"/>
        <v>11.111111111111111</v>
      </c>
      <c r="AS21" s="955">
        <f t="shared" si="20"/>
        <v>0</v>
      </c>
      <c r="AT21" s="955">
        <f t="shared" si="21"/>
        <v>11.111111111111111</v>
      </c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spans="1:61" ht="18" hidden="1">
      <c r="A22" s="6">
        <v>15</v>
      </c>
      <c r="B22" s="16" t="s">
        <v>2825</v>
      </c>
      <c r="C22" s="6" t="s">
        <v>675</v>
      </c>
      <c r="D22" s="6" t="s">
        <v>703</v>
      </c>
      <c r="E22" s="18" t="s">
        <v>423</v>
      </c>
      <c r="F22" s="6">
        <v>10</v>
      </c>
      <c r="G22" s="6"/>
      <c r="H22" s="6"/>
      <c r="I22" s="6">
        <f t="shared" si="1"/>
        <v>0</v>
      </c>
      <c r="J22" s="6"/>
      <c r="K22" s="6"/>
      <c r="L22" s="6">
        <f t="shared" si="2"/>
        <v>0</v>
      </c>
      <c r="M22" s="6"/>
      <c r="N22" s="6"/>
      <c r="O22" s="6">
        <f t="shared" si="3"/>
        <v>0</v>
      </c>
      <c r="P22" s="6"/>
      <c r="Q22" s="6"/>
      <c r="R22" s="6">
        <f t="shared" si="4"/>
        <v>0</v>
      </c>
      <c r="S22" s="6"/>
      <c r="T22" s="6"/>
      <c r="U22" s="6">
        <f t="shared" si="5"/>
        <v>0</v>
      </c>
      <c r="V22" s="6"/>
      <c r="W22" s="6"/>
      <c r="X22" s="6">
        <f t="shared" si="6"/>
        <v>0</v>
      </c>
      <c r="Y22" s="101">
        <f t="shared" si="7"/>
        <v>0</v>
      </c>
      <c r="Z22" s="64">
        <f t="shared" si="8"/>
        <v>0</v>
      </c>
      <c r="AA22" s="64">
        <f t="shared" si="9"/>
        <v>0</v>
      </c>
      <c r="AB22" s="65">
        <f t="shared" si="10"/>
        <v>0</v>
      </c>
      <c r="AC22" s="65">
        <f t="shared" si="11"/>
        <v>0</v>
      </c>
      <c r="AD22" s="65">
        <f t="shared" si="12"/>
        <v>0</v>
      </c>
      <c r="AE22" s="35" t="s">
        <v>352</v>
      </c>
      <c r="AF22" s="6"/>
      <c r="AG22" s="6"/>
      <c r="AH22" s="906">
        <f t="shared" si="13"/>
        <v>0</v>
      </c>
      <c r="AI22" s="6"/>
      <c r="AJ22" s="6"/>
      <c r="AK22" s="98">
        <f t="shared" si="14"/>
        <v>0</v>
      </c>
      <c r="AL22" s="6"/>
      <c r="AM22" s="6"/>
      <c r="AN22" s="98">
        <f t="shared" si="15"/>
        <v>0</v>
      </c>
      <c r="AO22" s="6">
        <f t="shared" si="16"/>
        <v>0</v>
      </c>
      <c r="AP22" s="6">
        <f t="shared" si="17"/>
        <v>0</v>
      </c>
      <c r="AQ22" s="6">
        <f t="shared" si="18"/>
        <v>0</v>
      </c>
      <c r="AR22" s="955">
        <f t="shared" si="19"/>
        <v>0</v>
      </c>
      <c r="AS22" s="955">
        <f t="shared" si="20"/>
        <v>0</v>
      </c>
      <c r="AT22" s="955">
        <f t="shared" si="21"/>
        <v>0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spans="1:61" ht="18">
      <c r="A23" s="6">
        <v>16</v>
      </c>
      <c r="B23" s="16" t="s">
        <v>704</v>
      </c>
      <c r="C23" s="6" t="s">
        <v>675</v>
      </c>
      <c r="D23" s="6" t="s">
        <v>705</v>
      </c>
      <c r="E23" s="6" t="s">
        <v>355</v>
      </c>
      <c r="F23" s="6">
        <v>40</v>
      </c>
      <c r="G23" s="6"/>
      <c r="H23" s="6"/>
      <c r="I23" s="6">
        <f t="shared" si="1"/>
        <v>0</v>
      </c>
      <c r="J23" s="6"/>
      <c r="K23" s="6"/>
      <c r="L23" s="6">
        <f t="shared" si="2"/>
        <v>0</v>
      </c>
      <c r="M23" s="6"/>
      <c r="N23" s="6"/>
      <c r="O23" s="6">
        <f t="shared" si="3"/>
        <v>0</v>
      </c>
      <c r="P23" s="6"/>
      <c r="Q23" s="6"/>
      <c r="R23" s="6">
        <f t="shared" si="4"/>
        <v>0</v>
      </c>
      <c r="S23" s="6"/>
      <c r="T23" s="6"/>
      <c r="U23" s="6">
        <f t="shared" si="5"/>
        <v>0</v>
      </c>
      <c r="V23" s="6"/>
      <c r="W23" s="6"/>
      <c r="X23" s="6">
        <f t="shared" si="6"/>
        <v>0</v>
      </c>
      <c r="Y23" s="101">
        <f t="shared" si="7"/>
        <v>0</v>
      </c>
      <c r="Z23" s="64">
        <f t="shared" si="8"/>
        <v>0</v>
      </c>
      <c r="AA23" s="64">
        <f t="shared" si="9"/>
        <v>0</v>
      </c>
      <c r="AB23" s="65">
        <f t="shared" si="10"/>
        <v>0</v>
      </c>
      <c r="AC23" s="65">
        <f t="shared" si="11"/>
        <v>0</v>
      </c>
      <c r="AD23" s="65">
        <f t="shared" si="12"/>
        <v>0</v>
      </c>
      <c r="AE23" s="35" t="s">
        <v>352</v>
      </c>
      <c r="AF23" s="6">
        <v>20</v>
      </c>
      <c r="AG23" s="6"/>
      <c r="AH23" s="906">
        <f t="shared" si="13"/>
        <v>20</v>
      </c>
      <c r="AI23" s="6"/>
      <c r="AJ23" s="6"/>
      <c r="AK23" s="98">
        <f t="shared" si="14"/>
        <v>0</v>
      </c>
      <c r="AL23" s="6"/>
      <c r="AM23" s="6"/>
      <c r="AN23" s="98">
        <f t="shared" si="15"/>
        <v>0</v>
      </c>
      <c r="AO23" s="6">
        <f t="shared" si="16"/>
        <v>20</v>
      </c>
      <c r="AP23" s="6">
        <f t="shared" si="17"/>
        <v>0</v>
      </c>
      <c r="AQ23" s="6">
        <f t="shared" si="18"/>
        <v>20</v>
      </c>
      <c r="AR23" s="955">
        <f t="shared" si="19"/>
        <v>2.2222222222222223</v>
      </c>
      <c r="AS23" s="955">
        <f t="shared" si="20"/>
        <v>0</v>
      </c>
      <c r="AT23" s="955">
        <f t="shared" si="21"/>
        <v>2.2222222222222223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1:61" s="61" customFormat="1" ht="18">
      <c r="A24" s="19">
        <v>17</v>
      </c>
      <c r="B24" s="59" t="s">
        <v>706</v>
      </c>
      <c r="C24" s="19" t="s">
        <v>675</v>
      </c>
      <c r="D24" s="19" t="s">
        <v>707</v>
      </c>
      <c r="E24" s="19" t="s">
        <v>389</v>
      </c>
      <c r="F24" s="19">
        <v>94</v>
      </c>
      <c r="G24" s="19">
        <v>158</v>
      </c>
      <c r="H24" s="19"/>
      <c r="I24" s="19">
        <f t="shared" si="1"/>
        <v>158</v>
      </c>
      <c r="J24" s="19"/>
      <c r="K24" s="19"/>
      <c r="L24" s="19">
        <f t="shared" si="2"/>
        <v>0</v>
      </c>
      <c r="M24" s="19"/>
      <c r="N24" s="19"/>
      <c r="O24" s="19">
        <f t="shared" si="3"/>
        <v>0</v>
      </c>
      <c r="P24" s="19"/>
      <c r="Q24" s="19"/>
      <c r="R24" s="19">
        <f t="shared" si="4"/>
        <v>0</v>
      </c>
      <c r="S24" s="19"/>
      <c r="T24" s="19"/>
      <c r="U24" s="19">
        <f t="shared" si="5"/>
        <v>0</v>
      </c>
      <c r="V24" s="19"/>
      <c r="W24" s="19"/>
      <c r="X24" s="19">
        <f t="shared" si="6"/>
        <v>0</v>
      </c>
      <c r="Y24" s="100">
        <f t="shared" si="7"/>
        <v>158</v>
      </c>
      <c r="Z24" s="19">
        <f t="shared" si="8"/>
        <v>0</v>
      </c>
      <c r="AA24" s="19">
        <f t="shared" si="9"/>
        <v>158</v>
      </c>
      <c r="AB24" s="60">
        <f t="shared" si="10"/>
        <v>26.333333333333332</v>
      </c>
      <c r="AC24" s="60">
        <f t="shared" si="11"/>
        <v>0</v>
      </c>
      <c r="AD24" s="60">
        <f t="shared" si="12"/>
        <v>26.333333333333332</v>
      </c>
      <c r="AE24" s="46" t="s">
        <v>352</v>
      </c>
      <c r="AF24" s="19">
        <v>106</v>
      </c>
      <c r="AG24" s="19"/>
      <c r="AH24" s="907">
        <f t="shared" si="13"/>
        <v>106</v>
      </c>
      <c r="AI24" s="19"/>
      <c r="AJ24" s="19"/>
      <c r="AK24" s="100">
        <f t="shared" si="14"/>
        <v>0</v>
      </c>
      <c r="AL24" s="19"/>
      <c r="AM24" s="19"/>
      <c r="AN24" s="100">
        <f t="shared" si="15"/>
        <v>0</v>
      </c>
      <c r="AO24" s="19">
        <f t="shared" si="16"/>
        <v>264</v>
      </c>
      <c r="AP24" s="19">
        <f t="shared" si="17"/>
        <v>0</v>
      </c>
      <c r="AQ24" s="19">
        <f t="shared" si="18"/>
        <v>264</v>
      </c>
      <c r="AR24" s="703">
        <f>AO24/9</f>
        <v>29.333333333333332</v>
      </c>
      <c r="AS24" s="703">
        <f t="shared" si="20"/>
        <v>0</v>
      </c>
      <c r="AT24" s="703">
        <f t="shared" si="21"/>
        <v>29.333333333333332</v>
      </c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</row>
    <row r="25" spans="1:61" s="61" customFormat="1" ht="18">
      <c r="A25" s="19">
        <v>18</v>
      </c>
      <c r="B25" s="59" t="s">
        <v>708</v>
      </c>
      <c r="C25" s="19" t="s">
        <v>675</v>
      </c>
      <c r="D25" s="19" t="s">
        <v>709</v>
      </c>
      <c r="E25" s="19" t="s">
        <v>347</v>
      </c>
      <c r="F25" s="19">
        <v>101</v>
      </c>
      <c r="G25" s="19"/>
      <c r="H25" s="19"/>
      <c r="I25" s="19">
        <f t="shared" si="1"/>
        <v>0</v>
      </c>
      <c r="J25" s="19"/>
      <c r="K25" s="19"/>
      <c r="L25" s="19">
        <f t="shared" si="2"/>
        <v>0</v>
      </c>
      <c r="M25" s="19"/>
      <c r="N25" s="19"/>
      <c r="O25" s="19">
        <f t="shared" si="3"/>
        <v>0</v>
      </c>
      <c r="P25" s="19">
        <v>106</v>
      </c>
      <c r="Q25" s="19">
        <v>16</v>
      </c>
      <c r="R25" s="19">
        <f t="shared" si="4"/>
        <v>122</v>
      </c>
      <c r="S25" s="19"/>
      <c r="T25" s="19"/>
      <c r="U25" s="19">
        <f t="shared" si="5"/>
        <v>0</v>
      </c>
      <c r="V25" s="19">
        <v>214</v>
      </c>
      <c r="W25" s="19">
        <v>38</v>
      </c>
      <c r="X25" s="19">
        <f t="shared" si="6"/>
        <v>252</v>
      </c>
      <c r="Y25" s="100">
        <f t="shared" si="7"/>
        <v>320</v>
      </c>
      <c r="Z25" s="19">
        <f t="shared" si="8"/>
        <v>54</v>
      </c>
      <c r="AA25" s="19">
        <f t="shared" si="9"/>
        <v>374</v>
      </c>
      <c r="AB25" s="60">
        <f t="shared" si="10"/>
        <v>53.333333333333336</v>
      </c>
      <c r="AC25" s="60">
        <f t="shared" si="11"/>
        <v>9</v>
      </c>
      <c r="AD25" s="60">
        <f t="shared" si="12"/>
        <v>62.333333333333336</v>
      </c>
      <c r="AE25" s="46" t="s">
        <v>352</v>
      </c>
      <c r="AF25" s="19">
        <v>0</v>
      </c>
      <c r="AG25" s="19"/>
      <c r="AH25" s="907">
        <f t="shared" si="13"/>
        <v>0</v>
      </c>
      <c r="AI25" s="19">
        <v>177</v>
      </c>
      <c r="AJ25" s="19">
        <v>62</v>
      </c>
      <c r="AK25" s="100">
        <f t="shared" si="14"/>
        <v>239</v>
      </c>
      <c r="AL25" s="19"/>
      <c r="AM25" s="19"/>
      <c r="AN25" s="100">
        <f t="shared" si="15"/>
        <v>0</v>
      </c>
      <c r="AO25" s="19">
        <f t="shared" si="16"/>
        <v>497</v>
      </c>
      <c r="AP25" s="19">
        <f t="shared" si="17"/>
        <v>116</v>
      </c>
      <c r="AQ25" s="19">
        <f t="shared" si="18"/>
        <v>613</v>
      </c>
      <c r="AR25" s="703">
        <f t="shared" ref="AR25:AR44" si="22">AO25/9</f>
        <v>55.222222222222221</v>
      </c>
      <c r="AS25" s="703">
        <f t="shared" si="20"/>
        <v>12.888888888888889</v>
      </c>
      <c r="AT25" s="703">
        <f t="shared" si="21"/>
        <v>68.111111111111114</v>
      </c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</row>
    <row r="26" spans="1:61" s="61" customFormat="1" ht="18">
      <c r="A26" s="19">
        <v>19</v>
      </c>
      <c r="B26" s="59" t="s">
        <v>710</v>
      </c>
      <c r="C26" s="19" t="s">
        <v>675</v>
      </c>
      <c r="D26" s="19" t="s">
        <v>711</v>
      </c>
      <c r="E26" s="19" t="s">
        <v>347</v>
      </c>
      <c r="F26" s="19">
        <v>62</v>
      </c>
      <c r="G26" s="19">
        <v>148</v>
      </c>
      <c r="H26" s="19"/>
      <c r="I26" s="19">
        <f t="shared" si="1"/>
        <v>148</v>
      </c>
      <c r="J26" s="19"/>
      <c r="K26" s="19"/>
      <c r="L26" s="19">
        <f t="shared" si="2"/>
        <v>0</v>
      </c>
      <c r="M26" s="19">
        <v>194</v>
      </c>
      <c r="N26" s="19"/>
      <c r="O26" s="19">
        <f t="shared" si="3"/>
        <v>194</v>
      </c>
      <c r="P26" s="19"/>
      <c r="Q26" s="19"/>
      <c r="R26" s="19">
        <f t="shared" si="4"/>
        <v>0</v>
      </c>
      <c r="S26" s="19"/>
      <c r="T26" s="19"/>
      <c r="U26" s="19">
        <f t="shared" si="5"/>
        <v>0</v>
      </c>
      <c r="V26" s="19">
        <v>110</v>
      </c>
      <c r="W26" s="19"/>
      <c r="X26" s="19">
        <f t="shared" si="6"/>
        <v>110</v>
      </c>
      <c r="Y26" s="100">
        <f t="shared" si="7"/>
        <v>452</v>
      </c>
      <c r="Z26" s="19">
        <f t="shared" si="8"/>
        <v>0</v>
      </c>
      <c r="AA26" s="19">
        <f t="shared" si="9"/>
        <v>452</v>
      </c>
      <c r="AB26" s="60">
        <f t="shared" si="10"/>
        <v>75.333333333333329</v>
      </c>
      <c r="AC26" s="60">
        <f t="shared" si="11"/>
        <v>0</v>
      </c>
      <c r="AD26" s="60">
        <f t="shared" si="12"/>
        <v>75.333333333333329</v>
      </c>
      <c r="AE26" s="46" t="s">
        <v>352</v>
      </c>
      <c r="AF26" s="19">
        <v>0</v>
      </c>
      <c r="AG26" s="19"/>
      <c r="AH26" s="907">
        <f t="shared" si="13"/>
        <v>0</v>
      </c>
      <c r="AI26" s="19">
        <v>100</v>
      </c>
      <c r="AJ26" s="19"/>
      <c r="AK26" s="100">
        <f t="shared" si="14"/>
        <v>100</v>
      </c>
      <c r="AL26" s="19"/>
      <c r="AM26" s="19"/>
      <c r="AN26" s="100">
        <f t="shared" si="15"/>
        <v>0</v>
      </c>
      <c r="AO26" s="19">
        <f t="shared" si="16"/>
        <v>552</v>
      </c>
      <c r="AP26" s="19">
        <f t="shared" si="17"/>
        <v>0</v>
      </c>
      <c r="AQ26" s="19">
        <f t="shared" si="18"/>
        <v>552</v>
      </c>
      <c r="AR26" s="703">
        <f t="shared" si="22"/>
        <v>61.333333333333336</v>
      </c>
      <c r="AS26" s="703">
        <f t="shared" si="20"/>
        <v>0</v>
      </c>
      <c r="AT26" s="703">
        <f t="shared" si="21"/>
        <v>61.333333333333336</v>
      </c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</row>
    <row r="27" spans="1:61" s="61" customFormat="1" ht="18">
      <c r="A27" s="19">
        <v>20</v>
      </c>
      <c r="B27" s="59" t="s">
        <v>2841</v>
      </c>
      <c r="C27" s="19" t="s">
        <v>675</v>
      </c>
      <c r="D27" s="19" t="s">
        <v>713</v>
      </c>
      <c r="E27" s="19" t="s">
        <v>347</v>
      </c>
      <c r="F27" s="19">
        <v>21</v>
      </c>
      <c r="G27" s="19"/>
      <c r="H27" s="19"/>
      <c r="I27" s="19">
        <f t="shared" si="1"/>
        <v>0</v>
      </c>
      <c r="J27" s="19"/>
      <c r="K27" s="19"/>
      <c r="L27" s="19">
        <f t="shared" si="2"/>
        <v>0</v>
      </c>
      <c r="M27" s="19"/>
      <c r="N27" s="19"/>
      <c r="O27" s="19">
        <f t="shared" si="3"/>
        <v>0</v>
      </c>
      <c r="P27" s="19"/>
      <c r="Q27" s="19"/>
      <c r="R27" s="19">
        <f t="shared" si="4"/>
        <v>0</v>
      </c>
      <c r="S27" s="19"/>
      <c r="T27" s="19"/>
      <c r="U27" s="19">
        <f t="shared" si="5"/>
        <v>0</v>
      </c>
      <c r="V27" s="19"/>
      <c r="W27" s="19"/>
      <c r="X27" s="19">
        <f t="shared" si="6"/>
        <v>0</v>
      </c>
      <c r="Y27" s="100">
        <f t="shared" si="7"/>
        <v>0</v>
      </c>
      <c r="Z27" s="19">
        <f t="shared" si="8"/>
        <v>0</v>
      </c>
      <c r="AA27" s="19">
        <f t="shared" si="9"/>
        <v>0</v>
      </c>
      <c r="AB27" s="60">
        <f t="shared" si="10"/>
        <v>0</v>
      </c>
      <c r="AC27" s="60">
        <f t="shared" si="11"/>
        <v>0</v>
      </c>
      <c r="AD27" s="60">
        <f t="shared" si="12"/>
        <v>0</v>
      </c>
      <c r="AE27" s="46" t="s">
        <v>352</v>
      </c>
      <c r="AF27" s="19">
        <v>116</v>
      </c>
      <c r="AG27" s="19"/>
      <c r="AH27" s="907">
        <f t="shared" si="13"/>
        <v>116</v>
      </c>
      <c r="AI27" s="19"/>
      <c r="AJ27" s="19"/>
      <c r="AK27" s="100">
        <f t="shared" si="14"/>
        <v>0</v>
      </c>
      <c r="AL27" s="19"/>
      <c r="AM27" s="19"/>
      <c r="AN27" s="100">
        <f t="shared" si="15"/>
        <v>0</v>
      </c>
      <c r="AO27" s="19">
        <f t="shared" si="16"/>
        <v>116</v>
      </c>
      <c r="AP27" s="19">
        <f t="shared" si="17"/>
        <v>0</v>
      </c>
      <c r="AQ27" s="19">
        <f t="shared" si="18"/>
        <v>116</v>
      </c>
      <c r="AR27" s="703">
        <f t="shared" si="22"/>
        <v>12.888888888888889</v>
      </c>
      <c r="AS27" s="703">
        <f t="shared" si="20"/>
        <v>0</v>
      </c>
      <c r="AT27" s="703">
        <f t="shared" si="21"/>
        <v>12.888888888888889</v>
      </c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</row>
    <row r="28" spans="1:61" s="61" customFormat="1" ht="18">
      <c r="A28" s="19">
        <v>21</v>
      </c>
      <c r="B28" s="59" t="s">
        <v>714</v>
      </c>
      <c r="C28" s="19" t="s">
        <v>675</v>
      </c>
      <c r="D28" s="19" t="s">
        <v>715</v>
      </c>
      <c r="E28" s="19" t="s">
        <v>347</v>
      </c>
      <c r="F28" s="19">
        <v>113</v>
      </c>
      <c r="G28" s="19">
        <v>138</v>
      </c>
      <c r="H28" s="19"/>
      <c r="I28" s="19">
        <f t="shared" si="1"/>
        <v>138</v>
      </c>
      <c r="J28" s="19"/>
      <c r="K28" s="19"/>
      <c r="L28" s="19">
        <f t="shared" si="2"/>
        <v>0</v>
      </c>
      <c r="M28" s="19">
        <v>114</v>
      </c>
      <c r="N28" s="19"/>
      <c r="O28" s="19">
        <f t="shared" si="3"/>
        <v>114</v>
      </c>
      <c r="P28" s="19"/>
      <c r="Q28" s="19"/>
      <c r="R28" s="19">
        <f t="shared" si="4"/>
        <v>0</v>
      </c>
      <c r="S28" s="19"/>
      <c r="T28" s="19"/>
      <c r="U28" s="19">
        <f t="shared" si="5"/>
        <v>0</v>
      </c>
      <c r="V28" s="19">
        <v>168</v>
      </c>
      <c r="W28" s="19"/>
      <c r="X28" s="19">
        <f t="shared" si="6"/>
        <v>168</v>
      </c>
      <c r="Y28" s="100">
        <f t="shared" si="7"/>
        <v>420</v>
      </c>
      <c r="Z28" s="19">
        <f t="shared" si="8"/>
        <v>0</v>
      </c>
      <c r="AA28" s="19">
        <f t="shared" si="9"/>
        <v>420</v>
      </c>
      <c r="AB28" s="60">
        <f t="shared" si="10"/>
        <v>70</v>
      </c>
      <c r="AC28" s="60">
        <f t="shared" si="11"/>
        <v>0</v>
      </c>
      <c r="AD28" s="60">
        <f t="shared" si="12"/>
        <v>70</v>
      </c>
      <c r="AE28" s="46" t="s">
        <v>352</v>
      </c>
      <c r="AF28" s="19">
        <v>200</v>
      </c>
      <c r="AG28" s="19"/>
      <c r="AH28" s="907">
        <f t="shared" si="13"/>
        <v>200</v>
      </c>
      <c r="AI28" s="19"/>
      <c r="AJ28" s="19"/>
      <c r="AK28" s="100">
        <f t="shared" si="14"/>
        <v>0</v>
      </c>
      <c r="AL28" s="19">
        <v>129</v>
      </c>
      <c r="AM28" s="19"/>
      <c r="AN28" s="100">
        <f t="shared" si="15"/>
        <v>129</v>
      </c>
      <c r="AO28" s="19">
        <f t="shared" si="16"/>
        <v>749</v>
      </c>
      <c r="AP28" s="19">
        <f t="shared" si="17"/>
        <v>0</v>
      </c>
      <c r="AQ28" s="19">
        <f t="shared" si="18"/>
        <v>749</v>
      </c>
      <c r="AR28" s="703">
        <f t="shared" si="22"/>
        <v>83.222222222222229</v>
      </c>
      <c r="AS28" s="703">
        <f t="shared" si="20"/>
        <v>0</v>
      </c>
      <c r="AT28" s="703">
        <f t="shared" si="21"/>
        <v>83.222222222222229</v>
      </c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</row>
    <row r="29" spans="1:61" ht="18">
      <c r="A29" s="6">
        <v>1</v>
      </c>
      <c r="B29" s="20" t="s">
        <v>716</v>
      </c>
      <c r="C29" s="6" t="s">
        <v>717</v>
      </c>
      <c r="D29" s="6" t="s">
        <v>718</v>
      </c>
      <c r="E29" s="18" t="s">
        <v>364</v>
      </c>
      <c r="F29" s="6">
        <v>13</v>
      </c>
      <c r="G29" s="6"/>
      <c r="H29" s="6"/>
      <c r="I29" s="6">
        <f t="shared" si="1"/>
        <v>0</v>
      </c>
      <c r="J29" s="6"/>
      <c r="K29" s="6"/>
      <c r="L29" s="6">
        <f t="shared" si="2"/>
        <v>0</v>
      </c>
      <c r="M29" s="6"/>
      <c r="N29" s="6"/>
      <c r="O29" s="6">
        <f t="shared" si="3"/>
        <v>0</v>
      </c>
      <c r="P29" s="6"/>
      <c r="Q29" s="6"/>
      <c r="R29" s="6">
        <f t="shared" si="4"/>
        <v>0</v>
      </c>
      <c r="S29" s="6">
        <v>20</v>
      </c>
      <c r="T29" s="6"/>
      <c r="U29" s="6">
        <f t="shared" si="5"/>
        <v>20</v>
      </c>
      <c r="V29" s="6"/>
      <c r="W29" s="6"/>
      <c r="X29" s="6">
        <f t="shared" si="6"/>
        <v>0</v>
      </c>
      <c r="Y29" s="101">
        <f t="shared" si="7"/>
        <v>20</v>
      </c>
      <c r="Z29" s="64">
        <f t="shared" si="8"/>
        <v>0</v>
      </c>
      <c r="AA29" s="64">
        <f t="shared" si="9"/>
        <v>20</v>
      </c>
      <c r="AB29" s="65">
        <f t="shared" si="10"/>
        <v>3.3333333333333335</v>
      </c>
      <c r="AC29" s="65">
        <f t="shared" si="11"/>
        <v>0</v>
      </c>
      <c r="AD29" s="65">
        <f t="shared" si="12"/>
        <v>3.3333333333333335</v>
      </c>
      <c r="AE29" s="35" t="s">
        <v>352</v>
      </c>
      <c r="AF29" s="6">
        <v>38</v>
      </c>
      <c r="AG29" s="6"/>
      <c r="AH29" s="906">
        <f t="shared" si="13"/>
        <v>38</v>
      </c>
      <c r="AI29" s="6"/>
      <c r="AJ29" s="6"/>
      <c r="AK29" s="98">
        <f t="shared" si="14"/>
        <v>0</v>
      </c>
      <c r="AL29" s="6"/>
      <c r="AM29" s="6"/>
      <c r="AN29" s="98">
        <f t="shared" si="15"/>
        <v>0</v>
      </c>
      <c r="AO29" s="6">
        <f t="shared" si="16"/>
        <v>58</v>
      </c>
      <c r="AP29" s="6">
        <f t="shared" si="17"/>
        <v>0</v>
      </c>
      <c r="AQ29" s="6">
        <f t="shared" si="18"/>
        <v>58</v>
      </c>
      <c r="AR29" s="955">
        <f t="shared" si="22"/>
        <v>6.4444444444444446</v>
      </c>
      <c r="AS29" s="955">
        <f t="shared" ref="AS29:AS48" si="23">AP29/9</f>
        <v>0</v>
      </c>
      <c r="AT29" s="955">
        <f t="shared" ref="AT29:AT48" si="24">AQ29/9</f>
        <v>6.4444444444444446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spans="1:61" ht="18">
      <c r="A30" s="6">
        <v>2</v>
      </c>
      <c r="B30" s="20" t="s">
        <v>719</v>
      </c>
      <c r="C30" s="6" t="s">
        <v>717</v>
      </c>
      <c r="D30" s="6" t="s">
        <v>720</v>
      </c>
      <c r="E30" s="6" t="s">
        <v>347</v>
      </c>
      <c r="F30" s="6">
        <v>47</v>
      </c>
      <c r="G30" s="6">
        <v>40</v>
      </c>
      <c r="H30" s="6"/>
      <c r="I30" s="6">
        <f t="shared" si="1"/>
        <v>40</v>
      </c>
      <c r="J30" s="6"/>
      <c r="K30" s="6"/>
      <c r="L30" s="6">
        <f t="shared" si="2"/>
        <v>0</v>
      </c>
      <c r="M30" s="6"/>
      <c r="N30" s="6"/>
      <c r="O30" s="6">
        <f t="shared" si="3"/>
        <v>0</v>
      </c>
      <c r="P30" s="6"/>
      <c r="Q30" s="6"/>
      <c r="R30" s="6">
        <f t="shared" si="4"/>
        <v>0</v>
      </c>
      <c r="S30" s="6"/>
      <c r="T30" s="6"/>
      <c r="U30" s="6">
        <f t="shared" si="5"/>
        <v>0</v>
      </c>
      <c r="V30" s="6">
        <v>10</v>
      </c>
      <c r="W30" s="6"/>
      <c r="X30" s="6">
        <f t="shared" si="6"/>
        <v>10</v>
      </c>
      <c r="Y30" s="101">
        <f t="shared" si="7"/>
        <v>50</v>
      </c>
      <c r="Z30" s="64">
        <f t="shared" si="8"/>
        <v>0</v>
      </c>
      <c r="AA30" s="64">
        <f t="shared" si="9"/>
        <v>50</v>
      </c>
      <c r="AB30" s="65">
        <f t="shared" si="10"/>
        <v>8.3333333333333339</v>
      </c>
      <c r="AC30" s="65">
        <f t="shared" si="11"/>
        <v>0</v>
      </c>
      <c r="AD30" s="65">
        <f t="shared" si="12"/>
        <v>8.3333333333333339</v>
      </c>
      <c r="AE30" s="35" t="s">
        <v>352</v>
      </c>
      <c r="AF30" s="6">
        <v>10</v>
      </c>
      <c r="AG30" s="6"/>
      <c r="AH30" s="906">
        <f t="shared" si="13"/>
        <v>10</v>
      </c>
      <c r="AI30" s="6">
        <v>10</v>
      </c>
      <c r="AJ30" s="6"/>
      <c r="AK30" s="98">
        <f t="shared" si="14"/>
        <v>10</v>
      </c>
      <c r="AL30" s="6"/>
      <c r="AM30" s="6"/>
      <c r="AN30" s="98">
        <f t="shared" si="15"/>
        <v>0</v>
      </c>
      <c r="AO30" s="6">
        <f t="shared" si="16"/>
        <v>70</v>
      </c>
      <c r="AP30" s="6">
        <f t="shared" si="17"/>
        <v>0</v>
      </c>
      <c r="AQ30" s="6">
        <f t="shared" si="18"/>
        <v>70</v>
      </c>
      <c r="AR30" s="955">
        <f t="shared" si="22"/>
        <v>7.7777777777777777</v>
      </c>
      <c r="AS30" s="955">
        <f t="shared" si="23"/>
        <v>0</v>
      </c>
      <c r="AT30" s="955">
        <f t="shared" si="24"/>
        <v>7.7777777777777777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ht="18">
      <c r="A31" s="6">
        <v>3</v>
      </c>
      <c r="B31" s="20" t="s">
        <v>721</v>
      </c>
      <c r="C31" s="6" t="s">
        <v>717</v>
      </c>
      <c r="D31" s="6" t="s">
        <v>722</v>
      </c>
      <c r="E31" s="6" t="s">
        <v>347</v>
      </c>
      <c r="F31" s="6">
        <v>55</v>
      </c>
      <c r="G31" s="6">
        <v>50</v>
      </c>
      <c r="H31" s="6"/>
      <c r="I31" s="6">
        <f t="shared" si="1"/>
        <v>50</v>
      </c>
      <c r="J31" s="6"/>
      <c r="K31" s="6"/>
      <c r="L31" s="6">
        <f t="shared" si="2"/>
        <v>0</v>
      </c>
      <c r="M31" s="6"/>
      <c r="N31" s="6"/>
      <c r="O31" s="6">
        <f t="shared" si="3"/>
        <v>0</v>
      </c>
      <c r="P31" s="6"/>
      <c r="Q31" s="6"/>
      <c r="R31" s="6">
        <f t="shared" si="4"/>
        <v>0</v>
      </c>
      <c r="S31" s="6"/>
      <c r="T31" s="6"/>
      <c r="U31" s="6">
        <f t="shared" si="5"/>
        <v>0</v>
      </c>
      <c r="V31" s="6"/>
      <c r="W31" s="6"/>
      <c r="X31" s="6">
        <f t="shared" si="6"/>
        <v>0</v>
      </c>
      <c r="Y31" s="101">
        <f t="shared" si="7"/>
        <v>50</v>
      </c>
      <c r="Z31" s="64">
        <f t="shared" si="8"/>
        <v>0</v>
      </c>
      <c r="AA31" s="64">
        <f t="shared" si="9"/>
        <v>50</v>
      </c>
      <c r="AB31" s="65">
        <f t="shared" si="10"/>
        <v>8.3333333333333339</v>
      </c>
      <c r="AC31" s="65">
        <f t="shared" si="11"/>
        <v>0</v>
      </c>
      <c r="AD31" s="65">
        <f t="shared" si="12"/>
        <v>8.3333333333333339</v>
      </c>
      <c r="AE31" s="35" t="s">
        <v>352</v>
      </c>
      <c r="AF31" s="6"/>
      <c r="AG31" s="6"/>
      <c r="AH31" s="906">
        <f t="shared" si="13"/>
        <v>0</v>
      </c>
      <c r="AI31" s="6"/>
      <c r="AJ31" s="6"/>
      <c r="AK31" s="98">
        <f t="shared" si="14"/>
        <v>0</v>
      </c>
      <c r="AL31" s="6"/>
      <c r="AM31" s="6"/>
      <c r="AN31" s="98">
        <f t="shared" si="15"/>
        <v>0</v>
      </c>
      <c r="AO31" s="6">
        <f t="shared" si="16"/>
        <v>50</v>
      </c>
      <c r="AP31" s="6">
        <f t="shared" si="17"/>
        <v>0</v>
      </c>
      <c r="AQ31" s="6">
        <f t="shared" si="18"/>
        <v>50</v>
      </c>
      <c r="AR31" s="955">
        <f t="shared" si="22"/>
        <v>5.5555555555555554</v>
      </c>
      <c r="AS31" s="955">
        <f t="shared" si="23"/>
        <v>0</v>
      </c>
      <c r="AT31" s="955">
        <f t="shared" si="24"/>
        <v>5.5555555555555554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spans="1:61" ht="18">
      <c r="A32" s="6">
        <v>4</v>
      </c>
      <c r="B32" s="20" t="s">
        <v>723</v>
      </c>
      <c r="C32" s="6" t="s">
        <v>717</v>
      </c>
      <c r="D32" s="6" t="s">
        <v>724</v>
      </c>
      <c r="E32" s="6" t="s">
        <v>347</v>
      </c>
      <c r="F32" s="6">
        <v>10</v>
      </c>
      <c r="G32" s="6">
        <v>30</v>
      </c>
      <c r="H32" s="6"/>
      <c r="I32" s="6">
        <f t="shared" si="1"/>
        <v>30</v>
      </c>
      <c r="J32" s="6"/>
      <c r="K32" s="6"/>
      <c r="L32" s="6">
        <f t="shared" si="2"/>
        <v>0</v>
      </c>
      <c r="M32" s="6"/>
      <c r="N32" s="6"/>
      <c r="O32" s="6">
        <f t="shared" si="3"/>
        <v>0</v>
      </c>
      <c r="P32" s="6"/>
      <c r="Q32" s="6"/>
      <c r="R32" s="6">
        <f t="shared" si="4"/>
        <v>0</v>
      </c>
      <c r="S32" s="6"/>
      <c r="T32" s="6"/>
      <c r="U32" s="6">
        <f t="shared" si="5"/>
        <v>0</v>
      </c>
      <c r="V32" s="6"/>
      <c r="W32" s="6"/>
      <c r="X32" s="6">
        <f t="shared" si="6"/>
        <v>0</v>
      </c>
      <c r="Y32" s="101">
        <f t="shared" si="7"/>
        <v>30</v>
      </c>
      <c r="Z32" s="64">
        <f t="shared" si="8"/>
        <v>0</v>
      </c>
      <c r="AA32" s="64">
        <f t="shared" si="9"/>
        <v>30</v>
      </c>
      <c r="AB32" s="65">
        <f t="shared" si="10"/>
        <v>5</v>
      </c>
      <c r="AC32" s="65">
        <f t="shared" si="11"/>
        <v>0</v>
      </c>
      <c r="AD32" s="65">
        <f t="shared" si="12"/>
        <v>5</v>
      </c>
      <c r="AE32" s="35" t="s">
        <v>352</v>
      </c>
      <c r="AF32" s="6"/>
      <c r="AG32" s="6"/>
      <c r="AH32" s="906">
        <f t="shared" si="13"/>
        <v>0</v>
      </c>
      <c r="AI32" s="6"/>
      <c r="AJ32" s="6"/>
      <c r="AK32" s="98">
        <f t="shared" si="14"/>
        <v>0</v>
      </c>
      <c r="AL32" s="6"/>
      <c r="AM32" s="6"/>
      <c r="AN32" s="98">
        <f t="shared" si="15"/>
        <v>0</v>
      </c>
      <c r="AO32" s="6">
        <f t="shared" si="16"/>
        <v>30</v>
      </c>
      <c r="AP32" s="6">
        <f t="shared" si="17"/>
        <v>0</v>
      </c>
      <c r="AQ32" s="6">
        <f t="shared" si="18"/>
        <v>30</v>
      </c>
      <c r="AR32" s="955">
        <f t="shared" si="22"/>
        <v>3.3333333333333335</v>
      </c>
      <c r="AS32" s="955">
        <f t="shared" si="23"/>
        <v>0</v>
      </c>
      <c r="AT32" s="955">
        <f t="shared" si="24"/>
        <v>3.3333333333333335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spans="1:61" ht="18">
      <c r="A33" s="6">
        <v>5</v>
      </c>
      <c r="B33" s="20" t="s">
        <v>2826</v>
      </c>
      <c r="C33" s="6" t="s">
        <v>717</v>
      </c>
      <c r="D33" s="6" t="s">
        <v>725</v>
      </c>
      <c r="E33" s="6" t="s">
        <v>347</v>
      </c>
      <c r="F33" s="6">
        <v>20</v>
      </c>
      <c r="G33" s="6"/>
      <c r="H33" s="6"/>
      <c r="I33" s="6">
        <f t="shared" si="1"/>
        <v>0</v>
      </c>
      <c r="J33" s="6"/>
      <c r="K33" s="6"/>
      <c r="L33" s="6">
        <f t="shared" si="2"/>
        <v>0</v>
      </c>
      <c r="M33" s="6"/>
      <c r="N33" s="6"/>
      <c r="O33" s="6">
        <f t="shared" si="3"/>
        <v>0</v>
      </c>
      <c r="P33" s="6"/>
      <c r="Q33" s="6"/>
      <c r="R33" s="6">
        <f t="shared" si="4"/>
        <v>0</v>
      </c>
      <c r="S33" s="6"/>
      <c r="T33" s="6"/>
      <c r="U33" s="6">
        <f t="shared" si="5"/>
        <v>0</v>
      </c>
      <c r="V33" s="6"/>
      <c r="W33" s="6"/>
      <c r="X33" s="6">
        <f t="shared" si="6"/>
        <v>0</v>
      </c>
      <c r="Y33" s="101">
        <f t="shared" si="7"/>
        <v>0</v>
      </c>
      <c r="Z33" s="64">
        <f t="shared" si="8"/>
        <v>0</v>
      </c>
      <c r="AA33" s="64">
        <f t="shared" si="9"/>
        <v>0</v>
      </c>
      <c r="AB33" s="65">
        <f t="shared" si="10"/>
        <v>0</v>
      </c>
      <c r="AC33" s="65">
        <f t="shared" si="11"/>
        <v>0</v>
      </c>
      <c r="AD33" s="65">
        <f t="shared" si="12"/>
        <v>0</v>
      </c>
      <c r="AE33" s="35" t="s">
        <v>352</v>
      </c>
      <c r="AF33" s="6"/>
      <c r="AG33" s="6"/>
      <c r="AH33" s="906">
        <f t="shared" si="13"/>
        <v>0</v>
      </c>
      <c r="AI33" s="6"/>
      <c r="AJ33" s="6"/>
      <c r="AK33" s="98">
        <f t="shared" si="14"/>
        <v>0</v>
      </c>
      <c r="AL33" s="6">
        <v>20</v>
      </c>
      <c r="AM33" s="6"/>
      <c r="AN33" s="98">
        <f t="shared" si="15"/>
        <v>20</v>
      </c>
      <c r="AO33" s="6">
        <f t="shared" si="16"/>
        <v>20</v>
      </c>
      <c r="AP33" s="6">
        <f t="shared" si="17"/>
        <v>0</v>
      </c>
      <c r="AQ33" s="6">
        <f t="shared" si="18"/>
        <v>20</v>
      </c>
      <c r="AR33" s="955">
        <f t="shared" si="22"/>
        <v>2.2222222222222223</v>
      </c>
      <c r="AS33" s="955">
        <f t="shared" si="23"/>
        <v>0</v>
      </c>
      <c r="AT33" s="955">
        <f t="shared" si="24"/>
        <v>2.2222222222222223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spans="1:61" ht="18">
      <c r="A34" s="6">
        <v>6</v>
      </c>
      <c r="B34" s="20" t="s">
        <v>2827</v>
      </c>
      <c r="C34" s="6" t="s">
        <v>717</v>
      </c>
      <c r="D34" s="6" t="s">
        <v>726</v>
      </c>
      <c r="E34" s="18" t="s">
        <v>423</v>
      </c>
      <c r="F34" s="6">
        <v>33</v>
      </c>
      <c r="G34" s="6"/>
      <c r="H34" s="6"/>
      <c r="I34" s="6">
        <f t="shared" si="1"/>
        <v>0</v>
      </c>
      <c r="J34" s="6"/>
      <c r="K34" s="6"/>
      <c r="L34" s="6">
        <f t="shared" si="2"/>
        <v>0</v>
      </c>
      <c r="M34" s="6"/>
      <c r="N34" s="6"/>
      <c r="O34" s="6">
        <f t="shared" si="3"/>
        <v>0</v>
      </c>
      <c r="P34" s="6"/>
      <c r="Q34" s="6"/>
      <c r="R34" s="6">
        <f t="shared" si="4"/>
        <v>0</v>
      </c>
      <c r="S34" s="6"/>
      <c r="T34" s="6"/>
      <c r="U34" s="6">
        <f t="shared" si="5"/>
        <v>0</v>
      </c>
      <c r="V34" s="6"/>
      <c r="W34" s="6"/>
      <c r="X34" s="6">
        <f t="shared" si="6"/>
        <v>0</v>
      </c>
      <c r="Y34" s="101">
        <f t="shared" si="7"/>
        <v>0</v>
      </c>
      <c r="Z34" s="64">
        <f t="shared" si="8"/>
        <v>0</v>
      </c>
      <c r="AA34" s="64">
        <f t="shared" si="9"/>
        <v>0</v>
      </c>
      <c r="AB34" s="65">
        <f t="shared" si="10"/>
        <v>0</v>
      </c>
      <c r="AC34" s="65">
        <f t="shared" si="11"/>
        <v>0</v>
      </c>
      <c r="AD34" s="65">
        <f t="shared" si="12"/>
        <v>0</v>
      </c>
      <c r="AE34" s="35" t="s">
        <v>352</v>
      </c>
      <c r="AF34" s="6">
        <v>20</v>
      </c>
      <c r="AG34" s="6"/>
      <c r="AH34" s="906">
        <f t="shared" si="13"/>
        <v>20</v>
      </c>
      <c r="AI34" s="6"/>
      <c r="AJ34" s="6"/>
      <c r="AK34" s="98">
        <f t="shared" si="14"/>
        <v>0</v>
      </c>
      <c r="AL34" s="6"/>
      <c r="AM34" s="6"/>
      <c r="AN34" s="98">
        <f t="shared" si="15"/>
        <v>0</v>
      </c>
      <c r="AO34" s="6">
        <f t="shared" si="16"/>
        <v>20</v>
      </c>
      <c r="AP34" s="6">
        <f t="shared" si="17"/>
        <v>0</v>
      </c>
      <c r="AQ34" s="6">
        <f t="shared" si="18"/>
        <v>20</v>
      </c>
      <c r="AR34" s="955">
        <f t="shared" si="22"/>
        <v>2.2222222222222223</v>
      </c>
      <c r="AS34" s="955">
        <f t="shared" si="23"/>
        <v>0</v>
      </c>
      <c r="AT34" s="955">
        <f t="shared" si="24"/>
        <v>2.2222222222222223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spans="1:61" ht="18" hidden="1">
      <c r="A35" s="6">
        <v>7</v>
      </c>
      <c r="B35" s="20" t="s">
        <v>2828</v>
      </c>
      <c r="C35" s="6" t="s">
        <v>717</v>
      </c>
      <c r="D35" s="6" t="s">
        <v>727</v>
      </c>
      <c r="E35" s="18" t="s">
        <v>423</v>
      </c>
      <c r="F35" s="6">
        <v>13</v>
      </c>
      <c r="G35" s="6"/>
      <c r="H35" s="6"/>
      <c r="I35" s="6">
        <f t="shared" si="1"/>
        <v>0</v>
      </c>
      <c r="J35" s="6"/>
      <c r="K35" s="6"/>
      <c r="L35" s="6">
        <f t="shared" si="2"/>
        <v>0</v>
      </c>
      <c r="M35" s="6"/>
      <c r="N35" s="6"/>
      <c r="O35" s="6">
        <f t="shared" si="3"/>
        <v>0</v>
      </c>
      <c r="P35" s="6"/>
      <c r="Q35" s="6"/>
      <c r="R35" s="6">
        <f t="shared" si="4"/>
        <v>0</v>
      </c>
      <c r="S35" s="6"/>
      <c r="T35" s="6"/>
      <c r="U35" s="6">
        <f t="shared" si="5"/>
        <v>0</v>
      </c>
      <c r="V35" s="6"/>
      <c r="W35" s="6"/>
      <c r="X35" s="6">
        <f t="shared" si="6"/>
        <v>0</v>
      </c>
      <c r="Y35" s="101">
        <f t="shared" si="7"/>
        <v>0</v>
      </c>
      <c r="Z35" s="64">
        <f t="shared" si="8"/>
        <v>0</v>
      </c>
      <c r="AA35" s="64">
        <f t="shared" si="9"/>
        <v>0</v>
      </c>
      <c r="AB35" s="65">
        <f t="shared" si="10"/>
        <v>0</v>
      </c>
      <c r="AC35" s="65">
        <f t="shared" si="11"/>
        <v>0</v>
      </c>
      <c r="AD35" s="65">
        <f t="shared" si="12"/>
        <v>0</v>
      </c>
      <c r="AE35" s="35" t="s">
        <v>352</v>
      </c>
      <c r="AF35" s="6"/>
      <c r="AG35" s="6"/>
      <c r="AH35" s="906">
        <f t="shared" si="13"/>
        <v>0</v>
      </c>
      <c r="AI35" s="6"/>
      <c r="AJ35" s="6"/>
      <c r="AK35" s="98">
        <f t="shared" si="14"/>
        <v>0</v>
      </c>
      <c r="AL35" s="6"/>
      <c r="AM35" s="6"/>
      <c r="AN35" s="98">
        <f t="shared" si="15"/>
        <v>0</v>
      </c>
      <c r="AO35" s="6">
        <f t="shared" si="16"/>
        <v>0</v>
      </c>
      <c r="AP35" s="6">
        <f t="shared" si="17"/>
        <v>0</v>
      </c>
      <c r="AQ35" s="6">
        <f t="shared" si="18"/>
        <v>0</v>
      </c>
      <c r="AR35" s="955">
        <f t="shared" si="22"/>
        <v>0</v>
      </c>
      <c r="AS35" s="955">
        <f t="shared" si="23"/>
        <v>0</v>
      </c>
      <c r="AT35" s="955">
        <f t="shared" si="24"/>
        <v>0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spans="1:61" ht="18">
      <c r="A36" s="6">
        <v>8</v>
      </c>
      <c r="B36" s="20" t="s">
        <v>2829</v>
      </c>
      <c r="C36" s="6" t="s">
        <v>717</v>
      </c>
      <c r="D36" s="6" t="s">
        <v>728</v>
      </c>
      <c r="E36" s="6" t="s">
        <v>347</v>
      </c>
      <c r="F36" s="6">
        <v>8</v>
      </c>
      <c r="G36" s="6"/>
      <c r="H36" s="6"/>
      <c r="I36" s="6">
        <f t="shared" si="1"/>
        <v>0</v>
      </c>
      <c r="J36" s="6"/>
      <c r="K36" s="6"/>
      <c r="L36" s="6">
        <f t="shared" si="2"/>
        <v>0</v>
      </c>
      <c r="M36" s="6"/>
      <c r="N36" s="6"/>
      <c r="O36" s="6">
        <f t="shared" si="3"/>
        <v>0</v>
      </c>
      <c r="P36" s="6"/>
      <c r="Q36" s="6"/>
      <c r="R36" s="6">
        <f t="shared" si="4"/>
        <v>0</v>
      </c>
      <c r="S36" s="6"/>
      <c r="T36" s="6"/>
      <c r="U36" s="6">
        <f t="shared" si="5"/>
        <v>0</v>
      </c>
      <c r="V36" s="6"/>
      <c r="W36" s="6"/>
      <c r="X36" s="6">
        <f t="shared" si="6"/>
        <v>0</v>
      </c>
      <c r="Y36" s="101">
        <f t="shared" si="7"/>
        <v>0</v>
      </c>
      <c r="Z36" s="64">
        <f t="shared" si="8"/>
        <v>0</v>
      </c>
      <c r="AA36" s="64">
        <f t="shared" si="9"/>
        <v>0</v>
      </c>
      <c r="AB36" s="65">
        <f t="shared" si="10"/>
        <v>0</v>
      </c>
      <c r="AC36" s="65">
        <f t="shared" si="11"/>
        <v>0</v>
      </c>
      <c r="AD36" s="65">
        <f t="shared" si="12"/>
        <v>0</v>
      </c>
      <c r="AE36" s="35" t="s">
        <v>352</v>
      </c>
      <c r="AF36" s="6">
        <v>15</v>
      </c>
      <c r="AG36" s="6"/>
      <c r="AH36" s="906">
        <f t="shared" si="13"/>
        <v>15</v>
      </c>
      <c r="AI36" s="6"/>
      <c r="AJ36" s="6"/>
      <c r="AK36" s="98">
        <f t="shared" si="14"/>
        <v>0</v>
      </c>
      <c r="AL36" s="6"/>
      <c r="AM36" s="6"/>
      <c r="AN36" s="98">
        <f t="shared" si="15"/>
        <v>0</v>
      </c>
      <c r="AO36" s="6">
        <f t="shared" si="16"/>
        <v>15</v>
      </c>
      <c r="AP36" s="6">
        <f t="shared" si="17"/>
        <v>0</v>
      </c>
      <c r="AQ36" s="6">
        <f t="shared" si="18"/>
        <v>15</v>
      </c>
      <c r="AR36" s="955">
        <f t="shared" si="22"/>
        <v>1.6666666666666667</v>
      </c>
      <c r="AS36" s="955">
        <f t="shared" si="23"/>
        <v>0</v>
      </c>
      <c r="AT36" s="955">
        <f t="shared" si="24"/>
        <v>1.6666666666666667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spans="1:61" ht="18" hidden="1">
      <c r="A37" s="6">
        <v>9</v>
      </c>
      <c r="B37" s="20" t="s">
        <v>2830</v>
      </c>
      <c r="C37" s="6" t="s">
        <v>717</v>
      </c>
      <c r="D37" s="6" t="s">
        <v>729</v>
      </c>
      <c r="E37" s="18" t="s">
        <v>389</v>
      </c>
      <c r="F37" s="6">
        <v>13</v>
      </c>
      <c r="G37" s="6"/>
      <c r="H37" s="6"/>
      <c r="I37" s="6">
        <f t="shared" si="1"/>
        <v>0</v>
      </c>
      <c r="J37" s="6"/>
      <c r="K37" s="6"/>
      <c r="L37" s="6">
        <f t="shared" si="2"/>
        <v>0</v>
      </c>
      <c r="M37" s="6"/>
      <c r="N37" s="6"/>
      <c r="O37" s="6">
        <f t="shared" si="3"/>
        <v>0</v>
      </c>
      <c r="P37" s="6"/>
      <c r="Q37" s="6"/>
      <c r="R37" s="6">
        <f t="shared" si="4"/>
        <v>0</v>
      </c>
      <c r="S37" s="6"/>
      <c r="T37" s="6"/>
      <c r="U37" s="6">
        <f t="shared" si="5"/>
        <v>0</v>
      </c>
      <c r="V37" s="6"/>
      <c r="W37" s="6"/>
      <c r="X37" s="6">
        <f t="shared" si="6"/>
        <v>0</v>
      </c>
      <c r="Y37" s="101">
        <f t="shared" si="7"/>
        <v>0</v>
      </c>
      <c r="Z37" s="64">
        <f t="shared" si="8"/>
        <v>0</v>
      </c>
      <c r="AA37" s="64">
        <f t="shared" si="9"/>
        <v>0</v>
      </c>
      <c r="AB37" s="65">
        <f t="shared" si="10"/>
        <v>0</v>
      </c>
      <c r="AC37" s="65">
        <f t="shared" si="11"/>
        <v>0</v>
      </c>
      <c r="AD37" s="65">
        <f t="shared" si="12"/>
        <v>0</v>
      </c>
      <c r="AE37" s="35" t="s">
        <v>352</v>
      </c>
      <c r="AF37" s="6"/>
      <c r="AG37" s="6"/>
      <c r="AH37" s="906">
        <f t="shared" si="13"/>
        <v>0</v>
      </c>
      <c r="AI37" s="6"/>
      <c r="AJ37" s="6"/>
      <c r="AK37" s="98">
        <f t="shared" si="14"/>
        <v>0</v>
      </c>
      <c r="AL37" s="6"/>
      <c r="AM37" s="6"/>
      <c r="AN37" s="98">
        <f t="shared" si="15"/>
        <v>0</v>
      </c>
      <c r="AO37" s="6">
        <f t="shared" si="16"/>
        <v>0</v>
      </c>
      <c r="AP37" s="6">
        <f t="shared" si="17"/>
        <v>0</v>
      </c>
      <c r="AQ37" s="6">
        <f t="shared" si="18"/>
        <v>0</v>
      </c>
      <c r="AR37" s="955">
        <f t="shared" si="22"/>
        <v>0</v>
      </c>
      <c r="AS37" s="955">
        <f t="shared" si="23"/>
        <v>0</v>
      </c>
      <c r="AT37" s="955">
        <f t="shared" si="24"/>
        <v>0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ht="18">
      <c r="A38" s="6">
        <v>10</v>
      </c>
      <c r="B38" s="20" t="s">
        <v>730</v>
      </c>
      <c r="C38" s="6" t="s">
        <v>717</v>
      </c>
      <c r="D38" s="6" t="s">
        <v>731</v>
      </c>
      <c r="E38" s="6" t="s">
        <v>347</v>
      </c>
      <c r="F38" s="6">
        <v>130</v>
      </c>
      <c r="G38" s="6"/>
      <c r="H38" s="6"/>
      <c r="I38" s="6">
        <f t="shared" si="1"/>
        <v>0</v>
      </c>
      <c r="J38" s="6">
        <v>273</v>
      </c>
      <c r="K38" s="6"/>
      <c r="L38" s="6">
        <f t="shared" si="2"/>
        <v>273</v>
      </c>
      <c r="M38" s="6"/>
      <c r="N38" s="6"/>
      <c r="O38" s="6">
        <f t="shared" si="3"/>
        <v>0</v>
      </c>
      <c r="P38" s="6"/>
      <c r="Q38" s="6"/>
      <c r="R38" s="6">
        <f t="shared" si="4"/>
        <v>0</v>
      </c>
      <c r="S38" s="6"/>
      <c r="T38" s="6"/>
      <c r="U38" s="6">
        <f t="shared" si="5"/>
        <v>0</v>
      </c>
      <c r="V38" s="6"/>
      <c r="W38" s="6"/>
      <c r="X38" s="6">
        <f t="shared" si="6"/>
        <v>0</v>
      </c>
      <c r="Y38" s="101">
        <f t="shared" si="7"/>
        <v>273</v>
      </c>
      <c r="Z38" s="64">
        <f t="shared" si="8"/>
        <v>0</v>
      </c>
      <c r="AA38" s="64">
        <f t="shared" si="9"/>
        <v>273</v>
      </c>
      <c r="AB38" s="65">
        <f t="shared" si="10"/>
        <v>45.5</v>
      </c>
      <c r="AC38" s="65">
        <f t="shared" si="11"/>
        <v>0</v>
      </c>
      <c r="AD38" s="65">
        <f t="shared" si="12"/>
        <v>45.5</v>
      </c>
      <c r="AE38" s="35" t="s">
        <v>352</v>
      </c>
      <c r="AF38" s="6"/>
      <c r="AG38" s="6"/>
      <c r="AH38" s="906">
        <f t="shared" si="13"/>
        <v>0</v>
      </c>
      <c r="AI38" s="6">
        <v>25</v>
      </c>
      <c r="AJ38" s="6"/>
      <c r="AK38" s="98">
        <f t="shared" si="14"/>
        <v>25</v>
      </c>
      <c r="AL38" s="6">
        <v>25</v>
      </c>
      <c r="AM38" s="6"/>
      <c r="AN38" s="98">
        <f t="shared" si="15"/>
        <v>25</v>
      </c>
      <c r="AO38" s="6">
        <f t="shared" si="16"/>
        <v>323</v>
      </c>
      <c r="AP38" s="6">
        <f t="shared" si="17"/>
        <v>0</v>
      </c>
      <c r="AQ38" s="6">
        <f t="shared" si="18"/>
        <v>323</v>
      </c>
      <c r="AR38" s="955">
        <f t="shared" si="22"/>
        <v>35.888888888888886</v>
      </c>
      <c r="AS38" s="955">
        <f t="shared" si="23"/>
        <v>0</v>
      </c>
      <c r="AT38" s="955">
        <f t="shared" si="24"/>
        <v>35.888888888888886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1:61" ht="18">
      <c r="A39" s="6">
        <v>11</v>
      </c>
      <c r="B39" s="20" t="s">
        <v>2840</v>
      </c>
      <c r="C39" s="6" t="s">
        <v>717</v>
      </c>
      <c r="D39" s="6" t="s">
        <v>732</v>
      </c>
      <c r="E39" s="18" t="s">
        <v>423</v>
      </c>
      <c r="F39" s="6">
        <v>20</v>
      </c>
      <c r="G39" s="6"/>
      <c r="H39" s="6"/>
      <c r="I39" s="6">
        <f t="shared" si="1"/>
        <v>0</v>
      </c>
      <c r="J39" s="6"/>
      <c r="K39" s="6"/>
      <c r="L39" s="6">
        <f t="shared" si="2"/>
        <v>0</v>
      </c>
      <c r="M39" s="6"/>
      <c r="N39" s="6"/>
      <c r="O39" s="6">
        <f t="shared" si="3"/>
        <v>0</v>
      </c>
      <c r="P39" s="6"/>
      <c r="Q39" s="6"/>
      <c r="R39" s="6">
        <f t="shared" si="4"/>
        <v>0</v>
      </c>
      <c r="S39" s="6"/>
      <c r="T39" s="6"/>
      <c r="U39" s="6">
        <f t="shared" si="5"/>
        <v>0</v>
      </c>
      <c r="V39" s="6"/>
      <c r="W39" s="6"/>
      <c r="X39" s="6">
        <f t="shared" si="6"/>
        <v>0</v>
      </c>
      <c r="Y39" s="101">
        <f t="shared" si="7"/>
        <v>0</v>
      </c>
      <c r="Z39" s="64">
        <f t="shared" si="8"/>
        <v>0</v>
      </c>
      <c r="AA39" s="64">
        <f t="shared" si="9"/>
        <v>0</v>
      </c>
      <c r="AB39" s="65">
        <f t="shared" si="10"/>
        <v>0</v>
      </c>
      <c r="AC39" s="65">
        <f t="shared" si="11"/>
        <v>0</v>
      </c>
      <c r="AD39" s="65">
        <f t="shared" si="12"/>
        <v>0</v>
      </c>
      <c r="AE39" s="35" t="s">
        <v>352</v>
      </c>
      <c r="AF39" s="6">
        <v>25</v>
      </c>
      <c r="AG39" s="6"/>
      <c r="AH39" s="906">
        <f t="shared" si="13"/>
        <v>25</v>
      </c>
      <c r="AI39" s="6">
        <v>45</v>
      </c>
      <c r="AJ39" s="6"/>
      <c r="AK39" s="98">
        <f t="shared" si="14"/>
        <v>45</v>
      </c>
      <c r="AL39" s="6"/>
      <c r="AM39" s="6"/>
      <c r="AN39" s="98">
        <f t="shared" si="15"/>
        <v>0</v>
      </c>
      <c r="AO39" s="6">
        <f t="shared" si="16"/>
        <v>70</v>
      </c>
      <c r="AP39" s="6">
        <f t="shared" si="17"/>
        <v>0</v>
      </c>
      <c r="AQ39" s="6">
        <f t="shared" si="18"/>
        <v>70</v>
      </c>
      <c r="AR39" s="955">
        <f t="shared" si="22"/>
        <v>7.7777777777777777</v>
      </c>
      <c r="AS39" s="955">
        <f t="shared" si="23"/>
        <v>0</v>
      </c>
      <c r="AT39" s="955">
        <f t="shared" si="24"/>
        <v>7.7777777777777777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61" ht="18">
      <c r="A40" s="6">
        <v>12</v>
      </c>
      <c r="B40" s="20" t="s">
        <v>2831</v>
      </c>
      <c r="C40" s="6" t="s">
        <v>717</v>
      </c>
      <c r="D40" s="6" t="s">
        <v>733</v>
      </c>
      <c r="E40" s="18" t="s">
        <v>423</v>
      </c>
      <c r="F40" s="6">
        <v>16</v>
      </c>
      <c r="G40" s="6"/>
      <c r="H40" s="6"/>
      <c r="I40" s="6">
        <f t="shared" si="1"/>
        <v>0</v>
      </c>
      <c r="J40" s="6"/>
      <c r="K40" s="6"/>
      <c r="L40" s="6">
        <f t="shared" si="2"/>
        <v>0</v>
      </c>
      <c r="M40" s="6"/>
      <c r="N40" s="6"/>
      <c r="O40" s="6">
        <f t="shared" si="3"/>
        <v>0</v>
      </c>
      <c r="P40" s="6"/>
      <c r="Q40" s="6"/>
      <c r="R40" s="6">
        <f t="shared" si="4"/>
        <v>0</v>
      </c>
      <c r="S40" s="6"/>
      <c r="T40" s="6"/>
      <c r="U40" s="6">
        <f t="shared" si="5"/>
        <v>0</v>
      </c>
      <c r="V40" s="6"/>
      <c r="W40" s="6"/>
      <c r="X40" s="6">
        <f t="shared" si="6"/>
        <v>0</v>
      </c>
      <c r="Y40" s="101">
        <f t="shared" si="7"/>
        <v>0</v>
      </c>
      <c r="Z40" s="64">
        <f t="shared" si="8"/>
        <v>0</v>
      </c>
      <c r="AA40" s="64">
        <f t="shared" si="9"/>
        <v>0</v>
      </c>
      <c r="AB40" s="65">
        <f t="shared" si="10"/>
        <v>0</v>
      </c>
      <c r="AC40" s="65">
        <f t="shared" si="11"/>
        <v>0</v>
      </c>
      <c r="AD40" s="65">
        <f t="shared" si="12"/>
        <v>0</v>
      </c>
      <c r="AE40" s="35" t="s">
        <v>352</v>
      </c>
      <c r="AF40" s="6"/>
      <c r="AG40" s="6"/>
      <c r="AH40" s="906">
        <f t="shared" si="13"/>
        <v>0</v>
      </c>
      <c r="AI40" s="6"/>
      <c r="AJ40" s="6"/>
      <c r="AK40" s="98">
        <f t="shared" si="14"/>
        <v>0</v>
      </c>
      <c r="AL40" s="6">
        <v>51</v>
      </c>
      <c r="AM40" s="6"/>
      <c r="AN40" s="98">
        <f t="shared" si="15"/>
        <v>51</v>
      </c>
      <c r="AO40" s="6">
        <f t="shared" si="16"/>
        <v>51</v>
      </c>
      <c r="AP40" s="6">
        <f t="shared" si="17"/>
        <v>0</v>
      </c>
      <c r="AQ40" s="6">
        <f t="shared" si="18"/>
        <v>51</v>
      </c>
      <c r="AR40" s="955">
        <f t="shared" si="22"/>
        <v>5.666666666666667</v>
      </c>
      <c r="AS40" s="955">
        <f t="shared" si="23"/>
        <v>0</v>
      </c>
      <c r="AT40" s="955">
        <f t="shared" si="24"/>
        <v>5.666666666666667</v>
      </c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ht="18">
      <c r="A41" s="6">
        <v>13</v>
      </c>
      <c r="B41" s="20" t="s">
        <v>734</v>
      </c>
      <c r="C41" s="6" t="s">
        <v>717</v>
      </c>
      <c r="D41" s="6" t="s">
        <v>735</v>
      </c>
      <c r="E41" s="6" t="s">
        <v>351</v>
      </c>
      <c r="F41" s="6">
        <v>20</v>
      </c>
      <c r="G41" s="6"/>
      <c r="H41" s="6"/>
      <c r="I41" s="6">
        <f t="shared" si="1"/>
        <v>0</v>
      </c>
      <c r="J41" s="6"/>
      <c r="K41" s="6"/>
      <c r="L41" s="6">
        <f t="shared" si="2"/>
        <v>0</v>
      </c>
      <c r="M41" s="6"/>
      <c r="N41" s="6"/>
      <c r="O41" s="6">
        <f t="shared" si="3"/>
        <v>0</v>
      </c>
      <c r="P41" s="6"/>
      <c r="Q41" s="6"/>
      <c r="R41" s="6">
        <f t="shared" si="4"/>
        <v>0</v>
      </c>
      <c r="S41" s="6"/>
      <c r="T41" s="6"/>
      <c r="U41" s="6">
        <f t="shared" si="5"/>
        <v>0</v>
      </c>
      <c r="V41" s="6"/>
      <c r="W41" s="6"/>
      <c r="X41" s="6">
        <f t="shared" si="6"/>
        <v>0</v>
      </c>
      <c r="Y41" s="101">
        <f t="shared" si="7"/>
        <v>0</v>
      </c>
      <c r="Z41" s="64">
        <f t="shared" si="8"/>
        <v>0</v>
      </c>
      <c r="AA41" s="64">
        <f t="shared" si="9"/>
        <v>0</v>
      </c>
      <c r="AB41" s="65">
        <f t="shared" si="10"/>
        <v>0</v>
      </c>
      <c r="AC41" s="65">
        <f t="shared" si="11"/>
        <v>0</v>
      </c>
      <c r="AD41" s="65">
        <f t="shared" si="12"/>
        <v>0</v>
      </c>
      <c r="AE41" s="35" t="s">
        <v>352</v>
      </c>
      <c r="AF41" s="6">
        <v>30</v>
      </c>
      <c r="AG41" s="6"/>
      <c r="AH41" s="906">
        <f t="shared" si="13"/>
        <v>30</v>
      </c>
      <c r="AI41" s="6"/>
      <c r="AJ41" s="6"/>
      <c r="AK41" s="98">
        <f t="shared" si="14"/>
        <v>0</v>
      </c>
      <c r="AL41" s="6"/>
      <c r="AM41" s="6"/>
      <c r="AN41" s="98">
        <f t="shared" si="15"/>
        <v>0</v>
      </c>
      <c r="AO41" s="6">
        <f t="shared" si="16"/>
        <v>30</v>
      </c>
      <c r="AP41" s="6">
        <f t="shared" si="17"/>
        <v>0</v>
      </c>
      <c r="AQ41" s="6">
        <f t="shared" si="18"/>
        <v>30</v>
      </c>
      <c r="AR41" s="955">
        <f t="shared" si="22"/>
        <v>3.3333333333333335</v>
      </c>
      <c r="AS41" s="955">
        <f t="shared" si="23"/>
        <v>0</v>
      </c>
      <c r="AT41" s="955">
        <f t="shared" si="24"/>
        <v>3.3333333333333335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ht="18">
      <c r="A42" s="6">
        <v>14</v>
      </c>
      <c r="B42" s="669" t="s">
        <v>736</v>
      </c>
      <c r="C42" s="6" t="s">
        <v>717</v>
      </c>
      <c r="D42" s="6" t="s">
        <v>737</v>
      </c>
      <c r="E42" s="6" t="s">
        <v>351</v>
      </c>
      <c r="F42" s="6">
        <v>40</v>
      </c>
      <c r="G42" s="6"/>
      <c r="H42" s="6"/>
      <c r="I42" s="6">
        <f t="shared" si="1"/>
        <v>0</v>
      </c>
      <c r="J42" s="6"/>
      <c r="K42" s="6"/>
      <c r="L42" s="6">
        <f t="shared" si="2"/>
        <v>0</v>
      </c>
      <c r="M42" s="6"/>
      <c r="N42" s="6"/>
      <c r="O42" s="6">
        <f t="shared" si="3"/>
        <v>0</v>
      </c>
      <c r="P42" s="6"/>
      <c r="Q42" s="6"/>
      <c r="R42" s="6">
        <f t="shared" si="4"/>
        <v>0</v>
      </c>
      <c r="S42" s="6"/>
      <c r="T42" s="6"/>
      <c r="U42" s="6">
        <f t="shared" si="5"/>
        <v>0</v>
      </c>
      <c r="V42" s="6"/>
      <c r="W42" s="6"/>
      <c r="X42" s="6">
        <f t="shared" si="6"/>
        <v>0</v>
      </c>
      <c r="Y42" s="101">
        <f t="shared" si="7"/>
        <v>0</v>
      </c>
      <c r="Z42" s="64">
        <f t="shared" si="8"/>
        <v>0</v>
      </c>
      <c r="AA42" s="64">
        <f t="shared" si="9"/>
        <v>0</v>
      </c>
      <c r="AB42" s="65">
        <f t="shared" si="10"/>
        <v>0</v>
      </c>
      <c r="AC42" s="65">
        <f t="shared" si="11"/>
        <v>0</v>
      </c>
      <c r="AD42" s="65">
        <f t="shared" si="12"/>
        <v>0</v>
      </c>
      <c r="AE42" s="35" t="s">
        <v>352</v>
      </c>
      <c r="AF42" s="6"/>
      <c r="AG42" s="6"/>
      <c r="AH42" s="906">
        <f t="shared" si="13"/>
        <v>0</v>
      </c>
      <c r="AI42" s="6">
        <v>20</v>
      </c>
      <c r="AJ42" s="6"/>
      <c r="AK42" s="98">
        <f t="shared" si="14"/>
        <v>20</v>
      </c>
      <c r="AL42" s="6"/>
      <c r="AM42" s="6"/>
      <c r="AN42" s="98">
        <f t="shared" si="15"/>
        <v>0</v>
      </c>
      <c r="AO42" s="6">
        <f t="shared" si="16"/>
        <v>20</v>
      </c>
      <c r="AP42" s="6">
        <f t="shared" si="17"/>
        <v>0</v>
      </c>
      <c r="AQ42" s="6">
        <f t="shared" si="18"/>
        <v>20</v>
      </c>
      <c r="AR42" s="955">
        <f t="shared" si="22"/>
        <v>2.2222222222222223</v>
      </c>
      <c r="AS42" s="955">
        <f t="shared" si="23"/>
        <v>0</v>
      </c>
      <c r="AT42" s="955">
        <f t="shared" si="24"/>
        <v>2.2222222222222223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spans="1:61" ht="18">
      <c r="A43" s="6">
        <v>15</v>
      </c>
      <c r="B43" s="20" t="s">
        <v>738</v>
      </c>
      <c r="C43" s="6" t="s">
        <v>717</v>
      </c>
      <c r="D43" s="6" t="s">
        <v>739</v>
      </c>
      <c r="E43" s="6" t="s">
        <v>351</v>
      </c>
      <c r="F43" s="6">
        <v>15</v>
      </c>
      <c r="G43" s="6">
        <v>20</v>
      </c>
      <c r="H43" s="6"/>
      <c r="I43" s="6">
        <f t="shared" si="1"/>
        <v>20</v>
      </c>
      <c r="J43" s="6"/>
      <c r="K43" s="6"/>
      <c r="L43" s="6">
        <f t="shared" si="2"/>
        <v>0</v>
      </c>
      <c r="M43" s="6"/>
      <c r="N43" s="6"/>
      <c r="O43" s="6">
        <f t="shared" si="3"/>
        <v>0</v>
      </c>
      <c r="P43" s="6"/>
      <c r="Q43" s="6"/>
      <c r="R43" s="6">
        <f t="shared" si="4"/>
        <v>0</v>
      </c>
      <c r="S43" s="6"/>
      <c r="T43" s="6"/>
      <c r="U43" s="6">
        <f t="shared" si="5"/>
        <v>0</v>
      </c>
      <c r="V43" s="6"/>
      <c r="W43" s="6"/>
      <c r="X43" s="6">
        <f t="shared" si="6"/>
        <v>0</v>
      </c>
      <c r="Y43" s="101">
        <f t="shared" si="7"/>
        <v>20</v>
      </c>
      <c r="Z43" s="64">
        <f t="shared" si="8"/>
        <v>0</v>
      </c>
      <c r="AA43" s="64">
        <f t="shared" si="9"/>
        <v>20</v>
      </c>
      <c r="AB43" s="65">
        <f t="shared" si="10"/>
        <v>3.3333333333333335</v>
      </c>
      <c r="AC43" s="65">
        <f t="shared" si="11"/>
        <v>0</v>
      </c>
      <c r="AD43" s="65">
        <f t="shared" si="12"/>
        <v>3.3333333333333335</v>
      </c>
      <c r="AE43" s="35" t="s">
        <v>352</v>
      </c>
      <c r="AF43" s="6">
        <v>30</v>
      </c>
      <c r="AG43" s="6"/>
      <c r="AH43" s="906">
        <f t="shared" si="13"/>
        <v>30</v>
      </c>
      <c r="AI43" s="6"/>
      <c r="AJ43" s="6"/>
      <c r="AK43" s="98">
        <f t="shared" si="14"/>
        <v>0</v>
      </c>
      <c r="AL43" s="6">
        <v>15</v>
      </c>
      <c r="AM43" s="6"/>
      <c r="AN43" s="98">
        <f t="shared" si="15"/>
        <v>15</v>
      </c>
      <c r="AO43" s="6">
        <f t="shared" si="16"/>
        <v>65</v>
      </c>
      <c r="AP43" s="6">
        <f t="shared" si="17"/>
        <v>0</v>
      </c>
      <c r="AQ43" s="6">
        <f t="shared" si="18"/>
        <v>65</v>
      </c>
      <c r="AR43" s="955">
        <f t="shared" si="22"/>
        <v>7.2222222222222223</v>
      </c>
      <c r="AS43" s="955">
        <f t="shared" si="23"/>
        <v>0</v>
      </c>
      <c r="AT43" s="955">
        <f t="shared" si="24"/>
        <v>7.2222222222222223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ht="18">
      <c r="A44" s="6">
        <v>16</v>
      </c>
      <c r="B44" s="20" t="s">
        <v>740</v>
      </c>
      <c r="C44" s="6" t="s">
        <v>717</v>
      </c>
      <c r="D44" s="6" t="s">
        <v>741</v>
      </c>
      <c r="E44" s="18" t="s">
        <v>389</v>
      </c>
      <c r="F44" s="6">
        <v>15</v>
      </c>
      <c r="G44" s="6"/>
      <c r="H44" s="6"/>
      <c r="I44" s="6">
        <f t="shared" si="1"/>
        <v>0</v>
      </c>
      <c r="J44" s="6"/>
      <c r="K44" s="6"/>
      <c r="L44" s="6">
        <f t="shared" si="2"/>
        <v>0</v>
      </c>
      <c r="M44" s="6"/>
      <c r="N44" s="6"/>
      <c r="O44" s="6">
        <f t="shared" si="3"/>
        <v>0</v>
      </c>
      <c r="P44" s="6"/>
      <c r="Q44" s="6"/>
      <c r="R44" s="6">
        <f t="shared" si="4"/>
        <v>0</v>
      </c>
      <c r="S44" s="6"/>
      <c r="T44" s="6"/>
      <c r="U44" s="6">
        <f t="shared" si="5"/>
        <v>0</v>
      </c>
      <c r="V44" s="6">
        <v>17.5</v>
      </c>
      <c r="W44" s="6"/>
      <c r="X44" s="6">
        <f t="shared" si="6"/>
        <v>17.5</v>
      </c>
      <c r="Y44" s="101">
        <f t="shared" si="7"/>
        <v>17.5</v>
      </c>
      <c r="Z44" s="64">
        <f t="shared" si="8"/>
        <v>0</v>
      </c>
      <c r="AA44" s="64">
        <f t="shared" si="9"/>
        <v>17.5</v>
      </c>
      <c r="AB44" s="65">
        <f t="shared" si="10"/>
        <v>2.9166666666666665</v>
      </c>
      <c r="AC44" s="65">
        <f t="shared" si="11"/>
        <v>0</v>
      </c>
      <c r="AD44" s="65">
        <f t="shared" si="12"/>
        <v>2.9166666666666665</v>
      </c>
      <c r="AE44" s="35" t="s">
        <v>352</v>
      </c>
      <c r="AF44" s="6"/>
      <c r="AG44" s="6"/>
      <c r="AH44" s="906">
        <f t="shared" si="13"/>
        <v>0</v>
      </c>
      <c r="AI44" s="6"/>
      <c r="AJ44" s="6"/>
      <c r="AK44" s="98">
        <f t="shared" si="14"/>
        <v>0</v>
      </c>
      <c r="AL44" s="6">
        <v>8</v>
      </c>
      <c r="AM44" s="6"/>
      <c r="AN44" s="98">
        <f t="shared" si="15"/>
        <v>8</v>
      </c>
      <c r="AO44" s="6">
        <f t="shared" si="16"/>
        <v>25.5</v>
      </c>
      <c r="AP44" s="6">
        <f t="shared" si="17"/>
        <v>0</v>
      </c>
      <c r="AQ44" s="6">
        <f t="shared" si="18"/>
        <v>25.5</v>
      </c>
      <c r="AR44" s="955">
        <f t="shared" si="22"/>
        <v>2.8333333333333335</v>
      </c>
      <c r="AS44" s="955">
        <f t="shared" si="23"/>
        <v>0</v>
      </c>
      <c r="AT44" s="955">
        <f t="shared" si="24"/>
        <v>2.8333333333333335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s="61" customFormat="1" ht="18">
      <c r="A45" s="19">
        <v>17</v>
      </c>
      <c r="B45" s="59" t="s">
        <v>742</v>
      </c>
      <c r="C45" s="19" t="s">
        <v>717</v>
      </c>
      <c r="D45" s="19" t="s">
        <v>743</v>
      </c>
      <c r="E45" s="19" t="s">
        <v>423</v>
      </c>
      <c r="F45" s="19">
        <v>89</v>
      </c>
      <c r="G45" s="19"/>
      <c r="H45" s="19"/>
      <c r="I45" s="19">
        <f t="shared" si="1"/>
        <v>0</v>
      </c>
      <c r="J45" s="19"/>
      <c r="K45" s="19"/>
      <c r="L45" s="19">
        <f t="shared" si="2"/>
        <v>0</v>
      </c>
      <c r="M45" s="19"/>
      <c r="N45" s="19"/>
      <c r="O45" s="19">
        <f t="shared" si="3"/>
        <v>0</v>
      </c>
      <c r="P45" s="19">
        <v>40</v>
      </c>
      <c r="Q45" s="19"/>
      <c r="R45" s="19">
        <f t="shared" si="4"/>
        <v>40</v>
      </c>
      <c r="S45" s="19"/>
      <c r="T45" s="19"/>
      <c r="U45" s="19">
        <f t="shared" si="5"/>
        <v>0</v>
      </c>
      <c r="V45" s="19">
        <v>50</v>
      </c>
      <c r="W45" s="19"/>
      <c r="X45" s="19">
        <f t="shared" si="6"/>
        <v>50</v>
      </c>
      <c r="Y45" s="100">
        <f t="shared" si="7"/>
        <v>90</v>
      </c>
      <c r="Z45" s="19">
        <f t="shared" si="8"/>
        <v>0</v>
      </c>
      <c r="AA45" s="19">
        <f t="shared" si="9"/>
        <v>90</v>
      </c>
      <c r="AB45" s="60">
        <f t="shared" si="10"/>
        <v>15</v>
      </c>
      <c r="AC45" s="60">
        <f t="shared" si="11"/>
        <v>0</v>
      </c>
      <c r="AD45" s="60">
        <f t="shared" si="12"/>
        <v>15</v>
      </c>
      <c r="AE45" s="46" t="s">
        <v>352</v>
      </c>
      <c r="AF45" s="19">
        <v>0</v>
      </c>
      <c r="AG45" s="19"/>
      <c r="AH45" s="907">
        <f t="shared" si="13"/>
        <v>0</v>
      </c>
      <c r="AI45" s="19"/>
      <c r="AJ45" s="19"/>
      <c r="AK45" s="100">
        <f t="shared" si="14"/>
        <v>0</v>
      </c>
      <c r="AL45" s="19">
        <v>40</v>
      </c>
      <c r="AM45" s="19"/>
      <c r="AN45" s="100">
        <f t="shared" si="15"/>
        <v>40</v>
      </c>
      <c r="AO45" s="19">
        <f t="shared" si="16"/>
        <v>130</v>
      </c>
      <c r="AP45" s="19">
        <f t="shared" si="17"/>
        <v>0</v>
      </c>
      <c r="AQ45" s="19">
        <f t="shared" si="18"/>
        <v>130</v>
      </c>
      <c r="AR45" s="703">
        <f>AO45/9</f>
        <v>14.444444444444445</v>
      </c>
      <c r="AS45" s="703">
        <f t="shared" si="23"/>
        <v>0</v>
      </c>
      <c r="AT45" s="703">
        <f t="shared" si="24"/>
        <v>14.444444444444445</v>
      </c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</row>
    <row r="46" spans="1:61" s="61" customFormat="1" ht="18">
      <c r="A46" s="19">
        <v>18</v>
      </c>
      <c r="B46" s="59" t="s">
        <v>744</v>
      </c>
      <c r="C46" s="19" t="s">
        <v>717</v>
      </c>
      <c r="D46" s="19" t="s">
        <v>745</v>
      </c>
      <c r="E46" s="19" t="s">
        <v>347</v>
      </c>
      <c r="F46" s="19">
        <v>38</v>
      </c>
      <c r="G46" s="19">
        <v>40</v>
      </c>
      <c r="H46" s="19"/>
      <c r="I46" s="19">
        <f t="shared" si="1"/>
        <v>40</v>
      </c>
      <c r="J46" s="19">
        <v>80</v>
      </c>
      <c r="K46" s="19"/>
      <c r="L46" s="19">
        <f t="shared" si="2"/>
        <v>80</v>
      </c>
      <c r="M46" s="19"/>
      <c r="N46" s="19"/>
      <c r="O46" s="19">
        <f t="shared" si="3"/>
        <v>0</v>
      </c>
      <c r="P46" s="19"/>
      <c r="Q46" s="19"/>
      <c r="R46" s="19">
        <f t="shared" si="4"/>
        <v>0</v>
      </c>
      <c r="S46" s="19"/>
      <c r="T46" s="19"/>
      <c r="U46" s="19">
        <f t="shared" si="5"/>
        <v>0</v>
      </c>
      <c r="V46" s="19">
        <v>38</v>
      </c>
      <c r="W46" s="19"/>
      <c r="X46" s="19">
        <f t="shared" si="6"/>
        <v>38</v>
      </c>
      <c r="Y46" s="100">
        <f t="shared" si="7"/>
        <v>158</v>
      </c>
      <c r="Z46" s="19">
        <f t="shared" si="8"/>
        <v>0</v>
      </c>
      <c r="AA46" s="19">
        <f t="shared" si="9"/>
        <v>158</v>
      </c>
      <c r="AB46" s="60">
        <f t="shared" si="10"/>
        <v>26.333333333333332</v>
      </c>
      <c r="AC46" s="60">
        <f t="shared" si="11"/>
        <v>0</v>
      </c>
      <c r="AD46" s="60">
        <f t="shared" si="12"/>
        <v>26.333333333333332</v>
      </c>
      <c r="AE46" s="46" t="s">
        <v>352</v>
      </c>
      <c r="AF46" s="19">
        <v>0</v>
      </c>
      <c r="AG46" s="19"/>
      <c r="AH46" s="907">
        <f t="shared" si="13"/>
        <v>0</v>
      </c>
      <c r="AI46" s="19">
        <v>40</v>
      </c>
      <c r="AJ46" s="19"/>
      <c r="AK46" s="100">
        <f t="shared" si="14"/>
        <v>40</v>
      </c>
      <c r="AL46" s="19">
        <v>60</v>
      </c>
      <c r="AM46" s="19"/>
      <c r="AN46" s="100">
        <f t="shared" si="15"/>
        <v>60</v>
      </c>
      <c r="AO46" s="19">
        <f t="shared" si="16"/>
        <v>258</v>
      </c>
      <c r="AP46" s="19">
        <f t="shared" si="17"/>
        <v>0</v>
      </c>
      <c r="AQ46" s="19">
        <f t="shared" si="18"/>
        <v>258</v>
      </c>
      <c r="AR46" s="703">
        <f t="shared" ref="AR46:AR61" si="25">AO46/9</f>
        <v>28.666666666666668</v>
      </c>
      <c r="AS46" s="703">
        <f t="shared" si="23"/>
        <v>0</v>
      </c>
      <c r="AT46" s="703">
        <f t="shared" si="24"/>
        <v>28.666666666666668</v>
      </c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</row>
    <row r="47" spans="1:61" s="61" customFormat="1" ht="18">
      <c r="A47" s="19">
        <v>19</v>
      </c>
      <c r="B47" s="59" t="s">
        <v>746</v>
      </c>
      <c r="C47" s="19" t="s">
        <v>717</v>
      </c>
      <c r="D47" s="19" t="s">
        <v>747</v>
      </c>
      <c r="E47" s="19" t="s">
        <v>389</v>
      </c>
      <c r="F47" s="19">
        <v>102</v>
      </c>
      <c r="G47" s="19">
        <v>300</v>
      </c>
      <c r="H47" s="19"/>
      <c r="I47" s="19">
        <f t="shared" si="1"/>
        <v>300</v>
      </c>
      <c r="J47" s="19"/>
      <c r="K47" s="19"/>
      <c r="L47" s="19">
        <f t="shared" si="2"/>
        <v>0</v>
      </c>
      <c r="M47" s="19"/>
      <c r="N47" s="19"/>
      <c r="O47" s="19">
        <f t="shared" si="3"/>
        <v>0</v>
      </c>
      <c r="P47" s="19"/>
      <c r="Q47" s="19"/>
      <c r="R47" s="19">
        <f t="shared" si="4"/>
        <v>0</v>
      </c>
      <c r="S47" s="19"/>
      <c r="T47" s="19"/>
      <c r="U47" s="19">
        <f t="shared" si="5"/>
        <v>0</v>
      </c>
      <c r="V47" s="19">
        <v>120</v>
      </c>
      <c r="W47" s="19">
        <v>18</v>
      </c>
      <c r="X47" s="19">
        <f t="shared" si="6"/>
        <v>138</v>
      </c>
      <c r="Y47" s="100">
        <f t="shared" si="7"/>
        <v>420</v>
      </c>
      <c r="Z47" s="19">
        <f t="shared" si="8"/>
        <v>18</v>
      </c>
      <c r="AA47" s="19">
        <f t="shared" si="9"/>
        <v>438</v>
      </c>
      <c r="AB47" s="60">
        <f t="shared" si="10"/>
        <v>70</v>
      </c>
      <c r="AC47" s="60">
        <f t="shared" si="11"/>
        <v>3</v>
      </c>
      <c r="AD47" s="60">
        <f t="shared" si="12"/>
        <v>73</v>
      </c>
      <c r="AE47" s="46" t="s">
        <v>352</v>
      </c>
      <c r="AF47" s="19">
        <v>0</v>
      </c>
      <c r="AG47" s="19"/>
      <c r="AH47" s="907">
        <f t="shared" si="13"/>
        <v>0</v>
      </c>
      <c r="AI47" s="19">
        <v>193</v>
      </c>
      <c r="AJ47" s="19">
        <v>66</v>
      </c>
      <c r="AK47" s="100">
        <f t="shared" si="14"/>
        <v>259</v>
      </c>
      <c r="AL47" s="19"/>
      <c r="AM47" s="19"/>
      <c r="AN47" s="100">
        <f t="shared" si="15"/>
        <v>0</v>
      </c>
      <c r="AO47" s="19">
        <f t="shared" si="16"/>
        <v>613</v>
      </c>
      <c r="AP47" s="19">
        <f t="shared" si="17"/>
        <v>84</v>
      </c>
      <c r="AQ47" s="19">
        <f t="shared" si="18"/>
        <v>697</v>
      </c>
      <c r="AR47" s="703">
        <f t="shared" si="25"/>
        <v>68.111111111111114</v>
      </c>
      <c r="AS47" s="703">
        <f t="shared" si="23"/>
        <v>9.3333333333333339</v>
      </c>
      <c r="AT47" s="703">
        <f t="shared" si="24"/>
        <v>77.444444444444443</v>
      </c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</row>
    <row r="48" spans="1:61" s="61" customFormat="1" ht="18">
      <c r="A48" s="19">
        <v>20</v>
      </c>
      <c r="B48" s="59" t="s">
        <v>748</v>
      </c>
      <c r="C48" s="19" t="s">
        <v>717</v>
      </c>
      <c r="D48" s="19" t="s">
        <v>749</v>
      </c>
      <c r="E48" s="19" t="s">
        <v>347</v>
      </c>
      <c r="F48" s="19">
        <v>80</v>
      </c>
      <c r="G48" s="19">
        <v>160</v>
      </c>
      <c r="H48" s="19"/>
      <c r="I48" s="19">
        <f t="shared" si="1"/>
        <v>160</v>
      </c>
      <c r="J48" s="19"/>
      <c r="K48" s="19"/>
      <c r="L48" s="19">
        <f t="shared" si="2"/>
        <v>0</v>
      </c>
      <c r="M48" s="19"/>
      <c r="N48" s="19"/>
      <c r="O48" s="19">
        <f t="shared" si="3"/>
        <v>0</v>
      </c>
      <c r="P48" s="19"/>
      <c r="Q48" s="19"/>
      <c r="R48" s="19">
        <f t="shared" si="4"/>
        <v>0</v>
      </c>
      <c r="S48" s="19"/>
      <c r="T48" s="19"/>
      <c r="U48" s="19">
        <f t="shared" si="5"/>
        <v>0</v>
      </c>
      <c r="V48" s="19">
        <v>120</v>
      </c>
      <c r="W48" s="19"/>
      <c r="X48" s="19">
        <f t="shared" si="6"/>
        <v>120</v>
      </c>
      <c r="Y48" s="100">
        <f t="shared" si="7"/>
        <v>280</v>
      </c>
      <c r="Z48" s="19">
        <f t="shared" si="8"/>
        <v>0</v>
      </c>
      <c r="AA48" s="19">
        <f t="shared" si="9"/>
        <v>280</v>
      </c>
      <c r="AB48" s="60">
        <f t="shared" si="10"/>
        <v>46.666666666666664</v>
      </c>
      <c r="AC48" s="60">
        <f t="shared" si="11"/>
        <v>0</v>
      </c>
      <c r="AD48" s="60">
        <f t="shared" si="12"/>
        <v>46.666666666666664</v>
      </c>
      <c r="AE48" s="46" t="s">
        <v>352</v>
      </c>
      <c r="AF48" s="19">
        <v>140</v>
      </c>
      <c r="AG48" s="19"/>
      <c r="AH48" s="907">
        <f t="shared" si="13"/>
        <v>140</v>
      </c>
      <c r="AI48" s="19"/>
      <c r="AJ48" s="19"/>
      <c r="AK48" s="100">
        <f t="shared" si="14"/>
        <v>0</v>
      </c>
      <c r="AL48" s="19">
        <v>200</v>
      </c>
      <c r="AM48" s="19">
        <v>18</v>
      </c>
      <c r="AN48" s="100">
        <f t="shared" si="15"/>
        <v>218</v>
      </c>
      <c r="AO48" s="19">
        <f t="shared" si="16"/>
        <v>620</v>
      </c>
      <c r="AP48" s="19">
        <f t="shared" si="17"/>
        <v>18</v>
      </c>
      <c r="AQ48" s="19">
        <f t="shared" si="18"/>
        <v>638</v>
      </c>
      <c r="AR48" s="703">
        <f t="shared" si="25"/>
        <v>68.888888888888886</v>
      </c>
      <c r="AS48" s="703">
        <f t="shared" si="23"/>
        <v>2</v>
      </c>
      <c r="AT48" s="703">
        <f t="shared" si="24"/>
        <v>70.888888888888886</v>
      </c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</row>
    <row r="49" spans="1:61" ht="18">
      <c r="A49" s="6">
        <v>1</v>
      </c>
      <c r="B49" s="16" t="s">
        <v>750</v>
      </c>
      <c r="C49" s="6" t="s">
        <v>751</v>
      </c>
      <c r="D49" s="6" t="s">
        <v>752</v>
      </c>
      <c r="E49" s="6" t="s">
        <v>347</v>
      </c>
      <c r="F49" s="6">
        <v>115</v>
      </c>
      <c r="G49" s="6"/>
      <c r="H49" s="6"/>
      <c r="I49" s="6">
        <f t="shared" si="1"/>
        <v>0</v>
      </c>
      <c r="J49" s="6">
        <v>28</v>
      </c>
      <c r="K49" s="6"/>
      <c r="L49" s="6">
        <f t="shared" si="2"/>
        <v>28</v>
      </c>
      <c r="M49" s="6"/>
      <c r="N49" s="6"/>
      <c r="O49" s="6">
        <f t="shared" si="3"/>
        <v>0</v>
      </c>
      <c r="P49" s="6">
        <v>200</v>
      </c>
      <c r="Q49" s="6"/>
      <c r="R49" s="6">
        <f t="shared" si="4"/>
        <v>200</v>
      </c>
      <c r="S49" s="6">
        <v>200</v>
      </c>
      <c r="T49" s="6"/>
      <c r="U49" s="6">
        <f t="shared" si="5"/>
        <v>200</v>
      </c>
      <c r="V49" s="6">
        <v>20</v>
      </c>
      <c r="W49" s="6"/>
      <c r="X49" s="6">
        <f t="shared" si="6"/>
        <v>20</v>
      </c>
      <c r="Y49" s="101">
        <f t="shared" si="7"/>
        <v>448</v>
      </c>
      <c r="Z49" s="64">
        <f t="shared" si="8"/>
        <v>0</v>
      </c>
      <c r="AA49" s="64">
        <f t="shared" si="9"/>
        <v>448</v>
      </c>
      <c r="AB49" s="65">
        <f t="shared" si="10"/>
        <v>74.666666666666671</v>
      </c>
      <c r="AC49" s="65">
        <f t="shared" si="11"/>
        <v>0</v>
      </c>
      <c r="AD49" s="65">
        <f t="shared" si="12"/>
        <v>74.666666666666671</v>
      </c>
      <c r="AE49" s="35" t="s">
        <v>352</v>
      </c>
      <c r="AF49" s="6"/>
      <c r="AG49" s="6"/>
      <c r="AH49" s="906">
        <f t="shared" si="13"/>
        <v>0</v>
      </c>
      <c r="AI49" s="6">
        <v>22.5</v>
      </c>
      <c r="AJ49" s="6"/>
      <c r="AK49" s="98">
        <f t="shared" si="14"/>
        <v>22.5</v>
      </c>
      <c r="AL49" s="6"/>
      <c r="AM49" s="6"/>
      <c r="AN49" s="98">
        <f t="shared" si="15"/>
        <v>0</v>
      </c>
      <c r="AO49" s="6">
        <f t="shared" si="16"/>
        <v>470.5</v>
      </c>
      <c r="AP49" s="6">
        <f t="shared" si="17"/>
        <v>0</v>
      </c>
      <c r="AQ49" s="6">
        <f t="shared" si="18"/>
        <v>470.5</v>
      </c>
      <c r="AR49" s="955">
        <f t="shared" si="25"/>
        <v>52.277777777777779</v>
      </c>
      <c r="AS49" s="955">
        <f t="shared" ref="AS49:AS62" si="26">AP49/9</f>
        <v>0</v>
      </c>
      <c r="AT49" s="955">
        <f t="shared" ref="AT49:AT62" si="27">AQ49/9</f>
        <v>52.277777777777779</v>
      </c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spans="1:61" ht="18">
      <c r="A50" s="6">
        <v>2</v>
      </c>
      <c r="B50" s="16" t="s">
        <v>753</v>
      </c>
      <c r="C50" s="6" t="s">
        <v>751</v>
      </c>
      <c r="D50" s="6" t="s">
        <v>754</v>
      </c>
      <c r="E50" s="6" t="s">
        <v>692</v>
      </c>
      <c r="F50" s="6">
        <v>30</v>
      </c>
      <c r="G50" s="6"/>
      <c r="H50" s="6"/>
      <c r="I50" s="6">
        <f t="shared" si="1"/>
        <v>0</v>
      </c>
      <c r="J50" s="6"/>
      <c r="K50" s="6"/>
      <c r="L50" s="6">
        <f t="shared" si="2"/>
        <v>0</v>
      </c>
      <c r="M50" s="6">
        <v>66</v>
      </c>
      <c r="N50" s="6"/>
      <c r="O50" s="6">
        <f t="shared" si="3"/>
        <v>66</v>
      </c>
      <c r="P50" s="6"/>
      <c r="Q50" s="6"/>
      <c r="R50" s="6">
        <f t="shared" si="4"/>
        <v>0</v>
      </c>
      <c r="S50" s="6">
        <v>58</v>
      </c>
      <c r="T50" s="6"/>
      <c r="U50" s="6">
        <f t="shared" si="5"/>
        <v>58</v>
      </c>
      <c r="V50" s="6">
        <v>40</v>
      </c>
      <c r="W50" s="6"/>
      <c r="X50" s="6">
        <f t="shared" si="6"/>
        <v>40</v>
      </c>
      <c r="Y50" s="101">
        <f t="shared" si="7"/>
        <v>164</v>
      </c>
      <c r="Z50" s="64">
        <f t="shared" si="8"/>
        <v>0</v>
      </c>
      <c r="AA50" s="64">
        <f t="shared" si="9"/>
        <v>164</v>
      </c>
      <c r="AB50" s="65">
        <f t="shared" si="10"/>
        <v>27.333333333333332</v>
      </c>
      <c r="AC50" s="65">
        <f t="shared" si="11"/>
        <v>0</v>
      </c>
      <c r="AD50" s="65">
        <f t="shared" si="12"/>
        <v>27.333333333333332</v>
      </c>
      <c r="AE50" s="35" t="s">
        <v>352</v>
      </c>
      <c r="AF50" s="6">
        <v>50</v>
      </c>
      <c r="AG50" s="6"/>
      <c r="AH50" s="906">
        <f t="shared" si="13"/>
        <v>50</v>
      </c>
      <c r="AI50" s="6"/>
      <c r="AJ50" s="6"/>
      <c r="AK50" s="98">
        <f t="shared" si="14"/>
        <v>0</v>
      </c>
      <c r="AL50" s="6">
        <v>43</v>
      </c>
      <c r="AM50" s="6"/>
      <c r="AN50" s="98">
        <f t="shared" si="15"/>
        <v>43</v>
      </c>
      <c r="AO50" s="6">
        <f t="shared" si="16"/>
        <v>257</v>
      </c>
      <c r="AP50" s="6">
        <f t="shared" si="17"/>
        <v>0</v>
      </c>
      <c r="AQ50" s="6">
        <f t="shared" si="18"/>
        <v>257</v>
      </c>
      <c r="AR50" s="955">
        <f t="shared" si="25"/>
        <v>28.555555555555557</v>
      </c>
      <c r="AS50" s="955">
        <f t="shared" si="26"/>
        <v>0</v>
      </c>
      <c r="AT50" s="955">
        <f t="shared" si="27"/>
        <v>28.555555555555557</v>
      </c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spans="1:61" ht="18">
      <c r="A51" s="6">
        <v>3</v>
      </c>
      <c r="B51" s="16" t="s">
        <v>755</v>
      </c>
      <c r="C51" s="6" t="s">
        <v>751</v>
      </c>
      <c r="D51" s="6" t="s">
        <v>756</v>
      </c>
      <c r="E51" s="18" t="s">
        <v>423</v>
      </c>
      <c r="F51" s="6">
        <v>28</v>
      </c>
      <c r="G51" s="6">
        <v>40</v>
      </c>
      <c r="H51" s="6"/>
      <c r="I51" s="6">
        <f t="shared" si="1"/>
        <v>40</v>
      </c>
      <c r="J51" s="6"/>
      <c r="K51" s="6"/>
      <c r="L51" s="6">
        <f t="shared" si="2"/>
        <v>0</v>
      </c>
      <c r="M51" s="6">
        <v>46</v>
      </c>
      <c r="N51" s="6"/>
      <c r="O51" s="6">
        <f t="shared" si="3"/>
        <v>46</v>
      </c>
      <c r="P51" s="6"/>
      <c r="Q51" s="6"/>
      <c r="R51" s="6">
        <f t="shared" si="4"/>
        <v>0</v>
      </c>
      <c r="S51" s="6"/>
      <c r="T51" s="6"/>
      <c r="U51" s="6">
        <f t="shared" si="5"/>
        <v>0</v>
      </c>
      <c r="V51" s="6"/>
      <c r="W51" s="6"/>
      <c r="X51" s="6">
        <f t="shared" si="6"/>
        <v>0</v>
      </c>
      <c r="Y51" s="101">
        <f t="shared" si="7"/>
        <v>86</v>
      </c>
      <c r="Z51" s="64">
        <f t="shared" si="8"/>
        <v>0</v>
      </c>
      <c r="AA51" s="64">
        <f t="shared" si="9"/>
        <v>86</v>
      </c>
      <c r="AB51" s="65">
        <f t="shared" si="10"/>
        <v>14.333333333333334</v>
      </c>
      <c r="AC51" s="65">
        <f t="shared" si="11"/>
        <v>0</v>
      </c>
      <c r="AD51" s="65">
        <f t="shared" si="12"/>
        <v>14.333333333333334</v>
      </c>
      <c r="AE51" s="35" t="s">
        <v>352</v>
      </c>
      <c r="AF51" s="6">
        <v>20</v>
      </c>
      <c r="AG51" s="6"/>
      <c r="AH51" s="906">
        <f t="shared" si="13"/>
        <v>20</v>
      </c>
      <c r="AI51" s="6"/>
      <c r="AJ51" s="6"/>
      <c r="AK51" s="98">
        <f t="shared" si="14"/>
        <v>0</v>
      </c>
      <c r="AL51" s="6"/>
      <c r="AM51" s="6"/>
      <c r="AN51" s="98">
        <f t="shared" si="15"/>
        <v>0</v>
      </c>
      <c r="AO51" s="6">
        <f t="shared" si="16"/>
        <v>106</v>
      </c>
      <c r="AP51" s="6">
        <f t="shared" si="17"/>
        <v>0</v>
      </c>
      <c r="AQ51" s="6">
        <f t="shared" si="18"/>
        <v>106</v>
      </c>
      <c r="AR51" s="955">
        <f t="shared" si="25"/>
        <v>11.777777777777779</v>
      </c>
      <c r="AS51" s="955">
        <f t="shared" si="26"/>
        <v>0</v>
      </c>
      <c r="AT51" s="955">
        <f t="shared" si="27"/>
        <v>11.777777777777779</v>
      </c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spans="1:61" ht="18">
      <c r="A52" s="6">
        <v>4</v>
      </c>
      <c r="B52" s="16" t="s">
        <v>757</v>
      </c>
      <c r="C52" s="6" t="s">
        <v>751</v>
      </c>
      <c r="D52" s="6" t="s">
        <v>758</v>
      </c>
      <c r="E52" s="18" t="s">
        <v>423</v>
      </c>
      <c r="F52" s="6">
        <v>30</v>
      </c>
      <c r="G52" s="6"/>
      <c r="H52" s="6"/>
      <c r="I52" s="6">
        <f t="shared" si="1"/>
        <v>0</v>
      </c>
      <c r="J52" s="6"/>
      <c r="K52" s="6"/>
      <c r="L52" s="6">
        <f t="shared" si="2"/>
        <v>0</v>
      </c>
      <c r="M52" s="6"/>
      <c r="N52" s="6"/>
      <c r="O52" s="6">
        <f t="shared" si="3"/>
        <v>0</v>
      </c>
      <c r="P52" s="6">
        <v>20</v>
      </c>
      <c r="Q52" s="6"/>
      <c r="R52" s="6">
        <f t="shared" si="4"/>
        <v>20</v>
      </c>
      <c r="S52" s="6">
        <v>38</v>
      </c>
      <c r="T52" s="6"/>
      <c r="U52" s="6">
        <f t="shared" si="5"/>
        <v>38</v>
      </c>
      <c r="V52" s="6"/>
      <c r="W52" s="6"/>
      <c r="X52" s="6">
        <f t="shared" si="6"/>
        <v>0</v>
      </c>
      <c r="Y52" s="101">
        <f t="shared" si="7"/>
        <v>58</v>
      </c>
      <c r="Z52" s="64">
        <f t="shared" si="8"/>
        <v>0</v>
      </c>
      <c r="AA52" s="64">
        <f t="shared" si="9"/>
        <v>58</v>
      </c>
      <c r="AB52" s="65">
        <f t="shared" si="10"/>
        <v>9.6666666666666661</v>
      </c>
      <c r="AC52" s="65">
        <f t="shared" si="11"/>
        <v>0</v>
      </c>
      <c r="AD52" s="65">
        <f t="shared" si="12"/>
        <v>9.6666666666666661</v>
      </c>
      <c r="AE52" s="35" t="s">
        <v>352</v>
      </c>
      <c r="AF52" s="6">
        <v>38</v>
      </c>
      <c r="AG52" s="6"/>
      <c r="AH52" s="906">
        <f t="shared" si="13"/>
        <v>38</v>
      </c>
      <c r="AI52" s="6"/>
      <c r="AJ52" s="6"/>
      <c r="AK52" s="98">
        <f t="shared" si="14"/>
        <v>0</v>
      </c>
      <c r="AL52" s="6">
        <v>20</v>
      </c>
      <c r="AM52" s="6"/>
      <c r="AN52" s="98">
        <f t="shared" si="15"/>
        <v>20</v>
      </c>
      <c r="AO52" s="6">
        <f t="shared" si="16"/>
        <v>116</v>
      </c>
      <c r="AP52" s="6">
        <f t="shared" si="17"/>
        <v>0</v>
      </c>
      <c r="AQ52" s="6">
        <f t="shared" si="18"/>
        <v>116</v>
      </c>
      <c r="AR52" s="955">
        <f t="shared" si="25"/>
        <v>12.888888888888889</v>
      </c>
      <c r="AS52" s="955">
        <f t="shared" si="26"/>
        <v>0</v>
      </c>
      <c r="AT52" s="955">
        <f t="shared" si="27"/>
        <v>12.888888888888889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spans="1:61" ht="18">
      <c r="A53" s="6">
        <v>5</v>
      </c>
      <c r="B53" s="16" t="s">
        <v>759</v>
      </c>
      <c r="C53" s="6" t="s">
        <v>751</v>
      </c>
      <c r="D53" s="6" t="s">
        <v>760</v>
      </c>
      <c r="E53" s="18" t="s">
        <v>761</v>
      </c>
      <c r="F53" s="6">
        <v>54</v>
      </c>
      <c r="G53" s="6">
        <v>9</v>
      </c>
      <c r="H53" s="6"/>
      <c r="I53" s="6">
        <f t="shared" si="1"/>
        <v>9</v>
      </c>
      <c r="J53" s="6">
        <v>3</v>
      </c>
      <c r="K53" s="6"/>
      <c r="L53" s="6">
        <f t="shared" si="2"/>
        <v>3</v>
      </c>
      <c r="M53" s="6">
        <v>9</v>
      </c>
      <c r="N53" s="6"/>
      <c r="O53" s="6">
        <f t="shared" si="3"/>
        <v>9</v>
      </c>
      <c r="P53" s="6">
        <v>9</v>
      </c>
      <c r="Q53" s="6"/>
      <c r="R53" s="6">
        <f t="shared" si="4"/>
        <v>9</v>
      </c>
      <c r="S53" s="6"/>
      <c r="T53" s="6"/>
      <c r="U53" s="6">
        <f t="shared" si="5"/>
        <v>0</v>
      </c>
      <c r="V53" s="6"/>
      <c r="W53" s="6"/>
      <c r="X53" s="6">
        <f t="shared" si="6"/>
        <v>0</v>
      </c>
      <c r="Y53" s="101">
        <f t="shared" si="7"/>
        <v>30</v>
      </c>
      <c r="Z53" s="64">
        <f t="shared" si="8"/>
        <v>0</v>
      </c>
      <c r="AA53" s="64">
        <f t="shared" si="9"/>
        <v>30</v>
      </c>
      <c r="AB53" s="65">
        <f t="shared" si="10"/>
        <v>5</v>
      </c>
      <c r="AC53" s="65">
        <f t="shared" si="11"/>
        <v>0</v>
      </c>
      <c r="AD53" s="65">
        <f t="shared" si="12"/>
        <v>5</v>
      </c>
      <c r="AE53" s="35" t="s">
        <v>352</v>
      </c>
      <c r="AF53" s="6">
        <v>7.5</v>
      </c>
      <c r="AG53" s="6"/>
      <c r="AH53" s="906">
        <f t="shared" si="13"/>
        <v>7.5</v>
      </c>
      <c r="AI53" s="6"/>
      <c r="AJ53" s="6"/>
      <c r="AK53" s="98">
        <f t="shared" si="14"/>
        <v>0</v>
      </c>
      <c r="AL53" s="6"/>
      <c r="AM53" s="6"/>
      <c r="AN53" s="98">
        <f t="shared" si="15"/>
        <v>0</v>
      </c>
      <c r="AO53" s="6">
        <f t="shared" si="16"/>
        <v>37.5</v>
      </c>
      <c r="AP53" s="6">
        <f t="shared" si="17"/>
        <v>0</v>
      </c>
      <c r="AQ53" s="6">
        <f t="shared" si="18"/>
        <v>37.5</v>
      </c>
      <c r="AR53" s="955">
        <f t="shared" si="25"/>
        <v>4.166666666666667</v>
      </c>
      <c r="AS53" s="955">
        <f t="shared" si="26"/>
        <v>0</v>
      </c>
      <c r="AT53" s="955">
        <f t="shared" si="27"/>
        <v>4.166666666666667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spans="1:61" ht="18">
      <c r="A54" s="6">
        <v>6</v>
      </c>
      <c r="B54" s="16" t="s">
        <v>762</v>
      </c>
      <c r="C54" s="6" t="s">
        <v>751</v>
      </c>
      <c r="D54" s="6" t="s">
        <v>763</v>
      </c>
      <c r="E54" s="6" t="s">
        <v>351</v>
      </c>
      <c r="F54" s="6">
        <v>10</v>
      </c>
      <c r="G54" s="6">
        <v>25</v>
      </c>
      <c r="H54" s="6"/>
      <c r="I54" s="6">
        <f t="shared" si="1"/>
        <v>25</v>
      </c>
      <c r="J54" s="6"/>
      <c r="K54" s="6"/>
      <c r="L54" s="6">
        <f t="shared" si="2"/>
        <v>0</v>
      </c>
      <c r="M54" s="6"/>
      <c r="N54" s="6"/>
      <c r="O54" s="6">
        <f t="shared" si="3"/>
        <v>0</v>
      </c>
      <c r="P54" s="6"/>
      <c r="Q54" s="6"/>
      <c r="R54" s="6">
        <f t="shared" si="4"/>
        <v>0</v>
      </c>
      <c r="S54" s="6">
        <v>38</v>
      </c>
      <c r="T54" s="6"/>
      <c r="U54" s="6">
        <f t="shared" si="5"/>
        <v>38</v>
      </c>
      <c r="V54" s="6">
        <v>32.5</v>
      </c>
      <c r="W54" s="6"/>
      <c r="X54" s="6">
        <f t="shared" si="6"/>
        <v>32.5</v>
      </c>
      <c r="Y54" s="101">
        <f t="shared" si="7"/>
        <v>95.5</v>
      </c>
      <c r="Z54" s="64">
        <f t="shared" si="8"/>
        <v>0</v>
      </c>
      <c r="AA54" s="64">
        <f t="shared" si="9"/>
        <v>95.5</v>
      </c>
      <c r="AB54" s="65">
        <f t="shared" si="10"/>
        <v>15.916666666666666</v>
      </c>
      <c r="AC54" s="65">
        <f t="shared" si="11"/>
        <v>0</v>
      </c>
      <c r="AD54" s="65">
        <f t="shared" si="12"/>
        <v>15.916666666666666</v>
      </c>
      <c r="AE54" s="35" t="s">
        <v>352</v>
      </c>
      <c r="AF54" s="6"/>
      <c r="AG54" s="6"/>
      <c r="AH54" s="906">
        <f t="shared" si="13"/>
        <v>0</v>
      </c>
      <c r="AI54" s="6">
        <v>28</v>
      </c>
      <c r="AJ54" s="6"/>
      <c r="AK54" s="98">
        <f t="shared" si="14"/>
        <v>28</v>
      </c>
      <c r="AL54" s="6"/>
      <c r="AM54" s="6"/>
      <c r="AN54" s="98">
        <f t="shared" si="15"/>
        <v>0</v>
      </c>
      <c r="AO54" s="6">
        <f t="shared" si="16"/>
        <v>123.5</v>
      </c>
      <c r="AP54" s="6">
        <f t="shared" si="17"/>
        <v>0</v>
      </c>
      <c r="AQ54" s="6">
        <f t="shared" si="18"/>
        <v>123.5</v>
      </c>
      <c r="AR54" s="955">
        <f t="shared" si="25"/>
        <v>13.722222222222221</v>
      </c>
      <c r="AS54" s="955">
        <f t="shared" si="26"/>
        <v>0</v>
      </c>
      <c r="AT54" s="955">
        <f t="shared" si="27"/>
        <v>13.722222222222221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spans="1:61" ht="18">
      <c r="A55" s="6">
        <v>7</v>
      </c>
      <c r="B55" s="21" t="s">
        <v>750</v>
      </c>
      <c r="C55" s="6" t="s">
        <v>751</v>
      </c>
      <c r="D55" s="6" t="s">
        <v>764</v>
      </c>
      <c r="E55" s="6" t="s">
        <v>347</v>
      </c>
      <c r="F55" s="6">
        <v>10</v>
      </c>
      <c r="G55" s="6"/>
      <c r="H55" s="6"/>
      <c r="I55" s="6">
        <f t="shared" si="1"/>
        <v>0</v>
      </c>
      <c r="J55" s="6">
        <v>28</v>
      </c>
      <c r="K55" s="6"/>
      <c r="L55" s="6">
        <f t="shared" si="2"/>
        <v>28</v>
      </c>
      <c r="M55" s="6"/>
      <c r="N55" s="6"/>
      <c r="O55" s="6">
        <f t="shared" si="3"/>
        <v>0</v>
      </c>
      <c r="P55" s="6">
        <v>15</v>
      </c>
      <c r="Q55" s="6"/>
      <c r="R55" s="6">
        <f t="shared" si="4"/>
        <v>15</v>
      </c>
      <c r="S55" s="6">
        <v>19</v>
      </c>
      <c r="T55" s="6"/>
      <c r="U55" s="6">
        <f t="shared" si="5"/>
        <v>19</v>
      </c>
      <c r="V55" s="6"/>
      <c r="W55" s="6"/>
      <c r="X55" s="6">
        <f t="shared" si="6"/>
        <v>0</v>
      </c>
      <c r="Y55" s="101">
        <f t="shared" si="7"/>
        <v>62</v>
      </c>
      <c r="Z55" s="64">
        <f t="shared" si="8"/>
        <v>0</v>
      </c>
      <c r="AA55" s="64">
        <f t="shared" si="9"/>
        <v>62</v>
      </c>
      <c r="AB55" s="65">
        <f t="shared" si="10"/>
        <v>10.333333333333334</v>
      </c>
      <c r="AC55" s="65">
        <f t="shared" si="11"/>
        <v>0</v>
      </c>
      <c r="AD55" s="65">
        <f t="shared" si="12"/>
        <v>10.333333333333334</v>
      </c>
      <c r="AE55" s="35" t="s">
        <v>352</v>
      </c>
      <c r="AF55" s="6"/>
      <c r="AG55" s="6"/>
      <c r="AH55" s="906">
        <f t="shared" si="13"/>
        <v>0</v>
      </c>
      <c r="AI55" s="6"/>
      <c r="AJ55" s="6"/>
      <c r="AK55" s="98">
        <f t="shared" si="14"/>
        <v>0</v>
      </c>
      <c r="AL55" s="6">
        <v>19</v>
      </c>
      <c r="AM55" s="6"/>
      <c r="AN55" s="98">
        <f t="shared" si="15"/>
        <v>19</v>
      </c>
      <c r="AO55" s="6">
        <f t="shared" si="16"/>
        <v>81</v>
      </c>
      <c r="AP55" s="6">
        <f t="shared" si="17"/>
        <v>0</v>
      </c>
      <c r="AQ55" s="6">
        <f t="shared" si="18"/>
        <v>81</v>
      </c>
      <c r="AR55" s="955">
        <f t="shared" si="25"/>
        <v>9</v>
      </c>
      <c r="AS55" s="955">
        <f t="shared" si="26"/>
        <v>0</v>
      </c>
      <c r="AT55" s="955">
        <f t="shared" si="27"/>
        <v>9</v>
      </c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spans="1:61" ht="18">
      <c r="A56" s="6">
        <v>8</v>
      </c>
      <c r="B56" s="21" t="s">
        <v>2832</v>
      </c>
      <c r="C56" s="6" t="s">
        <v>751</v>
      </c>
      <c r="D56" s="6" t="s">
        <v>765</v>
      </c>
      <c r="E56" s="19" t="s">
        <v>355</v>
      </c>
      <c r="F56" s="6">
        <v>20</v>
      </c>
      <c r="G56" s="6"/>
      <c r="H56" s="6"/>
      <c r="I56" s="6">
        <f t="shared" si="1"/>
        <v>0</v>
      </c>
      <c r="J56" s="6"/>
      <c r="K56" s="6"/>
      <c r="L56" s="6">
        <f t="shared" si="2"/>
        <v>0</v>
      </c>
      <c r="M56" s="6"/>
      <c r="N56" s="6"/>
      <c r="O56" s="6">
        <f t="shared" si="3"/>
        <v>0</v>
      </c>
      <c r="P56" s="6"/>
      <c r="Q56" s="6"/>
      <c r="R56" s="6">
        <f t="shared" si="4"/>
        <v>0</v>
      </c>
      <c r="S56" s="6"/>
      <c r="T56" s="6"/>
      <c r="U56" s="6">
        <f t="shared" si="5"/>
        <v>0</v>
      </c>
      <c r="V56" s="6"/>
      <c r="W56" s="6"/>
      <c r="X56" s="6">
        <f t="shared" si="6"/>
        <v>0</v>
      </c>
      <c r="Y56" s="101">
        <f t="shared" si="7"/>
        <v>0</v>
      </c>
      <c r="Z56" s="64">
        <f t="shared" si="8"/>
        <v>0</v>
      </c>
      <c r="AA56" s="64">
        <f t="shared" si="9"/>
        <v>0</v>
      </c>
      <c r="AB56" s="65">
        <f t="shared" si="10"/>
        <v>0</v>
      </c>
      <c r="AC56" s="65">
        <f t="shared" si="11"/>
        <v>0</v>
      </c>
      <c r="AD56" s="65">
        <f t="shared" si="12"/>
        <v>0</v>
      </c>
      <c r="AE56" s="35" t="s">
        <v>352</v>
      </c>
      <c r="AF56" s="6">
        <v>5</v>
      </c>
      <c r="AG56" s="6"/>
      <c r="AH56" s="906">
        <f t="shared" si="13"/>
        <v>5</v>
      </c>
      <c r="AI56" s="6"/>
      <c r="AJ56" s="6"/>
      <c r="AK56" s="98">
        <f t="shared" si="14"/>
        <v>0</v>
      </c>
      <c r="AL56" s="6"/>
      <c r="AM56" s="6"/>
      <c r="AN56" s="98">
        <f t="shared" si="15"/>
        <v>0</v>
      </c>
      <c r="AO56" s="6">
        <f t="shared" si="16"/>
        <v>5</v>
      </c>
      <c r="AP56" s="6">
        <f t="shared" si="17"/>
        <v>0</v>
      </c>
      <c r="AQ56" s="6">
        <f t="shared" si="18"/>
        <v>5</v>
      </c>
      <c r="AR56" s="955">
        <f t="shared" si="25"/>
        <v>0.55555555555555558</v>
      </c>
      <c r="AS56" s="955">
        <f t="shared" si="26"/>
        <v>0</v>
      </c>
      <c r="AT56" s="955">
        <f t="shared" si="27"/>
        <v>0.55555555555555558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spans="1:61" ht="18">
      <c r="A57" s="6">
        <v>9</v>
      </c>
      <c r="B57" s="16" t="s">
        <v>2835</v>
      </c>
      <c r="C57" s="6" t="s">
        <v>751</v>
      </c>
      <c r="D57" s="6" t="s">
        <v>766</v>
      </c>
      <c r="E57" s="19" t="s">
        <v>355</v>
      </c>
      <c r="F57" s="6">
        <v>10</v>
      </c>
      <c r="G57" s="6"/>
      <c r="H57" s="6"/>
      <c r="I57" s="6">
        <f t="shared" si="1"/>
        <v>0</v>
      </c>
      <c r="J57" s="6"/>
      <c r="K57" s="6"/>
      <c r="L57" s="6">
        <f t="shared" si="2"/>
        <v>0</v>
      </c>
      <c r="M57" s="6"/>
      <c r="N57" s="6"/>
      <c r="O57" s="6">
        <f t="shared" si="3"/>
        <v>0</v>
      </c>
      <c r="P57" s="6"/>
      <c r="Q57" s="6"/>
      <c r="R57" s="6">
        <f t="shared" si="4"/>
        <v>0</v>
      </c>
      <c r="S57" s="6"/>
      <c r="T57" s="6"/>
      <c r="U57" s="6">
        <f t="shared" si="5"/>
        <v>0</v>
      </c>
      <c r="V57" s="6"/>
      <c r="W57" s="6"/>
      <c r="X57" s="6">
        <f t="shared" si="6"/>
        <v>0</v>
      </c>
      <c r="Y57" s="101">
        <f t="shared" si="7"/>
        <v>0</v>
      </c>
      <c r="Z57" s="64">
        <f t="shared" si="8"/>
        <v>0</v>
      </c>
      <c r="AA57" s="64">
        <f t="shared" si="9"/>
        <v>0</v>
      </c>
      <c r="AB57" s="65">
        <f t="shared" si="10"/>
        <v>0</v>
      </c>
      <c r="AC57" s="65">
        <f t="shared" si="11"/>
        <v>0</v>
      </c>
      <c r="AD57" s="65">
        <f t="shared" si="12"/>
        <v>0</v>
      </c>
      <c r="AE57" s="35" t="s">
        <v>352</v>
      </c>
      <c r="AF57" s="6">
        <v>10</v>
      </c>
      <c r="AG57" s="6"/>
      <c r="AH57" s="906">
        <f t="shared" si="13"/>
        <v>10</v>
      </c>
      <c r="AI57" s="6"/>
      <c r="AJ57" s="6"/>
      <c r="AK57" s="98">
        <f t="shared" si="14"/>
        <v>0</v>
      </c>
      <c r="AL57" s="6"/>
      <c r="AM57" s="6"/>
      <c r="AN57" s="98">
        <f t="shared" si="15"/>
        <v>0</v>
      </c>
      <c r="AO57" s="6">
        <f t="shared" si="16"/>
        <v>10</v>
      </c>
      <c r="AP57" s="6">
        <f t="shared" si="17"/>
        <v>0</v>
      </c>
      <c r="AQ57" s="6">
        <f t="shared" si="18"/>
        <v>10</v>
      </c>
      <c r="AR57" s="955">
        <f t="shared" si="25"/>
        <v>1.1111111111111112</v>
      </c>
      <c r="AS57" s="955">
        <f t="shared" si="26"/>
        <v>0</v>
      </c>
      <c r="AT57" s="955">
        <f t="shared" si="27"/>
        <v>1.1111111111111112</v>
      </c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spans="1:61" ht="18">
      <c r="A58" s="6">
        <v>10</v>
      </c>
      <c r="B58" s="16" t="s">
        <v>767</v>
      </c>
      <c r="C58" s="6" t="s">
        <v>751</v>
      </c>
      <c r="D58" s="6" t="s">
        <v>768</v>
      </c>
      <c r="E58" s="6" t="s">
        <v>692</v>
      </c>
      <c r="F58" s="6">
        <v>10</v>
      </c>
      <c r="G58" s="6"/>
      <c r="H58" s="6"/>
      <c r="I58" s="6">
        <f t="shared" si="1"/>
        <v>0</v>
      </c>
      <c r="J58" s="6"/>
      <c r="K58" s="6"/>
      <c r="L58" s="6">
        <f t="shared" si="2"/>
        <v>0</v>
      </c>
      <c r="M58" s="6"/>
      <c r="N58" s="6"/>
      <c r="O58" s="6">
        <f t="shared" si="3"/>
        <v>0</v>
      </c>
      <c r="P58" s="6">
        <v>10</v>
      </c>
      <c r="Q58" s="6"/>
      <c r="R58" s="6">
        <f t="shared" si="4"/>
        <v>10</v>
      </c>
      <c r="S58" s="6"/>
      <c r="T58" s="6"/>
      <c r="U58" s="6">
        <f t="shared" si="5"/>
        <v>0</v>
      </c>
      <c r="V58" s="6"/>
      <c r="W58" s="6"/>
      <c r="X58" s="6">
        <f t="shared" si="6"/>
        <v>0</v>
      </c>
      <c r="Y58" s="101">
        <f t="shared" si="7"/>
        <v>10</v>
      </c>
      <c r="Z58" s="64">
        <f t="shared" si="8"/>
        <v>0</v>
      </c>
      <c r="AA58" s="64">
        <f t="shared" si="9"/>
        <v>10</v>
      </c>
      <c r="AB58" s="65">
        <f t="shared" si="10"/>
        <v>1.6666666666666667</v>
      </c>
      <c r="AC58" s="65">
        <f t="shared" si="11"/>
        <v>0</v>
      </c>
      <c r="AD58" s="65">
        <f t="shared" si="12"/>
        <v>1.6666666666666667</v>
      </c>
      <c r="AE58" s="35" t="s">
        <v>352</v>
      </c>
      <c r="AF58" s="6">
        <v>5</v>
      </c>
      <c r="AG58" s="6"/>
      <c r="AH58" s="906">
        <f t="shared" si="13"/>
        <v>5</v>
      </c>
      <c r="AI58" s="6"/>
      <c r="AJ58" s="6"/>
      <c r="AK58" s="98">
        <f t="shared" si="14"/>
        <v>0</v>
      </c>
      <c r="AL58" s="6"/>
      <c r="AM58" s="6"/>
      <c r="AN58" s="98">
        <f t="shared" si="15"/>
        <v>0</v>
      </c>
      <c r="AO58" s="6">
        <f t="shared" si="16"/>
        <v>15</v>
      </c>
      <c r="AP58" s="6">
        <f t="shared" si="17"/>
        <v>0</v>
      </c>
      <c r="AQ58" s="6">
        <f t="shared" si="18"/>
        <v>15</v>
      </c>
      <c r="AR58" s="955">
        <f t="shared" si="25"/>
        <v>1.6666666666666667</v>
      </c>
      <c r="AS58" s="955">
        <f t="shared" si="26"/>
        <v>0</v>
      </c>
      <c r="AT58" s="955">
        <f t="shared" si="27"/>
        <v>1.6666666666666667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spans="1:61" ht="18">
      <c r="A59" s="6">
        <v>11</v>
      </c>
      <c r="B59" s="16" t="s">
        <v>769</v>
      </c>
      <c r="C59" s="6" t="s">
        <v>751</v>
      </c>
      <c r="D59" s="6" t="s">
        <v>770</v>
      </c>
      <c r="E59" s="18" t="s">
        <v>364</v>
      </c>
      <c r="F59" s="6">
        <v>10</v>
      </c>
      <c r="G59" s="6"/>
      <c r="H59" s="6"/>
      <c r="I59" s="6">
        <f t="shared" si="1"/>
        <v>0</v>
      </c>
      <c r="J59" s="6">
        <v>53</v>
      </c>
      <c r="K59" s="6"/>
      <c r="L59" s="6">
        <f t="shared" si="2"/>
        <v>53</v>
      </c>
      <c r="M59" s="6">
        <v>56</v>
      </c>
      <c r="N59" s="6"/>
      <c r="O59" s="6">
        <f t="shared" si="3"/>
        <v>56</v>
      </c>
      <c r="P59" s="6"/>
      <c r="Q59" s="6"/>
      <c r="R59" s="6">
        <f t="shared" si="4"/>
        <v>0</v>
      </c>
      <c r="S59" s="6">
        <v>36</v>
      </c>
      <c r="T59" s="6"/>
      <c r="U59" s="6">
        <f t="shared" si="5"/>
        <v>36</v>
      </c>
      <c r="V59" s="6">
        <v>58</v>
      </c>
      <c r="W59" s="6"/>
      <c r="X59" s="6">
        <f t="shared" si="6"/>
        <v>58</v>
      </c>
      <c r="Y59" s="101">
        <f t="shared" si="7"/>
        <v>203</v>
      </c>
      <c r="Z59" s="64">
        <f t="shared" si="8"/>
        <v>0</v>
      </c>
      <c r="AA59" s="64">
        <f t="shared" si="9"/>
        <v>203</v>
      </c>
      <c r="AB59" s="65">
        <f t="shared" si="10"/>
        <v>33.833333333333336</v>
      </c>
      <c r="AC59" s="65">
        <f t="shared" si="11"/>
        <v>0</v>
      </c>
      <c r="AD59" s="65">
        <f t="shared" si="12"/>
        <v>33.833333333333336</v>
      </c>
      <c r="AE59" s="35" t="s">
        <v>352</v>
      </c>
      <c r="AF59" s="6">
        <v>50</v>
      </c>
      <c r="AG59" s="6"/>
      <c r="AH59" s="906">
        <f t="shared" si="13"/>
        <v>50</v>
      </c>
      <c r="AI59" s="6">
        <v>18</v>
      </c>
      <c r="AJ59" s="6"/>
      <c r="AK59" s="98">
        <f t="shared" si="14"/>
        <v>18</v>
      </c>
      <c r="AL59" s="6"/>
      <c r="AM59" s="6"/>
      <c r="AN59" s="98">
        <f t="shared" si="15"/>
        <v>0</v>
      </c>
      <c r="AO59" s="6">
        <f t="shared" si="16"/>
        <v>271</v>
      </c>
      <c r="AP59" s="6">
        <f t="shared" si="17"/>
        <v>0</v>
      </c>
      <c r="AQ59" s="6">
        <f t="shared" si="18"/>
        <v>271</v>
      </c>
      <c r="AR59" s="955">
        <f t="shared" si="25"/>
        <v>30.111111111111111</v>
      </c>
      <c r="AS59" s="955">
        <f t="shared" si="26"/>
        <v>0</v>
      </c>
      <c r="AT59" s="955">
        <f t="shared" si="27"/>
        <v>30.111111111111111</v>
      </c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spans="1:61" ht="18">
      <c r="A60" s="6">
        <v>12</v>
      </c>
      <c r="B60" s="16" t="s">
        <v>771</v>
      </c>
      <c r="C60" s="6" t="s">
        <v>751</v>
      </c>
      <c r="D60" s="6" t="s">
        <v>772</v>
      </c>
      <c r="E60" s="18" t="s">
        <v>389</v>
      </c>
      <c r="F60" s="6">
        <v>40</v>
      </c>
      <c r="G60" s="6"/>
      <c r="H60" s="6"/>
      <c r="I60" s="6">
        <f t="shared" si="1"/>
        <v>0</v>
      </c>
      <c r="J60" s="6">
        <v>40</v>
      </c>
      <c r="K60" s="6"/>
      <c r="L60" s="6">
        <f t="shared" si="2"/>
        <v>40</v>
      </c>
      <c r="M60" s="6"/>
      <c r="N60" s="6"/>
      <c r="O60" s="6">
        <f t="shared" si="3"/>
        <v>0</v>
      </c>
      <c r="P60" s="6"/>
      <c r="Q60" s="6"/>
      <c r="R60" s="6">
        <f t="shared" si="4"/>
        <v>0</v>
      </c>
      <c r="S60" s="6"/>
      <c r="T60" s="6"/>
      <c r="U60" s="6">
        <f t="shared" si="5"/>
        <v>0</v>
      </c>
      <c r="V60" s="6">
        <v>30</v>
      </c>
      <c r="W60" s="6"/>
      <c r="X60" s="6">
        <f t="shared" si="6"/>
        <v>30</v>
      </c>
      <c r="Y60" s="101">
        <f t="shared" si="7"/>
        <v>70</v>
      </c>
      <c r="Z60" s="64">
        <f t="shared" si="8"/>
        <v>0</v>
      </c>
      <c r="AA60" s="64">
        <f t="shared" si="9"/>
        <v>70</v>
      </c>
      <c r="AB60" s="65">
        <f t="shared" si="10"/>
        <v>11.666666666666666</v>
      </c>
      <c r="AC60" s="65">
        <f t="shared" si="11"/>
        <v>0</v>
      </c>
      <c r="AD60" s="65">
        <f t="shared" si="12"/>
        <v>11.666666666666666</v>
      </c>
      <c r="AE60" s="35" t="s">
        <v>352</v>
      </c>
      <c r="AF60" s="6"/>
      <c r="AG60" s="6"/>
      <c r="AH60" s="906">
        <f t="shared" si="13"/>
        <v>0</v>
      </c>
      <c r="AI60" s="6">
        <v>25</v>
      </c>
      <c r="AJ60" s="6"/>
      <c r="AK60" s="98">
        <f t="shared" si="14"/>
        <v>25</v>
      </c>
      <c r="AL60" s="6"/>
      <c r="AM60" s="6"/>
      <c r="AN60" s="98">
        <f t="shared" si="15"/>
        <v>0</v>
      </c>
      <c r="AO60" s="6">
        <f t="shared" si="16"/>
        <v>95</v>
      </c>
      <c r="AP60" s="6">
        <f t="shared" si="17"/>
        <v>0</v>
      </c>
      <c r="AQ60" s="6">
        <f t="shared" si="18"/>
        <v>95</v>
      </c>
      <c r="AR60" s="955">
        <f t="shared" si="25"/>
        <v>10.555555555555555</v>
      </c>
      <c r="AS60" s="955">
        <f t="shared" si="26"/>
        <v>0</v>
      </c>
      <c r="AT60" s="955">
        <f t="shared" si="27"/>
        <v>10.555555555555555</v>
      </c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spans="1:61" ht="18">
      <c r="A61" s="6">
        <v>13</v>
      </c>
      <c r="B61" s="16" t="s">
        <v>773</v>
      </c>
      <c r="C61" s="6" t="s">
        <v>751</v>
      </c>
      <c r="D61" s="6" t="s">
        <v>774</v>
      </c>
      <c r="E61" s="19" t="s">
        <v>355</v>
      </c>
      <c r="F61" s="6">
        <v>10</v>
      </c>
      <c r="G61" s="6"/>
      <c r="H61" s="6"/>
      <c r="I61" s="6">
        <f t="shared" si="1"/>
        <v>0</v>
      </c>
      <c r="J61" s="6">
        <v>20</v>
      </c>
      <c r="K61" s="6"/>
      <c r="L61" s="6">
        <f t="shared" si="2"/>
        <v>20</v>
      </c>
      <c r="M61" s="6"/>
      <c r="N61" s="6"/>
      <c r="O61" s="6">
        <f t="shared" si="3"/>
        <v>0</v>
      </c>
      <c r="P61" s="6"/>
      <c r="Q61" s="6"/>
      <c r="R61" s="6">
        <f t="shared" si="4"/>
        <v>0</v>
      </c>
      <c r="S61" s="6"/>
      <c r="T61" s="6"/>
      <c r="U61" s="6">
        <f t="shared" si="5"/>
        <v>0</v>
      </c>
      <c r="V61" s="6"/>
      <c r="W61" s="6"/>
      <c r="X61" s="6">
        <f t="shared" si="6"/>
        <v>0</v>
      </c>
      <c r="Y61" s="101">
        <f t="shared" si="7"/>
        <v>20</v>
      </c>
      <c r="Z61" s="64">
        <f t="shared" si="8"/>
        <v>0</v>
      </c>
      <c r="AA61" s="64">
        <f t="shared" si="9"/>
        <v>20</v>
      </c>
      <c r="AB61" s="65">
        <f t="shared" si="10"/>
        <v>3.3333333333333335</v>
      </c>
      <c r="AC61" s="65">
        <f t="shared" si="11"/>
        <v>0</v>
      </c>
      <c r="AD61" s="65">
        <f t="shared" si="12"/>
        <v>3.3333333333333335</v>
      </c>
      <c r="AE61" s="35" t="s">
        <v>352</v>
      </c>
      <c r="AF61" s="6">
        <v>5</v>
      </c>
      <c r="AG61" s="6"/>
      <c r="AH61" s="906">
        <f t="shared" si="13"/>
        <v>5</v>
      </c>
      <c r="AI61" s="6"/>
      <c r="AJ61" s="6"/>
      <c r="AK61" s="98">
        <f t="shared" si="14"/>
        <v>0</v>
      </c>
      <c r="AL61" s="6"/>
      <c r="AM61" s="6"/>
      <c r="AN61" s="98">
        <f t="shared" si="15"/>
        <v>0</v>
      </c>
      <c r="AO61" s="6">
        <f t="shared" si="16"/>
        <v>25</v>
      </c>
      <c r="AP61" s="6">
        <f t="shared" si="17"/>
        <v>0</v>
      </c>
      <c r="AQ61" s="6">
        <f t="shared" si="18"/>
        <v>25</v>
      </c>
      <c r="AR61" s="955">
        <f t="shared" si="25"/>
        <v>2.7777777777777777</v>
      </c>
      <c r="AS61" s="955">
        <f t="shared" si="26"/>
        <v>0</v>
      </c>
      <c r="AT61" s="955">
        <f t="shared" si="27"/>
        <v>2.7777777777777777</v>
      </c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spans="1:61" s="61" customFormat="1" ht="18">
      <c r="A62" s="19">
        <v>14</v>
      </c>
      <c r="B62" s="59" t="s">
        <v>775</v>
      </c>
      <c r="C62" s="19" t="s">
        <v>751</v>
      </c>
      <c r="D62" s="19" t="s">
        <v>776</v>
      </c>
      <c r="E62" s="19" t="s">
        <v>347</v>
      </c>
      <c r="F62" s="19">
        <v>90</v>
      </c>
      <c r="G62" s="19">
        <v>200</v>
      </c>
      <c r="H62" s="19"/>
      <c r="I62" s="19">
        <f t="shared" si="1"/>
        <v>200</v>
      </c>
      <c r="J62" s="19"/>
      <c r="K62" s="19"/>
      <c r="L62" s="19">
        <f t="shared" si="2"/>
        <v>0</v>
      </c>
      <c r="M62" s="19"/>
      <c r="N62" s="19"/>
      <c r="O62" s="19">
        <f t="shared" si="3"/>
        <v>0</v>
      </c>
      <c r="P62" s="19"/>
      <c r="Q62" s="19"/>
      <c r="R62" s="19">
        <f t="shared" si="4"/>
        <v>0</v>
      </c>
      <c r="S62" s="19">
        <v>0</v>
      </c>
      <c r="T62" s="19"/>
      <c r="U62" s="19">
        <f t="shared" si="5"/>
        <v>0</v>
      </c>
      <c r="V62" s="19"/>
      <c r="W62" s="19"/>
      <c r="X62" s="19">
        <f t="shared" si="6"/>
        <v>0</v>
      </c>
      <c r="Y62" s="100">
        <f t="shared" si="7"/>
        <v>200</v>
      </c>
      <c r="Z62" s="19">
        <f t="shared" si="8"/>
        <v>0</v>
      </c>
      <c r="AA62" s="19">
        <f t="shared" si="9"/>
        <v>200</v>
      </c>
      <c r="AB62" s="60">
        <f t="shared" si="10"/>
        <v>33.333333333333336</v>
      </c>
      <c r="AC62" s="60">
        <f t="shared" si="11"/>
        <v>0</v>
      </c>
      <c r="AD62" s="60">
        <f t="shared" si="12"/>
        <v>33.333333333333336</v>
      </c>
      <c r="AE62" s="46" t="s">
        <v>348</v>
      </c>
      <c r="AF62" s="19">
        <v>0</v>
      </c>
      <c r="AG62" s="19"/>
      <c r="AH62" s="907">
        <f t="shared" si="13"/>
        <v>0</v>
      </c>
      <c r="AI62" s="19"/>
      <c r="AJ62" s="19"/>
      <c r="AK62" s="100">
        <f t="shared" si="14"/>
        <v>0</v>
      </c>
      <c r="AL62" s="19"/>
      <c r="AM62" s="19"/>
      <c r="AN62" s="100">
        <f t="shared" si="15"/>
        <v>0</v>
      </c>
      <c r="AO62" s="19">
        <f t="shared" si="16"/>
        <v>200</v>
      </c>
      <c r="AP62" s="19">
        <f t="shared" si="17"/>
        <v>0</v>
      </c>
      <c r="AQ62" s="19">
        <f t="shared" si="18"/>
        <v>200</v>
      </c>
      <c r="AR62" s="703">
        <f>AO62/9</f>
        <v>22.222222222222221</v>
      </c>
      <c r="AS62" s="703">
        <f t="shared" si="26"/>
        <v>0</v>
      </c>
      <c r="AT62" s="703">
        <f t="shared" si="27"/>
        <v>22.222222222222221</v>
      </c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</row>
    <row r="63" spans="1:61" s="61" customFormat="1" ht="18">
      <c r="A63" s="19">
        <v>15</v>
      </c>
      <c r="B63" s="59" t="s">
        <v>777</v>
      </c>
      <c r="C63" s="19" t="s">
        <v>751</v>
      </c>
      <c r="D63" s="19" t="s">
        <v>778</v>
      </c>
      <c r="E63" s="19" t="s">
        <v>364</v>
      </c>
      <c r="F63" s="19">
        <v>68</v>
      </c>
      <c r="G63" s="19"/>
      <c r="H63" s="19"/>
      <c r="I63" s="19">
        <f t="shared" si="1"/>
        <v>0</v>
      </c>
      <c r="J63" s="19">
        <v>78</v>
      </c>
      <c r="K63" s="19"/>
      <c r="L63" s="19">
        <f t="shared" si="2"/>
        <v>78</v>
      </c>
      <c r="M63" s="19"/>
      <c r="N63" s="19"/>
      <c r="O63" s="19">
        <f t="shared" si="3"/>
        <v>0</v>
      </c>
      <c r="P63" s="19"/>
      <c r="Q63" s="19"/>
      <c r="R63" s="19">
        <f t="shared" si="4"/>
        <v>0</v>
      </c>
      <c r="S63" s="19">
        <v>76</v>
      </c>
      <c r="T63" s="19"/>
      <c r="U63" s="19">
        <f t="shared" si="5"/>
        <v>76</v>
      </c>
      <c r="V63" s="19"/>
      <c r="W63" s="19"/>
      <c r="X63" s="19">
        <f t="shared" si="6"/>
        <v>0</v>
      </c>
      <c r="Y63" s="100">
        <f t="shared" si="7"/>
        <v>154</v>
      </c>
      <c r="Z63" s="19">
        <f t="shared" si="8"/>
        <v>0</v>
      </c>
      <c r="AA63" s="19">
        <f t="shared" si="9"/>
        <v>154</v>
      </c>
      <c r="AB63" s="60">
        <f t="shared" si="10"/>
        <v>25.666666666666668</v>
      </c>
      <c r="AC63" s="60">
        <f t="shared" si="11"/>
        <v>0</v>
      </c>
      <c r="AD63" s="60">
        <f t="shared" si="12"/>
        <v>25.666666666666668</v>
      </c>
      <c r="AE63" s="46" t="s">
        <v>352</v>
      </c>
      <c r="AF63" s="19">
        <v>36</v>
      </c>
      <c r="AG63" s="19"/>
      <c r="AH63" s="907">
        <f t="shared" si="13"/>
        <v>36</v>
      </c>
      <c r="AI63" s="19"/>
      <c r="AJ63" s="19"/>
      <c r="AK63" s="100">
        <f t="shared" si="14"/>
        <v>0</v>
      </c>
      <c r="AL63" s="19">
        <v>78</v>
      </c>
      <c r="AM63" s="19"/>
      <c r="AN63" s="100">
        <f t="shared" si="15"/>
        <v>78</v>
      </c>
      <c r="AO63" s="19">
        <f t="shared" si="16"/>
        <v>268</v>
      </c>
      <c r="AP63" s="19">
        <f t="shared" si="17"/>
        <v>0</v>
      </c>
      <c r="AQ63" s="19">
        <f t="shared" si="18"/>
        <v>268</v>
      </c>
      <c r="AR63" s="703">
        <f>AO63/9</f>
        <v>29.777777777777779</v>
      </c>
      <c r="AS63" s="703">
        <f t="shared" ref="AS63:AS77" si="28">AP63/9</f>
        <v>0</v>
      </c>
      <c r="AT63" s="703">
        <f t="shared" ref="AT63:AT77" si="29">AQ63/9</f>
        <v>29.777777777777779</v>
      </c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</row>
    <row r="64" spans="1:61" ht="18">
      <c r="A64" s="6">
        <v>57</v>
      </c>
      <c r="B64" s="21" t="s">
        <v>779</v>
      </c>
      <c r="C64" s="6" t="s">
        <v>780</v>
      </c>
      <c r="D64" s="6" t="s">
        <v>781</v>
      </c>
      <c r="E64" s="6" t="s">
        <v>351</v>
      </c>
      <c r="F64" s="6">
        <v>15</v>
      </c>
      <c r="G64" s="6"/>
      <c r="H64" s="6"/>
      <c r="I64" s="6">
        <f t="shared" si="1"/>
        <v>0</v>
      </c>
      <c r="J64" s="6">
        <v>46</v>
      </c>
      <c r="K64" s="6"/>
      <c r="L64" s="6">
        <f t="shared" si="2"/>
        <v>46</v>
      </c>
      <c r="M64" s="6"/>
      <c r="N64" s="6"/>
      <c r="O64" s="6">
        <f t="shared" si="3"/>
        <v>0</v>
      </c>
      <c r="P64" s="6"/>
      <c r="Q64" s="6"/>
      <c r="R64" s="6">
        <f t="shared" si="4"/>
        <v>0</v>
      </c>
      <c r="S64" s="6">
        <v>40</v>
      </c>
      <c r="T64" s="6"/>
      <c r="U64" s="6">
        <f t="shared" si="5"/>
        <v>40</v>
      </c>
      <c r="V64" s="6"/>
      <c r="W64" s="6"/>
      <c r="X64" s="6">
        <f t="shared" si="6"/>
        <v>0</v>
      </c>
      <c r="Y64" s="101">
        <f t="shared" si="7"/>
        <v>86</v>
      </c>
      <c r="Z64" s="64">
        <f t="shared" si="8"/>
        <v>0</v>
      </c>
      <c r="AA64" s="64">
        <f t="shared" si="9"/>
        <v>86</v>
      </c>
      <c r="AB64" s="65">
        <f t="shared" si="10"/>
        <v>14.333333333333334</v>
      </c>
      <c r="AC64" s="65">
        <f t="shared" si="11"/>
        <v>0</v>
      </c>
      <c r="AD64" s="65">
        <f t="shared" si="12"/>
        <v>14.333333333333334</v>
      </c>
      <c r="AE64" s="35" t="s">
        <v>352</v>
      </c>
      <c r="AF64" s="6"/>
      <c r="AG64" s="6"/>
      <c r="AH64" s="906">
        <f t="shared" si="13"/>
        <v>0</v>
      </c>
      <c r="AI64" s="6"/>
      <c r="AJ64" s="6"/>
      <c r="AK64" s="98">
        <f t="shared" si="14"/>
        <v>0</v>
      </c>
      <c r="AL64" s="6"/>
      <c r="AM64" s="6"/>
      <c r="AN64" s="98">
        <f t="shared" si="15"/>
        <v>0</v>
      </c>
      <c r="AO64" s="6">
        <f t="shared" si="16"/>
        <v>86</v>
      </c>
      <c r="AP64" s="6">
        <f t="shared" si="17"/>
        <v>0</v>
      </c>
      <c r="AQ64" s="6">
        <f t="shared" si="18"/>
        <v>86</v>
      </c>
      <c r="AR64" s="955">
        <f t="shared" ref="AR64:AR75" si="30">AO64/9</f>
        <v>9.5555555555555554</v>
      </c>
      <c r="AS64" s="955">
        <f t="shared" si="28"/>
        <v>0</v>
      </c>
      <c r="AT64" s="955">
        <f t="shared" si="29"/>
        <v>9.5555555555555554</v>
      </c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spans="1:61" ht="18">
      <c r="A65" s="6">
        <v>58</v>
      </c>
      <c r="B65" s="21" t="s">
        <v>782</v>
      </c>
      <c r="C65" s="6" t="s">
        <v>780</v>
      </c>
      <c r="D65" s="6" t="s">
        <v>783</v>
      </c>
      <c r="E65" s="18" t="s">
        <v>423</v>
      </c>
      <c r="F65" s="6">
        <v>40</v>
      </c>
      <c r="G65" s="6"/>
      <c r="H65" s="6"/>
      <c r="I65" s="6">
        <f t="shared" si="1"/>
        <v>0</v>
      </c>
      <c r="J65" s="6"/>
      <c r="K65" s="6"/>
      <c r="L65" s="6">
        <f t="shared" si="2"/>
        <v>0</v>
      </c>
      <c r="M65" s="6"/>
      <c r="N65" s="6"/>
      <c r="O65" s="6">
        <f t="shared" si="3"/>
        <v>0</v>
      </c>
      <c r="P65" s="6"/>
      <c r="Q65" s="6"/>
      <c r="R65" s="6">
        <f t="shared" si="4"/>
        <v>0</v>
      </c>
      <c r="S65" s="6">
        <v>40</v>
      </c>
      <c r="T65" s="6"/>
      <c r="U65" s="6">
        <f t="shared" si="5"/>
        <v>40</v>
      </c>
      <c r="V65" s="6"/>
      <c r="W65" s="6"/>
      <c r="X65" s="6">
        <f t="shared" si="6"/>
        <v>0</v>
      </c>
      <c r="Y65" s="101">
        <f t="shared" si="7"/>
        <v>40</v>
      </c>
      <c r="Z65" s="64">
        <f t="shared" si="8"/>
        <v>0</v>
      </c>
      <c r="AA65" s="64">
        <f t="shared" si="9"/>
        <v>40</v>
      </c>
      <c r="AB65" s="65">
        <f t="shared" si="10"/>
        <v>6.666666666666667</v>
      </c>
      <c r="AC65" s="65">
        <f t="shared" si="11"/>
        <v>0</v>
      </c>
      <c r="AD65" s="65">
        <f t="shared" si="12"/>
        <v>6.666666666666667</v>
      </c>
      <c r="AE65" s="35" t="s">
        <v>352</v>
      </c>
      <c r="AF65" s="6">
        <v>25</v>
      </c>
      <c r="AG65" s="6"/>
      <c r="AH65" s="906">
        <f t="shared" si="13"/>
        <v>25</v>
      </c>
      <c r="AI65" s="6"/>
      <c r="AJ65" s="6"/>
      <c r="AK65" s="98">
        <f t="shared" si="14"/>
        <v>0</v>
      </c>
      <c r="AL65" s="6"/>
      <c r="AM65" s="6"/>
      <c r="AN65" s="98">
        <f t="shared" si="15"/>
        <v>0</v>
      </c>
      <c r="AO65" s="6">
        <f t="shared" si="16"/>
        <v>65</v>
      </c>
      <c r="AP65" s="6">
        <f t="shared" si="17"/>
        <v>0</v>
      </c>
      <c r="AQ65" s="6">
        <f t="shared" si="18"/>
        <v>65</v>
      </c>
      <c r="AR65" s="955">
        <f t="shared" si="30"/>
        <v>7.2222222222222223</v>
      </c>
      <c r="AS65" s="955">
        <f t="shared" si="28"/>
        <v>0</v>
      </c>
      <c r="AT65" s="955">
        <f t="shared" si="29"/>
        <v>7.2222222222222223</v>
      </c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spans="1:61" ht="18">
      <c r="A66" s="6">
        <v>59</v>
      </c>
      <c r="B66" s="21" t="s">
        <v>784</v>
      </c>
      <c r="C66" s="6" t="s">
        <v>780</v>
      </c>
      <c r="D66" s="6" t="s">
        <v>785</v>
      </c>
      <c r="E66" s="18" t="s">
        <v>389</v>
      </c>
      <c r="F66" s="6">
        <v>20</v>
      </c>
      <c r="G66" s="6"/>
      <c r="H66" s="6"/>
      <c r="I66" s="6">
        <f t="shared" si="1"/>
        <v>0</v>
      </c>
      <c r="J66" s="6">
        <v>20</v>
      </c>
      <c r="K66" s="6"/>
      <c r="L66" s="6">
        <f t="shared" si="2"/>
        <v>20</v>
      </c>
      <c r="M66" s="6"/>
      <c r="N66" s="6"/>
      <c r="O66" s="6">
        <f t="shared" si="3"/>
        <v>0</v>
      </c>
      <c r="P66" s="6"/>
      <c r="Q66" s="6"/>
      <c r="R66" s="6">
        <f t="shared" si="4"/>
        <v>0</v>
      </c>
      <c r="S66" s="6"/>
      <c r="T66" s="6"/>
      <c r="U66" s="6">
        <f t="shared" si="5"/>
        <v>0</v>
      </c>
      <c r="V66" s="6"/>
      <c r="W66" s="6"/>
      <c r="X66" s="6">
        <f t="shared" si="6"/>
        <v>0</v>
      </c>
      <c r="Y66" s="101">
        <f t="shared" si="7"/>
        <v>20</v>
      </c>
      <c r="Z66" s="64">
        <f t="shared" si="8"/>
        <v>0</v>
      </c>
      <c r="AA66" s="64">
        <f t="shared" si="9"/>
        <v>20</v>
      </c>
      <c r="AB66" s="65">
        <f t="shared" si="10"/>
        <v>3.3333333333333335</v>
      </c>
      <c r="AC66" s="65">
        <f t="shared" si="11"/>
        <v>0</v>
      </c>
      <c r="AD66" s="65">
        <f t="shared" si="12"/>
        <v>3.3333333333333335</v>
      </c>
      <c r="AE66" s="35" t="s">
        <v>352</v>
      </c>
      <c r="AF66" s="6"/>
      <c r="AG66" s="6"/>
      <c r="AH66" s="906">
        <f t="shared" si="13"/>
        <v>0</v>
      </c>
      <c r="AI66" s="6"/>
      <c r="AJ66" s="6"/>
      <c r="AK66" s="98">
        <f t="shared" si="14"/>
        <v>0</v>
      </c>
      <c r="AL66" s="6"/>
      <c r="AM66" s="6"/>
      <c r="AN66" s="98">
        <f t="shared" si="15"/>
        <v>0</v>
      </c>
      <c r="AO66" s="6">
        <f t="shared" si="16"/>
        <v>20</v>
      </c>
      <c r="AP66" s="6">
        <f t="shared" si="17"/>
        <v>0</v>
      </c>
      <c r="AQ66" s="6">
        <f t="shared" si="18"/>
        <v>20</v>
      </c>
      <c r="AR66" s="955">
        <f t="shared" si="30"/>
        <v>2.2222222222222223</v>
      </c>
      <c r="AS66" s="955">
        <f t="shared" si="28"/>
        <v>0</v>
      </c>
      <c r="AT66" s="955">
        <f t="shared" si="29"/>
        <v>2.2222222222222223</v>
      </c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</row>
    <row r="67" spans="1:61" ht="18">
      <c r="A67" s="6">
        <v>60</v>
      </c>
      <c r="B67" s="20" t="s">
        <v>2837</v>
      </c>
      <c r="C67" s="6" t="s">
        <v>780</v>
      </c>
      <c r="D67" s="6" t="s">
        <v>786</v>
      </c>
      <c r="E67" s="18" t="s">
        <v>761</v>
      </c>
      <c r="F67" s="6">
        <v>10</v>
      </c>
      <c r="G67" s="6"/>
      <c r="H67" s="6"/>
      <c r="I67" s="6">
        <f t="shared" si="1"/>
        <v>0</v>
      </c>
      <c r="J67" s="6"/>
      <c r="K67" s="6"/>
      <c r="L67" s="6">
        <f t="shared" si="2"/>
        <v>0</v>
      </c>
      <c r="M67" s="6"/>
      <c r="N67" s="6"/>
      <c r="O67" s="6">
        <f t="shared" si="3"/>
        <v>0</v>
      </c>
      <c r="P67" s="6"/>
      <c r="Q67" s="6"/>
      <c r="R67" s="6">
        <f t="shared" si="4"/>
        <v>0</v>
      </c>
      <c r="S67" s="6"/>
      <c r="T67" s="6"/>
      <c r="U67" s="6">
        <f t="shared" si="5"/>
        <v>0</v>
      </c>
      <c r="V67" s="6"/>
      <c r="W67" s="6"/>
      <c r="X67" s="6">
        <f t="shared" si="6"/>
        <v>0</v>
      </c>
      <c r="Y67" s="101">
        <f t="shared" si="7"/>
        <v>0</v>
      </c>
      <c r="Z67" s="64">
        <f t="shared" si="8"/>
        <v>0</v>
      </c>
      <c r="AA67" s="64">
        <f t="shared" si="9"/>
        <v>0</v>
      </c>
      <c r="AB67" s="65">
        <f t="shared" si="10"/>
        <v>0</v>
      </c>
      <c r="AC67" s="65">
        <f t="shared" si="11"/>
        <v>0</v>
      </c>
      <c r="AD67" s="65">
        <f t="shared" si="12"/>
        <v>0</v>
      </c>
      <c r="AE67" s="35" t="s">
        <v>352</v>
      </c>
      <c r="AF67" s="6"/>
      <c r="AG67" s="6"/>
      <c r="AH67" s="906">
        <f t="shared" si="13"/>
        <v>0</v>
      </c>
      <c r="AI67" s="6"/>
      <c r="AJ67" s="6"/>
      <c r="AK67" s="98">
        <f t="shared" si="14"/>
        <v>0</v>
      </c>
      <c r="AL67" s="6">
        <v>20</v>
      </c>
      <c r="AM67" s="6"/>
      <c r="AN67" s="98">
        <f t="shared" si="15"/>
        <v>20</v>
      </c>
      <c r="AO67" s="6">
        <f t="shared" si="16"/>
        <v>20</v>
      </c>
      <c r="AP67" s="6">
        <f t="shared" si="17"/>
        <v>0</v>
      </c>
      <c r="AQ67" s="6">
        <f t="shared" si="18"/>
        <v>20</v>
      </c>
      <c r="AR67" s="955">
        <f t="shared" si="30"/>
        <v>2.2222222222222223</v>
      </c>
      <c r="AS67" s="955">
        <f t="shared" si="28"/>
        <v>0</v>
      </c>
      <c r="AT67" s="955">
        <f t="shared" si="29"/>
        <v>2.2222222222222223</v>
      </c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spans="1:61" ht="18">
      <c r="A68" s="6">
        <v>61</v>
      </c>
      <c r="B68" s="20" t="s">
        <v>787</v>
      </c>
      <c r="C68" s="6" t="s">
        <v>780</v>
      </c>
      <c r="D68" s="6" t="s">
        <v>788</v>
      </c>
      <c r="E68" s="18" t="s">
        <v>389</v>
      </c>
      <c r="F68" s="6">
        <v>10</v>
      </c>
      <c r="G68" s="6"/>
      <c r="H68" s="6"/>
      <c r="I68" s="6">
        <f t="shared" si="1"/>
        <v>0</v>
      </c>
      <c r="J68" s="6">
        <v>36</v>
      </c>
      <c r="K68" s="6"/>
      <c r="L68" s="6">
        <f t="shared" si="2"/>
        <v>36</v>
      </c>
      <c r="M68" s="6"/>
      <c r="N68" s="6"/>
      <c r="O68" s="6">
        <f t="shared" si="3"/>
        <v>0</v>
      </c>
      <c r="P68" s="6"/>
      <c r="Q68" s="6"/>
      <c r="R68" s="6">
        <f t="shared" si="4"/>
        <v>0</v>
      </c>
      <c r="S68" s="6"/>
      <c r="T68" s="6"/>
      <c r="U68" s="6">
        <f t="shared" si="5"/>
        <v>0</v>
      </c>
      <c r="V68" s="6"/>
      <c r="W68" s="6"/>
      <c r="X68" s="6">
        <f t="shared" si="6"/>
        <v>0</v>
      </c>
      <c r="Y68" s="101">
        <f t="shared" si="7"/>
        <v>36</v>
      </c>
      <c r="Z68" s="64">
        <f t="shared" si="8"/>
        <v>0</v>
      </c>
      <c r="AA68" s="64">
        <f t="shared" si="9"/>
        <v>36</v>
      </c>
      <c r="AB68" s="65">
        <f t="shared" si="10"/>
        <v>6</v>
      </c>
      <c r="AC68" s="65">
        <f t="shared" si="11"/>
        <v>0</v>
      </c>
      <c r="AD68" s="65">
        <f t="shared" si="12"/>
        <v>6</v>
      </c>
      <c r="AE68" s="35" t="s">
        <v>352</v>
      </c>
      <c r="AF68" s="6">
        <v>10</v>
      </c>
      <c r="AG68" s="6"/>
      <c r="AH68" s="906">
        <f t="shared" si="13"/>
        <v>10</v>
      </c>
      <c r="AI68" s="6"/>
      <c r="AJ68" s="6"/>
      <c r="AK68" s="98">
        <f t="shared" si="14"/>
        <v>0</v>
      </c>
      <c r="AL68" s="6"/>
      <c r="AM68" s="6"/>
      <c r="AN68" s="98">
        <f t="shared" si="15"/>
        <v>0</v>
      </c>
      <c r="AO68" s="6">
        <f t="shared" si="16"/>
        <v>46</v>
      </c>
      <c r="AP68" s="6">
        <f t="shared" si="17"/>
        <v>0</v>
      </c>
      <c r="AQ68" s="6">
        <f t="shared" si="18"/>
        <v>46</v>
      </c>
      <c r="AR68" s="955">
        <f t="shared" si="30"/>
        <v>5.1111111111111107</v>
      </c>
      <c r="AS68" s="955">
        <f t="shared" si="28"/>
        <v>0</v>
      </c>
      <c r="AT68" s="955">
        <f t="shared" si="29"/>
        <v>5.1111111111111107</v>
      </c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spans="1:61" ht="18">
      <c r="A69" s="6">
        <v>62</v>
      </c>
      <c r="B69" s="20" t="s">
        <v>789</v>
      </c>
      <c r="C69" s="6" t="s">
        <v>780</v>
      </c>
      <c r="D69" s="6" t="s">
        <v>790</v>
      </c>
      <c r="E69" s="6" t="s">
        <v>347</v>
      </c>
      <c r="F69" s="6">
        <v>15</v>
      </c>
      <c r="G69" s="6"/>
      <c r="H69" s="6">
        <v>18</v>
      </c>
      <c r="I69" s="6">
        <f t="shared" si="1"/>
        <v>18</v>
      </c>
      <c r="J69" s="6"/>
      <c r="K69" s="6"/>
      <c r="L69" s="6">
        <f t="shared" si="2"/>
        <v>0</v>
      </c>
      <c r="M69" s="6"/>
      <c r="N69" s="6"/>
      <c r="O69" s="6">
        <f t="shared" si="3"/>
        <v>0</v>
      </c>
      <c r="P69" s="6"/>
      <c r="Q69" s="6"/>
      <c r="R69" s="6">
        <f t="shared" si="4"/>
        <v>0</v>
      </c>
      <c r="S69" s="6"/>
      <c r="T69" s="6"/>
      <c r="U69" s="6">
        <f t="shared" si="5"/>
        <v>0</v>
      </c>
      <c r="V69" s="6"/>
      <c r="W69" s="6"/>
      <c r="X69" s="6">
        <f t="shared" si="6"/>
        <v>0</v>
      </c>
      <c r="Y69" s="101">
        <f t="shared" si="7"/>
        <v>0</v>
      </c>
      <c r="Z69" s="64">
        <f t="shared" si="8"/>
        <v>18</v>
      </c>
      <c r="AA69" s="64">
        <f t="shared" si="9"/>
        <v>18</v>
      </c>
      <c r="AB69" s="65">
        <f t="shared" si="10"/>
        <v>0</v>
      </c>
      <c r="AC69" s="65">
        <f t="shared" si="11"/>
        <v>3</v>
      </c>
      <c r="AD69" s="65">
        <f t="shared" si="12"/>
        <v>3</v>
      </c>
      <c r="AE69" s="35" t="s">
        <v>352</v>
      </c>
      <c r="AF69" s="6"/>
      <c r="AG69" s="6">
        <v>36</v>
      </c>
      <c r="AH69" s="906">
        <f t="shared" si="13"/>
        <v>36</v>
      </c>
      <c r="AI69" s="6">
        <v>10</v>
      </c>
      <c r="AJ69" s="6"/>
      <c r="AK69" s="98">
        <f t="shared" si="14"/>
        <v>10</v>
      </c>
      <c r="AL69" s="6">
        <v>10</v>
      </c>
      <c r="AM69" s="6"/>
      <c r="AN69" s="98">
        <f t="shared" si="15"/>
        <v>10</v>
      </c>
      <c r="AO69" s="6">
        <f t="shared" si="16"/>
        <v>20</v>
      </c>
      <c r="AP69" s="6">
        <f t="shared" si="17"/>
        <v>54</v>
      </c>
      <c r="AQ69" s="6">
        <f t="shared" si="18"/>
        <v>74</v>
      </c>
      <c r="AR69" s="955">
        <f t="shared" si="30"/>
        <v>2.2222222222222223</v>
      </c>
      <c r="AS69" s="955">
        <f t="shared" si="28"/>
        <v>6</v>
      </c>
      <c r="AT69" s="955">
        <f t="shared" si="29"/>
        <v>8.2222222222222214</v>
      </c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spans="1:61" ht="18">
      <c r="A70" s="6">
        <v>63</v>
      </c>
      <c r="B70" s="20" t="s">
        <v>2836</v>
      </c>
      <c r="C70" s="6" t="s">
        <v>780</v>
      </c>
      <c r="D70" s="6" t="s">
        <v>791</v>
      </c>
      <c r="E70" s="6" t="s">
        <v>347</v>
      </c>
      <c r="F70" s="6">
        <v>14</v>
      </c>
      <c r="G70" s="6"/>
      <c r="H70" s="6"/>
      <c r="I70" s="6">
        <f t="shared" si="1"/>
        <v>0</v>
      </c>
      <c r="J70" s="6"/>
      <c r="K70" s="6"/>
      <c r="L70" s="6">
        <f t="shared" si="2"/>
        <v>0</v>
      </c>
      <c r="M70" s="6"/>
      <c r="N70" s="6"/>
      <c r="O70" s="6">
        <f t="shared" si="3"/>
        <v>0</v>
      </c>
      <c r="P70" s="6"/>
      <c r="Q70" s="6"/>
      <c r="R70" s="6">
        <f t="shared" si="4"/>
        <v>0</v>
      </c>
      <c r="S70" s="6"/>
      <c r="T70" s="6"/>
      <c r="U70" s="6">
        <f t="shared" si="5"/>
        <v>0</v>
      </c>
      <c r="V70" s="6"/>
      <c r="W70" s="6"/>
      <c r="X70" s="6">
        <f t="shared" si="6"/>
        <v>0</v>
      </c>
      <c r="Y70" s="101">
        <f t="shared" si="7"/>
        <v>0</v>
      </c>
      <c r="Z70" s="64">
        <f t="shared" si="8"/>
        <v>0</v>
      </c>
      <c r="AA70" s="64">
        <f t="shared" si="9"/>
        <v>0</v>
      </c>
      <c r="AB70" s="65">
        <f t="shared" si="10"/>
        <v>0</v>
      </c>
      <c r="AC70" s="65">
        <f t="shared" si="11"/>
        <v>0</v>
      </c>
      <c r="AD70" s="65">
        <f t="shared" si="12"/>
        <v>0</v>
      </c>
      <c r="AE70" s="35" t="s">
        <v>352</v>
      </c>
      <c r="AF70" s="6">
        <v>5</v>
      </c>
      <c r="AG70" s="6"/>
      <c r="AH70" s="906">
        <f t="shared" si="13"/>
        <v>5</v>
      </c>
      <c r="AI70" s="6"/>
      <c r="AJ70" s="6"/>
      <c r="AK70" s="98">
        <f t="shared" si="14"/>
        <v>0</v>
      </c>
      <c r="AL70" s="6"/>
      <c r="AM70" s="6"/>
      <c r="AN70" s="98">
        <f t="shared" si="15"/>
        <v>0</v>
      </c>
      <c r="AO70" s="6">
        <f t="shared" si="16"/>
        <v>5</v>
      </c>
      <c r="AP70" s="6">
        <f t="shared" si="17"/>
        <v>0</v>
      </c>
      <c r="AQ70" s="6">
        <f t="shared" si="18"/>
        <v>5</v>
      </c>
      <c r="AR70" s="955">
        <f t="shared" si="30"/>
        <v>0.55555555555555558</v>
      </c>
      <c r="AS70" s="955">
        <f t="shared" si="28"/>
        <v>0</v>
      </c>
      <c r="AT70" s="955">
        <f t="shared" si="29"/>
        <v>0.55555555555555558</v>
      </c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spans="1:61" ht="18">
      <c r="A71" s="6">
        <v>64</v>
      </c>
      <c r="B71" s="20" t="s">
        <v>792</v>
      </c>
      <c r="C71" s="6" t="s">
        <v>780</v>
      </c>
      <c r="D71" s="6" t="s">
        <v>793</v>
      </c>
      <c r="E71" s="6" t="s">
        <v>347</v>
      </c>
      <c r="F71" s="6">
        <v>40</v>
      </c>
      <c r="G71" s="6">
        <v>20</v>
      </c>
      <c r="H71" s="6"/>
      <c r="I71" s="6">
        <f t="shared" si="1"/>
        <v>20</v>
      </c>
      <c r="J71" s="6">
        <v>20</v>
      </c>
      <c r="K71" s="6"/>
      <c r="L71" s="6">
        <f t="shared" si="2"/>
        <v>20</v>
      </c>
      <c r="M71" s="6">
        <v>25</v>
      </c>
      <c r="N71" s="6"/>
      <c r="O71" s="6">
        <f t="shared" si="3"/>
        <v>25</v>
      </c>
      <c r="P71" s="6">
        <v>25</v>
      </c>
      <c r="Q71" s="6"/>
      <c r="R71" s="6">
        <f t="shared" si="4"/>
        <v>25</v>
      </c>
      <c r="S71" s="6">
        <v>20</v>
      </c>
      <c r="T71" s="6"/>
      <c r="U71" s="6">
        <f t="shared" si="5"/>
        <v>20</v>
      </c>
      <c r="V71" s="6"/>
      <c r="W71" s="6"/>
      <c r="X71" s="6">
        <f t="shared" si="6"/>
        <v>0</v>
      </c>
      <c r="Y71" s="101">
        <f t="shared" si="7"/>
        <v>110</v>
      </c>
      <c r="Z71" s="64">
        <f t="shared" si="8"/>
        <v>0</v>
      </c>
      <c r="AA71" s="64">
        <f t="shared" si="9"/>
        <v>110</v>
      </c>
      <c r="AB71" s="65">
        <f t="shared" si="10"/>
        <v>18.333333333333332</v>
      </c>
      <c r="AC71" s="65">
        <f t="shared" si="11"/>
        <v>0</v>
      </c>
      <c r="AD71" s="65">
        <f t="shared" si="12"/>
        <v>18.333333333333332</v>
      </c>
      <c r="AE71" s="35" t="s">
        <v>352</v>
      </c>
      <c r="AF71" s="6"/>
      <c r="AG71" s="6">
        <v>20</v>
      </c>
      <c r="AH71" s="906">
        <f t="shared" si="13"/>
        <v>20</v>
      </c>
      <c r="AI71" s="6"/>
      <c r="AJ71" s="6"/>
      <c r="AK71" s="98">
        <f t="shared" si="14"/>
        <v>0</v>
      </c>
      <c r="AL71" s="6">
        <v>30</v>
      </c>
      <c r="AM71" s="6"/>
      <c r="AN71" s="98">
        <f t="shared" si="15"/>
        <v>30</v>
      </c>
      <c r="AO71" s="6">
        <f t="shared" si="16"/>
        <v>140</v>
      </c>
      <c r="AP71" s="6">
        <f t="shared" si="17"/>
        <v>20</v>
      </c>
      <c r="AQ71" s="6">
        <f t="shared" si="18"/>
        <v>160</v>
      </c>
      <c r="AR71" s="955">
        <f t="shared" si="30"/>
        <v>15.555555555555555</v>
      </c>
      <c r="AS71" s="955">
        <f t="shared" si="28"/>
        <v>2.2222222222222223</v>
      </c>
      <c r="AT71" s="955">
        <f t="shared" si="29"/>
        <v>17.777777777777779</v>
      </c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spans="1:61" ht="18">
      <c r="A72" s="6">
        <v>65</v>
      </c>
      <c r="B72" s="16" t="s">
        <v>794</v>
      </c>
      <c r="C72" s="6" t="s">
        <v>780</v>
      </c>
      <c r="D72" s="6" t="s">
        <v>795</v>
      </c>
      <c r="E72" s="19" t="s">
        <v>355</v>
      </c>
      <c r="F72" s="6">
        <v>13</v>
      </c>
      <c r="G72" s="6"/>
      <c r="H72" s="6"/>
      <c r="I72" s="6">
        <f t="shared" si="1"/>
        <v>0</v>
      </c>
      <c r="J72" s="6"/>
      <c r="K72" s="6"/>
      <c r="L72" s="6">
        <f t="shared" si="2"/>
        <v>0</v>
      </c>
      <c r="M72" s="6"/>
      <c r="N72" s="6"/>
      <c r="O72" s="6">
        <f t="shared" si="3"/>
        <v>0</v>
      </c>
      <c r="P72" s="6"/>
      <c r="Q72" s="6"/>
      <c r="R72" s="6">
        <f t="shared" si="4"/>
        <v>0</v>
      </c>
      <c r="S72" s="6">
        <v>6</v>
      </c>
      <c r="T72" s="6"/>
      <c r="U72" s="6">
        <f t="shared" si="5"/>
        <v>6</v>
      </c>
      <c r="V72" s="6"/>
      <c r="W72" s="6"/>
      <c r="X72" s="6">
        <f t="shared" si="6"/>
        <v>0</v>
      </c>
      <c r="Y72" s="101">
        <f t="shared" si="7"/>
        <v>6</v>
      </c>
      <c r="Z72" s="64">
        <f t="shared" si="8"/>
        <v>0</v>
      </c>
      <c r="AA72" s="64">
        <f t="shared" si="9"/>
        <v>6</v>
      </c>
      <c r="AB72" s="65">
        <f t="shared" si="10"/>
        <v>1</v>
      </c>
      <c r="AC72" s="65">
        <f t="shared" si="11"/>
        <v>0</v>
      </c>
      <c r="AD72" s="65">
        <f t="shared" si="12"/>
        <v>1</v>
      </c>
      <c r="AE72" s="35" t="s">
        <v>352</v>
      </c>
      <c r="AF72" s="6">
        <v>10</v>
      </c>
      <c r="AG72" s="6"/>
      <c r="AH72" s="906">
        <f t="shared" si="13"/>
        <v>10</v>
      </c>
      <c r="AI72" s="6"/>
      <c r="AJ72" s="6"/>
      <c r="AK72" s="98">
        <f t="shared" si="14"/>
        <v>0</v>
      </c>
      <c r="AL72" s="6"/>
      <c r="AM72" s="6"/>
      <c r="AN72" s="98">
        <f t="shared" si="15"/>
        <v>0</v>
      </c>
      <c r="AO72" s="6">
        <f t="shared" si="16"/>
        <v>16</v>
      </c>
      <c r="AP72" s="6">
        <f t="shared" si="17"/>
        <v>0</v>
      </c>
      <c r="AQ72" s="6">
        <f t="shared" si="18"/>
        <v>16</v>
      </c>
      <c r="AR72" s="955">
        <f t="shared" si="30"/>
        <v>1.7777777777777777</v>
      </c>
      <c r="AS72" s="955">
        <f t="shared" si="28"/>
        <v>0</v>
      </c>
      <c r="AT72" s="955">
        <f t="shared" si="29"/>
        <v>1.7777777777777777</v>
      </c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spans="1:61" ht="18">
      <c r="A73" s="6">
        <v>66</v>
      </c>
      <c r="B73" s="16" t="s">
        <v>796</v>
      </c>
      <c r="C73" s="6" t="s">
        <v>780</v>
      </c>
      <c r="D73" s="6" t="s">
        <v>797</v>
      </c>
      <c r="E73" s="6" t="s">
        <v>347</v>
      </c>
      <c r="F73" s="6">
        <v>53</v>
      </c>
      <c r="G73" s="6"/>
      <c r="H73" s="6"/>
      <c r="I73" s="6">
        <f t="shared" ref="I73:I117" si="31">SUM(G73:H73)</f>
        <v>0</v>
      </c>
      <c r="J73" s="6"/>
      <c r="K73" s="6"/>
      <c r="L73" s="6">
        <f t="shared" ref="L73:L117" si="32">SUM(J73:K73)</f>
        <v>0</v>
      </c>
      <c r="M73" s="6">
        <v>138</v>
      </c>
      <c r="N73" s="6"/>
      <c r="O73" s="6">
        <f t="shared" ref="O73:O117" si="33">SUM(M73:N73)</f>
        <v>138</v>
      </c>
      <c r="P73" s="6">
        <v>160</v>
      </c>
      <c r="Q73" s="6"/>
      <c r="R73" s="6">
        <f t="shared" ref="R73:R117" si="34">SUM(P73:Q73)</f>
        <v>160</v>
      </c>
      <c r="S73" s="6">
        <v>160</v>
      </c>
      <c r="T73" s="6"/>
      <c r="U73" s="6">
        <f t="shared" ref="U73:U117" si="35">SUM(S73:T73)</f>
        <v>160</v>
      </c>
      <c r="V73" s="6"/>
      <c r="W73" s="6"/>
      <c r="X73" s="6">
        <f t="shared" ref="X73:X117" si="36">V73+W73</f>
        <v>0</v>
      </c>
      <c r="Y73" s="101">
        <f t="shared" ref="Y73:Y118" si="37">G73+J73+M73+P73+S73+V73</f>
        <v>458</v>
      </c>
      <c r="Z73" s="64">
        <f t="shared" ref="Z73:Z118" si="38">H73+K73+N73+Q73+T73+W73</f>
        <v>0</v>
      </c>
      <c r="AA73" s="64">
        <f t="shared" ref="AA73:AA118" si="39">I73+L73+O73+R73+U73+X73</f>
        <v>458</v>
      </c>
      <c r="AB73" s="65">
        <f t="shared" ref="AB73:AB118" si="40">Y73/6</f>
        <v>76.333333333333329</v>
      </c>
      <c r="AC73" s="65">
        <f t="shared" ref="AC73:AC118" si="41">Z73/6</f>
        <v>0</v>
      </c>
      <c r="AD73" s="65">
        <f t="shared" ref="AD73:AD118" si="42">AA73/6</f>
        <v>76.333333333333329</v>
      </c>
      <c r="AE73" s="35" t="s">
        <v>352</v>
      </c>
      <c r="AF73" s="6"/>
      <c r="AG73" s="6"/>
      <c r="AH73" s="906">
        <f t="shared" ref="AH73:AH118" si="43">AF73+AG73</f>
        <v>0</v>
      </c>
      <c r="AI73" s="6"/>
      <c r="AJ73" s="6"/>
      <c r="AK73" s="98">
        <f t="shared" ref="AK73:AK117" si="44">AI73+AJ73</f>
        <v>0</v>
      </c>
      <c r="AL73" s="6"/>
      <c r="AM73" s="6"/>
      <c r="AN73" s="98">
        <f t="shared" ref="AN73:AN117" si="45">AL73+AM73</f>
        <v>0</v>
      </c>
      <c r="AO73" s="6">
        <f t="shared" ref="AO73:AO117" si="46">Y73+AF73+AI73+AL73</f>
        <v>458</v>
      </c>
      <c r="AP73" s="6">
        <f t="shared" ref="AP73:AP117" si="47">Z73+AG73+AJ73+AM73</f>
        <v>0</v>
      </c>
      <c r="AQ73" s="6">
        <f t="shared" ref="AQ73:AQ117" si="48">AA73+AH73+AK73+AN73</f>
        <v>458</v>
      </c>
      <c r="AR73" s="955">
        <f t="shared" si="30"/>
        <v>50.888888888888886</v>
      </c>
      <c r="AS73" s="955">
        <f t="shared" si="28"/>
        <v>0</v>
      </c>
      <c r="AT73" s="955">
        <f t="shared" si="29"/>
        <v>50.888888888888886</v>
      </c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spans="1:61" ht="18">
      <c r="A74" s="6">
        <v>67</v>
      </c>
      <c r="B74" s="16" t="s">
        <v>798</v>
      </c>
      <c r="C74" s="6" t="s">
        <v>780</v>
      </c>
      <c r="D74" s="6" t="s">
        <v>799</v>
      </c>
      <c r="E74" s="6" t="s">
        <v>347</v>
      </c>
      <c r="F74" s="6">
        <v>0</v>
      </c>
      <c r="G74" s="6"/>
      <c r="H74" s="6"/>
      <c r="I74" s="6">
        <f t="shared" si="31"/>
        <v>0</v>
      </c>
      <c r="J74" s="6"/>
      <c r="K74" s="6"/>
      <c r="L74" s="6">
        <f t="shared" si="32"/>
        <v>0</v>
      </c>
      <c r="M74" s="6"/>
      <c r="N74" s="6"/>
      <c r="O74" s="6">
        <f t="shared" si="33"/>
        <v>0</v>
      </c>
      <c r="P74" s="6">
        <v>60</v>
      </c>
      <c r="Q74" s="6"/>
      <c r="R74" s="6">
        <f t="shared" si="34"/>
        <v>60</v>
      </c>
      <c r="S74" s="6">
        <v>100</v>
      </c>
      <c r="T74" s="6"/>
      <c r="U74" s="6">
        <f t="shared" si="35"/>
        <v>100</v>
      </c>
      <c r="V74" s="6"/>
      <c r="W74" s="6"/>
      <c r="X74" s="6">
        <f t="shared" si="36"/>
        <v>0</v>
      </c>
      <c r="Y74" s="101">
        <f t="shared" si="37"/>
        <v>160</v>
      </c>
      <c r="Z74" s="64">
        <f t="shared" si="38"/>
        <v>0</v>
      </c>
      <c r="AA74" s="64">
        <f t="shared" si="39"/>
        <v>160</v>
      </c>
      <c r="AB74" s="65">
        <f t="shared" si="40"/>
        <v>26.666666666666668</v>
      </c>
      <c r="AC74" s="65">
        <f t="shared" si="41"/>
        <v>0</v>
      </c>
      <c r="AD74" s="65">
        <f t="shared" si="42"/>
        <v>26.666666666666668</v>
      </c>
      <c r="AE74" s="35" t="s">
        <v>352</v>
      </c>
      <c r="AF74" s="6">
        <v>50</v>
      </c>
      <c r="AG74" s="6"/>
      <c r="AH74" s="906">
        <f t="shared" si="43"/>
        <v>50</v>
      </c>
      <c r="AI74" s="6">
        <v>30</v>
      </c>
      <c r="AJ74" s="6"/>
      <c r="AK74" s="98">
        <f t="shared" si="44"/>
        <v>30</v>
      </c>
      <c r="AL74" s="6"/>
      <c r="AM74" s="6"/>
      <c r="AN74" s="98">
        <f t="shared" si="45"/>
        <v>0</v>
      </c>
      <c r="AO74" s="6">
        <f t="shared" si="46"/>
        <v>240</v>
      </c>
      <c r="AP74" s="6">
        <f t="shared" si="47"/>
        <v>0</v>
      </c>
      <c r="AQ74" s="6">
        <f t="shared" si="48"/>
        <v>240</v>
      </c>
      <c r="AR74" s="955">
        <f t="shared" si="30"/>
        <v>26.666666666666668</v>
      </c>
      <c r="AS74" s="955">
        <f t="shared" si="28"/>
        <v>0</v>
      </c>
      <c r="AT74" s="955">
        <f t="shared" si="29"/>
        <v>26.666666666666668</v>
      </c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spans="1:61" ht="18">
      <c r="A75" s="6">
        <v>68</v>
      </c>
      <c r="B75" s="16" t="s">
        <v>887</v>
      </c>
      <c r="C75" s="6" t="s">
        <v>780</v>
      </c>
      <c r="D75" s="6" t="s">
        <v>800</v>
      </c>
      <c r="E75" s="18" t="s">
        <v>423</v>
      </c>
      <c r="F75" s="6">
        <v>0</v>
      </c>
      <c r="G75" s="6">
        <v>15</v>
      </c>
      <c r="H75" s="6"/>
      <c r="I75" s="6">
        <f t="shared" si="31"/>
        <v>15</v>
      </c>
      <c r="J75" s="6"/>
      <c r="K75" s="6"/>
      <c r="L75" s="6">
        <f t="shared" si="32"/>
        <v>0</v>
      </c>
      <c r="M75" s="6"/>
      <c r="N75" s="6"/>
      <c r="O75" s="6">
        <f t="shared" si="33"/>
        <v>0</v>
      </c>
      <c r="P75" s="6"/>
      <c r="Q75" s="6"/>
      <c r="R75" s="6">
        <f t="shared" si="34"/>
        <v>0</v>
      </c>
      <c r="S75" s="6"/>
      <c r="T75" s="6"/>
      <c r="U75" s="6">
        <f t="shared" si="35"/>
        <v>0</v>
      </c>
      <c r="V75" s="6"/>
      <c r="W75" s="6"/>
      <c r="X75" s="6">
        <f t="shared" si="36"/>
        <v>0</v>
      </c>
      <c r="Y75" s="101">
        <f t="shared" si="37"/>
        <v>15</v>
      </c>
      <c r="Z75" s="64">
        <f t="shared" si="38"/>
        <v>0</v>
      </c>
      <c r="AA75" s="64">
        <f t="shared" si="39"/>
        <v>15</v>
      </c>
      <c r="AB75" s="65">
        <f t="shared" si="40"/>
        <v>2.5</v>
      </c>
      <c r="AC75" s="65">
        <f t="shared" si="41"/>
        <v>0</v>
      </c>
      <c r="AD75" s="65">
        <f t="shared" si="42"/>
        <v>2.5</v>
      </c>
      <c r="AE75" s="35" t="s">
        <v>352</v>
      </c>
      <c r="AF75" s="6"/>
      <c r="AG75" s="6"/>
      <c r="AH75" s="906">
        <f t="shared" si="43"/>
        <v>0</v>
      </c>
      <c r="AI75" s="6"/>
      <c r="AJ75" s="6"/>
      <c r="AK75" s="98">
        <f t="shared" si="44"/>
        <v>0</v>
      </c>
      <c r="AL75" s="6"/>
      <c r="AM75" s="6"/>
      <c r="AN75" s="98">
        <f t="shared" si="45"/>
        <v>0</v>
      </c>
      <c r="AO75" s="6">
        <f t="shared" si="46"/>
        <v>15</v>
      </c>
      <c r="AP75" s="6">
        <f t="shared" si="47"/>
        <v>0</v>
      </c>
      <c r="AQ75" s="6">
        <f t="shared" si="48"/>
        <v>15</v>
      </c>
      <c r="AR75" s="955">
        <f t="shared" si="30"/>
        <v>1.6666666666666667</v>
      </c>
      <c r="AS75" s="955">
        <f t="shared" si="28"/>
        <v>0</v>
      </c>
      <c r="AT75" s="955">
        <f t="shared" si="29"/>
        <v>1.6666666666666667</v>
      </c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spans="1:61" s="61" customFormat="1" ht="18">
      <c r="A76" s="19">
        <v>69</v>
      </c>
      <c r="B76" s="59" t="s">
        <v>801</v>
      </c>
      <c r="C76" s="19" t="s">
        <v>780</v>
      </c>
      <c r="D76" s="19" t="s">
        <v>802</v>
      </c>
      <c r="E76" s="19" t="s">
        <v>389</v>
      </c>
      <c r="F76" s="19">
        <v>63</v>
      </c>
      <c r="G76" s="19">
        <v>312</v>
      </c>
      <c r="H76" s="19">
        <v>15</v>
      </c>
      <c r="I76" s="19">
        <f t="shared" si="31"/>
        <v>327</v>
      </c>
      <c r="J76" s="19">
        <v>804</v>
      </c>
      <c r="K76" s="19">
        <v>125</v>
      </c>
      <c r="L76" s="19">
        <f t="shared" si="32"/>
        <v>929</v>
      </c>
      <c r="M76" s="19">
        <v>354</v>
      </c>
      <c r="N76" s="19">
        <v>35</v>
      </c>
      <c r="O76" s="19">
        <f t="shared" si="33"/>
        <v>389</v>
      </c>
      <c r="P76" s="19"/>
      <c r="Q76" s="19"/>
      <c r="R76" s="19">
        <f t="shared" si="34"/>
        <v>0</v>
      </c>
      <c r="S76" s="19">
        <v>330</v>
      </c>
      <c r="T76" s="19">
        <v>35</v>
      </c>
      <c r="U76" s="19">
        <f t="shared" si="35"/>
        <v>365</v>
      </c>
      <c r="V76" s="19">
        <v>540</v>
      </c>
      <c r="W76" s="19">
        <v>43</v>
      </c>
      <c r="X76" s="19">
        <f t="shared" si="36"/>
        <v>583</v>
      </c>
      <c r="Y76" s="100">
        <f t="shared" si="37"/>
        <v>2340</v>
      </c>
      <c r="Z76" s="19">
        <f t="shared" si="38"/>
        <v>253</v>
      </c>
      <c r="AA76" s="19">
        <f t="shared" si="39"/>
        <v>2593</v>
      </c>
      <c r="AB76" s="60">
        <f t="shared" si="40"/>
        <v>390</v>
      </c>
      <c r="AC76" s="60">
        <f t="shared" si="41"/>
        <v>42.166666666666664</v>
      </c>
      <c r="AD76" s="60">
        <f t="shared" si="42"/>
        <v>432.16666666666669</v>
      </c>
      <c r="AE76" s="46" t="s">
        <v>348</v>
      </c>
      <c r="AF76" s="19">
        <v>0</v>
      </c>
      <c r="AG76" s="19"/>
      <c r="AH76" s="907">
        <f t="shared" si="43"/>
        <v>0</v>
      </c>
      <c r="AI76" s="19"/>
      <c r="AJ76" s="19">
        <v>18</v>
      </c>
      <c r="AK76" s="100">
        <f t="shared" si="44"/>
        <v>18</v>
      </c>
      <c r="AL76" s="19">
        <v>356</v>
      </c>
      <c r="AM76" s="19">
        <v>88</v>
      </c>
      <c r="AN76" s="100">
        <f t="shared" si="45"/>
        <v>444</v>
      </c>
      <c r="AO76" s="19">
        <f t="shared" si="46"/>
        <v>2696</v>
      </c>
      <c r="AP76" s="19">
        <f t="shared" si="47"/>
        <v>359</v>
      </c>
      <c r="AQ76" s="19">
        <f t="shared" si="48"/>
        <v>3055</v>
      </c>
      <c r="AR76" s="703">
        <f>AO76/9</f>
        <v>299.55555555555554</v>
      </c>
      <c r="AS76" s="703">
        <f t="shared" si="28"/>
        <v>39.888888888888886</v>
      </c>
      <c r="AT76" s="703">
        <f t="shared" si="29"/>
        <v>339.44444444444446</v>
      </c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</row>
    <row r="77" spans="1:61" s="61" customFormat="1" ht="18">
      <c r="A77" s="19">
        <v>70</v>
      </c>
      <c r="B77" s="59" t="s">
        <v>803</v>
      </c>
      <c r="C77" s="19" t="s">
        <v>780</v>
      </c>
      <c r="D77" s="19" t="s">
        <v>804</v>
      </c>
      <c r="E77" s="19" t="s">
        <v>389</v>
      </c>
      <c r="F77" s="19">
        <v>71</v>
      </c>
      <c r="G77" s="19"/>
      <c r="H77" s="19"/>
      <c r="I77" s="19">
        <f t="shared" si="31"/>
        <v>0</v>
      </c>
      <c r="J77" s="19"/>
      <c r="K77" s="19"/>
      <c r="L77" s="19">
        <f t="shared" si="32"/>
        <v>0</v>
      </c>
      <c r="M77" s="19"/>
      <c r="N77" s="19"/>
      <c r="O77" s="19">
        <f t="shared" si="33"/>
        <v>0</v>
      </c>
      <c r="P77" s="19"/>
      <c r="Q77" s="19"/>
      <c r="R77" s="19">
        <f t="shared" si="34"/>
        <v>0</v>
      </c>
      <c r="S77" s="19">
        <v>166</v>
      </c>
      <c r="T77" s="19"/>
      <c r="U77" s="19">
        <f t="shared" si="35"/>
        <v>166</v>
      </c>
      <c r="V77" s="19"/>
      <c r="W77" s="19"/>
      <c r="X77" s="19">
        <f t="shared" si="36"/>
        <v>0</v>
      </c>
      <c r="Y77" s="100">
        <f t="shared" si="37"/>
        <v>166</v>
      </c>
      <c r="Z77" s="19">
        <f t="shared" si="38"/>
        <v>0</v>
      </c>
      <c r="AA77" s="19">
        <f t="shared" si="39"/>
        <v>166</v>
      </c>
      <c r="AB77" s="60">
        <f t="shared" si="40"/>
        <v>27.666666666666668</v>
      </c>
      <c r="AC77" s="60">
        <f t="shared" si="41"/>
        <v>0</v>
      </c>
      <c r="AD77" s="60">
        <f t="shared" si="42"/>
        <v>27.666666666666668</v>
      </c>
      <c r="AE77" s="46" t="s">
        <v>352</v>
      </c>
      <c r="AF77" s="19">
        <v>399</v>
      </c>
      <c r="AG77" s="19"/>
      <c r="AH77" s="907">
        <f t="shared" si="43"/>
        <v>399</v>
      </c>
      <c r="AI77" s="19">
        <v>251</v>
      </c>
      <c r="AJ77" s="19"/>
      <c r="AK77" s="100">
        <f t="shared" si="44"/>
        <v>251</v>
      </c>
      <c r="AL77" s="19">
        <v>196</v>
      </c>
      <c r="AM77" s="19"/>
      <c r="AN77" s="100">
        <f t="shared" si="45"/>
        <v>196</v>
      </c>
      <c r="AO77" s="19">
        <f t="shared" si="46"/>
        <v>1012</v>
      </c>
      <c r="AP77" s="19">
        <f t="shared" si="47"/>
        <v>0</v>
      </c>
      <c r="AQ77" s="19">
        <f t="shared" si="48"/>
        <v>1012</v>
      </c>
      <c r="AR77" s="703">
        <f t="shared" ref="AR77:AR90" si="49">AO77/9</f>
        <v>112.44444444444444</v>
      </c>
      <c r="AS77" s="703">
        <f t="shared" si="28"/>
        <v>0</v>
      </c>
      <c r="AT77" s="703">
        <f t="shared" si="29"/>
        <v>112.44444444444444</v>
      </c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</row>
    <row r="78" spans="1:61" ht="18" hidden="1">
      <c r="A78" s="6">
        <v>71</v>
      </c>
      <c r="B78" s="21" t="s">
        <v>2833</v>
      </c>
      <c r="C78" s="6" t="s">
        <v>805</v>
      </c>
      <c r="D78" s="6" t="s">
        <v>806</v>
      </c>
      <c r="E78" s="6" t="s">
        <v>692</v>
      </c>
      <c r="F78" s="6">
        <v>20</v>
      </c>
      <c r="G78" s="6"/>
      <c r="H78" s="6"/>
      <c r="I78" s="6">
        <f t="shared" si="31"/>
        <v>0</v>
      </c>
      <c r="J78" s="6"/>
      <c r="K78" s="6"/>
      <c r="L78" s="6">
        <f t="shared" si="32"/>
        <v>0</v>
      </c>
      <c r="M78" s="6"/>
      <c r="N78" s="6"/>
      <c r="O78" s="6">
        <f t="shared" si="33"/>
        <v>0</v>
      </c>
      <c r="P78" s="6"/>
      <c r="Q78" s="6"/>
      <c r="R78" s="6">
        <f t="shared" si="34"/>
        <v>0</v>
      </c>
      <c r="S78" s="6"/>
      <c r="T78" s="6"/>
      <c r="U78" s="6">
        <f t="shared" si="35"/>
        <v>0</v>
      </c>
      <c r="V78" s="6"/>
      <c r="W78" s="6"/>
      <c r="X78" s="6">
        <f t="shared" si="36"/>
        <v>0</v>
      </c>
      <c r="Y78" s="101">
        <f t="shared" si="37"/>
        <v>0</v>
      </c>
      <c r="Z78" s="64">
        <f t="shared" si="38"/>
        <v>0</v>
      </c>
      <c r="AA78" s="64">
        <f t="shared" si="39"/>
        <v>0</v>
      </c>
      <c r="AB78" s="65">
        <f t="shared" si="40"/>
        <v>0</v>
      </c>
      <c r="AC78" s="65">
        <f t="shared" si="41"/>
        <v>0</v>
      </c>
      <c r="AD78" s="65">
        <f t="shared" si="42"/>
        <v>0</v>
      </c>
      <c r="AE78" s="35" t="s">
        <v>352</v>
      </c>
      <c r="AF78" s="6"/>
      <c r="AG78" s="6"/>
      <c r="AH78" s="906">
        <f t="shared" si="43"/>
        <v>0</v>
      </c>
      <c r="AI78" s="6"/>
      <c r="AJ78" s="6"/>
      <c r="AK78" s="98">
        <f t="shared" si="44"/>
        <v>0</v>
      </c>
      <c r="AL78" s="6"/>
      <c r="AM78" s="6"/>
      <c r="AN78" s="98">
        <f t="shared" si="45"/>
        <v>0</v>
      </c>
      <c r="AO78" s="6">
        <f t="shared" si="46"/>
        <v>0</v>
      </c>
      <c r="AP78" s="6">
        <f t="shared" si="47"/>
        <v>0</v>
      </c>
      <c r="AQ78" s="6">
        <f t="shared" si="48"/>
        <v>0</v>
      </c>
      <c r="AR78" s="955">
        <f t="shared" si="49"/>
        <v>0</v>
      </c>
      <c r="AS78" s="955">
        <f t="shared" ref="AS78:AS91" si="50">AP78/9</f>
        <v>0</v>
      </c>
      <c r="AT78" s="955">
        <f t="shared" ref="AT78:AT91" si="51">AQ78/9</f>
        <v>0</v>
      </c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spans="1:61" ht="18">
      <c r="A79" s="6">
        <v>72</v>
      </c>
      <c r="B79" s="21" t="s">
        <v>750</v>
      </c>
      <c r="C79" s="6" t="s">
        <v>805</v>
      </c>
      <c r="D79" s="6" t="s">
        <v>807</v>
      </c>
      <c r="E79" s="6" t="s">
        <v>347</v>
      </c>
      <c r="F79" s="6">
        <v>18</v>
      </c>
      <c r="G79" s="6"/>
      <c r="H79" s="6"/>
      <c r="I79" s="6">
        <f t="shared" si="31"/>
        <v>0</v>
      </c>
      <c r="J79" s="6"/>
      <c r="K79" s="6"/>
      <c r="L79" s="6">
        <f t="shared" si="32"/>
        <v>0</v>
      </c>
      <c r="M79" s="6"/>
      <c r="N79" s="6"/>
      <c r="O79" s="6">
        <f t="shared" si="33"/>
        <v>0</v>
      </c>
      <c r="P79" s="6"/>
      <c r="Q79" s="6"/>
      <c r="R79" s="6">
        <f t="shared" si="34"/>
        <v>0</v>
      </c>
      <c r="S79" s="6">
        <v>100</v>
      </c>
      <c r="T79" s="6"/>
      <c r="U79" s="6">
        <f t="shared" si="35"/>
        <v>100</v>
      </c>
      <c r="V79" s="6"/>
      <c r="W79" s="6"/>
      <c r="X79" s="6">
        <f t="shared" si="36"/>
        <v>0</v>
      </c>
      <c r="Y79" s="101">
        <f t="shared" si="37"/>
        <v>100</v>
      </c>
      <c r="Z79" s="64">
        <f t="shared" si="38"/>
        <v>0</v>
      </c>
      <c r="AA79" s="64">
        <f t="shared" si="39"/>
        <v>100</v>
      </c>
      <c r="AB79" s="65">
        <f t="shared" si="40"/>
        <v>16.666666666666668</v>
      </c>
      <c r="AC79" s="65">
        <f t="shared" si="41"/>
        <v>0</v>
      </c>
      <c r="AD79" s="65">
        <f t="shared" si="42"/>
        <v>16.666666666666668</v>
      </c>
      <c r="AE79" s="35" t="s">
        <v>352</v>
      </c>
      <c r="AF79" s="6">
        <v>30</v>
      </c>
      <c r="AG79" s="6"/>
      <c r="AH79" s="906">
        <f t="shared" si="43"/>
        <v>30</v>
      </c>
      <c r="AI79" s="6"/>
      <c r="AJ79" s="6"/>
      <c r="AK79" s="98">
        <f t="shared" si="44"/>
        <v>0</v>
      </c>
      <c r="AL79" s="6"/>
      <c r="AM79" s="6"/>
      <c r="AN79" s="98">
        <f t="shared" si="45"/>
        <v>0</v>
      </c>
      <c r="AO79" s="6">
        <f t="shared" si="46"/>
        <v>130</v>
      </c>
      <c r="AP79" s="6">
        <f t="shared" si="47"/>
        <v>0</v>
      </c>
      <c r="AQ79" s="6">
        <f t="shared" si="48"/>
        <v>130</v>
      </c>
      <c r="AR79" s="955">
        <f t="shared" si="49"/>
        <v>14.444444444444445</v>
      </c>
      <c r="AS79" s="955">
        <f t="shared" si="50"/>
        <v>0</v>
      </c>
      <c r="AT79" s="955">
        <f t="shared" si="51"/>
        <v>14.444444444444445</v>
      </c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spans="1:61" ht="18">
      <c r="A80" s="6">
        <v>73</v>
      </c>
      <c r="B80" s="21" t="s">
        <v>894</v>
      </c>
      <c r="C80" s="6" t="s">
        <v>805</v>
      </c>
      <c r="D80" s="6" t="s">
        <v>808</v>
      </c>
      <c r="E80" s="18" t="s">
        <v>389</v>
      </c>
      <c r="F80" s="6">
        <v>20</v>
      </c>
      <c r="G80" s="6"/>
      <c r="H80" s="6"/>
      <c r="I80" s="6">
        <f t="shared" si="31"/>
        <v>0</v>
      </c>
      <c r="J80" s="6">
        <v>60</v>
      </c>
      <c r="K80" s="6"/>
      <c r="L80" s="6">
        <f t="shared" si="32"/>
        <v>60</v>
      </c>
      <c r="M80" s="6"/>
      <c r="N80" s="6"/>
      <c r="O80" s="6">
        <f t="shared" si="33"/>
        <v>0</v>
      </c>
      <c r="P80" s="6">
        <v>20</v>
      </c>
      <c r="Q80" s="6"/>
      <c r="R80" s="6">
        <f t="shared" si="34"/>
        <v>20</v>
      </c>
      <c r="S80" s="6"/>
      <c r="T80" s="6"/>
      <c r="U80" s="6">
        <f t="shared" si="35"/>
        <v>0</v>
      </c>
      <c r="V80" s="6"/>
      <c r="W80" s="6"/>
      <c r="X80" s="6">
        <f t="shared" si="36"/>
        <v>0</v>
      </c>
      <c r="Y80" s="101">
        <f t="shared" si="37"/>
        <v>80</v>
      </c>
      <c r="Z80" s="64">
        <f t="shared" si="38"/>
        <v>0</v>
      </c>
      <c r="AA80" s="64">
        <f t="shared" si="39"/>
        <v>80</v>
      </c>
      <c r="AB80" s="65">
        <f t="shared" si="40"/>
        <v>13.333333333333334</v>
      </c>
      <c r="AC80" s="65">
        <f t="shared" si="41"/>
        <v>0</v>
      </c>
      <c r="AD80" s="65">
        <f t="shared" si="42"/>
        <v>13.333333333333334</v>
      </c>
      <c r="AE80" s="35" t="s">
        <v>352</v>
      </c>
      <c r="AF80" s="6">
        <v>20</v>
      </c>
      <c r="AG80" s="6"/>
      <c r="AH80" s="906">
        <f t="shared" si="43"/>
        <v>20</v>
      </c>
      <c r="AI80" s="6"/>
      <c r="AJ80" s="6"/>
      <c r="AK80" s="98">
        <f t="shared" si="44"/>
        <v>0</v>
      </c>
      <c r="AL80" s="6"/>
      <c r="AM80" s="6"/>
      <c r="AN80" s="98">
        <f t="shared" si="45"/>
        <v>0</v>
      </c>
      <c r="AO80" s="6">
        <f t="shared" si="46"/>
        <v>100</v>
      </c>
      <c r="AP80" s="6">
        <f t="shared" si="47"/>
        <v>0</v>
      </c>
      <c r="AQ80" s="6">
        <f t="shared" si="48"/>
        <v>100</v>
      </c>
      <c r="AR80" s="955">
        <f t="shared" si="49"/>
        <v>11.111111111111111</v>
      </c>
      <c r="AS80" s="955">
        <f t="shared" si="50"/>
        <v>0</v>
      </c>
      <c r="AT80" s="955">
        <f t="shared" si="51"/>
        <v>11.111111111111111</v>
      </c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spans="1:61" ht="18">
      <c r="A81" s="6">
        <v>74</v>
      </c>
      <c r="B81" s="21" t="s">
        <v>809</v>
      </c>
      <c r="C81" s="6" t="s">
        <v>805</v>
      </c>
      <c r="D81" s="6" t="s">
        <v>810</v>
      </c>
      <c r="E81" s="19" t="s">
        <v>355</v>
      </c>
      <c r="F81" s="6">
        <v>10</v>
      </c>
      <c r="G81" s="6"/>
      <c r="H81" s="6"/>
      <c r="I81" s="6">
        <f t="shared" si="31"/>
        <v>0</v>
      </c>
      <c r="J81" s="6"/>
      <c r="K81" s="6"/>
      <c r="L81" s="6">
        <f t="shared" si="32"/>
        <v>0</v>
      </c>
      <c r="M81" s="6"/>
      <c r="N81" s="6"/>
      <c r="O81" s="6">
        <f t="shared" si="33"/>
        <v>0</v>
      </c>
      <c r="P81" s="6"/>
      <c r="Q81" s="6"/>
      <c r="R81" s="6">
        <f t="shared" si="34"/>
        <v>0</v>
      </c>
      <c r="S81" s="6">
        <v>100</v>
      </c>
      <c r="T81" s="6"/>
      <c r="U81" s="6">
        <f t="shared" si="35"/>
        <v>100</v>
      </c>
      <c r="V81" s="6"/>
      <c r="W81" s="6"/>
      <c r="X81" s="6">
        <f t="shared" si="36"/>
        <v>0</v>
      </c>
      <c r="Y81" s="101">
        <f t="shared" si="37"/>
        <v>100</v>
      </c>
      <c r="Z81" s="64">
        <f t="shared" si="38"/>
        <v>0</v>
      </c>
      <c r="AA81" s="64">
        <f t="shared" si="39"/>
        <v>100</v>
      </c>
      <c r="AB81" s="65">
        <f t="shared" si="40"/>
        <v>16.666666666666668</v>
      </c>
      <c r="AC81" s="65">
        <f t="shared" si="41"/>
        <v>0</v>
      </c>
      <c r="AD81" s="65">
        <f t="shared" si="42"/>
        <v>16.666666666666668</v>
      </c>
      <c r="AE81" s="35" t="s">
        <v>352</v>
      </c>
      <c r="AF81" s="6"/>
      <c r="AG81" s="6"/>
      <c r="AH81" s="906">
        <f t="shared" si="43"/>
        <v>0</v>
      </c>
      <c r="AI81" s="6"/>
      <c r="AJ81" s="6"/>
      <c r="AK81" s="98">
        <f t="shared" si="44"/>
        <v>0</v>
      </c>
      <c r="AL81" s="6"/>
      <c r="AM81" s="6"/>
      <c r="AN81" s="98">
        <f t="shared" si="45"/>
        <v>0</v>
      </c>
      <c r="AO81" s="6">
        <f t="shared" si="46"/>
        <v>100</v>
      </c>
      <c r="AP81" s="6">
        <f t="shared" si="47"/>
        <v>0</v>
      </c>
      <c r="AQ81" s="6">
        <f t="shared" si="48"/>
        <v>100</v>
      </c>
      <c r="AR81" s="955">
        <f t="shared" si="49"/>
        <v>11.111111111111111</v>
      </c>
      <c r="AS81" s="955">
        <f t="shared" si="50"/>
        <v>0</v>
      </c>
      <c r="AT81" s="955">
        <f t="shared" si="51"/>
        <v>11.111111111111111</v>
      </c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spans="1:61" ht="18">
      <c r="A82" s="6">
        <v>75</v>
      </c>
      <c r="B82" s="16" t="s">
        <v>811</v>
      </c>
      <c r="C82" s="6" t="s">
        <v>805</v>
      </c>
      <c r="D82" s="6" t="s">
        <v>812</v>
      </c>
      <c r="E82" s="6" t="s">
        <v>347</v>
      </c>
      <c r="F82" s="6">
        <v>24</v>
      </c>
      <c r="G82" s="6"/>
      <c r="H82" s="6"/>
      <c r="I82" s="6">
        <f t="shared" si="31"/>
        <v>0</v>
      </c>
      <c r="J82" s="6"/>
      <c r="K82" s="6"/>
      <c r="L82" s="6">
        <f t="shared" si="32"/>
        <v>0</v>
      </c>
      <c r="M82" s="6"/>
      <c r="N82" s="6"/>
      <c r="O82" s="6">
        <f t="shared" si="33"/>
        <v>0</v>
      </c>
      <c r="P82" s="6"/>
      <c r="Q82" s="6"/>
      <c r="R82" s="6">
        <f t="shared" si="34"/>
        <v>0</v>
      </c>
      <c r="S82" s="6"/>
      <c r="T82" s="6"/>
      <c r="U82" s="6">
        <f t="shared" si="35"/>
        <v>0</v>
      </c>
      <c r="V82" s="6">
        <v>18</v>
      </c>
      <c r="W82" s="6"/>
      <c r="X82" s="6">
        <f t="shared" si="36"/>
        <v>18</v>
      </c>
      <c r="Y82" s="101">
        <f t="shared" si="37"/>
        <v>18</v>
      </c>
      <c r="Z82" s="64">
        <f t="shared" si="38"/>
        <v>0</v>
      </c>
      <c r="AA82" s="64">
        <f t="shared" si="39"/>
        <v>18</v>
      </c>
      <c r="AB82" s="65">
        <f t="shared" si="40"/>
        <v>3</v>
      </c>
      <c r="AC82" s="65">
        <f t="shared" si="41"/>
        <v>0</v>
      </c>
      <c r="AD82" s="65">
        <f t="shared" si="42"/>
        <v>3</v>
      </c>
      <c r="AE82" s="35" t="s">
        <v>352</v>
      </c>
      <c r="AF82" s="6"/>
      <c r="AG82" s="6"/>
      <c r="AH82" s="906">
        <f t="shared" si="43"/>
        <v>0</v>
      </c>
      <c r="AI82" s="6"/>
      <c r="AJ82" s="6"/>
      <c r="AK82" s="98">
        <f t="shared" si="44"/>
        <v>0</v>
      </c>
      <c r="AL82" s="6"/>
      <c r="AM82" s="6"/>
      <c r="AN82" s="98">
        <f t="shared" si="45"/>
        <v>0</v>
      </c>
      <c r="AO82" s="6">
        <f t="shared" si="46"/>
        <v>18</v>
      </c>
      <c r="AP82" s="6">
        <f t="shared" si="47"/>
        <v>0</v>
      </c>
      <c r="AQ82" s="6">
        <f t="shared" si="48"/>
        <v>18</v>
      </c>
      <c r="AR82" s="955">
        <f t="shared" si="49"/>
        <v>2</v>
      </c>
      <c r="AS82" s="955">
        <f t="shared" si="50"/>
        <v>0</v>
      </c>
      <c r="AT82" s="955">
        <f t="shared" si="51"/>
        <v>2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spans="1:61" ht="18">
      <c r="A83" s="6">
        <v>76</v>
      </c>
      <c r="B83" s="16" t="s">
        <v>813</v>
      </c>
      <c r="C83" s="6" t="s">
        <v>805</v>
      </c>
      <c r="D83" s="6" t="s">
        <v>814</v>
      </c>
      <c r="E83" s="6" t="s">
        <v>347</v>
      </c>
      <c r="F83" s="6">
        <v>34</v>
      </c>
      <c r="G83" s="6"/>
      <c r="H83" s="6"/>
      <c r="I83" s="6">
        <f t="shared" si="31"/>
        <v>0</v>
      </c>
      <c r="J83" s="6"/>
      <c r="K83" s="6"/>
      <c r="L83" s="6">
        <f t="shared" si="32"/>
        <v>0</v>
      </c>
      <c r="M83" s="6"/>
      <c r="N83" s="6"/>
      <c r="O83" s="6">
        <f t="shared" si="33"/>
        <v>0</v>
      </c>
      <c r="P83" s="6"/>
      <c r="Q83" s="6"/>
      <c r="R83" s="6">
        <f t="shared" si="34"/>
        <v>0</v>
      </c>
      <c r="S83" s="6">
        <v>100</v>
      </c>
      <c r="T83" s="6"/>
      <c r="U83" s="6">
        <f t="shared" si="35"/>
        <v>100</v>
      </c>
      <c r="V83" s="6"/>
      <c r="W83" s="6"/>
      <c r="X83" s="6">
        <f t="shared" si="36"/>
        <v>0</v>
      </c>
      <c r="Y83" s="101">
        <f t="shared" si="37"/>
        <v>100</v>
      </c>
      <c r="Z83" s="64">
        <f t="shared" si="38"/>
        <v>0</v>
      </c>
      <c r="AA83" s="64">
        <f t="shared" si="39"/>
        <v>100</v>
      </c>
      <c r="AB83" s="65">
        <f t="shared" si="40"/>
        <v>16.666666666666668</v>
      </c>
      <c r="AC83" s="65">
        <f t="shared" si="41"/>
        <v>0</v>
      </c>
      <c r="AD83" s="65">
        <f t="shared" si="42"/>
        <v>16.666666666666668</v>
      </c>
      <c r="AE83" s="35" t="s">
        <v>352</v>
      </c>
      <c r="AF83" s="6">
        <v>40</v>
      </c>
      <c r="AG83" s="6"/>
      <c r="AH83" s="906">
        <f t="shared" si="43"/>
        <v>40</v>
      </c>
      <c r="AI83" s="6"/>
      <c r="AJ83" s="6"/>
      <c r="AK83" s="98">
        <f t="shared" si="44"/>
        <v>0</v>
      </c>
      <c r="AL83" s="6"/>
      <c r="AM83" s="6"/>
      <c r="AN83" s="98">
        <f t="shared" si="45"/>
        <v>0</v>
      </c>
      <c r="AO83" s="6">
        <f t="shared" si="46"/>
        <v>140</v>
      </c>
      <c r="AP83" s="6">
        <f t="shared" si="47"/>
        <v>0</v>
      </c>
      <c r="AQ83" s="6">
        <f t="shared" si="48"/>
        <v>140</v>
      </c>
      <c r="AR83" s="955">
        <f t="shared" si="49"/>
        <v>15.555555555555555</v>
      </c>
      <c r="AS83" s="955">
        <f t="shared" si="50"/>
        <v>0</v>
      </c>
      <c r="AT83" s="955">
        <f t="shared" si="51"/>
        <v>15.555555555555555</v>
      </c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spans="1:61" ht="18">
      <c r="A84" s="6">
        <v>77</v>
      </c>
      <c r="B84" s="16" t="s">
        <v>2838</v>
      </c>
      <c r="C84" s="6" t="s">
        <v>805</v>
      </c>
      <c r="D84" s="6" t="s">
        <v>815</v>
      </c>
      <c r="E84" s="18" t="s">
        <v>761</v>
      </c>
      <c r="F84" s="6">
        <v>25</v>
      </c>
      <c r="G84" s="6"/>
      <c r="H84" s="6"/>
      <c r="I84" s="6">
        <f t="shared" si="31"/>
        <v>0</v>
      </c>
      <c r="J84" s="6"/>
      <c r="K84" s="6"/>
      <c r="L84" s="6">
        <f t="shared" si="32"/>
        <v>0</v>
      </c>
      <c r="M84" s="6"/>
      <c r="N84" s="6"/>
      <c r="O84" s="6">
        <f t="shared" si="33"/>
        <v>0</v>
      </c>
      <c r="P84" s="6"/>
      <c r="Q84" s="6"/>
      <c r="R84" s="6">
        <f t="shared" si="34"/>
        <v>0</v>
      </c>
      <c r="S84" s="6"/>
      <c r="T84" s="6"/>
      <c r="U84" s="6">
        <f t="shared" si="35"/>
        <v>0</v>
      </c>
      <c r="V84" s="6"/>
      <c r="W84" s="6"/>
      <c r="X84" s="6">
        <f t="shared" si="36"/>
        <v>0</v>
      </c>
      <c r="Y84" s="101">
        <f t="shared" si="37"/>
        <v>0</v>
      </c>
      <c r="Z84" s="64">
        <f t="shared" si="38"/>
        <v>0</v>
      </c>
      <c r="AA84" s="64">
        <f t="shared" si="39"/>
        <v>0</v>
      </c>
      <c r="AB84" s="65">
        <f t="shared" si="40"/>
        <v>0</v>
      </c>
      <c r="AC84" s="65">
        <f t="shared" si="41"/>
        <v>0</v>
      </c>
      <c r="AD84" s="65">
        <f t="shared" si="42"/>
        <v>0</v>
      </c>
      <c r="AE84" s="35" t="s">
        <v>352</v>
      </c>
      <c r="AF84" s="6">
        <v>27.5</v>
      </c>
      <c r="AG84" s="6"/>
      <c r="AH84" s="906">
        <f t="shared" si="43"/>
        <v>27.5</v>
      </c>
      <c r="AI84" s="6"/>
      <c r="AJ84" s="6"/>
      <c r="AK84" s="98">
        <f t="shared" si="44"/>
        <v>0</v>
      </c>
      <c r="AL84" s="6"/>
      <c r="AM84" s="6"/>
      <c r="AN84" s="98">
        <f t="shared" si="45"/>
        <v>0</v>
      </c>
      <c r="AO84" s="6">
        <f t="shared" si="46"/>
        <v>27.5</v>
      </c>
      <c r="AP84" s="6">
        <f t="shared" si="47"/>
        <v>0</v>
      </c>
      <c r="AQ84" s="6">
        <f t="shared" si="48"/>
        <v>27.5</v>
      </c>
      <c r="AR84" s="955">
        <f t="shared" si="49"/>
        <v>3.0555555555555554</v>
      </c>
      <c r="AS84" s="955">
        <f t="shared" si="50"/>
        <v>0</v>
      </c>
      <c r="AT84" s="955">
        <f t="shared" si="51"/>
        <v>3.0555555555555554</v>
      </c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spans="1:61" ht="18">
      <c r="A85" s="6">
        <v>78</v>
      </c>
      <c r="B85" s="16" t="s">
        <v>816</v>
      </c>
      <c r="C85" s="6" t="s">
        <v>805</v>
      </c>
      <c r="D85" s="6" t="s">
        <v>817</v>
      </c>
      <c r="E85" s="6" t="s">
        <v>347</v>
      </c>
      <c r="F85" s="6">
        <v>20</v>
      </c>
      <c r="G85" s="6">
        <v>40</v>
      </c>
      <c r="H85" s="6"/>
      <c r="I85" s="6">
        <f t="shared" si="31"/>
        <v>40</v>
      </c>
      <c r="J85" s="6"/>
      <c r="K85" s="6"/>
      <c r="L85" s="6">
        <f t="shared" si="32"/>
        <v>0</v>
      </c>
      <c r="M85" s="6">
        <v>60</v>
      </c>
      <c r="N85" s="6"/>
      <c r="O85" s="6">
        <f t="shared" si="33"/>
        <v>60</v>
      </c>
      <c r="P85" s="6"/>
      <c r="Q85" s="6"/>
      <c r="R85" s="6">
        <f t="shared" si="34"/>
        <v>0</v>
      </c>
      <c r="S85" s="6">
        <v>20</v>
      </c>
      <c r="T85" s="6">
        <v>20</v>
      </c>
      <c r="U85" s="6">
        <f t="shared" si="35"/>
        <v>40</v>
      </c>
      <c r="V85" s="6"/>
      <c r="W85" s="6"/>
      <c r="X85" s="6">
        <f t="shared" si="36"/>
        <v>0</v>
      </c>
      <c r="Y85" s="101">
        <f t="shared" si="37"/>
        <v>120</v>
      </c>
      <c r="Z85" s="64">
        <f t="shared" si="38"/>
        <v>20</v>
      </c>
      <c r="AA85" s="64">
        <f t="shared" si="39"/>
        <v>140</v>
      </c>
      <c r="AB85" s="65">
        <f t="shared" si="40"/>
        <v>20</v>
      </c>
      <c r="AC85" s="65">
        <f t="shared" si="41"/>
        <v>3.3333333333333335</v>
      </c>
      <c r="AD85" s="65">
        <f t="shared" si="42"/>
        <v>23.333333333333332</v>
      </c>
      <c r="AE85" s="35" t="s">
        <v>352</v>
      </c>
      <c r="AF85" s="6">
        <v>100</v>
      </c>
      <c r="AG85" s="6">
        <v>60</v>
      </c>
      <c r="AH85" s="906">
        <f t="shared" si="43"/>
        <v>160</v>
      </c>
      <c r="AI85" s="6"/>
      <c r="AJ85" s="6"/>
      <c r="AK85" s="98">
        <f t="shared" si="44"/>
        <v>0</v>
      </c>
      <c r="AL85" s="6">
        <v>20</v>
      </c>
      <c r="AM85" s="6">
        <v>40</v>
      </c>
      <c r="AN85" s="98">
        <f t="shared" si="45"/>
        <v>60</v>
      </c>
      <c r="AO85" s="6">
        <f t="shared" si="46"/>
        <v>240</v>
      </c>
      <c r="AP85" s="6">
        <f t="shared" si="47"/>
        <v>120</v>
      </c>
      <c r="AQ85" s="6">
        <f t="shared" si="48"/>
        <v>360</v>
      </c>
      <c r="AR85" s="955">
        <f t="shared" si="49"/>
        <v>26.666666666666668</v>
      </c>
      <c r="AS85" s="955">
        <f t="shared" si="50"/>
        <v>13.333333333333334</v>
      </c>
      <c r="AT85" s="955">
        <f t="shared" si="51"/>
        <v>40</v>
      </c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spans="1:61" ht="18">
      <c r="A86" s="6">
        <v>79</v>
      </c>
      <c r="B86" s="16" t="s">
        <v>886</v>
      </c>
      <c r="C86" s="6" t="s">
        <v>805</v>
      </c>
      <c r="D86" s="6" t="s">
        <v>818</v>
      </c>
      <c r="E86" s="19" t="s">
        <v>355</v>
      </c>
      <c r="F86" s="6">
        <v>10</v>
      </c>
      <c r="G86" s="6">
        <v>20</v>
      </c>
      <c r="H86" s="6"/>
      <c r="I86" s="6">
        <f t="shared" si="31"/>
        <v>20</v>
      </c>
      <c r="J86" s="6"/>
      <c r="K86" s="6"/>
      <c r="L86" s="6">
        <f t="shared" si="32"/>
        <v>0</v>
      </c>
      <c r="M86" s="6"/>
      <c r="N86" s="6"/>
      <c r="O86" s="6">
        <f t="shared" si="33"/>
        <v>0</v>
      </c>
      <c r="P86" s="6">
        <v>20</v>
      </c>
      <c r="Q86" s="6"/>
      <c r="R86" s="6">
        <f t="shared" si="34"/>
        <v>20</v>
      </c>
      <c r="S86" s="6"/>
      <c r="T86" s="6"/>
      <c r="U86" s="6">
        <f t="shared" si="35"/>
        <v>0</v>
      </c>
      <c r="V86" s="6"/>
      <c r="W86" s="6"/>
      <c r="X86" s="6">
        <f t="shared" si="36"/>
        <v>0</v>
      </c>
      <c r="Y86" s="101">
        <f t="shared" si="37"/>
        <v>40</v>
      </c>
      <c r="Z86" s="64">
        <f t="shared" si="38"/>
        <v>0</v>
      </c>
      <c r="AA86" s="64">
        <f t="shared" si="39"/>
        <v>40</v>
      </c>
      <c r="AB86" s="65">
        <f t="shared" si="40"/>
        <v>6.666666666666667</v>
      </c>
      <c r="AC86" s="65">
        <f t="shared" si="41"/>
        <v>0</v>
      </c>
      <c r="AD86" s="65">
        <f t="shared" si="42"/>
        <v>6.666666666666667</v>
      </c>
      <c r="AE86" s="35" t="s">
        <v>352</v>
      </c>
      <c r="AF86" s="6"/>
      <c r="AG86" s="6"/>
      <c r="AH86" s="906">
        <f t="shared" si="43"/>
        <v>0</v>
      </c>
      <c r="AI86" s="6"/>
      <c r="AJ86" s="6"/>
      <c r="AK86" s="98">
        <f t="shared" si="44"/>
        <v>0</v>
      </c>
      <c r="AL86" s="6"/>
      <c r="AM86" s="6"/>
      <c r="AN86" s="98">
        <f t="shared" si="45"/>
        <v>0</v>
      </c>
      <c r="AO86" s="6">
        <f t="shared" si="46"/>
        <v>40</v>
      </c>
      <c r="AP86" s="6">
        <f t="shared" si="47"/>
        <v>0</v>
      </c>
      <c r="AQ86" s="6">
        <f t="shared" si="48"/>
        <v>40</v>
      </c>
      <c r="AR86" s="955">
        <f t="shared" si="49"/>
        <v>4.4444444444444446</v>
      </c>
      <c r="AS86" s="955">
        <f t="shared" si="50"/>
        <v>0</v>
      </c>
      <c r="AT86" s="955">
        <f t="shared" si="51"/>
        <v>4.4444444444444446</v>
      </c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spans="1:61" ht="18">
      <c r="A87" s="6">
        <v>80</v>
      </c>
      <c r="B87" s="16" t="s">
        <v>819</v>
      </c>
      <c r="C87" s="6" t="s">
        <v>805</v>
      </c>
      <c r="D87" s="6" t="s">
        <v>820</v>
      </c>
      <c r="E87" s="18" t="s">
        <v>821</v>
      </c>
      <c r="F87" s="6">
        <v>0</v>
      </c>
      <c r="G87" s="6"/>
      <c r="H87" s="6"/>
      <c r="I87" s="6">
        <f t="shared" si="31"/>
        <v>0</v>
      </c>
      <c r="J87" s="6"/>
      <c r="K87" s="6"/>
      <c r="L87" s="6">
        <f t="shared" si="32"/>
        <v>0</v>
      </c>
      <c r="M87" s="6"/>
      <c r="N87" s="6"/>
      <c r="O87" s="6">
        <f t="shared" si="33"/>
        <v>0</v>
      </c>
      <c r="P87" s="6"/>
      <c r="Q87" s="6"/>
      <c r="R87" s="6">
        <f t="shared" si="34"/>
        <v>0</v>
      </c>
      <c r="S87" s="6">
        <v>100</v>
      </c>
      <c r="T87" s="6"/>
      <c r="U87" s="6">
        <f t="shared" si="35"/>
        <v>100</v>
      </c>
      <c r="V87" s="6"/>
      <c r="W87" s="6"/>
      <c r="X87" s="6">
        <f t="shared" si="36"/>
        <v>0</v>
      </c>
      <c r="Y87" s="101">
        <f t="shared" si="37"/>
        <v>100</v>
      </c>
      <c r="Z87" s="64">
        <f t="shared" si="38"/>
        <v>0</v>
      </c>
      <c r="AA87" s="64">
        <f t="shared" si="39"/>
        <v>100</v>
      </c>
      <c r="AB87" s="65">
        <f t="shared" si="40"/>
        <v>16.666666666666668</v>
      </c>
      <c r="AC87" s="65">
        <f t="shared" si="41"/>
        <v>0</v>
      </c>
      <c r="AD87" s="65">
        <f t="shared" si="42"/>
        <v>16.666666666666668</v>
      </c>
      <c r="AE87" s="35" t="s">
        <v>352</v>
      </c>
      <c r="AF87" s="6"/>
      <c r="AG87" s="6"/>
      <c r="AH87" s="906">
        <f t="shared" si="43"/>
        <v>0</v>
      </c>
      <c r="AI87" s="6"/>
      <c r="AJ87" s="6"/>
      <c r="AK87" s="98">
        <f t="shared" si="44"/>
        <v>0</v>
      </c>
      <c r="AL87" s="6"/>
      <c r="AM87" s="6"/>
      <c r="AN87" s="98">
        <f t="shared" si="45"/>
        <v>0</v>
      </c>
      <c r="AO87" s="6">
        <f t="shared" si="46"/>
        <v>100</v>
      </c>
      <c r="AP87" s="6">
        <f t="shared" si="47"/>
        <v>0</v>
      </c>
      <c r="AQ87" s="6">
        <f t="shared" si="48"/>
        <v>100</v>
      </c>
      <c r="AR87" s="955">
        <f t="shared" si="49"/>
        <v>11.111111111111111</v>
      </c>
      <c r="AS87" s="955">
        <f t="shared" si="50"/>
        <v>0</v>
      </c>
      <c r="AT87" s="955">
        <f t="shared" si="51"/>
        <v>11.111111111111111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spans="1:61" ht="18" hidden="1">
      <c r="A88" s="6">
        <v>81</v>
      </c>
      <c r="B88" s="669" t="s">
        <v>822</v>
      </c>
      <c r="C88" s="6" t="s">
        <v>805</v>
      </c>
      <c r="D88" s="6" t="s">
        <v>823</v>
      </c>
      <c r="E88" s="6" t="s">
        <v>347</v>
      </c>
      <c r="F88" s="6">
        <v>15</v>
      </c>
      <c r="G88" s="6"/>
      <c r="H88" s="6"/>
      <c r="I88" s="6">
        <f t="shared" si="31"/>
        <v>0</v>
      </c>
      <c r="J88" s="6"/>
      <c r="K88" s="6"/>
      <c r="L88" s="6">
        <f t="shared" si="32"/>
        <v>0</v>
      </c>
      <c r="M88" s="6"/>
      <c r="N88" s="6"/>
      <c r="O88" s="6">
        <f t="shared" si="33"/>
        <v>0</v>
      </c>
      <c r="P88" s="6"/>
      <c r="Q88" s="6"/>
      <c r="R88" s="6">
        <f t="shared" si="34"/>
        <v>0</v>
      </c>
      <c r="S88" s="6"/>
      <c r="T88" s="6"/>
      <c r="U88" s="6">
        <f t="shared" si="35"/>
        <v>0</v>
      </c>
      <c r="V88" s="6"/>
      <c r="W88" s="6"/>
      <c r="X88" s="6">
        <f t="shared" si="36"/>
        <v>0</v>
      </c>
      <c r="Y88" s="101">
        <f t="shared" si="37"/>
        <v>0</v>
      </c>
      <c r="Z88" s="64">
        <f t="shared" si="38"/>
        <v>0</v>
      </c>
      <c r="AA88" s="64">
        <f t="shared" si="39"/>
        <v>0</v>
      </c>
      <c r="AB88" s="65">
        <f t="shared" si="40"/>
        <v>0</v>
      </c>
      <c r="AC88" s="65">
        <f t="shared" si="41"/>
        <v>0</v>
      </c>
      <c r="AD88" s="65">
        <f t="shared" si="42"/>
        <v>0</v>
      </c>
      <c r="AE88" s="35" t="s">
        <v>352</v>
      </c>
      <c r="AF88" s="6"/>
      <c r="AG88" s="6"/>
      <c r="AH88" s="906">
        <f t="shared" si="43"/>
        <v>0</v>
      </c>
      <c r="AI88" s="6"/>
      <c r="AJ88" s="6"/>
      <c r="AK88" s="98">
        <f t="shared" si="44"/>
        <v>0</v>
      </c>
      <c r="AL88" s="6"/>
      <c r="AM88" s="6"/>
      <c r="AN88" s="98">
        <f t="shared" si="45"/>
        <v>0</v>
      </c>
      <c r="AO88" s="6">
        <f t="shared" si="46"/>
        <v>0</v>
      </c>
      <c r="AP88" s="6">
        <f t="shared" si="47"/>
        <v>0</v>
      </c>
      <c r="AQ88" s="6">
        <f t="shared" si="48"/>
        <v>0</v>
      </c>
      <c r="AR88" s="955">
        <f t="shared" si="49"/>
        <v>0</v>
      </c>
      <c r="AS88" s="955">
        <f t="shared" si="50"/>
        <v>0</v>
      </c>
      <c r="AT88" s="955">
        <f t="shared" si="51"/>
        <v>0</v>
      </c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spans="1:61" ht="18">
      <c r="A89" s="6">
        <v>82</v>
      </c>
      <c r="B89" s="16" t="s">
        <v>824</v>
      </c>
      <c r="C89" s="6" t="s">
        <v>805</v>
      </c>
      <c r="D89" s="6" t="s">
        <v>825</v>
      </c>
      <c r="E89" s="18" t="s">
        <v>364</v>
      </c>
      <c r="F89" s="6">
        <v>50</v>
      </c>
      <c r="G89" s="6">
        <v>200</v>
      </c>
      <c r="H89" s="6"/>
      <c r="I89" s="6">
        <f t="shared" si="31"/>
        <v>200</v>
      </c>
      <c r="J89" s="6"/>
      <c r="K89" s="6"/>
      <c r="L89" s="6">
        <f t="shared" si="32"/>
        <v>0</v>
      </c>
      <c r="M89" s="6"/>
      <c r="N89" s="6"/>
      <c r="O89" s="6">
        <f t="shared" si="33"/>
        <v>0</v>
      </c>
      <c r="P89" s="6">
        <v>20</v>
      </c>
      <c r="Q89" s="6"/>
      <c r="R89" s="6">
        <f t="shared" si="34"/>
        <v>20</v>
      </c>
      <c r="S89" s="6">
        <v>180</v>
      </c>
      <c r="T89" s="6"/>
      <c r="U89" s="6">
        <f t="shared" si="35"/>
        <v>180</v>
      </c>
      <c r="V89" s="6"/>
      <c r="W89" s="6"/>
      <c r="X89" s="6">
        <f t="shared" si="36"/>
        <v>0</v>
      </c>
      <c r="Y89" s="101">
        <f t="shared" si="37"/>
        <v>400</v>
      </c>
      <c r="Z89" s="64">
        <f t="shared" si="38"/>
        <v>0</v>
      </c>
      <c r="AA89" s="64">
        <f t="shared" si="39"/>
        <v>400</v>
      </c>
      <c r="AB89" s="65">
        <f t="shared" si="40"/>
        <v>66.666666666666671</v>
      </c>
      <c r="AC89" s="65">
        <f t="shared" si="41"/>
        <v>0</v>
      </c>
      <c r="AD89" s="65">
        <f t="shared" si="42"/>
        <v>66.666666666666671</v>
      </c>
      <c r="AE89" s="35" t="s">
        <v>352</v>
      </c>
      <c r="AF89" s="6">
        <v>150</v>
      </c>
      <c r="AG89" s="6"/>
      <c r="AH89" s="906">
        <f t="shared" si="43"/>
        <v>150</v>
      </c>
      <c r="AI89" s="6">
        <v>60</v>
      </c>
      <c r="AJ89" s="6"/>
      <c r="AK89" s="98">
        <f t="shared" si="44"/>
        <v>60</v>
      </c>
      <c r="AL89" s="6">
        <v>136</v>
      </c>
      <c r="AM89" s="6"/>
      <c r="AN89" s="98">
        <f t="shared" si="45"/>
        <v>136</v>
      </c>
      <c r="AO89" s="6">
        <f t="shared" si="46"/>
        <v>746</v>
      </c>
      <c r="AP89" s="6">
        <f t="shared" si="47"/>
        <v>0</v>
      </c>
      <c r="AQ89" s="6">
        <f t="shared" si="48"/>
        <v>746</v>
      </c>
      <c r="AR89" s="955">
        <f t="shared" si="49"/>
        <v>82.888888888888886</v>
      </c>
      <c r="AS89" s="955">
        <f t="shared" si="50"/>
        <v>0</v>
      </c>
      <c r="AT89" s="955">
        <f t="shared" si="51"/>
        <v>82.888888888888886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spans="1:61" ht="18">
      <c r="A90" s="6">
        <v>83</v>
      </c>
      <c r="B90" s="16" t="s">
        <v>826</v>
      </c>
      <c r="C90" s="6" t="s">
        <v>805</v>
      </c>
      <c r="D90" s="6" t="s">
        <v>827</v>
      </c>
      <c r="E90" s="18" t="s">
        <v>364</v>
      </c>
      <c r="F90" s="6">
        <v>35</v>
      </c>
      <c r="G90" s="6"/>
      <c r="H90" s="6"/>
      <c r="I90" s="6">
        <f t="shared" si="31"/>
        <v>0</v>
      </c>
      <c r="J90" s="6"/>
      <c r="K90" s="6"/>
      <c r="L90" s="6">
        <f t="shared" si="32"/>
        <v>0</v>
      </c>
      <c r="M90" s="6"/>
      <c r="N90" s="6"/>
      <c r="O90" s="6">
        <f t="shared" si="33"/>
        <v>0</v>
      </c>
      <c r="P90" s="6">
        <v>40</v>
      </c>
      <c r="Q90" s="6"/>
      <c r="R90" s="6">
        <f t="shared" si="34"/>
        <v>40</v>
      </c>
      <c r="S90" s="6">
        <v>100</v>
      </c>
      <c r="T90" s="6"/>
      <c r="U90" s="6">
        <f t="shared" si="35"/>
        <v>100</v>
      </c>
      <c r="V90" s="6"/>
      <c r="W90" s="6"/>
      <c r="X90" s="6">
        <f t="shared" si="36"/>
        <v>0</v>
      </c>
      <c r="Y90" s="101">
        <f t="shared" si="37"/>
        <v>140</v>
      </c>
      <c r="Z90" s="64">
        <f t="shared" si="38"/>
        <v>0</v>
      </c>
      <c r="AA90" s="64">
        <f t="shared" si="39"/>
        <v>140</v>
      </c>
      <c r="AB90" s="65">
        <f t="shared" si="40"/>
        <v>23.333333333333332</v>
      </c>
      <c r="AC90" s="65">
        <f t="shared" si="41"/>
        <v>0</v>
      </c>
      <c r="AD90" s="65">
        <f t="shared" si="42"/>
        <v>23.333333333333332</v>
      </c>
      <c r="AE90" s="35" t="s">
        <v>352</v>
      </c>
      <c r="AF90" s="6">
        <v>25</v>
      </c>
      <c r="AG90" s="6"/>
      <c r="AH90" s="906">
        <f t="shared" si="43"/>
        <v>25</v>
      </c>
      <c r="AI90" s="6"/>
      <c r="AJ90" s="6"/>
      <c r="AK90" s="98">
        <f t="shared" si="44"/>
        <v>0</v>
      </c>
      <c r="AL90" s="6">
        <v>100</v>
      </c>
      <c r="AM90" s="6"/>
      <c r="AN90" s="98">
        <f t="shared" si="45"/>
        <v>100</v>
      </c>
      <c r="AO90" s="6">
        <f t="shared" si="46"/>
        <v>265</v>
      </c>
      <c r="AP90" s="6">
        <f t="shared" si="47"/>
        <v>0</v>
      </c>
      <c r="AQ90" s="6">
        <f t="shared" si="48"/>
        <v>265</v>
      </c>
      <c r="AR90" s="955">
        <f t="shared" si="49"/>
        <v>29.444444444444443</v>
      </c>
      <c r="AS90" s="955">
        <f t="shared" si="50"/>
        <v>0</v>
      </c>
      <c r="AT90" s="955">
        <f t="shared" si="51"/>
        <v>29.444444444444443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spans="1:61" s="61" customFormat="1" ht="18">
      <c r="A91" s="19">
        <v>84</v>
      </c>
      <c r="B91" s="59" t="s">
        <v>828</v>
      </c>
      <c r="C91" s="19" t="s">
        <v>805</v>
      </c>
      <c r="D91" s="19" t="s">
        <v>829</v>
      </c>
      <c r="E91" s="19" t="s">
        <v>347</v>
      </c>
      <c r="F91" s="19">
        <v>120</v>
      </c>
      <c r="G91" s="19"/>
      <c r="H91" s="19"/>
      <c r="I91" s="19">
        <f t="shared" si="31"/>
        <v>0</v>
      </c>
      <c r="J91" s="19">
        <v>60</v>
      </c>
      <c r="K91" s="19"/>
      <c r="L91" s="19">
        <f t="shared" si="32"/>
        <v>60</v>
      </c>
      <c r="M91" s="19"/>
      <c r="N91" s="19"/>
      <c r="O91" s="19">
        <f t="shared" si="33"/>
        <v>0</v>
      </c>
      <c r="P91" s="19">
        <v>300</v>
      </c>
      <c r="Q91" s="19">
        <v>0</v>
      </c>
      <c r="R91" s="19">
        <f t="shared" si="34"/>
        <v>300</v>
      </c>
      <c r="S91" s="19">
        <v>400</v>
      </c>
      <c r="T91" s="19"/>
      <c r="U91" s="19">
        <f t="shared" si="35"/>
        <v>400</v>
      </c>
      <c r="V91" s="19"/>
      <c r="W91" s="19"/>
      <c r="X91" s="19">
        <f t="shared" si="36"/>
        <v>0</v>
      </c>
      <c r="Y91" s="100">
        <f t="shared" si="37"/>
        <v>760</v>
      </c>
      <c r="Z91" s="19">
        <f t="shared" si="38"/>
        <v>0</v>
      </c>
      <c r="AA91" s="19">
        <f t="shared" si="39"/>
        <v>760</v>
      </c>
      <c r="AB91" s="60">
        <f t="shared" si="40"/>
        <v>126.66666666666667</v>
      </c>
      <c r="AC91" s="60">
        <f t="shared" si="41"/>
        <v>0</v>
      </c>
      <c r="AD91" s="60">
        <f t="shared" si="42"/>
        <v>126.66666666666667</v>
      </c>
      <c r="AE91" s="46" t="s">
        <v>352</v>
      </c>
      <c r="AF91" s="19">
        <v>100</v>
      </c>
      <c r="AG91" s="19"/>
      <c r="AH91" s="907">
        <f t="shared" si="43"/>
        <v>100</v>
      </c>
      <c r="AI91" s="19">
        <v>300</v>
      </c>
      <c r="AJ91" s="19"/>
      <c r="AK91" s="100">
        <f t="shared" si="44"/>
        <v>300</v>
      </c>
      <c r="AL91" s="19">
        <v>300</v>
      </c>
      <c r="AM91" s="19"/>
      <c r="AN91" s="100">
        <f t="shared" si="45"/>
        <v>300</v>
      </c>
      <c r="AO91" s="19">
        <f t="shared" si="46"/>
        <v>1460</v>
      </c>
      <c r="AP91" s="19">
        <f t="shared" si="47"/>
        <v>0</v>
      </c>
      <c r="AQ91" s="19">
        <f t="shared" si="48"/>
        <v>1460</v>
      </c>
      <c r="AR91" s="703">
        <f>AO91/9</f>
        <v>162.22222222222223</v>
      </c>
      <c r="AS91" s="703">
        <f t="shared" si="50"/>
        <v>0</v>
      </c>
      <c r="AT91" s="703">
        <f t="shared" si="51"/>
        <v>162.22222222222223</v>
      </c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</row>
    <row r="92" spans="1:61" s="61" customFormat="1" ht="18">
      <c r="A92" s="19">
        <v>85</v>
      </c>
      <c r="B92" s="59" t="s">
        <v>830</v>
      </c>
      <c r="C92" s="19" t="s">
        <v>805</v>
      </c>
      <c r="D92" s="19" t="s">
        <v>831</v>
      </c>
      <c r="E92" s="19" t="s">
        <v>347</v>
      </c>
      <c r="F92" s="19">
        <v>148</v>
      </c>
      <c r="G92" s="19"/>
      <c r="H92" s="19"/>
      <c r="I92" s="19">
        <f t="shared" si="31"/>
        <v>0</v>
      </c>
      <c r="J92" s="19"/>
      <c r="K92" s="19"/>
      <c r="L92" s="19">
        <f t="shared" si="32"/>
        <v>0</v>
      </c>
      <c r="M92" s="19"/>
      <c r="N92" s="19"/>
      <c r="O92" s="19">
        <f t="shared" si="33"/>
        <v>0</v>
      </c>
      <c r="P92" s="19">
        <v>127</v>
      </c>
      <c r="Q92" s="19"/>
      <c r="R92" s="19">
        <f t="shared" si="34"/>
        <v>127</v>
      </c>
      <c r="S92" s="19">
        <v>184</v>
      </c>
      <c r="T92" s="19"/>
      <c r="U92" s="19">
        <f t="shared" si="35"/>
        <v>184</v>
      </c>
      <c r="V92" s="19"/>
      <c r="W92" s="19"/>
      <c r="X92" s="19">
        <f t="shared" si="36"/>
        <v>0</v>
      </c>
      <c r="Y92" s="100">
        <f t="shared" si="37"/>
        <v>311</v>
      </c>
      <c r="Z92" s="19">
        <f t="shared" si="38"/>
        <v>0</v>
      </c>
      <c r="AA92" s="19">
        <f t="shared" si="39"/>
        <v>311</v>
      </c>
      <c r="AB92" s="60">
        <f t="shared" si="40"/>
        <v>51.833333333333336</v>
      </c>
      <c r="AC92" s="60">
        <f t="shared" si="41"/>
        <v>0</v>
      </c>
      <c r="AD92" s="60">
        <f t="shared" si="42"/>
        <v>51.833333333333336</v>
      </c>
      <c r="AE92" s="46" t="s">
        <v>348</v>
      </c>
      <c r="AF92" s="19">
        <v>133</v>
      </c>
      <c r="AG92" s="19"/>
      <c r="AH92" s="907">
        <f t="shared" si="43"/>
        <v>133</v>
      </c>
      <c r="AI92" s="19">
        <v>148</v>
      </c>
      <c r="AJ92" s="19"/>
      <c r="AK92" s="100">
        <f t="shared" si="44"/>
        <v>148</v>
      </c>
      <c r="AL92" s="19">
        <v>18</v>
      </c>
      <c r="AM92" s="19"/>
      <c r="AN92" s="100">
        <f t="shared" si="45"/>
        <v>18</v>
      </c>
      <c r="AO92" s="19">
        <f t="shared" si="46"/>
        <v>610</v>
      </c>
      <c r="AP92" s="19">
        <f t="shared" si="47"/>
        <v>0</v>
      </c>
      <c r="AQ92" s="19">
        <f t="shared" si="48"/>
        <v>610</v>
      </c>
      <c r="AR92" s="703">
        <f t="shared" ref="AR92:AR97" si="52">AO92/9</f>
        <v>67.777777777777771</v>
      </c>
      <c r="AS92" s="703">
        <f t="shared" ref="AS92:AS98" si="53">AP92/9</f>
        <v>0</v>
      </c>
      <c r="AT92" s="703">
        <f t="shared" ref="AT92:AT98" si="54">AQ92/9</f>
        <v>67.777777777777771</v>
      </c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</row>
    <row r="93" spans="1:61" s="61" customFormat="1" ht="18">
      <c r="A93" s="19">
        <v>86</v>
      </c>
      <c r="B93" s="59" t="s">
        <v>832</v>
      </c>
      <c r="C93" s="19" t="s">
        <v>805</v>
      </c>
      <c r="D93" s="19" t="s">
        <v>833</v>
      </c>
      <c r="E93" s="19" t="s">
        <v>389</v>
      </c>
      <c r="F93" s="19">
        <v>122</v>
      </c>
      <c r="G93" s="19"/>
      <c r="H93" s="19"/>
      <c r="I93" s="19">
        <f t="shared" si="31"/>
        <v>0</v>
      </c>
      <c r="J93" s="19"/>
      <c r="K93" s="19"/>
      <c r="L93" s="19">
        <f t="shared" si="32"/>
        <v>0</v>
      </c>
      <c r="M93" s="19"/>
      <c r="N93" s="19"/>
      <c r="O93" s="19">
        <f t="shared" si="33"/>
        <v>0</v>
      </c>
      <c r="P93" s="19"/>
      <c r="Q93" s="19"/>
      <c r="R93" s="19">
        <f t="shared" si="34"/>
        <v>0</v>
      </c>
      <c r="S93" s="19">
        <v>260</v>
      </c>
      <c r="T93" s="19">
        <v>54</v>
      </c>
      <c r="U93" s="19">
        <f t="shared" si="35"/>
        <v>314</v>
      </c>
      <c r="V93" s="19"/>
      <c r="W93" s="19"/>
      <c r="X93" s="19">
        <f t="shared" si="36"/>
        <v>0</v>
      </c>
      <c r="Y93" s="100">
        <f t="shared" si="37"/>
        <v>260</v>
      </c>
      <c r="Z93" s="19">
        <f t="shared" si="38"/>
        <v>54</v>
      </c>
      <c r="AA93" s="19">
        <f t="shared" si="39"/>
        <v>314</v>
      </c>
      <c r="AB93" s="60">
        <f t="shared" si="40"/>
        <v>43.333333333333336</v>
      </c>
      <c r="AC93" s="60">
        <f t="shared" si="41"/>
        <v>9</v>
      </c>
      <c r="AD93" s="60">
        <f t="shared" si="42"/>
        <v>52.333333333333336</v>
      </c>
      <c r="AE93" s="46" t="s">
        <v>352</v>
      </c>
      <c r="AF93" s="19">
        <v>0</v>
      </c>
      <c r="AG93" s="19"/>
      <c r="AH93" s="907">
        <f t="shared" si="43"/>
        <v>0</v>
      </c>
      <c r="AI93" s="19">
        <v>280</v>
      </c>
      <c r="AJ93" s="19"/>
      <c r="AK93" s="100">
        <f t="shared" si="44"/>
        <v>280</v>
      </c>
      <c r="AL93" s="19"/>
      <c r="AM93" s="19"/>
      <c r="AN93" s="100">
        <f t="shared" si="45"/>
        <v>0</v>
      </c>
      <c r="AO93" s="19">
        <f t="shared" si="46"/>
        <v>540</v>
      </c>
      <c r="AP93" s="19">
        <f t="shared" si="47"/>
        <v>54</v>
      </c>
      <c r="AQ93" s="19">
        <f t="shared" si="48"/>
        <v>594</v>
      </c>
      <c r="AR93" s="703">
        <f t="shared" si="52"/>
        <v>60</v>
      </c>
      <c r="AS93" s="703">
        <f t="shared" si="53"/>
        <v>6</v>
      </c>
      <c r="AT93" s="703">
        <f t="shared" si="54"/>
        <v>66</v>
      </c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</row>
    <row r="94" spans="1:61" s="61" customFormat="1" ht="18">
      <c r="A94" s="19">
        <v>87</v>
      </c>
      <c r="B94" s="59" t="s">
        <v>834</v>
      </c>
      <c r="C94" s="19" t="s">
        <v>805</v>
      </c>
      <c r="D94" s="19" t="s">
        <v>835</v>
      </c>
      <c r="E94" s="19" t="s">
        <v>347</v>
      </c>
      <c r="F94" s="19">
        <v>90</v>
      </c>
      <c r="G94" s="19"/>
      <c r="H94" s="19"/>
      <c r="I94" s="19">
        <f t="shared" si="31"/>
        <v>0</v>
      </c>
      <c r="J94" s="19"/>
      <c r="K94" s="19"/>
      <c r="L94" s="19">
        <f t="shared" si="32"/>
        <v>0</v>
      </c>
      <c r="M94" s="19"/>
      <c r="N94" s="19"/>
      <c r="O94" s="19">
        <f t="shared" si="33"/>
        <v>0</v>
      </c>
      <c r="P94" s="19">
        <v>120</v>
      </c>
      <c r="Q94" s="19"/>
      <c r="R94" s="19">
        <f t="shared" si="34"/>
        <v>120</v>
      </c>
      <c r="S94" s="19">
        <v>300</v>
      </c>
      <c r="T94" s="19"/>
      <c r="U94" s="19">
        <f t="shared" si="35"/>
        <v>300</v>
      </c>
      <c r="V94" s="19"/>
      <c r="W94" s="19"/>
      <c r="X94" s="19">
        <f t="shared" si="36"/>
        <v>0</v>
      </c>
      <c r="Y94" s="100">
        <f t="shared" si="37"/>
        <v>420</v>
      </c>
      <c r="Z94" s="19">
        <f t="shared" si="38"/>
        <v>0</v>
      </c>
      <c r="AA94" s="19">
        <f t="shared" si="39"/>
        <v>420</v>
      </c>
      <c r="AB94" s="60">
        <f t="shared" si="40"/>
        <v>70</v>
      </c>
      <c r="AC94" s="60">
        <f t="shared" si="41"/>
        <v>0</v>
      </c>
      <c r="AD94" s="60">
        <f t="shared" si="42"/>
        <v>70</v>
      </c>
      <c r="AE94" s="46" t="s">
        <v>352</v>
      </c>
      <c r="AF94" s="19">
        <v>0</v>
      </c>
      <c r="AG94" s="19"/>
      <c r="AH94" s="907">
        <f t="shared" si="43"/>
        <v>0</v>
      </c>
      <c r="AI94" s="19">
        <v>300</v>
      </c>
      <c r="AJ94" s="19"/>
      <c r="AK94" s="100">
        <f t="shared" si="44"/>
        <v>300</v>
      </c>
      <c r="AL94" s="19"/>
      <c r="AM94" s="19"/>
      <c r="AN94" s="100">
        <f t="shared" si="45"/>
        <v>0</v>
      </c>
      <c r="AO94" s="19">
        <f t="shared" si="46"/>
        <v>720</v>
      </c>
      <c r="AP94" s="19">
        <f t="shared" si="47"/>
        <v>0</v>
      </c>
      <c r="AQ94" s="19">
        <f t="shared" si="48"/>
        <v>720</v>
      </c>
      <c r="AR94" s="703">
        <f t="shared" si="52"/>
        <v>80</v>
      </c>
      <c r="AS94" s="703">
        <f t="shared" si="53"/>
        <v>0</v>
      </c>
      <c r="AT94" s="703">
        <f t="shared" si="54"/>
        <v>80</v>
      </c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</row>
    <row r="95" spans="1:61" s="61" customFormat="1" ht="18">
      <c r="A95" s="19">
        <v>88</v>
      </c>
      <c r="B95" s="59" t="s">
        <v>2839</v>
      </c>
      <c r="C95" s="19" t="s">
        <v>805</v>
      </c>
      <c r="D95" s="19" t="s">
        <v>837</v>
      </c>
      <c r="E95" s="19" t="s">
        <v>423</v>
      </c>
      <c r="F95" s="19">
        <v>37</v>
      </c>
      <c r="G95" s="19"/>
      <c r="H95" s="19"/>
      <c r="I95" s="19">
        <f t="shared" si="31"/>
        <v>0</v>
      </c>
      <c r="J95" s="19"/>
      <c r="K95" s="19"/>
      <c r="L95" s="19">
        <f t="shared" si="32"/>
        <v>0</v>
      </c>
      <c r="M95" s="19"/>
      <c r="N95" s="19"/>
      <c r="O95" s="19">
        <f t="shared" si="33"/>
        <v>0</v>
      </c>
      <c r="P95" s="19"/>
      <c r="Q95" s="19"/>
      <c r="R95" s="19">
        <f t="shared" si="34"/>
        <v>0</v>
      </c>
      <c r="S95" s="19"/>
      <c r="T95" s="19"/>
      <c r="U95" s="19">
        <f t="shared" si="35"/>
        <v>0</v>
      </c>
      <c r="V95" s="19"/>
      <c r="W95" s="19"/>
      <c r="X95" s="19">
        <f t="shared" si="36"/>
        <v>0</v>
      </c>
      <c r="Y95" s="100">
        <f t="shared" si="37"/>
        <v>0</v>
      </c>
      <c r="Z95" s="19">
        <f t="shared" si="38"/>
        <v>0</v>
      </c>
      <c r="AA95" s="19">
        <f t="shared" si="39"/>
        <v>0</v>
      </c>
      <c r="AB95" s="60">
        <f t="shared" si="40"/>
        <v>0</v>
      </c>
      <c r="AC95" s="60">
        <f t="shared" si="41"/>
        <v>0</v>
      </c>
      <c r="AD95" s="60">
        <f t="shared" si="42"/>
        <v>0</v>
      </c>
      <c r="AE95" s="46" t="s">
        <v>352</v>
      </c>
      <c r="AF95" s="19">
        <v>96</v>
      </c>
      <c r="AG95" s="19">
        <v>36</v>
      </c>
      <c r="AH95" s="907">
        <f t="shared" si="43"/>
        <v>132</v>
      </c>
      <c r="AI95" s="19"/>
      <c r="AJ95" s="19"/>
      <c r="AK95" s="100">
        <f t="shared" si="44"/>
        <v>0</v>
      </c>
      <c r="AL95" s="19">
        <v>118</v>
      </c>
      <c r="AM95" s="19">
        <v>38</v>
      </c>
      <c r="AN95" s="100">
        <f t="shared" si="45"/>
        <v>156</v>
      </c>
      <c r="AO95" s="19">
        <f t="shared" si="46"/>
        <v>214</v>
      </c>
      <c r="AP95" s="19">
        <f t="shared" si="47"/>
        <v>74</v>
      </c>
      <c r="AQ95" s="19">
        <f t="shared" si="48"/>
        <v>288</v>
      </c>
      <c r="AR95" s="703">
        <f t="shared" si="52"/>
        <v>23.777777777777779</v>
      </c>
      <c r="AS95" s="703">
        <f t="shared" si="53"/>
        <v>8.2222222222222214</v>
      </c>
      <c r="AT95" s="703">
        <f t="shared" si="54"/>
        <v>32</v>
      </c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</row>
    <row r="96" spans="1:61" s="61" customFormat="1" ht="18">
      <c r="A96" s="19">
        <v>89</v>
      </c>
      <c r="B96" s="59" t="s">
        <v>838</v>
      </c>
      <c r="C96" s="19" t="s">
        <v>805</v>
      </c>
      <c r="D96" s="19" t="s">
        <v>839</v>
      </c>
      <c r="E96" s="19" t="s">
        <v>695</v>
      </c>
      <c r="F96" s="19">
        <v>974</v>
      </c>
      <c r="G96" s="19"/>
      <c r="H96" s="19"/>
      <c r="I96" s="19">
        <f t="shared" si="31"/>
        <v>0</v>
      </c>
      <c r="J96" s="19">
        <v>600</v>
      </c>
      <c r="K96" s="19">
        <v>200</v>
      </c>
      <c r="L96" s="19">
        <f t="shared" si="32"/>
        <v>800</v>
      </c>
      <c r="M96" s="19"/>
      <c r="N96" s="19"/>
      <c r="O96" s="19">
        <f t="shared" si="33"/>
        <v>0</v>
      </c>
      <c r="P96" s="19"/>
      <c r="Q96" s="19"/>
      <c r="R96" s="19">
        <f t="shared" si="34"/>
        <v>0</v>
      </c>
      <c r="S96" s="19"/>
      <c r="T96" s="19">
        <v>160</v>
      </c>
      <c r="U96" s="19">
        <f t="shared" si="35"/>
        <v>160</v>
      </c>
      <c r="V96" s="19">
        <v>1000</v>
      </c>
      <c r="W96" s="19">
        <v>200</v>
      </c>
      <c r="X96" s="19">
        <f t="shared" si="36"/>
        <v>1200</v>
      </c>
      <c r="Y96" s="100">
        <f t="shared" si="37"/>
        <v>1600</v>
      </c>
      <c r="Z96" s="19">
        <f t="shared" si="38"/>
        <v>560</v>
      </c>
      <c r="AA96" s="19">
        <f t="shared" si="39"/>
        <v>2160</v>
      </c>
      <c r="AB96" s="60">
        <f t="shared" si="40"/>
        <v>266.66666666666669</v>
      </c>
      <c r="AC96" s="60">
        <f t="shared" si="41"/>
        <v>93.333333333333329</v>
      </c>
      <c r="AD96" s="60">
        <f t="shared" si="42"/>
        <v>360</v>
      </c>
      <c r="AE96" s="46" t="s">
        <v>352</v>
      </c>
      <c r="AF96" s="19">
        <v>0</v>
      </c>
      <c r="AG96" s="19"/>
      <c r="AH96" s="907">
        <f t="shared" si="43"/>
        <v>0</v>
      </c>
      <c r="AI96" s="19"/>
      <c r="AJ96" s="19"/>
      <c r="AK96" s="100">
        <f t="shared" si="44"/>
        <v>0</v>
      </c>
      <c r="AL96" s="19"/>
      <c r="AM96" s="19"/>
      <c r="AN96" s="100">
        <f t="shared" si="45"/>
        <v>0</v>
      </c>
      <c r="AO96" s="19">
        <f t="shared" si="46"/>
        <v>1600</v>
      </c>
      <c r="AP96" s="19">
        <f t="shared" si="47"/>
        <v>560</v>
      </c>
      <c r="AQ96" s="19">
        <f t="shared" si="48"/>
        <v>2160</v>
      </c>
      <c r="AR96" s="703">
        <f t="shared" si="52"/>
        <v>177.77777777777777</v>
      </c>
      <c r="AS96" s="703">
        <f t="shared" si="53"/>
        <v>62.222222222222221</v>
      </c>
      <c r="AT96" s="703">
        <f t="shared" si="54"/>
        <v>240</v>
      </c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</row>
    <row r="97" spans="1:61" s="61" customFormat="1" ht="18">
      <c r="A97" s="19">
        <v>90</v>
      </c>
      <c r="B97" s="59" t="s">
        <v>840</v>
      </c>
      <c r="C97" s="19" t="s">
        <v>805</v>
      </c>
      <c r="D97" s="19" t="s">
        <v>841</v>
      </c>
      <c r="E97" s="19" t="s">
        <v>347</v>
      </c>
      <c r="F97" s="19">
        <v>587</v>
      </c>
      <c r="G97" s="19">
        <v>800</v>
      </c>
      <c r="H97" s="19">
        <v>596</v>
      </c>
      <c r="I97" s="19">
        <f t="shared" si="31"/>
        <v>1396</v>
      </c>
      <c r="J97" s="19">
        <v>844</v>
      </c>
      <c r="K97" s="19">
        <v>140</v>
      </c>
      <c r="L97" s="19">
        <f t="shared" si="32"/>
        <v>984</v>
      </c>
      <c r="M97" s="19"/>
      <c r="N97" s="19"/>
      <c r="O97" s="19">
        <f t="shared" si="33"/>
        <v>0</v>
      </c>
      <c r="P97" s="19">
        <v>736</v>
      </c>
      <c r="Q97" s="19">
        <v>102</v>
      </c>
      <c r="R97" s="19">
        <f t="shared" si="34"/>
        <v>838</v>
      </c>
      <c r="S97" s="19">
        <v>318</v>
      </c>
      <c r="T97" s="19">
        <v>508</v>
      </c>
      <c r="U97" s="19">
        <f t="shared" si="35"/>
        <v>826</v>
      </c>
      <c r="V97" s="19">
        <v>600</v>
      </c>
      <c r="W97" s="19">
        <v>100</v>
      </c>
      <c r="X97" s="19">
        <f t="shared" si="36"/>
        <v>700</v>
      </c>
      <c r="Y97" s="100">
        <f t="shared" si="37"/>
        <v>3298</v>
      </c>
      <c r="Z97" s="19">
        <f t="shared" si="38"/>
        <v>1446</v>
      </c>
      <c r="AA97" s="19">
        <f t="shared" si="39"/>
        <v>4744</v>
      </c>
      <c r="AB97" s="60">
        <f t="shared" si="40"/>
        <v>549.66666666666663</v>
      </c>
      <c r="AC97" s="60">
        <f t="shared" si="41"/>
        <v>241</v>
      </c>
      <c r="AD97" s="60">
        <f t="shared" si="42"/>
        <v>790.66666666666663</v>
      </c>
      <c r="AE97" s="46" t="s">
        <v>348</v>
      </c>
      <c r="AF97" s="19">
        <v>0</v>
      </c>
      <c r="AG97" s="19"/>
      <c r="AH97" s="907">
        <f t="shared" si="43"/>
        <v>0</v>
      </c>
      <c r="AI97" s="19">
        <v>460</v>
      </c>
      <c r="AJ97" s="19"/>
      <c r="AK97" s="100">
        <f t="shared" si="44"/>
        <v>460</v>
      </c>
      <c r="AL97" s="19">
        <v>786</v>
      </c>
      <c r="AM97" s="19">
        <v>644</v>
      </c>
      <c r="AN97" s="100">
        <f t="shared" si="45"/>
        <v>1430</v>
      </c>
      <c r="AO97" s="19">
        <f t="shared" si="46"/>
        <v>4544</v>
      </c>
      <c r="AP97" s="19">
        <f t="shared" si="47"/>
        <v>2090</v>
      </c>
      <c r="AQ97" s="19">
        <f t="shared" si="48"/>
        <v>6634</v>
      </c>
      <c r="AR97" s="703">
        <f t="shared" si="52"/>
        <v>504.88888888888891</v>
      </c>
      <c r="AS97" s="703">
        <f t="shared" si="53"/>
        <v>232.22222222222223</v>
      </c>
      <c r="AT97" s="703">
        <f t="shared" si="54"/>
        <v>737.11111111111109</v>
      </c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</row>
    <row r="98" spans="1:61" ht="18">
      <c r="A98" s="6">
        <v>91</v>
      </c>
      <c r="B98" s="16" t="s">
        <v>842</v>
      </c>
      <c r="C98" s="6" t="s">
        <v>843</v>
      </c>
      <c r="D98" s="6" t="s">
        <v>844</v>
      </c>
      <c r="E98" s="6" t="s">
        <v>692</v>
      </c>
      <c r="F98" s="6">
        <v>50</v>
      </c>
      <c r="G98" s="6">
        <v>120</v>
      </c>
      <c r="H98" s="6"/>
      <c r="I98" s="6">
        <f t="shared" si="31"/>
        <v>120</v>
      </c>
      <c r="J98" s="6"/>
      <c r="K98" s="6"/>
      <c r="L98" s="6">
        <f t="shared" si="32"/>
        <v>0</v>
      </c>
      <c r="M98" s="6"/>
      <c r="N98" s="6"/>
      <c r="O98" s="6">
        <f t="shared" si="33"/>
        <v>0</v>
      </c>
      <c r="P98" s="6">
        <v>40</v>
      </c>
      <c r="Q98" s="6"/>
      <c r="R98" s="6">
        <f t="shared" si="34"/>
        <v>40</v>
      </c>
      <c r="S98" s="6">
        <v>70</v>
      </c>
      <c r="T98" s="6"/>
      <c r="U98" s="6">
        <f t="shared" si="35"/>
        <v>70</v>
      </c>
      <c r="V98" s="6">
        <v>50</v>
      </c>
      <c r="W98" s="6"/>
      <c r="X98" s="6">
        <f t="shared" si="36"/>
        <v>50</v>
      </c>
      <c r="Y98" s="101">
        <f t="shared" si="37"/>
        <v>280</v>
      </c>
      <c r="Z98" s="64">
        <f t="shared" si="38"/>
        <v>0</v>
      </c>
      <c r="AA98" s="64">
        <f t="shared" si="39"/>
        <v>280</v>
      </c>
      <c r="AB98" s="65">
        <f t="shared" si="40"/>
        <v>46.666666666666664</v>
      </c>
      <c r="AC98" s="65">
        <f t="shared" si="41"/>
        <v>0</v>
      </c>
      <c r="AD98" s="65">
        <f t="shared" si="42"/>
        <v>46.666666666666664</v>
      </c>
      <c r="AE98" s="35" t="s">
        <v>352</v>
      </c>
      <c r="AF98" s="6">
        <v>0</v>
      </c>
      <c r="AG98" s="6"/>
      <c r="AH98" s="906">
        <f t="shared" si="43"/>
        <v>0</v>
      </c>
      <c r="AI98" s="6">
        <v>100</v>
      </c>
      <c r="AJ98" s="6"/>
      <c r="AK98" s="98">
        <f t="shared" si="44"/>
        <v>100</v>
      </c>
      <c r="AL98" s="6"/>
      <c r="AM98" s="6"/>
      <c r="AN98" s="98">
        <f t="shared" si="45"/>
        <v>0</v>
      </c>
      <c r="AO98" s="6">
        <f t="shared" si="46"/>
        <v>380</v>
      </c>
      <c r="AP98" s="6">
        <f t="shared" si="47"/>
        <v>0</v>
      </c>
      <c r="AQ98" s="6">
        <f t="shared" si="48"/>
        <v>380</v>
      </c>
      <c r="AR98" s="955">
        <f>AO98/9</f>
        <v>42.222222222222221</v>
      </c>
      <c r="AS98" s="955">
        <f t="shared" si="53"/>
        <v>0</v>
      </c>
      <c r="AT98" s="955">
        <f t="shared" si="54"/>
        <v>42.222222222222221</v>
      </c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spans="1:61" ht="18">
      <c r="A99" s="6">
        <v>92</v>
      </c>
      <c r="B99" s="16" t="s">
        <v>845</v>
      </c>
      <c r="C99" s="6" t="s">
        <v>843</v>
      </c>
      <c r="D99" s="6" t="s">
        <v>846</v>
      </c>
      <c r="E99" s="6" t="s">
        <v>347</v>
      </c>
      <c r="F99" s="6">
        <v>20</v>
      </c>
      <c r="G99" s="6">
        <v>50</v>
      </c>
      <c r="H99" s="6"/>
      <c r="I99" s="6">
        <f t="shared" si="31"/>
        <v>50</v>
      </c>
      <c r="J99" s="6"/>
      <c r="K99" s="6"/>
      <c r="L99" s="6">
        <f t="shared" si="32"/>
        <v>0</v>
      </c>
      <c r="M99" s="6"/>
      <c r="N99" s="6"/>
      <c r="O99" s="6">
        <f t="shared" si="33"/>
        <v>0</v>
      </c>
      <c r="P99" s="6"/>
      <c r="Q99" s="6"/>
      <c r="R99" s="6">
        <f t="shared" si="34"/>
        <v>0</v>
      </c>
      <c r="S99" s="6"/>
      <c r="T99" s="6"/>
      <c r="U99" s="6">
        <f t="shared" si="35"/>
        <v>0</v>
      </c>
      <c r="V99" s="6"/>
      <c r="W99" s="6"/>
      <c r="X99" s="6">
        <f t="shared" si="36"/>
        <v>0</v>
      </c>
      <c r="Y99" s="101">
        <f t="shared" si="37"/>
        <v>50</v>
      </c>
      <c r="Z99" s="64">
        <f t="shared" si="38"/>
        <v>0</v>
      </c>
      <c r="AA99" s="64">
        <f t="shared" si="39"/>
        <v>50</v>
      </c>
      <c r="AB99" s="65">
        <f t="shared" si="40"/>
        <v>8.3333333333333339</v>
      </c>
      <c r="AC99" s="65">
        <f t="shared" si="41"/>
        <v>0</v>
      </c>
      <c r="AD99" s="65">
        <f t="shared" si="42"/>
        <v>8.3333333333333339</v>
      </c>
      <c r="AE99" s="35" t="s">
        <v>352</v>
      </c>
      <c r="AF99" s="6"/>
      <c r="AG99" s="6"/>
      <c r="AH99" s="906">
        <f t="shared" si="43"/>
        <v>0</v>
      </c>
      <c r="AI99" s="6"/>
      <c r="AJ99" s="6"/>
      <c r="AK99" s="98">
        <f t="shared" si="44"/>
        <v>0</v>
      </c>
      <c r="AL99" s="6"/>
      <c r="AM99" s="6"/>
      <c r="AN99" s="98">
        <f t="shared" si="45"/>
        <v>0</v>
      </c>
      <c r="AO99" s="6">
        <f t="shared" si="46"/>
        <v>50</v>
      </c>
      <c r="AP99" s="6">
        <f t="shared" si="47"/>
        <v>0</v>
      </c>
      <c r="AQ99" s="6">
        <f t="shared" si="48"/>
        <v>50</v>
      </c>
      <c r="AR99" s="955">
        <f t="shared" ref="AR99:AR110" si="55">AO99/9</f>
        <v>5.5555555555555554</v>
      </c>
      <c r="AS99" s="955">
        <f t="shared" ref="AS99:AS117" si="56">AP99/9</f>
        <v>0</v>
      </c>
      <c r="AT99" s="955">
        <f t="shared" ref="AT99:AT117" si="57">AQ99/9</f>
        <v>5.5555555555555554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spans="1:61" ht="18">
      <c r="A100" s="6">
        <v>93</v>
      </c>
      <c r="B100" s="16" t="s">
        <v>847</v>
      </c>
      <c r="C100" s="6" t="s">
        <v>843</v>
      </c>
      <c r="D100" s="6" t="s">
        <v>848</v>
      </c>
      <c r="E100" s="6" t="s">
        <v>347</v>
      </c>
      <c r="F100" s="6">
        <v>20</v>
      </c>
      <c r="G100" s="6"/>
      <c r="H100" s="6"/>
      <c r="I100" s="6">
        <f t="shared" si="31"/>
        <v>0</v>
      </c>
      <c r="J100" s="6"/>
      <c r="K100" s="6"/>
      <c r="L100" s="6">
        <f t="shared" si="32"/>
        <v>0</v>
      </c>
      <c r="M100" s="6"/>
      <c r="N100" s="6"/>
      <c r="O100" s="6">
        <f t="shared" si="33"/>
        <v>0</v>
      </c>
      <c r="P100" s="6">
        <v>60</v>
      </c>
      <c r="Q100" s="6"/>
      <c r="R100" s="6">
        <f t="shared" si="34"/>
        <v>60</v>
      </c>
      <c r="S100" s="6">
        <v>60</v>
      </c>
      <c r="T100" s="6"/>
      <c r="U100" s="6">
        <f t="shared" si="35"/>
        <v>60</v>
      </c>
      <c r="V100" s="6">
        <v>60</v>
      </c>
      <c r="W100" s="6"/>
      <c r="X100" s="6">
        <f t="shared" si="36"/>
        <v>60</v>
      </c>
      <c r="Y100" s="101">
        <f t="shared" si="37"/>
        <v>180</v>
      </c>
      <c r="Z100" s="64">
        <f t="shared" si="38"/>
        <v>0</v>
      </c>
      <c r="AA100" s="64">
        <f t="shared" si="39"/>
        <v>180</v>
      </c>
      <c r="AB100" s="65">
        <f t="shared" si="40"/>
        <v>30</v>
      </c>
      <c r="AC100" s="65">
        <f t="shared" si="41"/>
        <v>0</v>
      </c>
      <c r="AD100" s="65">
        <f t="shared" si="42"/>
        <v>30</v>
      </c>
      <c r="AE100" s="35" t="s">
        <v>352</v>
      </c>
      <c r="AF100" s="6"/>
      <c r="AG100" s="6"/>
      <c r="AH100" s="906">
        <f t="shared" si="43"/>
        <v>0</v>
      </c>
      <c r="AI100" s="6"/>
      <c r="AJ100" s="6"/>
      <c r="AK100" s="98">
        <f t="shared" si="44"/>
        <v>0</v>
      </c>
      <c r="AL100" s="6">
        <v>120</v>
      </c>
      <c r="AM100" s="6"/>
      <c r="AN100" s="98">
        <f t="shared" si="45"/>
        <v>120</v>
      </c>
      <c r="AO100" s="6">
        <f t="shared" si="46"/>
        <v>300</v>
      </c>
      <c r="AP100" s="6">
        <f t="shared" si="47"/>
        <v>0</v>
      </c>
      <c r="AQ100" s="6">
        <f t="shared" si="48"/>
        <v>300</v>
      </c>
      <c r="AR100" s="955">
        <f t="shared" si="55"/>
        <v>33.333333333333336</v>
      </c>
      <c r="AS100" s="955">
        <f t="shared" si="56"/>
        <v>0</v>
      </c>
      <c r="AT100" s="955">
        <f t="shared" si="57"/>
        <v>33.333333333333336</v>
      </c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spans="1:61" ht="18" hidden="1">
      <c r="A101" s="6">
        <v>94</v>
      </c>
      <c r="B101" s="671" t="s">
        <v>2834</v>
      </c>
      <c r="C101" s="6" t="s">
        <v>843</v>
      </c>
      <c r="D101" s="6" t="s">
        <v>849</v>
      </c>
      <c r="E101" s="18" t="s">
        <v>761</v>
      </c>
      <c r="F101" s="6">
        <v>30</v>
      </c>
      <c r="G101" s="6"/>
      <c r="H101" s="6"/>
      <c r="I101" s="6">
        <f t="shared" si="31"/>
        <v>0</v>
      </c>
      <c r="J101" s="6"/>
      <c r="K101" s="6"/>
      <c r="L101" s="6">
        <f t="shared" si="32"/>
        <v>0</v>
      </c>
      <c r="M101" s="6"/>
      <c r="N101" s="6"/>
      <c r="O101" s="6">
        <f t="shared" si="33"/>
        <v>0</v>
      </c>
      <c r="P101" s="6"/>
      <c r="Q101" s="6"/>
      <c r="R101" s="6">
        <f t="shared" si="34"/>
        <v>0</v>
      </c>
      <c r="S101" s="6"/>
      <c r="T101" s="6"/>
      <c r="U101" s="6">
        <f t="shared" si="35"/>
        <v>0</v>
      </c>
      <c r="V101" s="6"/>
      <c r="W101" s="6"/>
      <c r="X101" s="6">
        <f t="shared" si="36"/>
        <v>0</v>
      </c>
      <c r="Y101" s="101">
        <f t="shared" si="37"/>
        <v>0</v>
      </c>
      <c r="Z101" s="64">
        <f t="shared" si="38"/>
        <v>0</v>
      </c>
      <c r="AA101" s="64">
        <f t="shared" si="39"/>
        <v>0</v>
      </c>
      <c r="AB101" s="65">
        <f t="shared" si="40"/>
        <v>0</v>
      </c>
      <c r="AC101" s="65">
        <f t="shared" si="41"/>
        <v>0</v>
      </c>
      <c r="AD101" s="65">
        <f t="shared" si="42"/>
        <v>0</v>
      </c>
      <c r="AE101" s="35" t="s">
        <v>352</v>
      </c>
      <c r="AF101" s="6"/>
      <c r="AG101" s="6"/>
      <c r="AH101" s="906">
        <f t="shared" si="43"/>
        <v>0</v>
      </c>
      <c r="AI101" s="6"/>
      <c r="AJ101" s="6"/>
      <c r="AK101" s="98">
        <f t="shared" si="44"/>
        <v>0</v>
      </c>
      <c r="AL101" s="6"/>
      <c r="AM101" s="6"/>
      <c r="AN101" s="98">
        <f t="shared" si="45"/>
        <v>0</v>
      </c>
      <c r="AO101" s="6">
        <f t="shared" si="46"/>
        <v>0</v>
      </c>
      <c r="AP101" s="6">
        <f t="shared" si="47"/>
        <v>0</v>
      </c>
      <c r="AQ101" s="6">
        <f t="shared" si="48"/>
        <v>0</v>
      </c>
      <c r="AR101" s="955">
        <f t="shared" si="55"/>
        <v>0</v>
      </c>
      <c r="AS101" s="955">
        <f t="shared" si="56"/>
        <v>0</v>
      </c>
      <c r="AT101" s="955">
        <f t="shared" si="57"/>
        <v>0</v>
      </c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spans="1:61" ht="18" hidden="1">
      <c r="A102" s="6">
        <v>95</v>
      </c>
      <c r="B102" s="669" t="s">
        <v>850</v>
      </c>
      <c r="C102" s="6" t="s">
        <v>843</v>
      </c>
      <c r="D102" s="6" t="s">
        <v>851</v>
      </c>
      <c r="E102" s="6" t="s">
        <v>347</v>
      </c>
      <c r="F102" s="6">
        <v>15</v>
      </c>
      <c r="G102" s="6"/>
      <c r="H102" s="6"/>
      <c r="I102" s="6">
        <f t="shared" si="31"/>
        <v>0</v>
      </c>
      <c r="J102" s="6"/>
      <c r="K102" s="6"/>
      <c r="L102" s="6">
        <f t="shared" si="32"/>
        <v>0</v>
      </c>
      <c r="M102" s="6"/>
      <c r="N102" s="6"/>
      <c r="O102" s="6">
        <f t="shared" si="33"/>
        <v>0</v>
      </c>
      <c r="P102" s="6"/>
      <c r="Q102" s="6"/>
      <c r="R102" s="6">
        <f t="shared" si="34"/>
        <v>0</v>
      </c>
      <c r="S102" s="6"/>
      <c r="T102" s="6"/>
      <c r="U102" s="6">
        <f t="shared" si="35"/>
        <v>0</v>
      </c>
      <c r="V102" s="6"/>
      <c r="W102" s="6"/>
      <c r="X102" s="6">
        <f t="shared" si="36"/>
        <v>0</v>
      </c>
      <c r="Y102" s="101">
        <f t="shared" si="37"/>
        <v>0</v>
      </c>
      <c r="Z102" s="64">
        <f t="shared" si="38"/>
        <v>0</v>
      </c>
      <c r="AA102" s="64">
        <f t="shared" si="39"/>
        <v>0</v>
      </c>
      <c r="AB102" s="65">
        <f t="shared" si="40"/>
        <v>0</v>
      </c>
      <c r="AC102" s="65">
        <f t="shared" si="41"/>
        <v>0</v>
      </c>
      <c r="AD102" s="65">
        <f t="shared" si="42"/>
        <v>0</v>
      </c>
      <c r="AE102" s="35" t="s">
        <v>352</v>
      </c>
      <c r="AF102" s="6"/>
      <c r="AG102" s="6"/>
      <c r="AH102" s="906">
        <f t="shared" si="43"/>
        <v>0</v>
      </c>
      <c r="AI102" s="6"/>
      <c r="AJ102" s="6"/>
      <c r="AK102" s="98">
        <f t="shared" si="44"/>
        <v>0</v>
      </c>
      <c r="AL102" s="6"/>
      <c r="AM102" s="6"/>
      <c r="AN102" s="98">
        <f t="shared" si="45"/>
        <v>0</v>
      </c>
      <c r="AO102" s="6">
        <f t="shared" si="46"/>
        <v>0</v>
      </c>
      <c r="AP102" s="6">
        <f t="shared" si="47"/>
        <v>0</v>
      </c>
      <c r="AQ102" s="6">
        <f t="shared" si="48"/>
        <v>0</v>
      </c>
      <c r="AR102" s="955">
        <f t="shared" si="55"/>
        <v>0</v>
      </c>
      <c r="AS102" s="955">
        <f t="shared" si="56"/>
        <v>0</v>
      </c>
      <c r="AT102" s="955">
        <f t="shared" si="57"/>
        <v>0</v>
      </c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spans="1:61" ht="18">
      <c r="A103" s="6">
        <v>96</v>
      </c>
      <c r="B103" s="16" t="s">
        <v>852</v>
      </c>
      <c r="C103" s="6" t="s">
        <v>843</v>
      </c>
      <c r="D103" s="6" t="s">
        <v>853</v>
      </c>
      <c r="E103" s="6" t="s">
        <v>347</v>
      </c>
      <c r="F103" s="6">
        <v>20</v>
      </c>
      <c r="G103" s="6">
        <v>48</v>
      </c>
      <c r="H103" s="6"/>
      <c r="I103" s="6">
        <f t="shared" si="31"/>
        <v>48</v>
      </c>
      <c r="J103" s="6"/>
      <c r="K103" s="6"/>
      <c r="L103" s="6">
        <f t="shared" si="32"/>
        <v>0</v>
      </c>
      <c r="M103" s="6"/>
      <c r="N103" s="6"/>
      <c r="O103" s="6">
        <f t="shared" si="33"/>
        <v>0</v>
      </c>
      <c r="P103" s="6"/>
      <c r="Q103" s="6"/>
      <c r="R103" s="6">
        <f t="shared" si="34"/>
        <v>0</v>
      </c>
      <c r="S103" s="6"/>
      <c r="T103" s="6"/>
      <c r="U103" s="6">
        <f t="shared" si="35"/>
        <v>0</v>
      </c>
      <c r="V103" s="6"/>
      <c r="W103" s="6"/>
      <c r="X103" s="6">
        <f t="shared" si="36"/>
        <v>0</v>
      </c>
      <c r="Y103" s="101">
        <f t="shared" si="37"/>
        <v>48</v>
      </c>
      <c r="Z103" s="64">
        <f t="shared" si="38"/>
        <v>0</v>
      </c>
      <c r="AA103" s="64">
        <f t="shared" si="39"/>
        <v>48</v>
      </c>
      <c r="AB103" s="65">
        <f t="shared" si="40"/>
        <v>8</v>
      </c>
      <c r="AC103" s="65">
        <f t="shared" si="41"/>
        <v>0</v>
      </c>
      <c r="AD103" s="65">
        <f t="shared" si="42"/>
        <v>8</v>
      </c>
      <c r="AE103" s="35" t="s">
        <v>352</v>
      </c>
      <c r="AF103" s="6"/>
      <c r="AG103" s="6"/>
      <c r="AH103" s="906">
        <f t="shared" si="43"/>
        <v>0</v>
      </c>
      <c r="AI103" s="6"/>
      <c r="AJ103" s="6"/>
      <c r="AK103" s="98">
        <f t="shared" si="44"/>
        <v>0</v>
      </c>
      <c r="AL103" s="6"/>
      <c r="AM103" s="6"/>
      <c r="AN103" s="98">
        <f t="shared" si="45"/>
        <v>0</v>
      </c>
      <c r="AO103" s="6">
        <f t="shared" si="46"/>
        <v>48</v>
      </c>
      <c r="AP103" s="6">
        <f t="shared" si="47"/>
        <v>0</v>
      </c>
      <c r="AQ103" s="6">
        <f t="shared" si="48"/>
        <v>48</v>
      </c>
      <c r="AR103" s="955">
        <f t="shared" si="55"/>
        <v>5.333333333333333</v>
      </c>
      <c r="AS103" s="955">
        <f t="shared" si="56"/>
        <v>0</v>
      </c>
      <c r="AT103" s="955">
        <f t="shared" si="57"/>
        <v>5.333333333333333</v>
      </c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spans="1:61" ht="18">
      <c r="A104" s="6">
        <v>97</v>
      </c>
      <c r="B104" s="16" t="s">
        <v>854</v>
      </c>
      <c r="C104" s="6" t="s">
        <v>843</v>
      </c>
      <c r="D104" s="6" t="s">
        <v>855</v>
      </c>
      <c r="E104" s="6" t="s">
        <v>347</v>
      </c>
      <c r="F104" s="6">
        <v>116</v>
      </c>
      <c r="G104" s="6"/>
      <c r="H104" s="6"/>
      <c r="I104" s="6">
        <f t="shared" si="31"/>
        <v>0</v>
      </c>
      <c r="J104" s="6"/>
      <c r="K104" s="6"/>
      <c r="L104" s="6">
        <f t="shared" si="32"/>
        <v>0</v>
      </c>
      <c r="M104" s="6"/>
      <c r="N104" s="6"/>
      <c r="O104" s="6">
        <f t="shared" si="33"/>
        <v>0</v>
      </c>
      <c r="P104" s="6">
        <v>111</v>
      </c>
      <c r="Q104" s="6"/>
      <c r="R104" s="6">
        <f t="shared" si="34"/>
        <v>111</v>
      </c>
      <c r="S104" s="6">
        <v>186</v>
      </c>
      <c r="T104" s="6">
        <f>240-36</f>
        <v>204</v>
      </c>
      <c r="U104" s="6">
        <f t="shared" si="35"/>
        <v>390</v>
      </c>
      <c r="V104" s="6"/>
      <c r="W104" s="6"/>
      <c r="X104" s="6">
        <f t="shared" si="36"/>
        <v>0</v>
      </c>
      <c r="Y104" s="101">
        <f t="shared" si="37"/>
        <v>297</v>
      </c>
      <c r="Z104" s="64">
        <f t="shared" si="38"/>
        <v>204</v>
      </c>
      <c r="AA104" s="64">
        <f t="shared" si="39"/>
        <v>501</v>
      </c>
      <c r="AB104" s="65">
        <f t="shared" si="40"/>
        <v>49.5</v>
      </c>
      <c r="AC104" s="65">
        <f t="shared" si="41"/>
        <v>34</v>
      </c>
      <c r="AD104" s="65">
        <f t="shared" si="42"/>
        <v>83.5</v>
      </c>
      <c r="AE104" s="35" t="s">
        <v>348</v>
      </c>
      <c r="AF104" s="6">
        <v>300</v>
      </c>
      <c r="AG104" s="6">
        <v>36</v>
      </c>
      <c r="AH104" s="906">
        <f t="shared" si="43"/>
        <v>336</v>
      </c>
      <c r="AI104" s="6">
        <v>354</v>
      </c>
      <c r="AJ104" s="6">
        <v>28</v>
      </c>
      <c r="AK104" s="98">
        <f t="shared" si="44"/>
        <v>382</v>
      </c>
      <c r="AL104" s="6"/>
      <c r="AM104" s="6"/>
      <c r="AN104" s="98">
        <f t="shared" si="45"/>
        <v>0</v>
      </c>
      <c r="AO104" s="6">
        <f t="shared" si="46"/>
        <v>951</v>
      </c>
      <c r="AP104" s="6">
        <f t="shared" si="47"/>
        <v>268</v>
      </c>
      <c r="AQ104" s="6">
        <f t="shared" si="48"/>
        <v>1219</v>
      </c>
      <c r="AR104" s="955">
        <f t="shared" si="55"/>
        <v>105.66666666666667</v>
      </c>
      <c r="AS104" s="955">
        <f t="shared" si="56"/>
        <v>29.777777777777779</v>
      </c>
      <c r="AT104" s="955">
        <f t="shared" si="57"/>
        <v>135.44444444444446</v>
      </c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spans="1:61" ht="18">
      <c r="A105" s="6">
        <v>98</v>
      </c>
      <c r="B105" s="16" t="s">
        <v>856</v>
      </c>
      <c r="C105" s="6" t="s">
        <v>843</v>
      </c>
      <c r="D105" s="6" t="s">
        <v>857</v>
      </c>
      <c r="E105" s="6" t="s">
        <v>347</v>
      </c>
      <c r="F105" s="6">
        <v>104</v>
      </c>
      <c r="G105" s="6">
        <v>300</v>
      </c>
      <c r="H105" s="6"/>
      <c r="I105" s="6">
        <f t="shared" si="31"/>
        <v>300</v>
      </c>
      <c r="J105" s="6"/>
      <c r="K105" s="6"/>
      <c r="L105" s="6">
        <f t="shared" si="32"/>
        <v>0</v>
      </c>
      <c r="M105" s="6">
        <v>200</v>
      </c>
      <c r="N105" s="6"/>
      <c r="O105" s="6">
        <f t="shared" si="33"/>
        <v>200</v>
      </c>
      <c r="P105" s="6">
        <v>113</v>
      </c>
      <c r="Q105" s="6"/>
      <c r="R105" s="6">
        <f t="shared" si="34"/>
        <v>113</v>
      </c>
      <c r="S105" s="6">
        <v>200</v>
      </c>
      <c r="T105" s="6"/>
      <c r="U105" s="6">
        <f t="shared" si="35"/>
        <v>200</v>
      </c>
      <c r="V105" s="6"/>
      <c r="W105" s="6"/>
      <c r="X105" s="6">
        <f t="shared" si="36"/>
        <v>0</v>
      </c>
      <c r="Y105" s="101">
        <f t="shared" si="37"/>
        <v>813</v>
      </c>
      <c r="Z105" s="64">
        <f t="shared" si="38"/>
        <v>0</v>
      </c>
      <c r="AA105" s="64">
        <f t="shared" si="39"/>
        <v>813</v>
      </c>
      <c r="AB105" s="65">
        <f t="shared" si="40"/>
        <v>135.5</v>
      </c>
      <c r="AC105" s="65">
        <f t="shared" si="41"/>
        <v>0</v>
      </c>
      <c r="AD105" s="65">
        <f t="shared" si="42"/>
        <v>135.5</v>
      </c>
      <c r="AE105" s="35" t="s">
        <v>352</v>
      </c>
      <c r="AF105" s="6">
        <v>100</v>
      </c>
      <c r="AG105" s="6"/>
      <c r="AH105" s="906">
        <f t="shared" si="43"/>
        <v>100</v>
      </c>
      <c r="AI105" s="6">
        <v>100</v>
      </c>
      <c r="AJ105" s="6"/>
      <c r="AK105" s="98">
        <f t="shared" si="44"/>
        <v>100</v>
      </c>
      <c r="AL105" s="6"/>
      <c r="AM105" s="6"/>
      <c r="AN105" s="98">
        <f t="shared" si="45"/>
        <v>0</v>
      </c>
      <c r="AO105" s="6">
        <f t="shared" si="46"/>
        <v>1013</v>
      </c>
      <c r="AP105" s="6">
        <f t="shared" si="47"/>
        <v>0</v>
      </c>
      <c r="AQ105" s="6">
        <f t="shared" si="48"/>
        <v>1013</v>
      </c>
      <c r="AR105" s="955">
        <f t="shared" si="55"/>
        <v>112.55555555555556</v>
      </c>
      <c r="AS105" s="955">
        <f t="shared" si="56"/>
        <v>0</v>
      </c>
      <c r="AT105" s="955">
        <f t="shared" si="57"/>
        <v>112.55555555555556</v>
      </c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spans="1:61" ht="18">
      <c r="A106" s="6">
        <v>99</v>
      </c>
      <c r="B106" s="16" t="s">
        <v>858</v>
      </c>
      <c r="C106" s="6" t="s">
        <v>843</v>
      </c>
      <c r="D106" s="6" t="s">
        <v>859</v>
      </c>
      <c r="E106" s="6" t="s">
        <v>347</v>
      </c>
      <c r="F106" s="6">
        <v>20</v>
      </c>
      <c r="G106" s="6"/>
      <c r="H106" s="6"/>
      <c r="I106" s="6">
        <f t="shared" si="31"/>
        <v>0</v>
      </c>
      <c r="J106" s="6"/>
      <c r="K106" s="6"/>
      <c r="L106" s="6">
        <f t="shared" si="32"/>
        <v>0</v>
      </c>
      <c r="M106" s="6"/>
      <c r="N106" s="6"/>
      <c r="O106" s="6">
        <f t="shared" si="33"/>
        <v>0</v>
      </c>
      <c r="P106" s="6">
        <v>20</v>
      </c>
      <c r="Q106" s="6"/>
      <c r="R106" s="6">
        <f t="shared" si="34"/>
        <v>20</v>
      </c>
      <c r="S106" s="6">
        <v>138</v>
      </c>
      <c r="T106" s="6"/>
      <c r="U106" s="6">
        <f t="shared" si="35"/>
        <v>138</v>
      </c>
      <c r="V106" s="6">
        <v>99</v>
      </c>
      <c r="W106" s="6"/>
      <c r="X106" s="6">
        <f t="shared" si="36"/>
        <v>99</v>
      </c>
      <c r="Y106" s="101">
        <f t="shared" si="37"/>
        <v>257</v>
      </c>
      <c r="Z106" s="64">
        <f t="shared" si="38"/>
        <v>0</v>
      </c>
      <c r="AA106" s="64">
        <f t="shared" si="39"/>
        <v>257</v>
      </c>
      <c r="AB106" s="65">
        <f t="shared" si="40"/>
        <v>42.833333333333336</v>
      </c>
      <c r="AC106" s="65">
        <f t="shared" si="41"/>
        <v>0</v>
      </c>
      <c r="AD106" s="65">
        <f t="shared" si="42"/>
        <v>42.833333333333336</v>
      </c>
      <c r="AE106" s="35" t="s">
        <v>352</v>
      </c>
      <c r="AF106" s="6">
        <v>30</v>
      </c>
      <c r="AG106" s="6"/>
      <c r="AH106" s="906">
        <f t="shared" si="43"/>
        <v>30</v>
      </c>
      <c r="AI106" s="6">
        <v>78</v>
      </c>
      <c r="AJ106" s="6"/>
      <c r="AK106" s="98">
        <f t="shared" si="44"/>
        <v>78</v>
      </c>
      <c r="AL106" s="6"/>
      <c r="AM106" s="6"/>
      <c r="AN106" s="98">
        <f t="shared" si="45"/>
        <v>0</v>
      </c>
      <c r="AO106" s="6">
        <f t="shared" si="46"/>
        <v>365</v>
      </c>
      <c r="AP106" s="6">
        <f t="shared" si="47"/>
        <v>0</v>
      </c>
      <c r="AQ106" s="6">
        <f t="shared" si="48"/>
        <v>365</v>
      </c>
      <c r="AR106" s="955">
        <f t="shared" si="55"/>
        <v>40.555555555555557</v>
      </c>
      <c r="AS106" s="955">
        <f t="shared" si="56"/>
        <v>0</v>
      </c>
      <c r="AT106" s="955">
        <f t="shared" si="57"/>
        <v>40.555555555555557</v>
      </c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spans="1:61" ht="18">
      <c r="A107" s="6">
        <v>100</v>
      </c>
      <c r="B107" s="16" t="s">
        <v>860</v>
      </c>
      <c r="C107" s="6" t="s">
        <v>843</v>
      </c>
      <c r="D107" s="6" t="s">
        <v>861</v>
      </c>
      <c r="E107" s="18" t="s">
        <v>389</v>
      </c>
      <c r="F107" s="6">
        <v>0</v>
      </c>
      <c r="G107" s="6">
        <v>100</v>
      </c>
      <c r="H107" s="6"/>
      <c r="I107" s="6">
        <f t="shared" si="31"/>
        <v>100</v>
      </c>
      <c r="J107" s="6">
        <v>26</v>
      </c>
      <c r="K107" s="6"/>
      <c r="L107" s="6">
        <f t="shared" si="32"/>
        <v>26</v>
      </c>
      <c r="M107" s="6"/>
      <c r="N107" s="6"/>
      <c r="O107" s="6">
        <f t="shared" si="33"/>
        <v>0</v>
      </c>
      <c r="P107" s="6"/>
      <c r="Q107" s="6"/>
      <c r="R107" s="6">
        <f t="shared" si="34"/>
        <v>0</v>
      </c>
      <c r="S107" s="6"/>
      <c r="T107" s="6"/>
      <c r="U107" s="6">
        <f t="shared" si="35"/>
        <v>0</v>
      </c>
      <c r="V107" s="6"/>
      <c r="W107" s="6"/>
      <c r="X107" s="6">
        <f t="shared" si="36"/>
        <v>0</v>
      </c>
      <c r="Y107" s="101">
        <f t="shared" si="37"/>
        <v>126</v>
      </c>
      <c r="Z107" s="64">
        <f t="shared" si="38"/>
        <v>0</v>
      </c>
      <c r="AA107" s="64">
        <f t="shared" si="39"/>
        <v>126</v>
      </c>
      <c r="AB107" s="65">
        <f t="shared" si="40"/>
        <v>21</v>
      </c>
      <c r="AC107" s="65">
        <f t="shared" si="41"/>
        <v>0</v>
      </c>
      <c r="AD107" s="65">
        <f t="shared" si="42"/>
        <v>21</v>
      </c>
      <c r="AE107" s="35" t="s">
        <v>352</v>
      </c>
      <c r="AF107" s="6">
        <v>102</v>
      </c>
      <c r="AG107" s="6">
        <v>12</v>
      </c>
      <c r="AH107" s="906">
        <f t="shared" si="43"/>
        <v>114</v>
      </c>
      <c r="AI107" s="6"/>
      <c r="AJ107" s="6"/>
      <c r="AK107" s="98">
        <f t="shared" si="44"/>
        <v>0</v>
      </c>
      <c r="AL107" s="6"/>
      <c r="AM107" s="6"/>
      <c r="AN107" s="98">
        <f t="shared" si="45"/>
        <v>0</v>
      </c>
      <c r="AO107" s="6">
        <f t="shared" si="46"/>
        <v>228</v>
      </c>
      <c r="AP107" s="6">
        <f t="shared" si="47"/>
        <v>12</v>
      </c>
      <c r="AQ107" s="6">
        <f t="shared" si="48"/>
        <v>240</v>
      </c>
      <c r="AR107" s="955">
        <f t="shared" si="55"/>
        <v>25.333333333333332</v>
      </c>
      <c r="AS107" s="955">
        <f t="shared" si="56"/>
        <v>1.3333333333333333</v>
      </c>
      <c r="AT107" s="955">
        <f t="shared" si="57"/>
        <v>26.666666666666668</v>
      </c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</row>
    <row r="108" spans="1:61" ht="18">
      <c r="A108" s="6">
        <v>101</v>
      </c>
      <c r="B108" s="16" t="s">
        <v>862</v>
      </c>
      <c r="C108" s="6" t="s">
        <v>843</v>
      </c>
      <c r="D108" s="6" t="s">
        <v>863</v>
      </c>
      <c r="E108" s="18" t="s">
        <v>364</v>
      </c>
      <c r="F108" s="6">
        <v>0</v>
      </c>
      <c r="G108" s="6">
        <v>30</v>
      </c>
      <c r="H108" s="6"/>
      <c r="I108" s="6">
        <f t="shared" si="31"/>
        <v>30</v>
      </c>
      <c r="J108" s="6"/>
      <c r="K108" s="6"/>
      <c r="L108" s="6">
        <f t="shared" si="32"/>
        <v>0</v>
      </c>
      <c r="M108" s="6">
        <v>15</v>
      </c>
      <c r="N108" s="6"/>
      <c r="O108" s="6">
        <f t="shared" si="33"/>
        <v>15</v>
      </c>
      <c r="P108" s="6">
        <v>100</v>
      </c>
      <c r="Q108" s="6"/>
      <c r="R108" s="6">
        <f t="shared" si="34"/>
        <v>100</v>
      </c>
      <c r="S108" s="6">
        <v>82</v>
      </c>
      <c r="T108" s="6"/>
      <c r="U108" s="6">
        <f t="shared" si="35"/>
        <v>82</v>
      </c>
      <c r="V108" s="6">
        <v>20</v>
      </c>
      <c r="W108" s="6"/>
      <c r="X108" s="6">
        <f t="shared" si="36"/>
        <v>20</v>
      </c>
      <c r="Y108" s="101">
        <f t="shared" si="37"/>
        <v>247</v>
      </c>
      <c r="Z108" s="64">
        <f t="shared" si="38"/>
        <v>0</v>
      </c>
      <c r="AA108" s="64">
        <f t="shared" si="39"/>
        <v>247</v>
      </c>
      <c r="AB108" s="65">
        <f t="shared" si="40"/>
        <v>41.166666666666664</v>
      </c>
      <c r="AC108" s="65">
        <f t="shared" si="41"/>
        <v>0</v>
      </c>
      <c r="AD108" s="65">
        <f t="shared" si="42"/>
        <v>41.166666666666664</v>
      </c>
      <c r="AE108" s="35" t="s">
        <v>352</v>
      </c>
      <c r="AF108" s="6">
        <v>38</v>
      </c>
      <c r="AG108" s="6"/>
      <c r="AH108" s="906">
        <f t="shared" si="43"/>
        <v>38</v>
      </c>
      <c r="AI108" s="6"/>
      <c r="AJ108" s="6"/>
      <c r="AK108" s="98">
        <f t="shared" si="44"/>
        <v>0</v>
      </c>
      <c r="AL108" s="6">
        <v>25</v>
      </c>
      <c r="AM108" s="6"/>
      <c r="AN108" s="98">
        <f t="shared" si="45"/>
        <v>25</v>
      </c>
      <c r="AO108" s="6">
        <f t="shared" si="46"/>
        <v>310</v>
      </c>
      <c r="AP108" s="6">
        <f t="shared" si="47"/>
        <v>0</v>
      </c>
      <c r="AQ108" s="6">
        <f t="shared" si="48"/>
        <v>310</v>
      </c>
      <c r="AR108" s="955">
        <f t="shared" si="55"/>
        <v>34.444444444444443</v>
      </c>
      <c r="AS108" s="955">
        <f t="shared" si="56"/>
        <v>0</v>
      </c>
      <c r="AT108" s="955">
        <f t="shared" si="57"/>
        <v>34.444444444444443</v>
      </c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spans="1:61" ht="18">
      <c r="A109" s="6">
        <v>102</v>
      </c>
      <c r="B109" s="16" t="s">
        <v>864</v>
      </c>
      <c r="C109" s="6" t="s">
        <v>843</v>
      </c>
      <c r="D109" s="6" t="s">
        <v>865</v>
      </c>
      <c r="E109" s="18" t="s">
        <v>423</v>
      </c>
      <c r="F109" s="6">
        <v>10</v>
      </c>
      <c r="G109" s="6"/>
      <c r="H109" s="6"/>
      <c r="I109" s="6">
        <f t="shared" si="31"/>
        <v>0</v>
      </c>
      <c r="J109" s="6"/>
      <c r="K109" s="6"/>
      <c r="L109" s="6">
        <f t="shared" si="32"/>
        <v>0</v>
      </c>
      <c r="M109" s="6"/>
      <c r="N109" s="6"/>
      <c r="O109" s="6">
        <f t="shared" si="33"/>
        <v>0</v>
      </c>
      <c r="P109" s="6"/>
      <c r="Q109" s="6"/>
      <c r="R109" s="6">
        <f t="shared" si="34"/>
        <v>0</v>
      </c>
      <c r="S109" s="6">
        <v>40</v>
      </c>
      <c r="T109" s="6"/>
      <c r="U109" s="6">
        <f t="shared" si="35"/>
        <v>40</v>
      </c>
      <c r="V109" s="6"/>
      <c r="W109" s="6"/>
      <c r="X109" s="6">
        <f t="shared" si="36"/>
        <v>0</v>
      </c>
      <c r="Y109" s="101">
        <f t="shared" si="37"/>
        <v>40</v>
      </c>
      <c r="Z109" s="64">
        <f t="shared" si="38"/>
        <v>0</v>
      </c>
      <c r="AA109" s="64">
        <f t="shared" si="39"/>
        <v>40</v>
      </c>
      <c r="AB109" s="65">
        <f t="shared" si="40"/>
        <v>6.666666666666667</v>
      </c>
      <c r="AC109" s="65">
        <f t="shared" si="41"/>
        <v>0</v>
      </c>
      <c r="AD109" s="65">
        <f t="shared" si="42"/>
        <v>6.666666666666667</v>
      </c>
      <c r="AE109" s="35" t="s">
        <v>352</v>
      </c>
      <c r="AF109" s="6">
        <v>0</v>
      </c>
      <c r="AG109" s="6"/>
      <c r="AH109" s="906">
        <f t="shared" si="43"/>
        <v>0</v>
      </c>
      <c r="AI109" s="6">
        <v>20</v>
      </c>
      <c r="AJ109" s="6"/>
      <c r="AK109" s="98">
        <f t="shared" si="44"/>
        <v>20</v>
      </c>
      <c r="AL109" s="6"/>
      <c r="AM109" s="6"/>
      <c r="AN109" s="98">
        <f t="shared" si="45"/>
        <v>0</v>
      </c>
      <c r="AO109" s="6">
        <f t="shared" si="46"/>
        <v>60</v>
      </c>
      <c r="AP109" s="6">
        <f t="shared" si="47"/>
        <v>0</v>
      </c>
      <c r="AQ109" s="6">
        <f t="shared" si="48"/>
        <v>60</v>
      </c>
      <c r="AR109" s="955">
        <f t="shared" si="55"/>
        <v>6.666666666666667</v>
      </c>
      <c r="AS109" s="955">
        <f t="shared" si="56"/>
        <v>0</v>
      </c>
      <c r="AT109" s="955">
        <f t="shared" si="57"/>
        <v>6.666666666666667</v>
      </c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spans="1:61" ht="18">
      <c r="A110" s="6"/>
      <c r="B110" s="16" t="s">
        <v>3320</v>
      </c>
      <c r="C110" s="6"/>
      <c r="D110" s="6"/>
      <c r="E110" s="18"/>
      <c r="F110" s="6"/>
      <c r="G110" s="6"/>
      <c r="H110" s="6"/>
      <c r="I110" s="6">
        <f t="shared" si="31"/>
        <v>0</v>
      </c>
      <c r="J110" s="6"/>
      <c r="K110" s="6"/>
      <c r="L110" s="6">
        <f t="shared" si="32"/>
        <v>0</v>
      </c>
      <c r="M110" s="6"/>
      <c r="N110" s="6"/>
      <c r="O110" s="6">
        <f t="shared" si="33"/>
        <v>0</v>
      </c>
      <c r="P110" s="6">
        <v>25</v>
      </c>
      <c r="Q110" s="6"/>
      <c r="R110" s="6">
        <f t="shared" si="34"/>
        <v>25</v>
      </c>
      <c r="S110" s="6"/>
      <c r="T110" s="6"/>
      <c r="U110" s="6">
        <f t="shared" si="35"/>
        <v>0</v>
      </c>
      <c r="V110" s="6"/>
      <c r="W110" s="6"/>
      <c r="X110" s="6">
        <f t="shared" si="36"/>
        <v>0</v>
      </c>
      <c r="Y110" s="101">
        <f t="shared" si="37"/>
        <v>25</v>
      </c>
      <c r="Z110" s="64">
        <f t="shared" si="38"/>
        <v>0</v>
      </c>
      <c r="AA110" s="64">
        <f t="shared" si="39"/>
        <v>25</v>
      </c>
      <c r="AB110" s="65">
        <f t="shared" si="40"/>
        <v>4.166666666666667</v>
      </c>
      <c r="AC110" s="65">
        <f t="shared" si="41"/>
        <v>0</v>
      </c>
      <c r="AD110" s="65">
        <f t="shared" si="42"/>
        <v>4.166666666666667</v>
      </c>
      <c r="AE110" s="35" t="s">
        <v>352</v>
      </c>
      <c r="AF110" s="6">
        <v>1000</v>
      </c>
      <c r="AG110" s="6"/>
      <c r="AH110" s="906">
        <f t="shared" si="43"/>
        <v>1000</v>
      </c>
      <c r="AI110" s="6"/>
      <c r="AJ110" s="6"/>
      <c r="AK110" s="98">
        <f t="shared" si="44"/>
        <v>0</v>
      </c>
      <c r="AL110" s="6"/>
      <c r="AM110" s="6"/>
      <c r="AN110" s="98">
        <f t="shared" si="45"/>
        <v>0</v>
      </c>
      <c r="AO110" s="6">
        <f t="shared" si="46"/>
        <v>1025</v>
      </c>
      <c r="AP110" s="6">
        <f t="shared" si="47"/>
        <v>0</v>
      </c>
      <c r="AQ110" s="6">
        <f t="shared" si="48"/>
        <v>1025</v>
      </c>
      <c r="AR110" s="955">
        <f t="shared" si="55"/>
        <v>113.88888888888889</v>
      </c>
      <c r="AS110" s="955">
        <f t="shared" si="56"/>
        <v>0</v>
      </c>
      <c r="AT110" s="955">
        <f t="shared" si="57"/>
        <v>113.88888888888889</v>
      </c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</row>
    <row r="111" spans="1:61" s="61" customFormat="1" ht="18">
      <c r="A111" s="19">
        <v>103</v>
      </c>
      <c r="B111" s="59" t="s">
        <v>866</v>
      </c>
      <c r="C111" s="19" t="s">
        <v>843</v>
      </c>
      <c r="D111" s="19" t="s">
        <v>867</v>
      </c>
      <c r="E111" s="19"/>
      <c r="F111" s="19">
        <v>65</v>
      </c>
      <c r="G111" s="19"/>
      <c r="H111" s="19"/>
      <c r="I111" s="19">
        <f t="shared" si="31"/>
        <v>0</v>
      </c>
      <c r="J111" s="19"/>
      <c r="K111" s="19"/>
      <c r="L111" s="19">
        <f t="shared" si="32"/>
        <v>0</v>
      </c>
      <c r="M111" s="19"/>
      <c r="N111" s="19"/>
      <c r="O111" s="19">
        <f t="shared" si="33"/>
        <v>0</v>
      </c>
      <c r="P111" s="19">
        <v>40</v>
      </c>
      <c r="Q111" s="19"/>
      <c r="R111" s="19">
        <f t="shared" si="34"/>
        <v>40</v>
      </c>
      <c r="S111" s="19">
        <v>70</v>
      </c>
      <c r="T111" s="19"/>
      <c r="U111" s="19">
        <f t="shared" si="35"/>
        <v>70</v>
      </c>
      <c r="V111" s="19">
        <v>50</v>
      </c>
      <c r="W111" s="19"/>
      <c r="X111" s="19">
        <f t="shared" si="36"/>
        <v>50</v>
      </c>
      <c r="Y111" s="100">
        <f t="shared" si="37"/>
        <v>160</v>
      </c>
      <c r="Z111" s="19">
        <f t="shared" si="38"/>
        <v>0</v>
      </c>
      <c r="AA111" s="19">
        <f t="shared" si="39"/>
        <v>160</v>
      </c>
      <c r="AB111" s="60">
        <f t="shared" si="40"/>
        <v>26.666666666666668</v>
      </c>
      <c r="AC111" s="60">
        <f t="shared" si="41"/>
        <v>0</v>
      </c>
      <c r="AD111" s="60">
        <f t="shared" si="42"/>
        <v>26.666666666666668</v>
      </c>
      <c r="AE111" s="46" t="s">
        <v>352</v>
      </c>
      <c r="AF111" s="19">
        <v>0</v>
      </c>
      <c r="AG111" s="19"/>
      <c r="AH111" s="907">
        <f t="shared" si="43"/>
        <v>0</v>
      </c>
      <c r="AI111" s="19"/>
      <c r="AJ111" s="19"/>
      <c r="AK111" s="100">
        <f t="shared" si="44"/>
        <v>0</v>
      </c>
      <c r="AL111" s="19"/>
      <c r="AM111" s="19"/>
      <c r="AN111" s="100">
        <f t="shared" si="45"/>
        <v>0</v>
      </c>
      <c r="AO111" s="19">
        <f t="shared" si="46"/>
        <v>160</v>
      </c>
      <c r="AP111" s="19">
        <f t="shared" si="47"/>
        <v>0</v>
      </c>
      <c r="AQ111" s="19">
        <f t="shared" si="48"/>
        <v>160</v>
      </c>
      <c r="AR111" s="703">
        <f>AO111/9</f>
        <v>17.777777777777779</v>
      </c>
      <c r="AS111" s="703">
        <f t="shared" si="56"/>
        <v>0</v>
      </c>
      <c r="AT111" s="703">
        <f t="shared" si="57"/>
        <v>17.777777777777779</v>
      </c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</row>
    <row r="112" spans="1:61" s="61" customFormat="1" ht="18">
      <c r="A112" s="19">
        <v>104</v>
      </c>
      <c r="B112" s="59" t="s">
        <v>868</v>
      </c>
      <c r="C112" s="19" t="s">
        <v>843</v>
      </c>
      <c r="D112" s="19" t="s">
        <v>869</v>
      </c>
      <c r="E112" s="19" t="s">
        <v>347</v>
      </c>
      <c r="F112" s="19">
        <v>66</v>
      </c>
      <c r="G112" s="19"/>
      <c r="H112" s="19"/>
      <c r="I112" s="19">
        <f t="shared" si="31"/>
        <v>0</v>
      </c>
      <c r="J112" s="19">
        <v>306</v>
      </c>
      <c r="K112" s="19"/>
      <c r="L112" s="19">
        <f t="shared" si="32"/>
        <v>306</v>
      </c>
      <c r="M112" s="19">
        <v>300</v>
      </c>
      <c r="N112" s="19"/>
      <c r="O112" s="19">
        <f t="shared" si="33"/>
        <v>300</v>
      </c>
      <c r="P112" s="19"/>
      <c r="Q112" s="19"/>
      <c r="R112" s="19">
        <f t="shared" si="34"/>
        <v>0</v>
      </c>
      <c r="S112" s="19">
        <v>468</v>
      </c>
      <c r="T112" s="19"/>
      <c r="U112" s="19">
        <f t="shared" si="35"/>
        <v>468</v>
      </c>
      <c r="V112" s="19"/>
      <c r="W112" s="19"/>
      <c r="X112" s="19">
        <f t="shared" si="36"/>
        <v>0</v>
      </c>
      <c r="Y112" s="100">
        <f t="shared" si="37"/>
        <v>1074</v>
      </c>
      <c r="Z112" s="19">
        <f t="shared" si="38"/>
        <v>0</v>
      </c>
      <c r="AA112" s="19">
        <f t="shared" si="39"/>
        <v>1074</v>
      </c>
      <c r="AB112" s="60">
        <f t="shared" si="40"/>
        <v>179</v>
      </c>
      <c r="AC112" s="60">
        <f t="shared" si="41"/>
        <v>0</v>
      </c>
      <c r="AD112" s="60">
        <f t="shared" si="42"/>
        <v>179</v>
      </c>
      <c r="AE112" s="46" t="s">
        <v>352</v>
      </c>
      <c r="AF112" s="19">
        <v>304</v>
      </c>
      <c r="AG112" s="19"/>
      <c r="AH112" s="907">
        <f t="shared" si="43"/>
        <v>304</v>
      </c>
      <c r="AI112" s="19">
        <v>308</v>
      </c>
      <c r="AJ112" s="19"/>
      <c r="AK112" s="100">
        <f t="shared" si="44"/>
        <v>308</v>
      </c>
      <c r="AL112" s="19">
        <v>390</v>
      </c>
      <c r="AM112" s="19"/>
      <c r="AN112" s="100">
        <f t="shared" si="45"/>
        <v>390</v>
      </c>
      <c r="AO112" s="19">
        <f t="shared" si="46"/>
        <v>2076</v>
      </c>
      <c r="AP112" s="19">
        <f t="shared" si="47"/>
        <v>0</v>
      </c>
      <c r="AQ112" s="19">
        <f t="shared" si="48"/>
        <v>2076</v>
      </c>
      <c r="AR112" s="703">
        <f t="shared" ref="AR112:AR117" si="58">AO112/9</f>
        <v>230.66666666666666</v>
      </c>
      <c r="AS112" s="703">
        <f t="shared" si="56"/>
        <v>0</v>
      </c>
      <c r="AT112" s="703">
        <f t="shared" si="57"/>
        <v>230.66666666666666</v>
      </c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</row>
    <row r="113" spans="1:61" s="61" customFormat="1" ht="18">
      <c r="A113" s="19">
        <v>105</v>
      </c>
      <c r="B113" s="59" t="s">
        <v>870</v>
      </c>
      <c r="C113" s="19" t="s">
        <v>843</v>
      </c>
      <c r="D113" s="19" t="s">
        <v>871</v>
      </c>
      <c r="E113" s="19" t="s">
        <v>351</v>
      </c>
      <c r="F113" s="19">
        <v>104</v>
      </c>
      <c r="G113" s="19"/>
      <c r="H113" s="19"/>
      <c r="I113" s="19">
        <f t="shared" si="31"/>
        <v>0</v>
      </c>
      <c r="J113" s="19"/>
      <c r="K113" s="19"/>
      <c r="L113" s="19">
        <f t="shared" si="32"/>
        <v>0</v>
      </c>
      <c r="M113" s="19"/>
      <c r="N113" s="19"/>
      <c r="O113" s="19">
        <f t="shared" si="33"/>
        <v>0</v>
      </c>
      <c r="P113" s="19"/>
      <c r="Q113" s="19"/>
      <c r="R113" s="19">
        <f t="shared" si="34"/>
        <v>0</v>
      </c>
      <c r="S113" s="19"/>
      <c r="T113" s="19"/>
      <c r="U113" s="19">
        <f t="shared" si="35"/>
        <v>0</v>
      </c>
      <c r="V113" s="19"/>
      <c r="W113" s="19"/>
      <c r="X113" s="19">
        <f t="shared" si="36"/>
        <v>0</v>
      </c>
      <c r="Y113" s="100">
        <f t="shared" si="37"/>
        <v>0</v>
      </c>
      <c r="Z113" s="19">
        <f t="shared" si="38"/>
        <v>0</v>
      </c>
      <c r="AA113" s="19">
        <f t="shared" si="39"/>
        <v>0</v>
      </c>
      <c r="AB113" s="60">
        <f t="shared" si="40"/>
        <v>0</v>
      </c>
      <c r="AC113" s="60">
        <f t="shared" si="41"/>
        <v>0</v>
      </c>
      <c r="AD113" s="60">
        <f t="shared" si="42"/>
        <v>0</v>
      </c>
      <c r="AE113" s="46" t="s">
        <v>352</v>
      </c>
      <c r="AF113" s="19">
        <v>0</v>
      </c>
      <c r="AG113" s="19"/>
      <c r="AH113" s="907">
        <f t="shared" si="43"/>
        <v>0</v>
      </c>
      <c r="AI113" s="19"/>
      <c r="AJ113" s="19"/>
      <c r="AK113" s="100">
        <f t="shared" si="44"/>
        <v>0</v>
      </c>
      <c r="AL113" s="19">
        <v>332</v>
      </c>
      <c r="AM113" s="19">
        <v>114</v>
      </c>
      <c r="AN113" s="100">
        <f t="shared" si="45"/>
        <v>446</v>
      </c>
      <c r="AO113" s="19">
        <f t="shared" si="46"/>
        <v>332</v>
      </c>
      <c r="AP113" s="19">
        <f t="shared" si="47"/>
        <v>114</v>
      </c>
      <c r="AQ113" s="19">
        <f t="shared" si="48"/>
        <v>446</v>
      </c>
      <c r="AR113" s="703">
        <f t="shared" si="58"/>
        <v>36.888888888888886</v>
      </c>
      <c r="AS113" s="703">
        <f t="shared" si="56"/>
        <v>12.666666666666666</v>
      </c>
      <c r="AT113" s="703">
        <f t="shared" si="57"/>
        <v>49.555555555555557</v>
      </c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</row>
    <row r="114" spans="1:61" s="61" customFormat="1" ht="15.75">
      <c r="A114" s="19">
        <v>106</v>
      </c>
      <c r="B114" s="66" t="s">
        <v>872</v>
      </c>
      <c r="C114" s="19" t="s">
        <v>843</v>
      </c>
      <c r="D114" s="19" t="s">
        <v>873</v>
      </c>
      <c r="E114" s="19"/>
      <c r="F114" s="19">
        <v>342</v>
      </c>
      <c r="G114" s="19"/>
      <c r="H114" s="19"/>
      <c r="I114" s="19">
        <f t="shared" si="31"/>
        <v>0</v>
      </c>
      <c r="J114" s="19">
        <v>274</v>
      </c>
      <c r="K114" s="19">
        <v>29</v>
      </c>
      <c r="L114" s="19">
        <f t="shared" si="32"/>
        <v>303</v>
      </c>
      <c r="M114" s="19"/>
      <c r="N114" s="19"/>
      <c r="O114" s="19">
        <f t="shared" si="33"/>
        <v>0</v>
      </c>
      <c r="P114" s="19"/>
      <c r="Q114" s="19"/>
      <c r="R114" s="19">
        <f t="shared" si="34"/>
        <v>0</v>
      </c>
      <c r="S114" s="19"/>
      <c r="T114" s="19"/>
      <c r="U114" s="19">
        <f t="shared" si="35"/>
        <v>0</v>
      </c>
      <c r="V114" s="19"/>
      <c r="W114" s="19"/>
      <c r="X114" s="19">
        <f t="shared" si="36"/>
        <v>0</v>
      </c>
      <c r="Y114" s="100">
        <f t="shared" si="37"/>
        <v>274</v>
      </c>
      <c r="Z114" s="19">
        <f t="shared" si="38"/>
        <v>29</v>
      </c>
      <c r="AA114" s="19">
        <f t="shared" si="39"/>
        <v>303</v>
      </c>
      <c r="AB114" s="60">
        <f t="shared" si="40"/>
        <v>45.666666666666664</v>
      </c>
      <c r="AC114" s="60">
        <f t="shared" si="41"/>
        <v>4.833333333333333</v>
      </c>
      <c r="AD114" s="60">
        <f t="shared" si="42"/>
        <v>50.5</v>
      </c>
      <c r="AE114" s="46" t="s">
        <v>352</v>
      </c>
      <c r="AF114" s="19">
        <v>0</v>
      </c>
      <c r="AG114" s="19"/>
      <c r="AH114" s="907">
        <f t="shared" si="43"/>
        <v>0</v>
      </c>
      <c r="AI114" s="19"/>
      <c r="AJ114" s="19"/>
      <c r="AK114" s="100">
        <f t="shared" si="44"/>
        <v>0</v>
      </c>
      <c r="AL114" s="19">
        <v>176</v>
      </c>
      <c r="AM114" s="19">
        <v>58</v>
      </c>
      <c r="AN114" s="100">
        <f t="shared" si="45"/>
        <v>234</v>
      </c>
      <c r="AO114" s="19">
        <f t="shared" si="46"/>
        <v>450</v>
      </c>
      <c r="AP114" s="19">
        <f t="shared" si="47"/>
        <v>87</v>
      </c>
      <c r="AQ114" s="19">
        <f t="shared" si="48"/>
        <v>537</v>
      </c>
      <c r="AR114" s="703">
        <f t="shared" si="58"/>
        <v>50</v>
      </c>
      <c r="AS114" s="703">
        <f t="shared" si="56"/>
        <v>9.6666666666666661</v>
      </c>
      <c r="AT114" s="703">
        <f t="shared" si="57"/>
        <v>59.666666666666664</v>
      </c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</row>
    <row r="115" spans="1:61" s="61" customFormat="1" ht="18">
      <c r="A115" s="19">
        <v>107</v>
      </c>
      <c r="B115" s="59" t="s">
        <v>874</v>
      </c>
      <c r="C115" s="19" t="s">
        <v>843</v>
      </c>
      <c r="D115" s="19" t="s">
        <v>875</v>
      </c>
      <c r="E115" s="19" t="s">
        <v>761</v>
      </c>
      <c r="F115" s="19">
        <v>832</v>
      </c>
      <c r="G115" s="19">
        <v>724</v>
      </c>
      <c r="H115" s="19">
        <v>216</v>
      </c>
      <c r="I115" s="19">
        <f t="shared" si="31"/>
        <v>940</v>
      </c>
      <c r="J115" s="19">
        <v>910</v>
      </c>
      <c r="K115" s="19"/>
      <c r="L115" s="19">
        <f t="shared" si="32"/>
        <v>910</v>
      </c>
      <c r="M115" s="19">
        <v>1017</v>
      </c>
      <c r="N115" s="19"/>
      <c r="O115" s="19">
        <f t="shared" si="33"/>
        <v>1017</v>
      </c>
      <c r="P115" s="19"/>
      <c r="Q115" s="19"/>
      <c r="R115" s="19">
        <f t="shared" si="34"/>
        <v>0</v>
      </c>
      <c r="S115" s="19">
        <v>1020</v>
      </c>
      <c r="T115" s="19">
        <v>226</v>
      </c>
      <c r="U115" s="19">
        <f t="shared" si="35"/>
        <v>1246</v>
      </c>
      <c r="V115" s="19">
        <v>1436</v>
      </c>
      <c r="W115" s="19"/>
      <c r="X115" s="19">
        <f t="shared" si="36"/>
        <v>1436</v>
      </c>
      <c r="Y115" s="100">
        <f t="shared" si="37"/>
        <v>5107</v>
      </c>
      <c r="Z115" s="19">
        <f t="shared" si="38"/>
        <v>442</v>
      </c>
      <c r="AA115" s="19">
        <f t="shared" si="39"/>
        <v>5549</v>
      </c>
      <c r="AB115" s="60">
        <f t="shared" si="40"/>
        <v>851.16666666666663</v>
      </c>
      <c r="AC115" s="60">
        <f t="shared" si="41"/>
        <v>73.666666666666671</v>
      </c>
      <c r="AD115" s="60">
        <f t="shared" si="42"/>
        <v>924.83333333333337</v>
      </c>
      <c r="AE115" s="46" t="s">
        <v>352</v>
      </c>
      <c r="AF115" s="19">
        <v>0</v>
      </c>
      <c r="AG115" s="19">
        <v>0</v>
      </c>
      <c r="AH115" s="907">
        <f t="shared" si="43"/>
        <v>0</v>
      </c>
      <c r="AI115" s="19">
        <v>570</v>
      </c>
      <c r="AJ115" s="19">
        <v>326</v>
      </c>
      <c r="AK115" s="100">
        <f t="shared" si="44"/>
        <v>896</v>
      </c>
      <c r="AL115" s="19"/>
      <c r="AM115" s="19"/>
      <c r="AN115" s="100">
        <f t="shared" si="45"/>
        <v>0</v>
      </c>
      <c r="AO115" s="19">
        <f t="shared" si="46"/>
        <v>5677</v>
      </c>
      <c r="AP115" s="19">
        <f t="shared" si="47"/>
        <v>768</v>
      </c>
      <c r="AQ115" s="19">
        <f t="shared" si="48"/>
        <v>6445</v>
      </c>
      <c r="AR115" s="703">
        <f t="shared" si="58"/>
        <v>630.77777777777783</v>
      </c>
      <c r="AS115" s="703">
        <f t="shared" si="56"/>
        <v>85.333333333333329</v>
      </c>
      <c r="AT115" s="703">
        <f t="shared" si="57"/>
        <v>716.11111111111109</v>
      </c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</row>
    <row r="116" spans="1:61" s="61" customFormat="1" ht="18">
      <c r="A116" s="19">
        <v>108</v>
      </c>
      <c r="B116" s="59" t="s">
        <v>876</v>
      </c>
      <c r="C116" s="19" t="s">
        <v>843</v>
      </c>
      <c r="D116" s="19" t="s">
        <v>877</v>
      </c>
      <c r="E116" s="19" t="s">
        <v>423</v>
      </c>
      <c r="F116" s="19">
        <v>740</v>
      </c>
      <c r="G116" s="19">
        <v>596</v>
      </c>
      <c r="H116" s="19">
        <v>96</v>
      </c>
      <c r="I116" s="19">
        <f t="shared" si="31"/>
        <v>692</v>
      </c>
      <c r="J116" s="19"/>
      <c r="K116" s="19"/>
      <c r="L116" s="19">
        <f t="shared" si="32"/>
        <v>0</v>
      </c>
      <c r="M116" s="19">
        <v>600</v>
      </c>
      <c r="N116" s="19">
        <f>60-19</f>
        <v>41</v>
      </c>
      <c r="O116" s="19">
        <f t="shared" si="33"/>
        <v>641</v>
      </c>
      <c r="P116" s="19"/>
      <c r="Q116" s="19"/>
      <c r="R116" s="19">
        <f t="shared" si="34"/>
        <v>0</v>
      </c>
      <c r="S116" s="19">
        <v>590</v>
      </c>
      <c r="T116" s="19">
        <v>132</v>
      </c>
      <c r="U116" s="19">
        <f t="shared" si="35"/>
        <v>722</v>
      </c>
      <c r="V116" s="19">
        <v>540</v>
      </c>
      <c r="W116" s="19">
        <v>47</v>
      </c>
      <c r="X116" s="19">
        <f t="shared" si="36"/>
        <v>587</v>
      </c>
      <c r="Y116" s="100">
        <f t="shared" si="37"/>
        <v>2326</v>
      </c>
      <c r="Z116" s="19">
        <f t="shared" si="38"/>
        <v>316</v>
      </c>
      <c r="AA116" s="19">
        <f t="shared" si="39"/>
        <v>2642</v>
      </c>
      <c r="AB116" s="60">
        <f t="shared" si="40"/>
        <v>387.66666666666669</v>
      </c>
      <c r="AC116" s="60">
        <f t="shared" si="41"/>
        <v>52.666666666666664</v>
      </c>
      <c r="AD116" s="60">
        <f t="shared" si="42"/>
        <v>440.33333333333331</v>
      </c>
      <c r="AE116" s="46" t="s">
        <v>348</v>
      </c>
      <c r="AF116" s="19">
        <v>536</v>
      </c>
      <c r="AG116" s="19">
        <v>18</v>
      </c>
      <c r="AH116" s="907">
        <f t="shared" si="43"/>
        <v>554</v>
      </c>
      <c r="AI116" s="19"/>
      <c r="AJ116" s="19"/>
      <c r="AK116" s="100">
        <f t="shared" si="44"/>
        <v>0</v>
      </c>
      <c r="AL116" s="19"/>
      <c r="AM116" s="19"/>
      <c r="AN116" s="100">
        <f t="shared" si="45"/>
        <v>0</v>
      </c>
      <c r="AO116" s="19">
        <f t="shared" si="46"/>
        <v>2862</v>
      </c>
      <c r="AP116" s="19">
        <f t="shared" si="47"/>
        <v>334</v>
      </c>
      <c r="AQ116" s="19">
        <f t="shared" si="48"/>
        <v>3196</v>
      </c>
      <c r="AR116" s="703">
        <f t="shared" si="58"/>
        <v>318</v>
      </c>
      <c r="AS116" s="703">
        <f t="shared" si="56"/>
        <v>37.111111111111114</v>
      </c>
      <c r="AT116" s="703">
        <f t="shared" si="57"/>
        <v>355.11111111111109</v>
      </c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</row>
    <row r="117" spans="1:61" s="61" customFormat="1" ht="17.25">
      <c r="A117" s="19">
        <v>109</v>
      </c>
      <c r="B117" s="67" t="s">
        <v>878</v>
      </c>
      <c r="C117" s="19" t="s">
        <v>843</v>
      </c>
      <c r="D117" s="19" t="s">
        <v>879</v>
      </c>
      <c r="E117" s="19" t="s">
        <v>351</v>
      </c>
      <c r="F117" s="19">
        <v>557</v>
      </c>
      <c r="G117" s="19">
        <v>356</v>
      </c>
      <c r="H117" s="19">
        <v>188</v>
      </c>
      <c r="I117" s="19">
        <f t="shared" si="31"/>
        <v>544</v>
      </c>
      <c r="J117" s="19">
        <v>550</v>
      </c>
      <c r="K117" s="19">
        <f>492-121</f>
        <v>371</v>
      </c>
      <c r="L117" s="19">
        <f t="shared" si="32"/>
        <v>921</v>
      </c>
      <c r="M117" s="19">
        <v>260</v>
      </c>
      <c r="N117" s="19"/>
      <c r="O117" s="19">
        <f t="shared" si="33"/>
        <v>260</v>
      </c>
      <c r="P117" s="19">
        <v>334</v>
      </c>
      <c r="Q117" s="19">
        <v>322</v>
      </c>
      <c r="R117" s="19">
        <f t="shared" si="34"/>
        <v>656</v>
      </c>
      <c r="S117" s="19">
        <v>422</v>
      </c>
      <c r="T117" s="19">
        <v>172</v>
      </c>
      <c r="U117" s="19">
        <f t="shared" si="35"/>
        <v>594</v>
      </c>
      <c r="V117" s="19">
        <v>700</v>
      </c>
      <c r="W117" s="19">
        <v>262</v>
      </c>
      <c r="X117" s="19">
        <f t="shared" si="36"/>
        <v>962</v>
      </c>
      <c r="Y117" s="100">
        <f t="shared" si="37"/>
        <v>2622</v>
      </c>
      <c r="Z117" s="19">
        <f t="shared" si="38"/>
        <v>1315</v>
      </c>
      <c r="AA117" s="19">
        <f t="shared" si="39"/>
        <v>3937</v>
      </c>
      <c r="AB117" s="60">
        <f t="shared" si="40"/>
        <v>437</v>
      </c>
      <c r="AC117" s="60">
        <f t="shared" si="41"/>
        <v>219.16666666666666</v>
      </c>
      <c r="AD117" s="60">
        <f t="shared" si="42"/>
        <v>656.16666666666663</v>
      </c>
      <c r="AE117" s="46" t="s">
        <v>348</v>
      </c>
      <c r="AF117" s="19">
        <v>36</v>
      </c>
      <c r="AG117" s="19">
        <v>248</v>
      </c>
      <c r="AH117" s="907">
        <f t="shared" si="43"/>
        <v>284</v>
      </c>
      <c r="AI117" s="19">
        <v>256</v>
      </c>
      <c r="AJ117" s="19">
        <v>150</v>
      </c>
      <c r="AK117" s="100">
        <f t="shared" si="44"/>
        <v>406</v>
      </c>
      <c r="AL117" s="19">
        <v>172</v>
      </c>
      <c r="AM117" s="19">
        <v>228</v>
      </c>
      <c r="AN117" s="100">
        <f t="shared" si="45"/>
        <v>400</v>
      </c>
      <c r="AO117" s="19">
        <f t="shared" si="46"/>
        <v>3086</v>
      </c>
      <c r="AP117" s="19">
        <f t="shared" si="47"/>
        <v>1941</v>
      </c>
      <c r="AQ117" s="19">
        <f t="shared" si="48"/>
        <v>5027</v>
      </c>
      <c r="AR117" s="703">
        <f t="shared" si="58"/>
        <v>342.88888888888891</v>
      </c>
      <c r="AS117" s="703">
        <f t="shared" si="56"/>
        <v>215.66666666666666</v>
      </c>
      <c r="AT117" s="703">
        <f t="shared" si="57"/>
        <v>558.55555555555554</v>
      </c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</row>
    <row r="118" spans="1:61">
      <c r="A118" s="46"/>
      <c r="B118" s="46" t="s">
        <v>11</v>
      </c>
      <c r="C118" s="19"/>
      <c r="D118" s="19"/>
      <c r="E118" s="19"/>
      <c r="F118" s="19">
        <f>SUM(F8:F117)</f>
        <v>8084</v>
      </c>
      <c r="G118" s="19">
        <f>SUM(G8:G117)</f>
        <v>5440</v>
      </c>
      <c r="H118" s="19">
        <f>SUM(H8:H117)</f>
        <v>1129</v>
      </c>
      <c r="I118" s="19">
        <f t="shared" ref="I118" si="59">G118+H118</f>
        <v>6569</v>
      </c>
      <c r="J118" s="19">
        <f>SUM(J8:J117)</f>
        <v>5349</v>
      </c>
      <c r="K118" s="19">
        <f>SUM(K8:K117)</f>
        <v>865</v>
      </c>
      <c r="L118" s="19">
        <f t="shared" ref="L118" si="60">J118+K118</f>
        <v>6214</v>
      </c>
      <c r="M118" s="19">
        <f>SUM(M8:M117)</f>
        <v>3607</v>
      </c>
      <c r="N118" s="19">
        <f>SUM(N8:N117)</f>
        <v>76</v>
      </c>
      <c r="O118" s="19">
        <f t="shared" ref="O118" si="61">M118+N118</f>
        <v>3683</v>
      </c>
      <c r="P118" s="19">
        <f>SUM(P8:P117)</f>
        <v>3051</v>
      </c>
      <c r="Q118" s="19">
        <f>SUM(Q8:Q117)</f>
        <v>440</v>
      </c>
      <c r="R118" s="19">
        <f t="shared" ref="R118" si="62">P118+Q118</f>
        <v>3491</v>
      </c>
      <c r="S118" s="19">
        <f>SUM(S8:S117)</f>
        <v>7225</v>
      </c>
      <c r="T118" s="19">
        <f>SUM(T8:T117)</f>
        <v>1511</v>
      </c>
      <c r="U118" s="19">
        <f t="shared" ref="U118" si="63">S118+T118</f>
        <v>8736</v>
      </c>
      <c r="V118" s="19">
        <f>SUM(V8:V117)</f>
        <v>6244</v>
      </c>
      <c r="W118" s="19">
        <f>SUM(W8:W117)</f>
        <v>708</v>
      </c>
      <c r="X118" s="19">
        <f t="shared" ref="X118" si="64">V118+W118</f>
        <v>6952</v>
      </c>
      <c r="Y118" s="19">
        <f t="shared" si="37"/>
        <v>30916</v>
      </c>
      <c r="Z118" s="19">
        <f t="shared" si="38"/>
        <v>4729</v>
      </c>
      <c r="AA118" s="19">
        <f t="shared" si="39"/>
        <v>35645</v>
      </c>
      <c r="AB118" s="60">
        <f t="shared" si="40"/>
        <v>5152.666666666667</v>
      </c>
      <c r="AC118" s="60">
        <f t="shared" si="41"/>
        <v>788.16666666666663</v>
      </c>
      <c r="AD118" s="60">
        <f t="shared" si="42"/>
        <v>5940.833333333333</v>
      </c>
      <c r="AE118" s="6"/>
      <c r="AF118" s="19">
        <f>SUM(AF8:AF117)</f>
        <v>4999</v>
      </c>
      <c r="AG118" s="19">
        <f>SUM(AG8:AG117)</f>
        <v>466</v>
      </c>
      <c r="AH118" s="19">
        <f t="shared" si="43"/>
        <v>5465</v>
      </c>
      <c r="AI118" s="19">
        <f>SUM(AI8:AI117)</f>
        <v>4496.5</v>
      </c>
      <c r="AJ118" s="19">
        <f>SUM(AJ8:AJ117)</f>
        <v>650</v>
      </c>
      <c r="AK118" s="19">
        <f t="shared" ref="AK118" si="65">AI118+AJ118</f>
        <v>5146.5</v>
      </c>
      <c r="AL118" s="19">
        <f>SUM(AL8:AL117)</f>
        <v>4564</v>
      </c>
      <c r="AM118" s="19">
        <f>SUM(AM8:AM117)</f>
        <v>1228</v>
      </c>
      <c r="AN118" s="19">
        <f t="shared" ref="AN118" si="66">AL118+AM118</f>
        <v>5792</v>
      </c>
      <c r="AO118" s="703">
        <f>SUM(AO8:AO117)</f>
        <v>44975.5</v>
      </c>
      <c r="AP118" s="703">
        <f>SUM(AP8:AP117)</f>
        <v>7073</v>
      </c>
      <c r="AQ118" s="703">
        <f t="shared" ref="AQ118" si="67">AO118+AP118</f>
        <v>52048.5</v>
      </c>
      <c r="AR118" s="703">
        <f>SUM(AR8:AR117)</f>
        <v>4997.2777777777774</v>
      </c>
      <c r="AS118" s="703">
        <f>SUM(AS8:AS117)</f>
        <v>785.88888888888891</v>
      </c>
      <c r="AT118" s="703">
        <f t="shared" ref="AT118" si="68">AR118+AS118</f>
        <v>5783.1666666666661</v>
      </c>
      <c r="AU118" s="19">
        <f>SUM(AU8:AU117)</f>
        <v>0</v>
      </c>
      <c r="AV118" s="19">
        <f>SUM(AV8:AV117)</f>
        <v>0</v>
      </c>
      <c r="AW118" s="19"/>
      <c r="AX118" s="19"/>
      <c r="AY118" s="19"/>
      <c r="AZ118" s="19"/>
      <c r="BA118" s="19"/>
      <c r="BB118" s="19"/>
      <c r="BC118" s="19">
        <f t="shared" ref="BC118" si="69">AU118+AV118</f>
        <v>0</v>
      </c>
      <c r="BD118" s="19">
        <f>SUM(BD8:BD117)</f>
        <v>0</v>
      </c>
      <c r="BE118" s="19">
        <f>SUM(BE8:BE117)</f>
        <v>0</v>
      </c>
      <c r="BF118" s="19">
        <f t="shared" ref="BF118" si="70">BD118+BE118</f>
        <v>0</v>
      </c>
      <c r="BG118" s="19">
        <f>SUM(BG8:BG117)</f>
        <v>0</v>
      </c>
      <c r="BH118" s="19">
        <f>SUM(BH8:BH117)</f>
        <v>0</v>
      </c>
      <c r="BI118" s="19">
        <f t="shared" ref="BI118" si="71">BG118+BH118</f>
        <v>0</v>
      </c>
    </row>
    <row r="119" spans="1:61" ht="12.75" customHeight="1" thickBot="1"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AF119" s="6"/>
      <c r="AG119" s="6"/>
      <c r="AH119" s="90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</row>
    <row r="120" spans="1:61" ht="22.5" customHeight="1">
      <c r="A120" s="104"/>
      <c r="B120" s="76" t="s">
        <v>338</v>
      </c>
      <c r="C120" s="77"/>
      <c r="D120" s="83"/>
      <c r="E120" s="94" t="e">
        <f t="shared" ref="E120" si="72">E94+E70+E69+E36+E35+#REF!+#REF!</f>
        <v>#VALUE!</v>
      </c>
      <c r="F120" s="210">
        <v>5776</v>
      </c>
      <c r="G120" s="206">
        <f>G24+G25+G26+G27+G28+G45+G46+G47+G48+G62+G63+G76+G77+G91+G92+G93+G94+G95+G96+G97+G111+G112+G113+G114+G115+G116+G117</f>
        <v>3932</v>
      </c>
      <c r="H120" s="206">
        <f>H24+H25+H26+H27+H28+H45+H46+H47+H48+H62+H63+H76+H77+H91+H92+H93+H94+H95+H96+H97+H111+H112+H113+H114+H115+H116+H117</f>
        <v>1111</v>
      </c>
      <c r="I120" s="206">
        <f>G120+H120</f>
        <v>5043</v>
      </c>
      <c r="J120" s="206">
        <f>J24+J25+J26+J27+J28+J45+J46+J47+J48+J62+J63+J76+J77+J91+J92+J93+J94+J95+J96+J97+J111+J112+J113+J114+J115+J116+J117</f>
        <v>4506</v>
      </c>
      <c r="K120" s="206">
        <f>K24+K25+K26+K27+K28+K45+K46+K47+K48+K62+K63+K76+K77+K91+K92+K93+K94+K95+K96+K97+K111+K112+K113+K114+K115+K116+K117</f>
        <v>865</v>
      </c>
      <c r="L120" s="206">
        <f>J120+K120</f>
        <v>5371</v>
      </c>
      <c r="M120" s="206">
        <f>M24+M25+M26+M27+M28+M45+M46+M47+M48+M62+M63+M76+M77+M91+M92+M93+M94+M95+M96+M97+M111+M112+M113+M114+M115+M116+M117</f>
        <v>2839</v>
      </c>
      <c r="N120" s="206">
        <f>N24+N25+N26+N27+N28+N45+N46+N47+N48+N62+N63+N76+N77+N91+N92+N93+N94+N95+N96+N97+N111+N112+N113+N114+N115+N116+N117</f>
        <v>76</v>
      </c>
      <c r="O120" s="206">
        <f>M120+N120</f>
        <v>2915</v>
      </c>
      <c r="P120" s="206">
        <f>P24+P25+P26+P27+P28+P45+P46+P47+P48+P62+P63+P76+P77+P91+P92+P93+P94+P95+P96+P97+P111+P112+P113+P114+P115+P116+P117</f>
        <v>1803</v>
      </c>
      <c r="Q120" s="206">
        <f>Q24+Q25+Q26+Q27+Q28+Q45+Q46+Q47+Q48+Q62+Q63+Q76+Q77+Q91+Q92+Q93+Q94+Q95+Q96+Q97+Q111+Q112+Q113+Q114+Q115+Q116+Q117</f>
        <v>440</v>
      </c>
      <c r="R120" s="206">
        <f>P120+Q120</f>
        <v>2243</v>
      </c>
      <c r="S120" s="206">
        <f>S24+S25+S26+S27+S28+S45+S46+S47+S48+S62+S63+S76+S77+S91+S92+S93+S94+S95+S96+S97+S111+S112+S113+S114+S115+S116+S117</f>
        <v>4604</v>
      </c>
      <c r="T120" s="206">
        <f>T24+T25+T26+T27+T28+T45+T46+T47+T48+T62+T63+T76+T77+T91+T92+T93+T94+T95+T96+T97+T111+T112+T113+T114+T115+T116+T117</f>
        <v>1287</v>
      </c>
      <c r="U120" s="206">
        <f>S120+T120</f>
        <v>5891</v>
      </c>
      <c r="V120" s="206">
        <f>V24+V25+V26+V27+V28+V45+V46+V47+V48+V62+V63+V76+V77+V91+V92+V93+V94+V95+V96+V97+V111+V112+V113+V114+V115+V116+V117</f>
        <v>5686</v>
      </c>
      <c r="W120" s="206">
        <f>W24+W25+W26+W27+W28+W45+W46+W47+W48+W62+W63+W76+W77+W91+W92+W93+W94+W95+W96+W97+W111+W112+W113+W114+W115+W116+W117</f>
        <v>708</v>
      </c>
      <c r="X120" s="206">
        <f>V120+W120</f>
        <v>6394</v>
      </c>
      <c r="Y120" s="206">
        <f>G120+J120+M120+P120+S120+V120</f>
        <v>23370</v>
      </c>
      <c r="Z120" s="206">
        <f>H120+K120+N120+Q120+T120+W120</f>
        <v>4487</v>
      </c>
      <c r="AA120" s="206">
        <f>Y120+Z120</f>
        <v>27857</v>
      </c>
      <c r="AB120" s="206">
        <f t="shared" ref="AB120:AD121" si="73">Y120/6</f>
        <v>3895</v>
      </c>
      <c r="AC120" s="207">
        <f t="shared" si="73"/>
        <v>747.83333333333337</v>
      </c>
      <c r="AD120" s="208">
        <f t="shared" si="73"/>
        <v>4642.833333333333</v>
      </c>
      <c r="AE120" s="103"/>
      <c r="AF120" s="908">
        <f>AF24+AF25+AF26+AF27+AF28+AF45+AF46+AF47+AF48+AF62+AF63+AF76+AF77+AF91+AF92+AF93+AF94+AF95+AF96+AF97+AF111+AF112+AF113+AF114+AF115+AF116+AF117</f>
        <v>2202</v>
      </c>
      <c r="AG120" s="210">
        <f>AG24+AG25+AG26+AG27+AG28+AG45+AG46+AG47+AG48+AG62+AG63+AG76+AG77+AG91+AG92+AG93+AG94+AG95+AG96+AG97+AG111+AG112+AG113+AG114+AG115+AG116+AG117</f>
        <v>302</v>
      </c>
      <c r="AH120" s="210">
        <f>AF120+AG120</f>
        <v>2504</v>
      </c>
      <c r="AI120" s="205">
        <f t="shared" ref="AI120:AJ120" si="74">AI24+AI25+AI26+AI27+AI28+AI45+AI46+AI47+AI48+AI62+AI63+AI76+AI77+AI91+AI92+AI93+AI94+AI95+AI96+AI97+AI111+AI112+AI113+AI114+AI115+AI116+AI117</f>
        <v>3383</v>
      </c>
      <c r="AJ120" s="206">
        <f t="shared" si="74"/>
        <v>622</v>
      </c>
      <c r="AK120" s="206">
        <f>AI120+AJ120</f>
        <v>4005</v>
      </c>
      <c r="AL120" s="206">
        <f t="shared" ref="AL120:AM120" si="75">AL24+AL25+AL26+AL27+AL28+AL45+AL46+AL47+AL48+AL62+AL63+AL76+AL77+AL91+AL92+AL93+AL94+AL95+AL96+AL97+AL111+AL112+AL113+AL114+AL115+AL116+AL117</f>
        <v>3351</v>
      </c>
      <c r="AM120" s="206">
        <f t="shared" si="75"/>
        <v>1188</v>
      </c>
      <c r="AN120" s="206">
        <f>AL120+AM120</f>
        <v>4539</v>
      </c>
      <c r="AO120" s="206">
        <f>AO24+AO25+AO26+AO27+AO28+AO45+AO46+AO47+AO48+AO62+AO63+AO76+AO77+AO91+AO92+AO93+AO94+AO95+AO96+AO97+AO111+AO112+AO113+AO114+AO115+AO116+AO117</f>
        <v>32306</v>
      </c>
      <c r="AP120" s="206">
        <f>AP24+AP25+AP26+AP27+AP28+AP45+AP46+AP47+AP48+AP62+AP63+AP76+AP77+AP91+AP92+AP93+AP94+AP95+AP96+AP97+AP111+AP112+AP113+AP114+AP115+AP116+AP117</f>
        <v>6599</v>
      </c>
      <c r="AQ120" s="206">
        <f>AO120+AP120</f>
        <v>38905</v>
      </c>
      <c r="AR120" s="956">
        <f>AR24+AR25+AR26+AR27+AR28+AR45+AR46+AR47+AR48+AR62+AR63+AR76+AR77+AR91+AR92+AR93+AR94+AR95+AR96+AR97+AR111+AR112+AR113+AR114+AR115+AR116+AR117</f>
        <v>3589.5555555555557</v>
      </c>
      <c r="AS120" s="956">
        <f>AS24+AS25+AS26+AS27+AS28+AS45+AS46+AS47+AS48+AS62+AS63+AS76+AS77+AS91+AS92+AS93+AS94+AS95+AS96+AS97+AS111+AS112+AS113+AS114+AS115+AS116+AS117</f>
        <v>733.22222222222229</v>
      </c>
      <c r="AT120" s="956">
        <f>AR120+AS120</f>
        <v>4322.7777777777783</v>
      </c>
      <c r="AU120" s="206">
        <f t="shared" ref="AU120:BI120" si="76">AU24+AU25+AU26+AU27+AU28+AU45+AU46+AU47+AU48+AU62+AU63+AU76+AU77+AU91+AU92+AU93+AU94+AU95+AU96+AU97+AU111+AU112+AU113+AU114+AU115+AU116+AU117</f>
        <v>0</v>
      </c>
      <c r="AV120" s="206">
        <f t="shared" si="76"/>
        <v>0</v>
      </c>
      <c r="AW120" s="206"/>
      <c r="AX120" s="206"/>
      <c r="AY120" s="206"/>
      <c r="AZ120" s="206"/>
      <c r="BA120" s="206"/>
      <c r="BB120" s="206"/>
      <c r="BC120" s="206">
        <f t="shared" si="76"/>
        <v>0</v>
      </c>
      <c r="BD120" s="206">
        <f t="shared" si="76"/>
        <v>0</v>
      </c>
      <c r="BE120" s="206">
        <f t="shared" si="76"/>
        <v>0</v>
      </c>
      <c r="BF120" s="206">
        <f t="shared" si="76"/>
        <v>0</v>
      </c>
      <c r="BG120" s="206">
        <f t="shared" si="76"/>
        <v>0</v>
      </c>
      <c r="BH120" s="206">
        <f t="shared" si="76"/>
        <v>0</v>
      </c>
      <c r="BI120" s="206">
        <f t="shared" si="76"/>
        <v>0</v>
      </c>
    </row>
    <row r="121" spans="1:61" ht="19.5" customHeight="1">
      <c r="A121" s="78"/>
      <c r="B121" s="7" t="s">
        <v>339</v>
      </c>
      <c r="C121" s="6"/>
      <c r="D121" s="15"/>
      <c r="E121" s="95" t="e">
        <f>E118-E120</f>
        <v>#VALUE!</v>
      </c>
      <c r="F121" s="212">
        <f>F118-F120</f>
        <v>2308</v>
      </c>
      <c r="G121" s="214">
        <f>G118-G120</f>
        <v>1508</v>
      </c>
      <c r="H121" s="102">
        <f>H118-H120</f>
        <v>18</v>
      </c>
      <c r="I121" s="102">
        <f t="shared" ref="I121:AA121" si="77">I118-I120</f>
        <v>1526</v>
      </c>
      <c r="J121" s="102">
        <f t="shared" si="77"/>
        <v>843</v>
      </c>
      <c r="K121" s="102">
        <f t="shared" si="77"/>
        <v>0</v>
      </c>
      <c r="L121" s="102">
        <f t="shared" si="77"/>
        <v>843</v>
      </c>
      <c r="M121" s="102">
        <f t="shared" si="77"/>
        <v>768</v>
      </c>
      <c r="N121" s="102">
        <f t="shared" si="77"/>
        <v>0</v>
      </c>
      <c r="O121" s="102">
        <f t="shared" si="77"/>
        <v>768</v>
      </c>
      <c r="P121" s="102">
        <f t="shared" si="77"/>
        <v>1248</v>
      </c>
      <c r="Q121" s="102">
        <f t="shared" si="77"/>
        <v>0</v>
      </c>
      <c r="R121" s="102">
        <f t="shared" si="77"/>
        <v>1248</v>
      </c>
      <c r="S121" s="102">
        <f t="shared" si="77"/>
        <v>2621</v>
      </c>
      <c r="T121" s="102">
        <f t="shared" si="77"/>
        <v>224</v>
      </c>
      <c r="U121" s="102">
        <f t="shared" si="77"/>
        <v>2845</v>
      </c>
      <c r="V121" s="102">
        <f t="shared" si="77"/>
        <v>558</v>
      </c>
      <c r="W121" s="102">
        <f t="shared" si="77"/>
        <v>0</v>
      </c>
      <c r="X121" s="102">
        <f t="shared" si="77"/>
        <v>558</v>
      </c>
      <c r="Y121" s="102">
        <f t="shared" si="77"/>
        <v>7546</v>
      </c>
      <c r="Z121" s="102">
        <f t="shared" si="77"/>
        <v>242</v>
      </c>
      <c r="AA121" s="102">
        <f t="shared" si="77"/>
        <v>7788</v>
      </c>
      <c r="AB121" s="71">
        <f t="shared" si="73"/>
        <v>1257.6666666666667</v>
      </c>
      <c r="AC121" s="71">
        <f t="shared" si="73"/>
        <v>40.333333333333336</v>
      </c>
      <c r="AD121" s="105">
        <f t="shared" si="73"/>
        <v>1298</v>
      </c>
      <c r="AE121" s="103"/>
      <c r="AF121" s="102">
        <f t="shared" ref="AF121:BI121" si="78">AF118-AF120</f>
        <v>2797</v>
      </c>
      <c r="AG121" s="909">
        <f t="shared" si="78"/>
        <v>164</v>
      </c>
      <c r="AH121" s="909">
        <f t="shared" si="78"/>
        <v>2961</v>
      </c>
      <c r="AI121" s="106">
        <f t="shared" si="78"/>
        <v>1113.5</v>
      </c>
      <c r="AJ121" s="102">
        <f t="shared" si="78"/>
        <v>28</v>
      </c>
      <c r="AK121" s="102">
        <f t="shared" si="78"/>
        <v>1141.5</v>
      </c>
      <c r="AL121" s="102">
        <f t="shared" si="78"/>
        <v>1213</v>
      </c>
      <c r="AM121" s="102">
        <f t="shared" si="78"/>
        <v>40</v>
      </c>
      <c r="AN121" s="102">
        <f t="shared" si="78"/>
        <v>1253</v>
      </c>
      <c r="AO121" s="481">
        <f t="shared" si="78"/>
        <v>12669.5</v>
      </c>
      <c r="AP121" s="481">
        <f t="shared" si="78"/>
        <v>474</v>
      </c>
      <c r="AQ121" s="481">
        <f t="shared" si="78"/>
        <v>13143.5</v>
      </c>
      <c r="AR121" s="957">
        <f t="shared" si="78"/>
        <v>1407.7222222222217</v>
      </c>
      <c r="AS121" s="957">
        <f t="shared" si="78"/>
        <v>52.666666666666629</v>
      </c>
      <c r="AT121" s="957">
        <f t="shared" si="78"/>
        <v>1460.3888888888878</v>
      </c>
      <c r="AU121" s="102">
        <f t="shared" si="78"/>
        <v>0</v>
      </c>
      <c r="AV121" s="102">
        <f t="shared" si="78"/>
        <v>0</v>
      </c>
      <c r="AW121" s="102"/>
      <c r="AX121" s="102"/>
      <c r="AY121" s="102"/>
      <c r="AZ121" s="102"/>
      <c r="BA121" s="102"/>
      <c r="BB121" s="102"/>
      <c r="BC121" s="102">
        <f t="shared" si="78"/>
        <v>0</v>
      </c>
      <c r="BD121" s="102">
        <f t="shared" si="78"/>
        <v>0</v>
      </c>
      <c r="BE121" s="102">
        <f t="shared" si="78"/>
        <v>0</v>
      </c>
      <c r="BF121" s="102">
        <f t="shared" si="78"/>
        <v>0</v>
      </c>
      <c r="BG121" s="102">
        <f t="shared" si="78"/>
        <v>0</v>
      </c>
      <c r="BH121" s="102">
        <f t="shared" si="78"/>
        <v>0</v>
      </c>
      <c r="BI121" s="102">
        <f t="shared" si="78"/>
        <v>0</v>
      </c>
    </row>
    <row r="122" spans="1:61" ht="20.25" customHeight="1">
      <c r="A122" s="78"/>
      <c r="B122" s="7" t="s">
        <v>340</v>
      </c>
      <c r="C122" s="6"/>
      <c r="D122" s="15"/>
      <c r="E122" s="96" t="e">
        <f>E121/E118%</f>
        <v>#VALUE!</v>
      </c>
      <c r="F122" s="86">
        <f>F121/F118%</f>
        <v>28.55022266204849</v>
      </c>
      <c r="G122" s="107">
        <f t="shared" ref="G122:AD122" si="79">G121/G118%</f>
        <v>27.72058823529412</v>
      </c>
      <c r="H122" s="96">
        <f t="shared" si="79"/>
        <v>1.5943312666076175</v>
      </c>
      <c r="I122" s="96">
        <f t="shared" si="79"/>
        <v>23.230324250266403</v>
      </c>
      <c r="J122" s="96">
        <f t="shared" si="79"/>
        <v>15.759955131800336</v>
      </c>
      <c r="K122" s="96">
        <f t="shared" si="79"/>
        <v>0</v>
      </c>
      <c r="L122" s="96">
        <f t="shared" si="79"/>
        <v>13.566140971998712</v>
      </c>
      <c r="M122" s="96">
        <f t="shared" si="79"/>
        <v>21.291932353756586</v>
      </c>
      <c r="N122" s="96">
        <f t="shared" si="79"/>
        <v>0</v>
      </c>
      <c r="O122" s="96">
        <f t="shared" si="79"/>
        <v>20.85256584306272</v>
      </c>
      <c r="P122" s="96">
        <f t="shared" si="79"/>
        <v>40.904621435594883</v>
      </c>
      <c r="Q122" s="96">
        <f t="shared" si="79"/>
        <v>0</v>
      </c>
      <c r="R122" s="96">
        <f t="shared" si="79"/>
        <v>35.749069034660558</v>
      </c>
      <c r="S122" s="96">
        <f t="shared" si="79"/>
        <v>36.27681660899654</v>
      </c>
      <c r="T122" s="96">
        <f t="shared" si="79"/>
        <v>14.824619457313037</v>
      </c>
      <c r="U122" s="96">
        <f t="shared" si="79"/>
        <v>32.566391941391942</v>
      </c>
      <c r="V122" s="96">
        <f t="shared" si="79"/>
        <v>8.9365791159513144</v>
      </c>
      <c r="W122" s="96">
        <f t="shared" si="79"/>
        <v>0</v>
      </c>
      <c r="X122" s="96">
        <f t="shared" si="79"/>
        <v>8.0264672036823939</v>
      </c>
      <c r="Y122" s="96">
        <f t="shared" si="79"/>
        <v>24.408073489455298</v>
      </c>
      <c r="Z122" s="96">
        <f t="shared" si="79"/>
        <v>5.1173609642630575</v>
      </c>
      <c r="AA122" s="96">
        <f t="shared" si="79"/>
        <v>21.848786646093423</v>
      </c>
      <c r="AB122" s="96">
        <f t="shared" si="79"/>
        <v>24.408073489455298</v>
      </c>
      <c r="AC122" s="96">
        <f t="shared" si="79"/>
        <v>5.1173609642630584</v>
      </c>
      <c r="AD122" s="86">
        <f t="shared" si="79"/>
        <v>21.848786646093423</v>
      </c>
      <c r="AE122" s="103"/>
      <c r="AF122" s="96">
        <f t="shared" ref="AF122:BI122" si="80">AF121/AF118%</f>
        <v>55.951190238047609</v>
      </c>
      <c r="AG122" s="86">
        <f t="shared" si="80"/>
        <v>35.193133047210303</v>
      </c>
      <c r="AH122" s="86">
        <f t="shared" si="80"/>
        <v>54.181152790484909</v>
      </c>
      <c r="AI122" s="107">
        <f t="shared" si="80"/>
        <v>24.763705103969752</v>
      </c>
      <c r="AJ122" s="96">
        <f t="shared" si="80"/>
        <v>4.3076923076923075</v>
      </c>
      <c r="AK122" s="96">
        <f t="shared" si="80"/>
        <v>22.180122413290583</v>
      </c>
      <c r="AL122" s="96">
        <f t="shared" si="80"/>
        <v>26.577563540753726</v>
      </c>
      <c r="AM122" s="96">
        <f t="shared" si="80"/>
        <v>3.2573289902280131</v>
      </c>
      <c r="AN122" s="96">
        <f t="shared" si="80"/>
        <v>21.63328729281768</v>
      </c>
      <c r="AO122" s="96">
        <f t="shared" si="80"/>
        <v>28.169781325388268</v>
      </c>
      <c r="AP122" s="96">
        <f t="shared" si="80"/>
        <v>6.7015410716810404</v>
      </c>
      <c r="AQ122" s="96">
        <f t="shared" si="80"/>
        <v>25.252408811012806</v>
      </c>
      <c r="AR122" s="958">
        <f t="shared" si="80"/>
        <v>28.169781325388261</v>
      </c>
      <c r="AS122" s="958">
        <f t="shared" si="80"/>
        <v>6.701541071681036</v>
      </c>
      <c r="AT122" s="958">
        <f t="shared" si="80"/>
        <v>25.252408811012788</v>
      </c>
      <c r="AU122" s="96" t="e">
        <f t="shared" si="80"/>
        <v>#DIV/0!</v>
      </c>
      <c r="AV122" s="96" t="e">
        <f t="shared" si="80"/>
        <v>#DIV/0!</v>
      </c>
      <c r="AW122" s="96"/>
      <c r="AX122" s="96"/>
      <c r="AY122" s="96"/>
      <c r="AZ122" s="96"/>
      <c r="BA122" s="96"/>
      <c r="BB122" s="96"/>
      <c r="BC122" s="96" t="e">
        <f t="shared" si="80"/>
        <v>#DIV/0!</v>
      </c>
      <c r="BD122" s="96" t="e">
        <f t="shared" si="80"/>
        <v>#DIV/0!</v>
      </c>
      <c r="BE122" s="96" t="e">
        <f t="shared" si="80"/>
        <v>#DIV/0!</v>
      </c>
      <c r="BF122" s="96" t="e">
        <f t="shared" si="80"/>
        <v>#DIV/0!</v>
      </c>
      <c r="BG122" s="96" t="e">
        <f t="shared" si="80"/>
        <v>#DIV/0!</v>
      </c>
      <c r="BH122" s="96" t="e">
        <f t="shared" si="80"/>
        <v>#DIV/0!</v>
      </c>
      <c r="BI122" s="96" t="e">
        <f t="shared" si="80"/>
        <v>#DIV/0!</v>
      </c>
    </row>
    <row r="123" spans="1:61" ht="19.5" customHeight="1" thickBot="1">
      <c r="A123" s="80"/>
      <c r="B123" s="81" t="s">
        <v>341</v>
      </c>
      <c r="C123" s="82"/>
      <c r="D123" s="85"/>
      <c r="E123" s="97" t="e">
        <f>E120/E118%</f>
        <v>#VALUE!</v>
      </c>
      <c r="F123" s="87">
        <f>F120/F118%</f>
        <v>71.449777337951502</v>
      </c>
      <c r="G123" s="108">
        <f t="shared" ref="G123:AD123" si="81">G120/G118%</f>
        <v>72.279411764705884</v>
      </c>
      <c r="H123" s="97">
        <f t="shared" si="81"/>
        <v>98.405668733392389</v>
      </c>
      <c r="I123" s="97">
        <f t="shared" si="81"/>
        <v>76.769675749733594</v>
      </c>
      <c r="J123" s="97">
        <f t="shared" si="81"/>
        <v>84.240044868199661</v>
      </c>
      <c r="K123" s="97">
        <f t="shared" si="81"/>
        <v>100</v>
      </c>
      <c r="L123" s="97">
        <f t="shared" si="81"/>
        <v>86.433859028001294</v>
      </c>
      <c r="M123" s="97">
        <f t="shared" si="81"/>
        <v>78.708067646243421</v>
      </c>
      <c r="N123" s="97">
        <f t="shared" si="81"/>
        <v>100</v>
      </c>
      <c r="O123" s="97">
        <f t="shared" si="81"/>
        <v>79.14743415693728</v>
      </c>
      <c r="P123" s="97">
        <f t="shared" si="81"/>
        <v>59.09537856440511</v>
      </c>
      <c r="Q123" s="97">
        <f t="shared" si="81"/>
        <v>99.999999999999986</v>
      </c>
      <c r="R123" s="97">
        <f t="shared" si="81"/>
        <v>64.25093096533945</v>
      </c>
      <c r="S123" s="97">
        <f t="shared" si="81"/>
        <v>63.72318339100346</v>
      </c>
      <c r="T123" s="97">
        <f t="shared" si="81"/>
        <v>85.175380542686966</v>
      </c>
      <c r="U123" s="97">
        <f t="shared" si="81"/>
        <v>67.433608058608058</v>
      </c>
      <c r="V123" s="97">
        <f t="shared" si="81"/>
        <v>91.063420884048696</v>
      </c>
      <c r="W123" s="97">
        <f t="shared" si="81"/>
        <v>100</v>
      </c>
      <c r="X123" s="97">
        <f t="shared" si="81"/>
        <v>91.973532796317613</v>
      </c>
      <c r="Y123" s="97">
        <f t="shared" si="81"/>
        <v>75.591926510544695</v>
      </c>
      <c r="Z123" s="97">
        <f t="shared" si="81"/>
        <v>94.882639035736943</v>
      </c>
      <c r="AA123" s="97">
        <f t="shared" si="81"/>
        <v>78.151213353906584</v>
      </c>
      <c r="AB123" s="97">
        <f t="shared" si="81"/>
        <v>75.591926510544695</v>
      </c>
      <c r="AC123" s="97">
        <f t="shared" si="81"/>
        <v>94.882639035736958</v>
      </c>
      <c r="AD123" s="87">
        <f t="shared" si="81"/>
        <v>78.15121335390657</v>
      </c>
      <c r="AE123" s="103"/>
      <c r="AF123" s="97">
        <f t="shared" ref="AF123:BI123" si="82">AF120/AF118%</f>
        <v>44.048809761952391</v>
      </c>
      <c r="AG123" s="87">
        <f t="shared" si="82"/>
        <v>64.806866952789704</v>
      </c>
      <c r="AH123" s="87">
        <f t="shared" si="82"/>
        <v>45.818847209515098</v>
      </c>
      <c r="AI123" s="108">
        <f t="shared" si="82"/>
        <v>75.236294896030245</v>
      </c>
      <c r="AJ123" s="97">
        <f t="shared" si="82"/>
        <v>95.692307692307693</v>
      </c>
      <c r="AK123" s="97">
        <f t="shared" si="82"/>
        <v>77.81987758670941</v>
      </c>
      <c r="AL123" s="97">
        <f t="shared" si="82"/>
        <v>73.422436459246271</v>
      </c>
      <c r="AM123" s="97">
        <f t="shared" si="82"/>
        <v>96.742671009771996</v>
      </c>
      <c r="AN123" s="97">
        <f t="shared" si="82"/>
        <v>78.366712707182316</v>
      </c>
      <c r="AO123" s="97">
        <f t="shared" si="82"/>
        <v>71.830218674611729</v>
      </c>
      <c r="AP123" s="97">
        <f t="shared" si="82"/>
        <v>93.298458928318951</v>
      </c>
      <c r="AQ123" s="97">
        <f t="shared" si="82"/>
        <v>74.747591188987187</v>
      </c>
      <c r="AR123" s="959">
        <f t="shared" si="82"/>
        <v>71.830218674611743</v>
      </c>
      <c r="AS123" s="959">
        <f t="shared" si="82"/>
        <v>93.298458928318965</v>
      </c>
      <c r="AT123" s="959">
        <f t="shared" si="82"/>
        <v>74.747591188987201</v>
      </c>
      <c r="AU123" s="97" t="e">
        <f t="shared" si="82"/>
        <v>#DIV/0!</v>
      </c>
      <c r="AV123" s="97" t="e">
        <f t="shared" si="82"/>
        <v>#DIV/0!</v>
      </c>
      <c r="AW123" s="97"/>
      <c r="AX123" s="97"/>
      <c r="AY123" s="97"/>
      <c r="AZ123" s="97"/>
      <c r="BA123" s="97"/>
      <c r="BB123" s="97"/>
      <c r="BC123" s="97" t="e">
        <f t="shared" si="82"/>
        <v>#DIV/0!</v>
      </c>
      <c r="BD123" s="97" t="e">
        <f t="shared" si="82"/>
        <v>#DIV/0!</v>
      </c>
      <c r="BE123" s="97" t="e">
        <f t="shared" si="82"/>
        <v>#DIV/0!</v>
      </c>
      <c r="BF123" s="97" t="e">
        <f t="shared" si="82"/>
        <v>#DIV/0!</v>
      </c>
      <c r="BG123" s="97" t="e">
        <f t="shared" si="82"/>
        <v>#DIV/0!</v>
      </c>
      <c r="BH123" s="97" t="e">
        <f t="shared" si="82"/>
        <v>#DIV/0!</v>
      </c>
      <c r="BI123" s="97" t="e">
        <f t="shared" si="82"/>
        <v>#DIV/0!</v>
      </c>
    </row>
    <row r="125" spans="1:61">
      <c r="AF125" s="657"/>
      <c r="AG125" s="657"/>
      <c r="AH125" s="657"/>
    </row>
  </sheetData>
  <autoFilter ref="A7:BI118">
    <filterColumn colId="43">
      <filters>
        <filter val="1"/>
        <filter val="10"/>
        <filter val="106"/>
        <filter val="11"/>
        <filter val="112"/>
        <filter val="113"/>
        <filter val="114"/>
        <filter val="12"/>
        <filter val="13"/>
        <filter val="14"/>
        <filter val="16"/>
        <filter val="162"/>
        <filter val="17"/>
        <filter val="178"/>
        <filter val="18"/>
        <filter val="19"/>
        <filter val="2"/>
        <filter val="22"/>
        <filter val="231"/>
        <filter val="24"/>
        <filter val="25"/>
        <filter val="26"/>
        <filter val="27"/>
        <filter val="29"/>
        <filter val="3"/>
        <filter val="30"/>
        <filter val="300"/>
        <filter val="318"/>
        <filter val="33"/>
        <filter val="34"/>
        <filter val="343"/>
        <filter val="35"/>
        <filter val="36"/>
        <filter val="37"/>
        <filter val="4"/>
        <filter val="41"/>
        <filter val="42"/>
        <filter val="4997"/>
        <filter val="5"/>
        <filter val="50"/>
        <filter val="505"/>
        <filter val="51"/>
        <filter val="52"/>
        <filter val="55"/>
        <filter val="6"/>
        <filter val="60"/>
        <filter val="61"/>
        <filter val="631"/>
        <filter val="68"/>
        <filter val="69"/>
        <filter val="7"/>
        <filter val="8"/>
        <filter val="80"/>
        <filter val="83"/>
        <filter val="9"/>
      </filters>
    </filterColumn>
  </autoFilter>
  <mergeCells count="17">
    <mergeCell ref="AF6:AH6"/>
    <mergeCell ref="AI6:AK6"/>
    <mergeCell ref="BD6:BF6"/>
    <mergeCell ref="BG6:BI6"/>
    <mergeCell ref="AL6:AN6"/>
    <mergeCell ref="AO6:AQ6"/>
    <mergeCell ref="AR6:AT6"/>
    <mergeCell ref="AU6:AW6"/>
    <mergeCell ref="AX6:AZ6"/>
    <mergeCell ref="BA6:BC6"/>
    <mergeCell ref="Y6:AA6"/>
    <mergeCell ref="AB6:AD6"/>
    <mergeCell ref="A1:I1"/>
    <mergeCell ref="E6:E7"/>
    <mergeCell ref="G6:I6"/>
    <mergeCell ref="J6:L6"/>
    <mergeCell ref="V6:X6"/>
  </mergeCells>
  <printOptions horizontalCentered="1"/>
  <pageMargins left="0" right="0" top="0" bottom="0" header="0" footer="0"/>
  <pageSetup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H100"/>
  <sheetViews>
    <sheetView workbookViewId="0">
      <pane xSplit="6" ySplit="7" topLeftCell="AN84" activePane="bottomRight" state="frozen"/>
      <selection pane="topRight" activeCell="G1" sqref="G1"/>
      <selection pane="bottomLeft" activeCell="A8" sqref="A8"/>
      <selection pane="bottomRight" activeCell="AQ91" sqref="AQ91:AS92"/>
    </sheetView>
  </sheetViews>
  <sheetFormatPr defaultRowHeight="14.25"/>
  <cols>
    <col min="1" max="1" width="7.59765625" customWidth="1"/>
    <col min="2" max="2" width="24.3984375" bestFit="1" customWidth="1"/>
    <col min="3" max="3" width="20.1328125" bestFit="1" customWidth="1"/>
    <col min="4" max="4" width="10.86328125" bestFit="1" customWidth="1"/>
    <col min="5" max="5" width="8.1328125" bestFit="1" customWidth="1"/>
    <col min="6" max="6" width="10.1328125" bestFit="1" customWidth="1"/>
  </cols>
  <sheetData>
    <row r="1" spans="1:60" ht="25.9" thickBot="1">
      <c r="B1" s="980" t="s">
        <v>1086</v>
      </c>
      <c r="C1" s="981"/>
      <c r="D1" s="981"/>
      <c r="E1" s="981"/>
      <c r="F1" s="981"/>
      <c r="G1" s="981"/>
      <c r="H1" s="981"/>
      <c r="I1" s="981"/>
      <c r="J1" s="981"/>
      <c r="K1" s="981"/>
      <c r="L1" s="981"/>
      <c r="M1" s="981"/>
      <c r="N1" s="981"/>
      <c r="O1" s="981"/>
      <c r="P1" s="981"/>
      <c r="Q1" s="981"/>
      <c r="R1" s="981"/>
      <c r="S1" s="981"/>
      <c r="T1" s="981"/>
      <c r="U1" s="981"/>
      <c r="V1" s="981"/>
      <c r="W1" s="981"/>
      <c r="X1" s="981"/>
      <c r="Y1" s="981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7"/>
    </row>
    <row r="3" spans="1:60">
      <c r="B3" s="144" t="s">
        <v>1083</v>
      </c>
      <c r="C3" s="144"/>
      <c r="D3" s="145" t="s">
        <v>1084</v>
      </c>
    </row>
    <row r="4" spans="1:60">
      <c r="B4" s="144"/>
      <c r="C4" s="144"/>
      <c r="D4" s="145" t="s">
        <v>8</v>
      </c>
    </row>
    <row r="5" spans="1:60">
      <c r="B5" s="144" t="s">
        <v>1085</v>
      </c>
      <c r="C5" s="144"/>
      <c r="D5" s="145"/>
    </row>
    <row r="6" spans="1:60" ht="31.5" customHeight="1">
      <c r="A6" s="113"/>
      <c r="B6" s="113"/>
      <c r="C6" s="113"/>
      <c r="D6" s="113"/>
      <c r="E6" s="114" t="s">
        <v>903</v>
      </c>
      <c r="F6" s="115" t="s">
        <v>904</v>
      </c>
      <c r="G6" s="978" t="s">
        <v>1077</v>
      </c>
      <c r="H6" s="979"/>
      <c r="I6" s="979"/>
      <c r="J6" s="978" t="s">
        <v>1078</v>
      </c>
      <c r="K6" s="979"/>
      <c r="L6" s="979"/>
      <c r="M6" s="978" t="s">
        <v>1079</v>
      </c>
      <c r="N6" s="979"/>
      <c r="O6" s="979"/>
      <c r="P6" s="978" t="s">
        <v>1080</v>
      </c>
      <c r="Q6" s="979"/>
      <c r="R6" s="979"/>
      <c r="S6" s="978" t="s">
        <v>1081</v>
      </c>
      <c r="T6" s="979"/>
      <c r="U6" s="979"/>
      <c r="V6" s="978" t="s">
        <v>1082</v>
      </c>
      <c r="W6" s="979"/>
      <c r="X6" s="979"/>
      <c r="Y6" s="968" t="s">
        <v>901</v>
      </c>
      <c r="Z6" s="968"/>
      <c r="AA6" s="968"/>
      <c r="AB6" s="968" t="s">
        <v>902</v>
      </c>
      <c r="AC6" s="968"/>
      <c r="AD6" s="968"/>
      <c r="AE6" s="978" t="s">
        <v>3321</v>
      </c>
      <c r="AF6" s="979"/>
      <c r="AG6" s="979"/>
      <c r="AH6" s="978" t="s">
        <v>3333</v>
      </c>
      <c r="AI6" s="979"/>
      <c r="AJ6" s="979"/>
      <c r="AK6" s="978" t="s">
        <v>3322</v>
      </c>
      <c r="AL6" s="979"/>
      <c r="AM6" s="979"/>
      <c r="AN6" s="968" t="s">
        <v>3330</v>
      </c>
      <c r="AO6" s="968"/>
      <c r="AP6" s="968"/>
      <c r="AQ6" s="977" t="s">
        <v>3331</v>
      </c>
      <c r="AR6" s="977"/>
      <c r="AS6" s="977"/>
      <c r="AT6" s="978" t="s">
        <v>3323</v>
      </c>
      <c r="AU6" s="978"/>
      <c r="AV6" s="978"/>
      <c r="AW6" s="978" t="s">
        <v>3324</v>
      </c>
      <c r="AX6" s="978"/>
      <c r="AY6" s="978"/>
      <c r="AZ6" s="978" t="s">
        <v>3325</v>
      </c>
      <c r="BA6" s="978"/>
      <c r="BB6" s="978"/>
      <c r="BC6" s="968" t="s">
        <v>3317</v>
      </c>
      <c r="BD6" s="968"/>
      <c r="BE6" s="968"/>
      <c r="BF6" s="968" t="s">
        <v>3326</v>
      </c>
      <c r="BG6" s="968"/>
      <c r="BH6" s="968"/>
    </row>
    <row r="7" spans="1:60" ht="15.75">
      <c r="A7" s="116" t="s">
        <v>5</v>
      </c>
      <c r="B7" s="116" t="s">
        <v>6</v>
      </c>
      <c r="C7" s="116" t="s">
        <v>7</v>
      </c>
      <c r="D7" s="116" t="s">
        <v>8</v>
      </c>
      <c r="E7" s="116" t="s">
        <v>905</v>
      </c>
      <c r="F7" s="116" t="s">
        <v>3</v>
      </c>
      <c r="G7" s="116" t="s">
        <v>9</v>
      </c>
      <c r="H7" s="116" t="s">
        <v>10</v>
      </c>
      <c r="I7" s="116" t="s">
        <v>11</v>
      </c>
      <c r="J7" s="116" t="s">
        <v>9</v>
      </c>
      <c r="K7" s="116" t="s">
        <v>10</v>
      </c>
      <c r="L7" s="116" t="s">
        <v>11</v>
      </c>
      <c r="M7" s="116" t="s">
        <v>9</v>
      </c>
      <c r="N7" s="116" t="s">
        <v>10</v>
      </c>
      <c r="O7" s="116" t="s">
        <v>11</v>
      </c>
      <c r="P7" s="116" t="s">
        <v>9</v>
      </c>
      <c r="Q7" s="116" t="s">
        <v>10</v>
      </c>
      <c r="R7" s="116" t="s">
        <v>11</v>
      </c>
      <c r="S7" s="116" t="s">
        <v>9</v>
      </c>
      <c r="T7" s="116" t="s">
        <v>10</v>
      </c>
      <c r="U7" s="116" t="s">
        <v>11</v>
      </c>
      <c r="V7" s="116" t="s">
        <v>9</v>
      </c>
      <c r="W7" s="116" t="s">
        <v>10</v>
      </c>
      <c r="X7" s="116" t="s">
        <v>11</v>
      </c>
      <c r="Y7" s="40" t="s">
        <v>9</v>
      </c>
      <c r="Z7" s="40" t="s">
        <v>10</v>
      </c>
      <c r="AA7" s="40" t="s">
        <v>11</v>
      </c>
      <c r="AB7" s="40" t="s">
        <v>9</v>
      </c>
      <c r="AC7" s="40" t="s">
        <v>10</v>
      </c>
      <c r="AD7" s="40" t="s">
        <v>11</v>
      </c>
      <c r="AE7" s="116" t="s">
        <v>9</v>
      </c>
      <c r="AF7" s="116" t="s">
        <v>10</v>
      </c>
      <c r="AG7" s="116" t="s">
        <v>11</v>
      </c>
      <c r="AH7" s="116" t="s">
        <v>9</v>
      </c>
      <c r="AI7" s="116" t="s">
        <v>10</v>
      </c>
      <c r="AJ7" s="116" t="s">
        <v>11</v>
      </c>
      <c r="AK7" s="116" t="s">
        <v>9</v>
      </c>
      <c r="AL7" s="116" t="s">
        <v>10</v>
      </c>
      <c r="AM7" s="116" t="s">
        <v>11</v>
      </c>
      <c r="AN7" s="40" t="s">
        <v>9</v>
      </c>
      <c r="AO7" s="40" t="s">
        <v>10</v>
      </c>
      <c r="AP7" s="40" t="s">
        <v>11</v>
      </c>
      <c r="AQ7" s="960" t="s">
        <v>9</v>
      </c>
      <c r="AR7" s="960" t="s">
        <v>10</v>
      </c>
      <c r="AS7" s="960" t="s">
        <v>11</v>
      </c>
      <c r="AT7" s="116" t="s">
        <v>9</v>
      </c>
      <c r="AU7" s="116" t="s">
        <v>10</v>
      </c>
      <c r="AV7" s="116" t="s">
        <v>2780</v>
      </c>
      <c r="AW7" s="116" t="s">
        <v>9</v>
      </c>
      <c r="AX7" s="116" t="s">
        <v>10</v>
      </c>
      <c r="AY7" s="116" t="s">
        <v>2780</v>
      </c>
      <c r="AZ7" s="116" t="s">
        <v>9</v>
      </c>
      <c r="BA7" s="116" t="s">
        <v>10</v>
      </c>
      <c r="BB7" s="116" t="s">
        <v>2780</v>
      </c>
      <c r="BC7" s="40" t="s">
        <v>9</v>
      </c>
      <c r="BD7" s="40" t="s">
        <v>10</v>
      </c>
      <c r="BE7" s="40" t="s">
        <v>11</v>
      </c>
      <c r="BF7" s="40" t="s">
        <v>9</v>
      </c>
      <c r="BG7" s="40" t="s">
        <v>10</v>
      </c>
      <c r="BH7" s="40" t="s">
        <v>11</v>
      </c>
    </row>
    <row r="8" spans="1:60" ht="15.75">
      <c r="A8" s="117">
        <v>1</v>
      </c>
      <c r="B8" s="118" t="s">
        <v>906</v>
      </c>
      <c r="C8" s="117" t="s">
        <v>907</v>
      </c>
      <c r="D8" s="117" t="s">
        <v>908</v>
      </c>
      <c r="E8" s="119" t="s">
        <v>909</v>
      </c>
      <c r="F8" s="120">
        <v>45</v>
      </c>
      <c r="G8" s="132">
        <v>250</v>
      </c>
      <c r="H8" s="117">
        <v>182</v>
      </c>
      <c r="I8" s="117">
        <f>G8+H8</f>
        <v>432</v>
      </c>
      <c r="J8" s="133">
        <v>115</v>
      </c>
      <c r="K8" s="117">
        <v>36</v>
      </c>
      <c r="L8" s="117">
        <f>J8+K8</f>
        <v>151</v>
      </c>
      <c r="M8" s="133">
        <v>86</v>
      </c>
      <c r="N8" s="134">
        <f>206-64</f>
        <v>142</v>
      </c>
      <c r="O8" s="117">
        <f>M8+N8</f>
        <v>228</v>
      </c>
      <c r="P8" s="117">
        <v>0</v>
      </c>
      <c r="Q8" s="117">
        <f>35+31</f>
        <v>66</v>
      </c>
      <c r="R8" s="117">
        <f t="shared" ref="R8:R71" si="0">P8+Q8</f>
        <v>66</v>
      </c>
      <c r="S8" s="117">
        <v>250</v>
      </c>
      <c r="T8" s="117">
        <v>100</v>
      </c>
      <c r="U8" s="117">
        <f t="shared" ref="U8:U71" si="1">S8+T8</f>
        <v>350</v>
      </c>
      <c r="V8" s="117">
        <v>256</v>
      </c>
      <c r="W8" s="117">
        <v>0</v>
      </c>
      <c r="X8" s="117">
        <f t="shared" ref="X8:X71" si="2">V8+W8</f>
        <v>256</v>
      </c>
      <c r="Y8" s="134">
        <f>G8+J8+M8+P8+S8+V8</f>
        <v>957</v>
      </c>
      <c r="Z8" s="134">
        <f>H8+K8+N8+Q8+T8+W8</f>
        <v>526</v>
      </c>
      <c r="AA8" s="134">
        <f>I8+L8+O8+R8+U8+X8</f>
        <v>1483</v>
      </c>
      <c r="AB8" s="135">
        <f>Y8/6</f>
        <v>159.5</v>
      </c>
      <c r="AC8" s="135">
        <f>Z8/6</f>
        <v>87.666666666666671</v>
      </c>
      <c r="AD8" s="135">
        <f>AA8/6</f>
        <v>247.16666666666666</v>
      </c>
      <c r="AE8" s="910">
        <v>200</v>
      </c>
      <c r="AF8" s="910">
        <v>68</v>
      </c>
      <c r="AG8" s="910">
        <f t="shared" ref="AG8:AG71" si="3">AE8+AF8</f>
        <v>268</v>
      </c>
      <c r="AH8" s="132">
        <v>357</v>
      </c>
      <c r="AI8" s="927">
        <v>136</v>
      </c>
      <c r="AJ8" s="494">
        <f>AH8+AI8</f>
        <v>493</v>
      </c>
      <c r="AK8" s="133">
        <v>450</v>
      </c>
      <c r="AL8" s="926">
        <v>252</v>
      </c>
      <c r="AM8" s="494">
        <f>AK8+AL8</f>
        <v>702</v>
      </c>
      <c r="AN8" s="6">
        <f>Y8+AE8+AH8+AK8</f>
        <v>1964</v>
      </c>
      <c r="AO8" s="6">
        <f>Z8+AF8+AI8+AL8</f>
        <v>982</v>
      </c>
      <c r="AP8" s="6">
        <f>AA8+AG8+AJ8+AM8</f>
        <v>2946</v>
      </c>
      <c r="AQ8" s="955">
        <f>AN8/9</f>
        <v>218.22222222222223</v>
      </c>
      <c r="AR8" s="955">
        <f>AO8/9</f>
        <v>109.11111111111111</v>
      </c>
      <c r="AS8" s="955">
        <f>AP8/9</f>
        <v>327.33333333333331</v>
      </c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  <row r="9" spans="1:60" ht="15.75">
      <c r="A9" s="117">
        <v>2</v>
      </c>
      <c r="B9" s="118" t="s">
        <v>910</v>
      </c>
      <c r="C9" s="117" t="s">
        <v>907</v>
      </c>
      <c r="D9" s="117" t="s">
        <v>911</v>
      </c>
      <c r="E9" s="119" t="s">
        <v>15</v>
      </c>
      <c r="F9" s="120">
        <v>10</v>
      </c>
      <c r="G9" s="132">
        <v>100</v>
      </c>
      <c r="H9" s="117">
        <v>0</v>
      </c>
      <c r="I9" s="117">
        <f t="shared" ref="I9:I72" si="4">G9+H9</f>
        <v>100</v>
      </c>
      <c r="J9" s="133">
        <v>81</v>
      </c>
      <c r="K9" s="117">
        <v>0</v>
      </c>
      <c r="L9" s="117">
        <f t="shared" ref="L9:L72" si="5">J9+K9</f>
        <v>81</v>
      </c>
      <c r="M9" s="133">
        <v>76</v>
      </c>
      <c r="N9" s="134">
        <v>0</v>
      </c>
      <c r="O9" s="117">
        <f t="shared" ref="O9:O72" si="6">M9+N9</f>
        <v>76</v>
      </c>
      <c r="P9" s="117">
        <v>5</v>
      </c>
      <c r="Q9" s="117">
        <v>0</v>
      </c>
      <c r="R9" s="117">
        <f t="shared" si="0"/>
        <v>5</v>
      </c>
      <c r="S9" s="117">
        <v>11</v>
      </c>
      <c r="T9" s="117">
        <v>0</v>
      </c>
      <c r="U9" s="117">
        <f t="shared" si="1"/>
        <v>11</v>
      </c>
      <c r="V9" s="117">
        <v>100</v>
      </c>
      <c r="W9" s="117">
        <v>0</v>
      </c>
      <c r="X9" s="117">
        <f t="shared" si="2"/>
        <v>100</v>
      </c>
      <c r="Y9" s="134">
        <f t="shared" ref="Y9:AA72" si="7">G9+J9+M9+P9+S9+V9</f>
        <v>373</v>
      </c>
      <c r="Z9" s="134">
        <f t="shared" si="7"/>
        <v>0</v>
      </c>
      <c r="AA9" s="134">
        <f t="shared" si="7"/>
        <v>373</v>
      </c>
      <c r="AB9" s="135">
        <f t="shared" ref="AB9:AD72" si="8">Y9/6</f>
        <v>62.166666666666664</v>
      </c>
      <c r="AC9" s="135">
        <f t="shared" si="8"/>
        <v>0</v>
      </c>
      <c r="AD9" s="135">
        <f t="shared" si="8"/>
        <v>62.166666666666664</v>
      </c>
      <c r="AE9" s="910">
        <v>68</v>
      </c>
      <c r="AF9" s="910">
        <v>0</v>
      </c>
      <c r="AG9" s="910">
        <f t="shared" si="3"/>
        <v>68</v>
      </c>
      <c r="AH9" s="132">
        <v>100</v>
      </c>
      <c r="AI9" s="927">
        <v>0</v>
      </c>
      <c r="AJ9" s="494">
        <f t="shared" ref="AJ9:AJ72" si="9">AH9+AI9</f>
        <v>100</v>
      </c>
      <c r="AK9" s="133">
        <v>86</v>
      </c>
      <c r="AL9" s="134">
        <v>0</v>
      </c>
      <c r="AM9" s="494">
        <f t="shared" ref="AM9:AM72" si="10">AK9+AL9</f>
        <v>86</v>
      </c>
      <c r="AN9" s="6">
        <f t="shared" ref="AN9:AN72" si="11">Y9+AE9+AH9+AK9</f>
        <v>627</v>
      </c>
      <c r="AO9" s="6">
        <f t="shared" ref="AO9:AO72" si="12">Z9+AF9+AI9+AL9</f>
        <v>0</v>
      </c>
      <c r="AP9" s="6">
        <f t="shared" ref="AP9:AP72" si="13">AA9+AG9+AJ9+AM9</f>
        <v>627</v>
      </c>
      <c r="AQ9" s="955">
        <f t="shared" ref="AQ9:AQ72" si="14">AN9/9</f>
        <v>69.666666666666671</v>
      </c>
      <c r="AR9" s="955">
        <f t="shared" ref="AR9:AR72" si="15">AO9/9</f>
        <v>0</v>
      </c>
      <c r="AS9" s="955">
        <f t="shared" ref="AS9:AS72" si="16">AP9/9</f>
        <v>69.666666666666671</v>
      </c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</row>
    <row r="10" spans="1:60" ht="15.75">
      <c r="A10" s="117">
        <v>3</v>
      </c>
      <c r="B10" s="118" t="s">
        <v>912</v>
      </c>
      <c r="C10" s="117" t="s">
        <v>907</v>
      </c>
      <c r="D10" s="117" t="s">
        <v>913</v>
      </c>
      <c r="E10" s="119" t="s">
        <v>15</v>
      </c>
      <c r="F10" s="120">
        <v>18</v>
      </c>
      <c r="G10" s="136">
        <v>125</v>
      </c>
      <c r="H10" s="117">
        <v>0</v>
      </c>
      <c r="I10" s="117">
        <f t="shared" si="4"/>
        <v>125</v>
      </c>
      <c r="J10" s="137">
        <v>94</v>
      </c>
      <c r="K10" s="117">
        <v>0</v>
      </c>
      <c r="L10" s="117">
        <f t="shared" si="5"/>
        <v>94</v>
      </c>
      <c r="M10" s="137">
        <v>0</v>
      </c>
      <c r="N10" s="134">
        <v>0</v>
      </c>
      <c r="O10" s="117">
        <f t="shared" si="6"/>
        <v>0</v>
      </c>
      <c r="P10" s="117">
        <v>6</v>
      </c>
      <c r="Q10" s="117">
        <v>0</v>
      </c>
      <c r="R10" s="117">
        <f t="shared" si="0"/>
        <v>6</v>
      </c>
      <c r="S10" s="117">
        <v>22</v>
      </c>
      <c r="T10" s="117">
        <v>0</v>
      </c>
      <c r="U10" s="117">
        <f t="shared" si="1"/>
        <v>22</v>
      </c>
      <c r="V10" s="117">
        <v>28</v>
      </c>
      <c r="W10" s="117">
        <v>0</v>
      </c>
      <c r="X10" s="117">
        <f t="shared" si="2"/>
        <v>28</v>
      </c>
      <c r="Y10" s="134">
        <f t="shared" si="7"/>
        <v>275</v>
      </c>
      <c r="Z10" s="134">
        <f t="shared" si="7"/>
        <v>0</v>
      </c>
      <c r="AA10" s="134">
        <f t="shared" si="7"/>
        <v>275</v>
      </c>
      <c r="AB10" s="135">
        <f t="shared" si="8"/>
        <v>45.833333333333336</v>
      </c>
      <c r="AC10" s="135">
        <f t="shared" si="8"/>
        <v>0</v>
      </c>
      <c r="AD10" s="135">
        <f t="shared" si="8"/>
        <v>45.833333333333336</v>
      </c>
      <c r="AE10" s="910">
        <v>38</v>
      </c>
      <c r="AF10" s="910">
        <v>0</v>
      </c>
      <c r="AG10" s="910">
        <f t="shared" si="3"/>
        <v>38</v>
      </c>
      <c r="AH10" s="928">
        <v>50</v>
      </c>
      <c r="AI10" s="927">
        <v>0</v>
      </c>
      <c r="AJ10" s="494">
        <f t="shared" si="9"/>
        <v>50</v>
      </c>
      <c r="AK10" s="137">
        <v>60</v>
      </c>
      <c r="AL10" s="134">
        <v>0</v>
      </c>
      <c r="AM10" s="494">
        <f t="shared" si="10"/>
        <v>60</v>
      </c>
      <c r="AN10" s="6">
        <f t="shared" si="11"/>
        <v>423</v>
      </c>
      <c r="AO10" s="6">
        <f t="shared" si="12"/>
        <v>0</v>
      </c>
      <c r="AP10" s="6">
        <f t="shared" si="13"/>
        <v>423</v>
      </c>
      <c r="AQ10" s="955">
        <f t="shared" si="14"/>
        <v>47</v>
      </c>
      <c r="AR10" s="955">
        <f t="shared" si="15"/>
        <v>0</v>
      </c>
      <c r="AS10" s="955">
        <f t="shared" si="16"/>
        <v>47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</row>
    <row r="11" spans="1:60" ht="15.75">
      <c r="A11" s="117">
        <v>4</v>
      </c>
      <c r="B11" s="118" t="s">
        <v>914</v>
      </c>
      <c r="C11" s="117" t="s">
        <v>907</v>
      </c>
      <c r="D11" s="117" t="s">
        <v>915</v>
      </c>
      <c r="E11" s="119" t="s">
        <v>15</v>
      </c>
      <c r="F11" s="120">
        <v>15</v>
      </c>
      <c r="G11" s="136">
        <v>10</v>
      </c>
      <c r="H11" s="117">
        <v>0</v>
      </c>
      <c r="I11" s="117">
        <f t="shared" si="4"/>
        <v>10</v>
      </c>
      <c r="J11" s="137">
        <v>0</v>
      </c>
      <c r="K11" s="117">
        <v>0</v>
      </c>
      <c r="L11" s="117">
        <f t="shared" si="5"/>
        <v>0</v>
      </c>
      <c r="M11" s="137">
        <v>52</v>
      </c>
      <c r="N11" s="134">
        <v>0</v>
      </c>
      <c r="O11" s="117">
        <f t="shared" si="6"/>
        <v>52</v>
      </c>
      <c r="P11" s="117">
        <v>3</v>
      </c>
      <c r="Q11" s="117">
        <v>0</v>
      </c>
      <c r="R11" s="117">
        <f t="shared" si="0"/>
        <v>3</v>
      </c>
      <c r="S11" s="117">
        <v>0</v>
      </c>
      <c r="T11" s="117">
        <v>0</v>
      </c>
      <c r="U11" s="117">
        <f t="shared" si="1"/>
        <v>0</v>
      </c>
      <c r="V11" s="117">
        <v>13</v>
      </c>
      <c r="W11" s="117">
        <v>0</v>
      </c>
      <c r="X11" s="117">
        <f t="shared" si="2"/>
        <v>13</v>
      </c>
      <c r="Y11" s="134">
        <f t="shared" si="7"/>
        <v>78</v>
      </c>
      <c r="Z11" s="134">
        <f t="shared" si="7"/>
        <v>0</v>
      </c>
      <c r="AA11" s="134">
        <f t="shared" si="7"/>
        <v>78</v>
      </c>
      <c r="AB11" s="135">
        <f t="shared" si="8"/>
        <v>13</v>
      </c>
      <c r="AC11" s="135">
        <f t="shared" si="8"/>
        <v>0</v>
      </c>
      <c r="AD11" s="135">
        <f t="shared" si="8"/>
        <v>13</v>
      </c>
      <c r="AE11" s="910">
        <v>18</v>
      </c>
      <c r="AF11" s="134">
        <v>0</v>
      </c>
      <c r="AG11" s="910">
        <f t="shared" si="3"/>
        <v>18</v>
      </c>
      <c r="AH11" s="928">
        <v>25</v>
      </c>
      <c r="AI11" s="927">
        <v>0</v>
      </c>
      <c r="AJ11" s="494">
        <f t="shared" si="9"/>
        <v>25</v>
      </c>
      <c r="AK11" s="137">
        <v>15</v>
      </c>
      <c r="AL11" s="134">
        <v>0</v>
      </c>
      <c r="AM11" s="494">
        <f t="shared" si="10"/>
        <v>15</v>
      </c>
      <c r="AN11" s="6">
        <f t="shared" si="11"/>
        <v>136</v>
      </c>
      <c r="AO11" s="6">
        <f t="shared" si="12"/>
        <v>0</v>
      </c>
      <c r="AP11" s="6">
        <f t="shared" si="13"/>
        <v>136</v>
      </c>
      <c r="AQ11" s="955">
        <f t="shared" si="14"/>
        <v>15.111111111111111</v>
      </c>
      <c r="AR11" s="955">
        <f t="shared" si="15"/>
        <v>0</v>
      </c>
      <c r="AS11" s="955">
        <f t="shared" si="16"/>
        <v>15.111111111111111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</row>
    <row r="12" spans="1:60" ht="15.75">
      <c r="A12" s="117">
        <v>5</v>
      </c>
      <c r="B12" s="118" t="s">
        <v>916</v>
      </c>
      <c r="C12" s="117" t="s">
        <v>907</v>
      </c>
      <c r="D12" s="117" t="s">
        <v>917</v>
      </c>
      <c r="E12" s="119" t="s">
        <v>909</v>
      </c>
      <c r="F12" s="120">
        <v>35</v>
      </c>
      <c r="G12" s="136">
        <v>256</v>
      </c>
      <c r="H12" s="117">
        <v>100</v>
      </c>
      <c r="I12" s="117">
        <f t="shared" si="4"/>
        <v>356</v>
      </c>
      <c r="J12" s="137">
        <v>0</v>
      </c>
      <c r="K12" s="117">
        <v>0</v>
      </c>
      <c r="L12" s="117">
        <f t="shared" si="5"/>
        <v>0</v>
      </c>
      <c r="M12" s="137">
        <v>20</v>
      </c>
      <c r="N12" s="134">
        <v>36</v>
      </c>
      <c r="O12" s="117">
        <f t="shared" si="6"/>
        <v>56</v>
      </c>
      <c r="P12" s="117">
        <v>0</v>
      </c>
      <c r="Q12" s="117">
        <v>0</v>
      </c>
      <c r="R12" s="117">
        <f t="shared" si="0"/>
        <v>0</v>
      </c>
      <c r="S12" s="117">
        <v>220</v>
      </c>
      <c r="T12" s="117">
        <v>72</v>
      </c>
      <c r="U12" s="117">
        <f t="shared" si="1"/>
        <v>292</v>
      </c>
      <c r="V12" s="117">
        <v>220</v>
      </c>
      <c r="W12" s="117">
        <v>0</v>
      </c>
      <c r="X12" s="117">
        <f t="shared" si="2"/>
        <v>220</v>
      </c>
      <c r="Y12" s="134">
        <f t="shared" si="7"/>
        <v>716</v>
      </c>
      <c r="Z12" s="134">
        <f t="shared" si="7"/>
        <v>208</v>
      </c>
      <c r="AA12" s="134">
        <f t="shared" si="7"/>
        <v>924</v>
      </c>
      <c r="AB12" s="135">
        <f t="shared" si="8"/>
        <v>119.33333333333333</v>
      </c>
      <c r="AC12" s="135">
        <f t="shared" si="8"/>
        <v>34.666666666666664</v>
      </c>
      <c r="AD12" s="135">
        <f t="shared" si="8"/>
        <v>154</v>
      </c>
      <c r="AE12" s="910">
        <v>185</v>
      </c>
      <c r="AF12" s="134">
        <v>36</v>
      </c>
      <c r="AG12" s="910">
        <f t="shared" si="3"/>
        <v>221</v>
      </c>
      <c r="AH12" s="928">
        <v>256</v>
      </c>
      <c r="AI12" s="927">
        <v>56</v>
      </c>
      <c r="AJ12" s="494">
        <f t="shared" si="9"/>
        <v>312</v>
      </c>
      <c r="AK12" s="137">
        <v>200</v>
      </c>
      <c r="AL12" s="134">
        <v>148</v>
      </c>
      <c r="AM12" s="494">
        <f t="shared" si="10"/>
        <v>348</v>
      </c>
      <c r="AN12" s="6">
        <f t="shared" si="11"/>
        <v>1357</v>
      </c>
      <c r="AO12" s="6">
        <f t="shared" si="12"/>
        <v>448</v>
      </c>
      <c r="AP12" s="6">
        <f t="shared" si="13"/>
        <v>1805</v>
      </c>
      <c r="AQ12" s="955">
        <f t="shared" si="14"/>
        <v>150.77777777777777</v>
      </c>
      <c r="AR12" s="955">
        <f t="shared" si="15"/>
        <v>49.777777777777779</v>
      </c>
      <c r="AS12" s="955">
        <f t="shared" si="16"/>
        <v>200.55555555555554</v>
      </c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</row>
    <row r="13" spans="1:60" ht="15.75">
      <c r="A13" s="117">
        <v>6</v>
      </c>
      <c r="B13" s="118" t="s">
        <v>918</v>
      </c>
      <c r="C13" s="117" t="s">
        <v>907</v>
      </c>
      <c r="D13" s="117" t="s">
        <v>919</v>
      </c>
      <c r="E13" s="119" t="s">
        <v>15</v>
      </c>
      <c r="F13" s="120">
        <v>5</v>
      </c>
      <c r="G13" s="136">
        <v>300</v>
      </c>
      <c r="H13" s="117">
        <v>0</v>
      </c>
      <c r="I13" s="117">
        <f t="shared" si="4"/>
        <v>300</v>
      </c>
      <c r="J13" s="137">
        <v>0</v>
      </c>
      <c r="K13" s="117">
        <v>0</v>
      </c>
      <c r="L13" s="117">
        <f t="shared" si="5"/>
        <v>0</v>
      </c>
      <c r="M13" s="137">
        <v>0</v>
      </c>
      <c r="N13" s="134">
        <v>0</v>
      </c>
      <c r="O13" s="117">
        <f t="shared" si="6"/>
        <v>0</v>
      </c>
      <c r="P13" s="117">
        <v>5</v>
      </c>
      <c r="Q13" s="117">
        <v>0</v>
      </c>
      <c r="R13" s="117">
        <f t="shared" si="0"/>
        <v>5</v>
      </c>
      <c r="S13" s="117">
        <v>5</v>
      </c>
      <c r="T13" s="117">
        <v>0</v>
      </c>
      <c r="U13" s="117">
        <f t="shared" si="1"/>
        <v>5</v>
      </c>
      <c r="V13" s="117">
        <v>5</v>
      </c>
      <c r="W13" s="117">
        <v>0</v>
      </c>
      <c r="X13" s="117">
        <f t="shared" si="2"/>
        <v>5</v>
      </c>
      <c r="Y13" s="134">
        <f t="shared" si="7"/>
        <v>315</v>
      </c>
      <c r="Z13" s="134">
        <f t="shared" si="7"/>
        <v>0</v>
      </c>
      <c r="AA13" s="134">
        <f t="shared" si="7"/>
        <v>315</v>
      </c>
      <c r="AB13" s="135">
        <f t="shared" si="8"/>
        <v>52.5</v>
      </c>
      <c r="AC13" s="135">
        <f t="shared" si="8"/>
        <v>0</v>
      </c>
      <c r="AD13" s="135">
        <f t="shared" si="8"/>
        <v>52.5</v>
      </c>
      <c r="AE13" s="910">
        <v>3</v>
      </c>
      <c r="AF13" s="134">
        <v>0</v>
      </c>
      <c r="AG13" s="910">
        <f t="shared" si="3"/>
        <v>3</v>
      </c>
      <c r="AH13" s="928">
        <v>55</v>
      </c>
      <c r="AI13" s="927">
        <v>0</v>
      </c>
      <c r="AJ13" s="494">
        <f t="shared" si="9"/>
        <v>55</v>
      </c>
      <c r="AK13" s="137">
        <v>0</v>
      </c>
      <c r="AL13" s="134">
        <v>0</v>
      </c>
      <c r="AM13" s="494">
        <f t="shared" si="10"/>
        <v>0</v>
      </c>
      <c r="AN13" s="6">
        <f t="shared" si="11"/>
        <v>373</v>
      </c>
      <c r="AO13" s="6">
        <f t="shared" si="12"/>
        <v>0</v>
      </c>
      <c r="AP13" s="6">
        <f t="shared" si="13"/>
        <v>373</v>
      </c>
      <c r="AQ13" s="955">
        <f t="shared" si="14"/>
        <v>41.444444444444443</v>
      </c>
      <c r="AR13" s="955">
        <f t="shared" si="15"/>
        <v>0</v>
      </c>
      <c r="AS13" s="955">
        <f t="shared" si="16"/>
        <v>41.444444444444443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spans="1:60" ht="15.75">
      <c r="A14" s="117">
        <v>7</v>
      </c>
      <c r="B14" s="118" t="s">
        <v>920</v>
      </c>
      <c r="C14" s="117" t="s">
        <v>907</v>
      </c>
      <c r="D14" s="117" t="s">
        <v>921</v>
      </c>
      <c r="E14" s="119" t="s">
        <v>15</v>
      </c>
      <c r="F14" s="120">
        <v>15</v>
      </c>
      <c r="G14" s="136">
        <v>0</v>
      </c>
      <c r="H14" s="117">
        <v>0</v>
      </c>
      <c r="I14" s="117">
        <f t="shared" si="4"/>
        <v>0</v>
      </c>
      <c r="J14" s="137">
        <v>0</v>
      </c>
      <c r="K14" s="117">
        <v>0</v>
      </c>
      <c r="L14" s="117">
        <f t="shared" si="5"/>
        <v>0</v>
      </c>
      <c r="M14" s="137">
        <v>34</v>
      </c>
      <c r="N14" s="134">
        <v>0</v>
      </c>
      <c r="O14" s="117">
        <f t="shared" si="6"/>
        <v>34</v>
      </c>
      <c r="P14" s="117">
        <v>15</v>
      </c>
      <c r="Q14" s="117">
        <v>0</v>
      </c>
      <c r="R14" s="117">
        <f t="shared" si="0"/>
        <v>15</v>
      </c>
      <c r="S14" s="117">
        <v>18</v>
      </c>
      <c r="T14" s="117">
        <v>0</v>
      </c>
      <c r="U14" s="117">
        <f t="shared" si="1"/>
        <v>18</v>
      </c>
      <c r="V14" s="117">
        <v>10</v>
      </c>
      <c r="W14" s="117">
        <v>0</v>
      </c>
      <c r="X14" s="117">
        <f t="shared" si="2"/>
        <v>10</v>
      </c>
      <c r="Y14" s="134">
        <f t="shared" si="7"/>
        <v>77</v>
      </c>
      <c r="Z14" s="134">
        <f t="shared" si="7"/>
        <v>0</v>
      </c>
      <c r="AA14" s="134">
        <f t="shared" si="7"/>
        <v>77</v>
      </c>
      <c r="AB14" s="135">
        <f t="shared" si="8"/>
        <v>12.833333333333334</v>
      </c>
      <c r="AC14" s="135">
        <f t="shared" si="8"/>
        <v>0</v>
      </c>
      <c r="AD14" s="135">
        <f t="shared" si="8"/>
        <v>12.833333333333334</v>
      </c>
      <c r="AE14" s="910">
        <v>15</v>
      </c>
      <c r="AF14" s="134">
        <v>0</v>
      </c>
      <c r="AG14" s="910">
        <f t="shared" si="3"/>
        <v>15</v>
      </c>
      <c r="AH14" s="928">
        <v>0</v>
      </c>
      <c r="AI14" s="927">
        <v>0</v>
      </c>
      <c r="AJ14" s="494">
        <f t="shared" si="9"/>
        <v>0</v>
      </c>
      <c r="AK14" s="137">
        <v>25</v>
      </c>
      <c r="AL14" s="134">
        <v>0</v>
      </c>
      <c r="AM14" s="494">
        <f t="shared" si="10"/>
        <v>25</v>
      </c>
      <c r="AN14" s="6">
        <f t="shared" si="11"/>
        <v>117</v>
      </c>
      <c r="AO14" s="6">
        <f t="shared" si="12"/>
        <v>0</v>
      </c>
      <c r="AP14" s="6">
        <f t="shared" si="13"/>
        <v>117</v>
      </c>
      <c r="AQ14" s="955">
        <f t="shared" si="14"/>
        <v>13</v>
      </c>
      <c r="AR14" s="955">
        <f t="shared" si="15"/>
        <v>0</v>
      </c>
      <c r="AS14" s="955">
        <f t="shared" si="16"/>
        <v>13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</row>
    <row r="15" spans="1:60" ht="15.75">
      <c r="A15" s="117">
        <v>8</v>
      </c>
      <c r="B15" s="118" t="s">
        <v>922</v>
      </c>
      <c r="C15" s="117" t="s">
        <v>907</v>
      </c>
      <c r="D15" s="117" t="s">
        <v>923</v>
      </c>
      <c r="E15" s="119" t="s">
        <v>15</v>
      </c>
      <c r="F15" s="120">
        <v>10</v>
      </c>
      <c r="G15" s="136">
        <v>25</v>
      </c>
      <c r="H15" s="117">
        <v>0</v>
      </c>
      <c r="I15" s="117">
        <f t="shared" si="4"/>
        <v>25</v>
      </c>
      <c r="J15" s="137">
        <v>0</v>
      </c>
      <c r="K15" s="117">
        <v>0</v>
      </c>
      <c r="L15" s="117">
        <f t="shared" si="5"/>
        <v>0</v>
      </c>
      <c r="M15" s="137"/>
      <c r="N15" s="134">
        <v>6</v>
      </c>
      <c r="O15" s="117">
        <f t="shared" si="6"/>
        <v>6</v>
      </c>
      <c r="P15" s="117">
        <v>16</v>
      </c>
      <c r="Q15" s="117">
        <v>0</v>
      </c>
      <c r="R15" s="117">
        <f t="shared" si="0"/>
        <v>16</v>
      </c>
      <c r="S15" s="117">
        <v>20</v>
      </c>
      <c r="T15" s="117">
        <v>0</v>
      </c>
      <c r="U15" s="117">
        <f t="shared" si="1"/>
        <v>20</v>
      </c>
      <c r="V15" s="117">
        <v>150</v>
      </c>
      <c r="W15" s="117">
        <v>0</v>
      </c>
      <c r="X15" s="117">
        <f t="shared" si="2"/>
        <v>150</v>
      </c>
      <c r="Y15" s="134">
        <f t="shared" si="7"/>
        <v>211</v>
      </c>
      <c r="Z15" s="134">
        <f t="shared" si="7"/>
        <v>6</v>
      </c>
      <c r="AA15" s="134">
        <f t="shared" si="7"/>
        <v>217</v>
      </c>
      <c r="AB15" s="135">
        <f t="shared" si="8"/>
        <v>35.166666666666664</v>
      </c>
      <c r="AC15" s="135">
        <f t="shared" si="8"/>
        <v>1</v>
      </c>
      <c r="AD15" s="135">
        <f t="shared" si="8"/>
        <v>36.166666666666664</v>
      </c>
      <c r="AE15" s="910">
        <v>135</v>
      </c>
      <c r="AF15" s="134">
        <v>0</v>
      </c>
      <c r="AG15" s="910">
        <f t="shared" si="3"/>
        <v>135</v>
      </c>
      <c r="AH15" s="928">
        <v>137</v>
      </c>
      <c r="AI15" s="927">
        <v>0</v>
      </c>
      <c r="AJ15" s="494">
        <f t="shared" si="9"/>
        <v>137</v>
      </c>
      <c r="AK15" s="137">
        <v>100</v>
      </c>
      <c r="AL15" s="134">
        <v>69</v>
      </c>
      <c r="AM15" s="494">
        <f t="shared" si="10"/>
        <v>169</v>
      </c>
      <c r="AN15" s="6">
        <f t="shared" si="11"/>
        <v>583</v>
      </c>
      <c r="AO15" s="6">
        <f t="shared" si="12"/>
        <v>75</v>
      </c>
      <c r="AP15" s="6">
        <f t="shared" si="13"/>
        <v>658</v>
      </c>
      <c r="AQ15" s="955">
        <f t="shared" si="14"/>
        <v>64.777777777777771</v>
      </c>
      <c r="AR15" s="955">
        <f t="shared" si="15"/>
        <v>8.3333333333333339</v>
      </c>
      <c r="AS15" s="955">
        <f t="shared" si="16"/>
        <v>73.111111111111114</v>
      </c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</row>
    <row r="16" spans="1:60" ht="15.75">
      <c r="A16" s="117">
        <v>9</v>
      </c>
      <c r="B16" s="118" t="s">
        <v>924</v>
      </c>
      <c r="C16" s="117" t="s">
        <v>925</v>
      </c>
      <c r="D16" s="117" t="s">
        <v>926</v>
      </c>
      <c r="E16" s="119" t="s">
        <v>15</v>
      </c>
      <c r="F16" s="120">
        <v>26</v>
      </c>
      <c r="G16" s="136">
        <v>135</v>
      </c>
      <c r="H16" s="117">
        <v>0</v>
      </c>
      <c r="I16" s="117">
        <f t="shared" si="4"/>
        <v>135</v>
      </c>
      <c r="J16" s="137">
        <v>125</v>
      </c>
      <c r="K16" s="117">
        <v>0</v>
      </c>
      <c r="L16" s="117">
        <f t="shared" si="5"/>
        <v>125</v>
      </c>
      <c r="M16" s="137">
        <v>20</v>
      </c>
      <c r="N16" s="134">
        <v>0</v>
      </c>
      <c r="O16" s="117">
        <f t="shared" si="6"/>
        <v>20</v>
      </c>
      <c r="P16" s="117">
        <v>0</v>
      </c>
      <c r="Q16" s="117">
        <v>0</v>
      </c>
      <c r="R16" s="117">
        <f t="shared" si="0"/>
        <v>0</v>
      </c>
      <c r="S16" s="117">
        <v>20</v>
      </c>
      <c r="T16" s="117">
        <v>0</v>
      </c>
      <c r="U16" s="117">
        <f t="shared" si="1"/>
        <v>20</v>
      </c>
      <c r="V16" s="117">
        <v>112</v>
      </c>
      <c r="W16" s="117">
        <v>0</v>
      </c>
      <c r="X16" s="117">
        <f t="shared" si="2"/>
        <v>112</v>
      </c>
      <c r="Y16" s="134">
        <f t="shared" si="7"/>
        <v>412</v>
      </c>
      <c r="Z16" s="134">
        <f t="shared" si="7"/>
        <v>0</v>
      </c>
      <c r="AA16" s="134">
        <f t="shared" si="7"/>
        <v>412</v>
      </c>
      <c r="AB16" s="135">
        <f t="shared" si="8"/>
        <v>68.666666666666671</v>
      </c>
      <c r="AC16" s="135">
        <f t="shared" si="8"/>
        <v>0</v>
      </c>
      <c r="AD16" s="135">
        <f t="shared" si="8"/>
        <v>68.666666666666671</v>
      </c>
      <c r="AE16" s="910">
        <v>118</v>
      </c>
      <c r="AF16" s="134">
        <v>0</v>
      </c>
      <c r="AG16" s="910">
        <f t="shared" si="3"/>
        <v>118</v>
      </c>
      <c r="AH16" s="928">
        <v>135</v>
      </c>
      <c r="AI16" s="927">
        <v>0</v>
      </c>
      <c r="AJ16" s="494">
        <f t="shared" si="9"/>
        <v>135</v>
      </c>
      <c r="AK16" s="137">
        <v>50</v>
      </c>
      <c r="AL16" s="134">
        <v>0</v>
      </c>
      <c r="AM16" s="494">
        <f t="shared" si="10"/>
        <v>50</v>
      </c>
      <c r="AN16" s="6">
        <f t="shared" si="11"/>
        <v>715</v>
      </c>
      <c r="AO16" s="6">
        <f t="shared" si="12"/>
        <v>0</v>
      </c>
      <c r="AP16" s="6">
        <f t="shared" si="13"/>
        <v>715</v>
      </c>
      <c r="AQ16" s="955">
        <f t="shared" si="14"/>
        <v>79.444444444444443</v>
      </c>
      <c r="AR16" s="955">
        <f t="shared" si="15"/>
        <v>0</v>
      </c>
      <c r="AS16" s="955">
        <f t="shared" si="16"/>
        <v>79.444444444444443</v>
      </c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</row>
    <row r="17" spans="1:60" ht="15.75">
      <c r="A17" s="117">
        <v>10</v>
      </c>
      <c r="B17" s="118" t="s">
        <v>927</v>
      </c>
      <c r="C17" s="117" t="s">
        <v>925</v>
      </c>
      <c r="D17" s="117" t="s">
        <v>928</v>
      </c>
      <c r="E17" s="119" t="s">
        <v>15</v>
      </c>
      <c r="F17" s="120">
        <v>10</v>
      </c>
      <c r="G17" s="136">
        <v>0</v>
      </c>
      <c r="H17" s="117">
        <v>0</v>
      </c>
      <c r="I17" s="117">
        <f t="shared" si="4"/>
        <v>0</v>
      </c>
      <c r="J17" s="137">
        <v>0</v>
      </c>
      <c r="K17" s="117">
        <v>0</v>
      </c>
      <c r="L17" s="117">
        <f t="shared" si="5"/>
        <v>0</v>
      </c>
      <c r="M17" s="137">
        <v>0</v>
      </c>
      <c r="N17" s="134">
        <v>0</v>
      </c>
      <c r="O17" s="117">
        <f t="shared" si="6"/>
        <v>0</v>
      </c>
      <c r="P17" s="117">
        <v>6</v>
      </c>
      <c r="Q17" s="117">
        <v>0</v>
      </c>
      <c r="R17" s="117">
        <f t="shared" si="0"/>
        <v>6</v>
      </c>
      <c r="S17" s="117">
        <v>11</v>
      </c>
      <c r="T17" s="117">
        <v>0</v>
      </c>
      <c r="U17" s="117">
        <f t="shared" si="1"/>
        <v>11</v>
      </c>
      <c r="V17" s="117">
        <v>10</v>
      </c>
      <c r="W17" s="117">
        <v>0</v>
      </c>
      <c r="X17" s="117">
        <f t="shared" si="2"/>
        <v>10</v>
      </c>
      <c r="Y17" s="134">
        <f t="shared" si="7"/>
        <v>27</v>
      </c>
      <c r="Z17" s="134">
        <f t="shared" si="7"/>
        <v>0</v>
      </c>
      <c r="AA17" s="134">
        <f t="shared" si="7"/>
        <v>27</v>
      </c>
      <c r="AB17" s="135">
        <f t="shared" si="8"/>
        <v>4.5</v>
      </c>
      <c r="AC17" s="135">
        <f t="shared" si="8"/>
        <v>0</v>
      </c>
      <c r="AD17" s="135">
        <f t="shared" si="8"/>
        <v>4.5</v>
      </c>
      <c r="AE17" s="910">
        <v>15</v>
      </c>
      <c r="AF17" s="134">
        <v>0</v>
      </c>
      <c r="AG17" s="910">
        <f t="shared" si="3"/>
        <v>15</v>
      </c>
      <c r="AH17" s="928">
        <v>5</v>
      </c>
      <c r="AI17" s="927">
        <v>0</v>
      </c>
      <c r="AJ17" s="494">
        <f t="shared" si="9"/>
        <v>5</v>
      </c>
      <c r="AK17" s="137">
        <v>10</v>
      </c>
      <c r="AL17" s="134">
        <v>0</v>
      </c>
      <c r="AM17" s="494">
        <f t="shared" si="10"/>
        <v>10</v>
      </c>
      <c r="AN17" s="6">
        <f t="shared" si="11"/>
        <v>57</v>
      </c>
      <c r="AO17" s="6">
        <f t="shared" si="12"/>
        <v>0</v>
      </c>
      <c r="AP17" s="6">
        <f t="shared" si="13"/>
        <v>57</v>
      </c>
      <c r="AQ17" s="955">
        <f t="shared" si="14"/>
        <v>6.333333333333333</v>
      </c>
      <c r="AR17" s="955">
        <f t="shared" si="15"/>
        <v>0</v>
      </c>
      <c r="AS17" s="955">
        <f t="shared" si="16"/>
        <v>6.333333333333333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</row>
    <row r="18" spans="1:60" ht="15.75">
      <c r="A18" s="117">
        <v>11</v>
      </c>
      <c r="B18" s="118" t="s">
        <v>929</v>
      </c>
      <c r="C18" s="117" t="s">
        <v>925</v>
      </c>
      <c r="D18" s="117" t="s">
        <v>930</v>
      </c>
      <c r="E18" s="119" t="s">
        <v>15</v>
      </c>
      <c r="F18" s="120">
        <v>11</v>
      </c>
      <c r="G18" s="136">
        <v>0</v>
      </c>
      <c r="H18" s="117">
        <v>0</v>
      </c>
      <c r="I18" s="117">
        <f t="shared" si="4"/>
        <v>0</v>
      </c>
      <c r="J18" s="137">
        <v>18</v>
      </c>
      <c r="K18" s="117">
        <v>0</v>
      </c>
      <c r="L18" s="117">
        <f t="shared" si="5"/>
        <v>18</v>
      </c>
      <c r="M18" s="137">
        <v>0</v>
      </c>
      <c r="N18" s="134">
        <v>0</v>
      </c>
      <c r="O18" s="117">
        <f t="shared" si="6"/>
        <v>0</v>
      </c>
      <c r="P18" s="117">
        <v>0</v>
      </c>
      <c r="Q18" s="117">
        <v>0</v>
      </c>
      <c r="R18" s="117">
        <f t="shared" si="0"/>
        <v>0</v>
      </c>
      <c r="S18" s="117">
        <v>18</v>
      </c>
      <c r="T18" s="117">
        <v>0</v>
      </c>
      <c r="U18" s="117">
        <f t="shared" si="1"/>
        <v>18</v>
      </c>
      <c r="V18" s="117">
        <v>72</v>
      </c>
      <c r="W18" s="117">
        <v>0</v>
      </c>
      <c r="X18" s="117">
        <f t="shared" si="2"/>
        <v>72</v>
      </c>
      <c r="Y18" s="134">
        <f t="shared" si="7"/>
        <v>108</v>
      </c>
      <c r="Z18" s="134">
        <f t="shared" si="7"/>
        <v>0</v>
      </c>
      <c r="AA18" s="134">
        <f t="shared" si="7"/>
        <v>108</v>
      </c>
      <c r="AB18" s="135">
        <f t="shared" si="8"/>
        <v>18</v>
      </c>
      <c r="AC18" s="135">
        <f t="shared" si="8"/>
        <v>0</v>
      </c>
      <c r="AD18" s="135">
        <f t="shared" si="8"/>
        <v>18</v>
      </c>
      <c r="AE18" s="910">
        <v>62</v>
      </c>
      <c r="AF18" s="134">
        <v>0</v>
      </c>
      <c r="AG18" s="910">
        <f t="shared" si="3"/>
        <v>62</v>
      </c>
      <c r="AH18" s="928">
        <v>58</v>
      </c>
      <c r="AI18" s="927">
        <v>0</v>
      </c>
      <c r="AJ18" s="494">
        <f t="shared" si="9"/>
        <v>58</v>
      </c>
      <c r="AK18" s="137">
        <v>65</v>
      </c>
      <c r="AL18" s="134">
        <v>0</v>
      </c>
      <c r="AM18" s="494">
        <f t="shared" si="10"/>
        <v>65</v>
      </c>
      <c r="AN18" s="6">
        <f t="shared" si="11"/>
        <v>293</v>
      </c>
      <c r="AO18" s="6">
        <f t="shared" si="12"/>
        <v>0</v>
      </c>
      <c r="AP18" s="6">
        <f t="shared" si="13"/>
        <v>293</v>
      </c>
      <c r="AQ18" s="955">
        <f t="shared" si="14"/>
        <v>32.555555555555557</v>
      </c>
      <c r="AR18" s="955">
        <f t="shared" si="15"/>
        <v>0</v>
      </c>
      <c r="AS18" s="955">
        <f t="shared" si="16"/>
        <v>32.555555555555557</v>
      </c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</row>
    <row r="19" spans="1:60" ht="15.75">
      <c r="A19" s="117">
        <v>12</v>
      </c>
      <c r="B19" s="118" t="s">
        <v>931</v>
      </c>
      <c r="C19" s="117" t="s">
        <v>925</v>
      </c>
      <c r="D19" s="117" t="s">
        <v>932</v>
      </c>
      <c r="E19" s="119" t="s">
        <v>15</v>
      </c>
      <c r="F19" s="120">
        <v>28</v>
      </c>
      <c r="G19" s="136">
        <v>10</v>
      </c>
      <c r="H19" s="117">
        <v>0</v>
      </c>
      <c r="I19" s="117">
        <f t="shared" si="4"/>
        <v>10</v>
      </c>
      <c r="J19" s="137">
        <v>74</v>
      </c>
      <c r="K19" s="117">
        <v>0</v>
      </c>
      <c r="L19" s="117">
        <f t="shared" si="5"/>
        <v>74</v>
      </c>
      <c r="M19" s="137">
        <v>25</v>
      </c>
      <c r="N19" s="134">
        <v>0</v>
      </c>
      <c r="O19" s="117">
        <f t="shared" si="6"/>
        <v>25</v>
      </c>
      <c r="P19" s="117">
        <v>16</v>
      </c>
      <c r="Q19" s="117">
        <v>0</v>
      </c>
      <c r="R19" s="117">
        <f t="shared" si="0"/>
        <v>16</v>
      </c>
      <c r="S19" s="117">
        <v>28</v>
      </c>
      <c r="T19" s="117">
        <v>0</v>
      </c>
      <c r="U19" s="117">
        <f t="shared" si="1"/>
        <v>28</v>
      </c>
      <c r="V19" s="117">
        <v>60</v>
      </c>
      <c r="W19" s="117">
        <v>0</v>
      </c>
      <c r="X19" s="117">
        <f t="shared" si="2"/>
        <v>60</v>
      </c>
      <c r="Y19" s="134">
        <f t="shared" si="7"/>
        <v>213</v>
      </c>
      <c r="Z19" s="134">
        <f t="shared" si="7"/>
        <v>0</v>
      </c>
      <c r="AA19" s="134">
        <f t="shared" si="7"/>
        <v>213</v>
      </c>
      <c r="AB19" s="135">
        <f t="shared" si="8"/>
        <v>35.5</v>
      </c>
      <c r="AC19" s="135">
        <f t="shared" si="8"/>
        <v>0</v>
      </c>
      <c r="AD19" s="135">
        <f t="shared" si="8"/>
        <v>35.5</v>
      </c>
      <c r="AE19" s="910">
        <v>54</v>
      </c>
      <c r="AF19" s="134">
        <v>0</v>
      </c>
      <c r="AG19" s="910">
        <f t="shared" si="3"/>
        <v>54</v>
      </c>
      <c r="AH19" s="928">
        <v>152</v>
      </c>
      <c r="AI19" s="927">
        <v>0</v>
      </c>
      <c r="AJ19" s="494">
        <f t="shared" si="9"/>
        <v>152</v>
      </c>
      <c r="AK19" s="137">
        <v>187</v>
      </c>
      <c r="AL19" s="134">
        <v>0</v>
      </c>
      <c r="AM19" s="494">
        <f t="shared" si="10"/>
        <v>187</v>
      </c>
      <c r="AN19" s="6">
        <f t="shared" si="11"/>
        <v>606</v>
      </c>
      <c r="AO19" s="6">
        <f t="shared" si="12"/>
        <v>0</v>
      </c>
      <c r="AP19" s="6">
        <f t="shared" si="13"/>
        <v>606</v>
      </c>
      <c r="AQ19" s="955">
        <f t="shared" si="14"/>
        <v>67.333333333333329</v>
      </c>
      <c r="AR19" s="955">
        <f t="shared" si="15"/>
        <v>0</v>
      </c>
      <c r="AS19" s="955">
        <f t="shared" si="16"/>
        <v>67.333333333333329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</row>
    <row r="20" spans="1:60" ht="15.75">
      <c r="A20" s="117">
        <v>13</v>
      </c>
      <c r="B20" s="118" t="s">
        <v>933</v>
      </c>
      <c r="C20" s="117" t="s">
        <v>925</v>
      </c>
      <c r="D20" s="117" t="s">
        <v>934</v>
      </c>
      <c r="E20" s="119" t="s">
        <v>15</v>
      </c>
      <c r="F20" s="120">
        <v>15</v>
      </c>
      <c r="G20" s="136">
        <v>145</v>
      </c>
      <c r="H20" s="117">
        <v>0</v>
      </c>
      <c r="I20" s="117">
        <f t="shared" si="4"/>
        <v>145</v>
      </c>
      <c r="J20" s="137">
        <v>36</v>
      </c>
      <c r="K20" s="117">
        <v>0</v>
      </c>
      <c r="L20" s="117">
        <f t="shared" si="5"/>
        <v>36</v>
      </c>
      <c r="M20" s="137">
        <v>25</v>
      </c>
      <c r="N20" s="134">
        <v>0</v>
      </c>
      <c r="O20" s="117">
        <f t="shared" si="6"/>
        <v>25</v>
      </c>
      <c r="P20" s="117">
        <v>0</v>
      </c>
      <c r="Q20" s="117">
        <v>0</v>
      </c>
      <c r="R20" s="117">
        <f t="shared" si="0"/>
        <v>0</v>
      </c>
      <c r="S20" s="117">
        <v>18</v>
      </c>
      <c r="T20" s="117">
        <v>0</v>
      </c>
      <c r="U20" s="117">
        <f t="shared" si="1"/>
        <v>18</v>
      </c>
      <c r="V20" s="117">
        <v>152</v>
      </c>
      <c r="W20" s="117">
        <v>0</v>
      </c>
      <c r="X20" s="117">
        <f t="shared" si="2"/>
        <v>152</v>
      </c>
      <c r="Y20" s="134">
        <f t="shared" si="7"/>
        <v>376</v>
      </c>
      <c r="Z20" s="134">
        <f t="shared" si="7"/>
        <v>0</v>
      </c>
      <c r="AA20" s="134">
        <f t="shared" si="7"/>
        <v>376</v>
      </c>
      <c r="AB20" s="135">
        <f t="shared" si="8"/>
        <v>62.666666666666664</v>
      </c>
      <c r="AC20" s="135">
        <f t="shared" si="8"/>
        <v>0</v>
      </c>
      <c r="AD20" s="135">
        <f t="shared" si="8"/>
        <v>62.666666666666664</v>
      </c>
      <c r="AE20" s="910">
        <v>148</v>
      </c>
      <c r="AF20" s="134">
        <v>18</v>
      </c>
      <c r="AG20" s="910">
        <f t="shared" si="3"/>
        <v>166</v>
      </c>
      <c r="AH20" s="928">
        <v>245</v>
      </c>
      <c r="AI20" s="927">
        <v>0</v>
      </c>
      <c r="AJ20" s="494">
        <f t="shared" si="9"/>
        <v>245</v>
      </c>
      <c r="AK20" s="137">
        <v>212</v>
      </c>
      <c r="AL20" s="134">
        <v>0</v>
      </c>
      <c r="AM20" s="494">
        <f t="shared" si="10"/>
        <v>212</v>
      </c>
      <c r="AN20" s="6">
        <f t="shared" si="11"/>
        <v>981</v>
      </c>
      <c r="AO20" s="6">
        <f t="shared" si="12"/>
        <v>18</v>
      </c>
      <c r="AP20" s="6">
        <f t="shared" si="13"/>
        <v>999</v>
      </c>
      <c r="AQ20" s="955">
        <f t="shared" si="14"/>
        <v>109</v>
      </c>
      <c r="AR20" s="955">
        <f t="shared" si="15"/>
        <v>2</v>
      </c>
      <c r="AS20" s="955">
        <f t="shared" si="16"/>
        <v>111</v>
      </c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</row>
    <row r="21" spans="1:60" ht="15.75">
      <c r="A21" s="117">
        <v>14</v>
      </c>
      <c r="B21" s="118" t="s">
        <v>935</v>
      </c>
      <c r="C21" s="117" t="s">
        <v>925</v>
      </c>
      <c r="D21" s="117" t="s">
        <v>936</v>
      </c>
      <c r="E21" s="119" t="s">
        <v>15</v>
      </c>
      <c r="F21" s="120">
        <v>10</v>
      </c>
      <c r="G21" s="136">
        <v>15</v>
      </c>
      <c r="H21" s="117">
        <v>0</v>
      </c>
      <c r="I21" s="117">
        <f t="shared" si="4"/>
        <v>15</v>
      </c>
      <c r="J21" s="137">
        <v>0</v>
      </c>
      <c r="K21" s="117">
        <v>0</v>
      </c>
      <c r="L21" s="117">
        <f t="shared" si="5"/>
        <v>0</v>
      </c>
      <c r="M21" s="137">
        <v>0</v>
      </c>
      <c r="N21" s="134">
        <v>0</v>
      </c>
      <c r="O21" s="117">
        <f t="shared" si="6"/>
        <v>0</v>
      </c>
      <c r="P21" s="117">
        <v>6</v>
      </c>
      <c r="Q21" s="117">
        <v>0</v>
      </c>
      <c r="R21" s="117">
        <f t="shared" si="0"/>
        <v>6</v>
      </c>
      <c r="S21" s="117">
        <v>21</v>
      </c>
      <c r="T21" s="117">
        <v>0</v>
      </c>
      <c r="U21" s="117">
        <f t="shared" si="1"/>
        <v>21</v>
      </c>
      <c r="V21" s="117">
        <v>25</v>
      </c>
      <c r="W21" s="117">
        <v>0</v>
      </c>
      <c r="X21" s="117">
        <f t="shared" si="2"/>
        <v>25</v>
      </c>
      <c r="Y21" s="134">
        <f t="shared" si="7"/>
        <v>67</v>
      </c>
      <c r="Z21" s="134">
        <f t="shared" si="7"/>
        <v>0</v>
      </c>
      <c r="AA21" s="134">
        <f t="shared" si="7"/>
        <v>67</v>
      </c>
      <c r="AB21" s="135">
        <f t="shared" si="8"/>
        <v>11.166666666666666</v>
      </c>
      <c r="AC21" s="135">
        <f t="shared" si="8"/>
        <v>0</v>
      </c>
      <c r="AD21" s="135">
        <f t="shared" si="8"/>
        <v>11.166666666666666</v>
      </c>
      <c r="AE21" s="910">
        <v>0</v>
      </c>
      <c r="AF21" s="134">
        <v>0</v>
      </c>
      <c r="AG21" s="910">
        <f t="shared" si="3"/>
        <v>0</v>
      </c>
      <c r="AH21" s="928">
        <v>15</v>
      </c>
      <c r="AI21" s="927">
        <v>0</v>
      </c>
      <c r="AJ21" s="494">
        <f t="shared" si="9"/>
        <v>15</v>
      </c>
      <c r="AK21" s="137">
        <v>20</v>
      </c>
      <c r="AL21" s="134">
        <v>0</v>
      </c>
      <c r="AM21" s="494">
        <f t="shared" si="10"/>
        <v>20</v>
      </c>
      <c r="AN21" s="6">
        <f t="shared" si="11"/>
        <v>102</v>
      </c>
      <c r="AO21" s="6">
        <f t="shared" si="12"/>
        <v>0</v>
      </c>
      <c r="AP21" s="6">
        <f t="shared" si="13"/>
        <v>102</v>
      </c>
      <c r="AQ21" s="955">
        <f t="shared" si="14"/>
        <v>11.333333333333334</v>
      </c>
      <c r="AR21" s="955">
        <f t="shared" si="15"/>
        <v>0</v>
      </c>
      <c r="AS21" s="955">
        <f t="shared" si="16"/>
        <v>11.333333333333334</v>
      </c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</row>
    <row r="22" spans="1:60" ht="15.75">
      <c r="A22" s="117">
        <v>15</v>
      </c>
      <c r="B22" s="118" t="s">
        <v>937</v>
      </c>
      <c r="C22" s="117" t="s">
        <v>925</v>
      </c>
      <c r="D22" s="117" t="s">
        <v>938</v>
      </c>
      <c r="E22" s="119" t="s">
        <v>15</v>
      </c>
      <c r="F22" s="120">
        <v>8</v>
      </c>
      <c r="G22" s="136">
        <v>0</v>
      </c>
      <c r="H22" s="117">
        <v>0</v>
      </c>
      <c r="I22" s="117">
        <f t="shared" si="4"/>
        <v>0</v>
      </c>
      <c r="J22" s="137">
        <v>0</v>
      </c>
      <c r="K22" s="117">
        <v>0</v>
      </c>
      <c r="L22" s="117">
        <f t="shared" si="5"/>
        <v>0</v>
      </c>
      <c r="M22" s="137">
        <v>0</v>
      </c>
      <c r="N22" s="134">
        <v>0</v>
      </c>
      <c r="O22" s="117">
        <f t="shared" si="6"/>
        <v>0</v>
      </c>
      <c r="P22" s="117">
        <v>6</v>
      </c>
      <c r="Q22" s="117">
        <v>0</v>
      </c>
      <c r="R22" s="117">
        <f t="shared" si="0"/>
        <v>6</v>
      </c>
      <c r="S22" s="117">
        <v>3</v>
      </c>
      <c r="T22" s="117">
        <v>0</v>
      </c>
      <c r="U22" s="117">
        <f t="shared" si="1"/>
        <v>3</v>
      </c>
      <c r="V22" s="117">
        <v>9</v>
      </c>
      <c r="W22" s="117">
        <v>0</v>
      </c>
      <c r="X22" s="117">
        <f t="shared" si="2"/>
        <v>9</v>
      </c>
      <c r="Y22" s="134">
        <f t="shared" si="7"/>
        <v>18</v>
      </c>
      <c r="Z22" s="134">
        <f t="shared" si="7"/>
        <v>0</v>
      </c>
      <c r="AA22" s="134">
        <f t="shared" si="7"/>
        <v>18</v>
      </c>
      <c r="AB22" s="135">
        <f t="shared" si="8"/>
        <v>3</v>
      </c>
      <c r="AC22" s="135">
        <f t="shared" si="8"/>
        <v>0</v>
      </c>
      <c r="AD22" s="135">
        <f t="shared" si="8"/>
        <v>3</v>
      </c>
      <c r="AE22" s="910">
        <v>0</v>
      </c>
      <c r="AF22" s="134">
        <v>0</v>
      </c>
      <c r="AG22" s="910">
        <f t="shared" si="3"/>
        <v>0</v>
      </c>
      <c r="AH22" s="928">
        <v>9</v>
      </c>
      <c r="AI22" s="927">
        <v>0</v>
      </c>
      <c r="AJ22" s="494">
        <f t="shared" si="9"/>
        <v>9</v>
      </c>
      <c r="AK22" s="137">
        <v>10</v>
      </c>
      <c r="AL22" s="134">
        <v>0</v>
      </c>
      <c r="AM22" s="494">
        <f t="shared" si="10"/>
        <v>10</v>
      </c>
      <c r="AN22" s="6">
        <f t="shared" si="11"/>
        <v>37</v>
      </c>
      <c r="AO22" s="6">
        <f t="shared" si="12"/>
        <v>0</v>
      </c>
      <c r="AP22" s="6">
        <f t="shared" si="13"/>
        <v>37</v>
      </c>
      <c r="AQ22" s="955">
        <f t="shared" si="14"/>
        <v>4.1111111111111107</v>
      </c>
      <c r="AR22" s="955">
        <f t="shared" si="15"/>
        <v>0</v>
      </c>
      <c r="AS22" s="955">
        <f t="shared" si="16"/>
        <v>4.1111111111111107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</row>
    <row r="23" spans="1:60" ht="15.75">
      <c r="A23" s="117">
        <v>16</v>
      </c>
      <c r="B23" s="118" t="s">
        <v>939</v>
      </c>
      <c r="C23" s="117" t="s">
        <v>925</v>
      </c>
      <c r="D23" s="117" t="s">
        <v>940</v>
      </c>
      <c r="E23" s="119" t="s">
        <v>15</v>
      </c>
      <c r="F23" s="120">
        <v>15</v>
      </c>
      <c r="G23" s="136">
        <v>0</v>
      </c>
      <c r="H23" s="117">
        <v>0</v>
      </c>
      <c r="I23" s="117">
        <f t="shared" si="4"/>
        <v>0</v>
      </c>
      <c r="J23" s="137">
        <v>18</v>
      </c>
      <c r="K23" s="117">
        <v>0</v>
      </c>
      <c r="L23" s="117">
        <f t="shared" si="5"/>
        <v>18</v>
      </c>
      <c r="M23" s="137">
        <v>25</v>
      </c>
      <c r="N23" s="134">
        <v>0</v>
      </c>
      <c r="O23" s="117">
        <f t="shared" si="6"/>
        <v>25</v>
      </c>
      <c r="P23" s="117">
        <v>15</v>
      </c>
      <c r="Q23" s="117">
        <v>0</v>
      </c>
      <c r="R23" s="117">
        <f t="shared" si="0"/>
        <v>15</v>
      </c>
      <c r="S23" s="117">
        <v>5</v>
      </c>
      <c r="T23" s="117">
        <v>0</v>
      </c>
      <c r="U23" s="117">
        <f t="shared" si="1"/>
        <v>5</v>
      </c>
      <c r="V23" s="117">
        <v>60</v>
      </c>
      <c r="W23" s="117">
        <v>0</v>
      </c>
      <c r="X23" s="117">
        <f t="shared" si="2"/>
        <v>60</v>
      </c>
      <c r="Y23" s="134">
        <f t="shared" si="7"/>
        <v>123</v>
      </c>
      <c r="Z23" s="134">
        <f t="shared" si="7"/>
        <v>0</v>
      </c>
      <c r="AA23" s="134">
        <f t="shared" si="7"/>
        <v>123</v>
      </c>
      <c r="AB23" s="135">
        <f t="shared" si="8"/>
        <v>20.5</v>
      </c>
      <c r="AC23" s="135">
        <f t="shared" si="8"/>
        <v>0</v>
      </c>
      <c r="AD23" s="135">
        <f t="shared" si="8"/>
        <v>20.5</v>
      </c>
      <c r="AE23" s="910">
        <v>100</v>
      </c>
      <c r="AF23" s="134">
        <v>0</v>
      </c>
      <c r="AG23" s="910">
        <f t="shared" si="3"/>
        <v>100</v>
      </c>
      <c r="AH23" s="928">
        <v>60</v>
      </c>
      <c r="AI23" s="927">
        <v>0</v>
      </c>
      <c r="AJ23" s="494">
        <f t="shared" si="9"/>
        <v>60</v>
      </c>
      <c r="AK23" s="137">
        <v>45</v>
      </c>
      <c r="AL23" s="134">
        <v>0</v>
      </c>
      <c r="AM23" s="494">
        <f t="shared" si="10"/>
        <v>45</v>
      </c>
      <c r="AN23" s="6">
        <f t="shared" si="11"/>
        <v>328</v>
      </c>
      <c r="AO23" s="6">
        <f t="shared" si="12"/>
        <v>0</v>
      </c>
      <c r="AP23" s="6">
        <f t="shared" si="13"/>
        <v>328</v>
      </c>
      <c r="AQ23" s="955">
        <f t="shared" si="14"/>
        <v>36.444444444444443</v>
      </c>
      <c r="AR23" s="955">
        <f t="shared" si="15"/>
        <v>0</v>
      </c>
      <c r="AS23" s="955">
        <f t="shared" si="16"/>
        <v>36.444444444444443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</row>
    <row r="24" spans="1:60" ht="15.75">
      <c r="A24" s="117">
        <v>17</v>
      </c>
      <c r="B24" s="118" t="s">
        <v>941</v>
      </c>
      <c r="C24" s="117" t="s">
        <v>925</v>
      </c>
      <c r="D24" s="117" t="s">
        <v>942</v>
      </c>
      <c r="E24" s="119" t="s">
        <v>15</v>
      </c>
      <c r="F24" s="120">
        <v>12</v>
      </c>
      <c r="G24" s="136">
        <v>153</v>
      </c>
      <c r="H24" s="117">
        <v>0</v>
      </c>
      <c r="I24" s="117">
        <f t="shared" si="4"/>
        <v>153</v>
      </c>
      <c r="J24" s="137">
        <v>0</v>
      </c>
      <c r="K24" s="117">
        <v>0</v>
      </c>
      <c r="L24" s="117">
        <f t="shared" si="5"/>
        <v>0</v>
      </c>
      <c r="M24" s="137">
        <v>20</v>
      </c>
      <c r="N24" s="134">
        <v>0</v>
      </c>
      <c r="O24" s="117">
        <f t="shared" si="6"/>
        <v>20</v>
      </c>
      <c r="P24" s="117">
        <v>6</v>
      </c>
      <c r="Q24" s="117">
        <v>0</v>
      </c>
      <c r="R24" s="117">
        <f t="shared" si="0"/>
        <v>6</v>
      </c>
      <c r="S24" s="117">
        <v>5</v>
      </c>
      <c r="T24" s="117">
        <v>0</v>
      </c>
      <c r="U24" s="117">
        <f t="shared" si="1"/>
        <v>5</v>
      </c>
      <c r="V24" s="117">
        <v>0</v>
      </c>
      <c r="W24" s="117">
        <v>0</v>
      </c>
      <c r="X24" s="117">
        <f t="shared" si="2"/>
        <v>0</v>
      </c>
      <c r="Y24" s="134">
        <f t="shared" si="7"/>
        <v>184</v>
      </c>
      <c r="Z24" s="134">
        <f t="shared" si="7"/>
        <v>0</v>
      </c>
      <c r="AA24" s="134">
        <f t="shared" si="7"/>
        <v>184</v>
      </c>
      <c r="AB24" s="135">
        <f t="shared" si="8"/>
        <v>30.666666666666668</v>
      </c>
      <c r="AC24" s="135">
        <f t="shared" si="8"/>
        <v>0</v>
      </c>
      <c r="AD24" s="135">
        <f t="shared" si="8"/>
        <v>30.666666666666668</v>
      </c>
      <c r="AE24" s="910">
        <v>48</v>
      </c>
      <c r="AF24" s="134">
        <v>0</v>
      </c>
      <c r="AG24" s="910">
        <f t="shared" si="3"/>
        <v>48</v>
      </c>
      <c r="AH24" s="928">
        <v>53</v>
      </c>
      <c r="AI24" s="927">
        <v>0</v>
      </c>
      <c r="AJ24" s="494">
        <f t="shared" si="9"/>
        <v>53</v>
      </c>
      <c r="AK24" s="137">
        <v>68</v>
      </c>
      <c r="AL24" s="134">
        <v>0</v>
      </c>
      <c r="AM24" s="494">
        <f t="shared" si="10"/>
        <v>68</v>
      </c>
      <c r="AN24" s="6">
        <f t="shared" si="11"/>
        <v>353</v>
      </c>
      <c r="AO24" s="6">
        <f t="shared" si="12"/>
        <v>0</v>
      </c>
      <c r="AP24" s="6">
        <f t="shared" si="13"/>
        <v>353</v>
      </c>
      <c r="AQ24" s="955">
        <f t="shared" si="14"/>
        <v>39.222222222222221</v>
      </c>
      <c r="AR24" s="955">
        <f t="shared" si="15"/>
        <v>0</v>
      </c>
      <c r="AS24" s="955">
        <f t="shared" si="16"/>
        <v>39.222222222222221</v>
      </c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</row>
    <row r="25" spans="1:60" ht="15.75">
      <c r="A25" s="117">
        <v>18</v>
      </c>
      <c r="B25" s="118" t="s">
        <v>943</v>
      </c>
      <c r="C25" s="117" t="s">
        <v>925</v>
      </c>
      <c r="D25" s="117" t="s">
        <v>944</v>
      </c>
      <c r="E25" s="119" t="s">
        <v>15</v>
      </c>
      <c r="F25" s="120">
        <v>10</v>
      </c>
      <c r="G25" s="136">
        <v>3</v>
      </c>
      <c r="H25" s="117">
        <v>0</v>
      </c>
      <c r="I25" s="117">
        <f t="shared" si="4"/>
        <v>3</v>
      </c>
      <c r="J25" s="137">
        <v>0</v>
      </c>
      <c r="K25" s="117">
        <v>0</v>
      </c>
      <c r="L25" s="117">
        <f t="shared" si="5"/>
        <v>0</v>
      </c>
      <c r="M25" s="137">
        <v>15</v>
      </c>
      <c r="N25" s="134">
        <v>12</v>
      </c>
      <c r="O25" s="117">
        <f t="shared" si="6"/>
        <v>27</v>
      </c>
      <c r="P25" s="117">
        <v>18</v>
      </c>
      <c r="Q25" s="117">
        <v>0</v>
      </c>
      <c r="R25" s="117">
        <f t="shared" si="0"/>
        <v>18</v>
      </c>
      <c r="S25" s="117">
        <v>10</v>
      </c>
      <c r="T25" s="117">
        <v>0</v>
      </c>
      <c r="U25" s="117">
        <f t="shared" si="1"/>
        <v>10</v>
      </c>
      <c r="V25" s="117">
        <v>18</v>
      </c>
      <c r="W25" s="117">
        <v>0</v>
      </c>
      <c r="X25" s="117">
        <f t="shared" si="2"/>
        <v>18</v>
      </c>
      <c r="Y25" s="134">
        <f t="shared" si="7"/>
        <v>64</v>
      </c>
      <c r="Z25" s="134">
        <f t="shared" si="7"/>
        <v>12</v>
      </c>
      <c r="AA25" s="134">
        <f t="shared" si="7"/>
        <v>76</v>
      </c>
      <c r="AB25" s="135">
        <f t="shared" si="8"/>
        <v>10.666666666666666</v>
      </c>
      <c r="AC25" s="135">
        <f t="shared" si="8"/>
        <v>2</v>
      </c>
      <c r="AD25" s="135">
        <f t="shared" si="8"/>
        <v>12.666666666666666</v>
      </c>
      <c r="AE25" s="910">
        <v>0</v>
      </c>
      <c r="AF25" s="134">
        <v>0</v>
      </c>
      <c r="AG25" s="910">
        <f t="shared" si="3"/>
        <v>0</v>
      </c>
      <c r="AH25" s="928">
        <v>0</v>
      </c>
      <c r="AI25" s="927">
        <v>0</v>
      </c>
      <c r="AJ25" s="494">
        <f t="shared" si="9"/>
        <v>0</v>
      </c>
      <c r="AK25" s="137">
        <v>100</v>
      </c>
      <c r="AL25" s="134">
        <v>0</v>
      </c>
      <c r="AM25" s="494">
        <f t="shared" si="10"/>
        <v>100</v>
      </c>
      <c r="AN25" s="6">
        <f t="shared" si="11"/>
        <v>164</v>
      </c>
      <c r="AO25" s="6">
        <f t="shared" si="12"/>
        <v>12</v>
      </c>
      <c r="AP25" s="6">
        <f t="shared" si="13"/>
        <v>176</v>
      </c>
      <c r="AQ25" s="955">
        <f t="shared" si="14"/>
        <v>18.222222222222221</v>
      </c>
      <c r="AR25" s="955">
        <f t="shared" si="15"/>
        <v>1.3333333333333333</v>
      </c>
      <c r="AS25" s="955">
        <f t="shared" si="16"/>
        <v>19.555555555555557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</row>
    <row r="26" spans="1:60" ht="15.75">
      <c r="A26" s="117">
        <v>19</v>
      </c>
      <c r="B26" s="118" t="s">
        <v>945</v>
      </c>
      <c r="C26" s="117" t="s">
        <v>925</v>
      </c>
      <c r="D26" s="117" t="s">
        <v>946</v>
      </c>
      <c r="E26" s="119" t="s">
        <v>15</v>
      </c>
      <c r="F26" s="120">
        <v>30</v>
      </c>
      <c r="G26" s="136">
        <v>300</v>
      </c>
      <c r="H26" s="117">
        <v>0</v>
      </c>
      <c r="I26" s="117">
        <f t="shared" si="4"/>
        <v>300</v>
      </c>
      <c r="J26" s="137">
        <v>100</v>
      </c>
      <c r="K26" s="117">
        <v>0</v>
      </c>
      <c r="L26" s="117">
        <f t="shared" si="5"/>
        <v>100</v>
      </c>
      <c r="M26" s="137">
        <v>50</v>
      </c>
      <c r="N26" s="134">
        <v>18</v>
      </c>
      <c r="O26" s="117">
        <f t="shared" si="6"/>
        <v>68</v>
      </c>
      <c r="P26" s="117">
        <v>10</v>
      </c>
      <c r="Q26" s="117">
        <v>0</v>
      </c>
      <c r="R26" s="117">
        <f t="shared" si="0"/>
        <v>10</v>
      </c>
      <c r="S26" s="117">
        <v>5</v>
      </c>
      <c r="T26" s="117">
        <v>0</v>
      </c>
      <c r="U26" s="117">
        <f t="shared" si="1"/>
        <v>5</v>
      </c>
      <c r="V26" s="117">
        <v>258</v>
      </c>
      <c r="W26" s="117">
        <v>0</v>
      </c>
      <c r="X26" s="117">
        <f t="shared" si="2"/>
        <v>258</v>
      </c>
      <c r="Y26" s="134">
        <f t="shared" si="7"/>
        <v>723</v>
      </c>
      <c r="Z26" s="134">
        <f t="shared" si="7"/>
        <v>18</v>
      </c>
      <c r="AA26" s="134">
        <f t="shared" si="7"/>
        <v>741</v>
      </c>
      <c r="AB26" s="135">
        <f t="shared" si="8"/>
        <v>120.5</v>
      </c>
      <c r="AC26" s="135">
        <f t="shared" si="8"/>
        <v>3</v>
      </c>
      <c r="AD26" s="135">
        <f t="shared" si="8"/>
        <v>123.5</v>
      </c>
      <c r="AE26" s="910">
        <v>57</v>
      </c>
      <c r="AF26" s="134">
        <v>30</v>
      </c>
      <c r="AG26" s="910">
        <f t="shared" si="3"/>
        <v>87</v>
      </c>
      <c r="AH26" s="928">
        <v>300</v>
      </c>
      <c r="AI26" s="927">
        <v>0</v>
      </c>
      <c r="AJ26" s="494">
        <f t="shared" si="9"/>
        <v>300</v>
      </c>
      <c r="AK26" s="137">
        <v>57</v>
      </c>
      <c r="AL26" s="134">
        <v>0</v>
      </c>
      <c r="AM26" s="494">
        <f t="shared" si="10"/>
        <v>57</v>
      </c>
      <c r="AN26" s="6">
        <f t="shared" si="11"/>
        <v>1137</v>
      </c>
      <c r="AO26" s="6">
        <f t="shared" si="12"/>
        <v>48</v>
      </c>
      <c r="AP26" s="6">
        <f t="shared" si="13"/>
        <v>1185</v>
      </c>
      <c r="AQ26" s="955">
        <f t="shared" si="14"/>
        <v>126.33333333333333</v>
      </c>
      <c r="AR26" s="955">
        <f t="shared" si="15"/>
        <v>5.333333333333333</v>
      </c>
      <c r="AS26" s="955">
        <f t="shared" si="16"/>
        <v>131.66666666666666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</row>
    <row r="27" spans="1:60" ht="15.75">
      <c r="A27" s="117">
        <v>20</v>
      </c>
      <c r="B27" s="118" t="s">
        <v>947</v>
      </c>
      <c r="C27" s="117" t="s">
        <v>925</v>
      </c>
      <c r="D27" s="117" t="s">
        <v>948</v>
      </c>
      <c r="E27" s="119" t="s">
        <v>15</v>
      </c>
      <c r="F27" s="120">
        <v>10</v>
      </c>
      <c r="G27" s="136">
        <v>9</v>
      </c>
      <c r="H27" s="117">
        <v>0</v>
      </c>
      <c r="I27" s="117">
        <f t="shared" si="4"/>
        <v>9</v>
      </c>
      <c r="J27" s="137">
        <v>0</v>
      </c>
      <c r="K27" s="117">
        <v>0</v>
      </c>
      <c r="L27" s="117">
        <f t="shared" si="5"/>
        <v>0</v>
      </c>
      <c r="M27" s="137">
        <v>0</v>
      </c>
      <c r="N27" s="134">
        <v>0</v>
      </c>
      <c r="O27" s="117">
        <f t="shared" si="6"/>
        <v>0</v>
      </c>
      <c r="P27" s="117">
        <v>10</v>
      </c>
      <c r="Q27" s="117">
        <v>0</v>
      </c>
      <c r="R27" s="117">
        <f t="shared" si="0"/>
        <v>10</v>
      </c>
      <c r="S27" s="117">
        <v>5</v>
      </c>
      <c r="T27" s="117">
        <v>0</v>
      </c>
      <c r="U27" s="117">
        <f t="shared" si="1"/>
        <v>5</v>
      </c>
      <c r="V27" s="117">
        <v>0</v>
      </c>
      <c r="W27" s="117">
        <v>0</v>
      </c>
      <c r="X27" s="117">
        <f t="shared" si="2"/>
        <v>0</v>
      </c>
      <c r="Y27" s="134">
        <f t="shared" si="7"/>
        <v>24</v>
      </c>
      <c r="Z27" s="134">
        <f t="shared" si="7"/>
        <v>0</v>
      </c>
      <c r="AA27" s="134">
        <f t="shared" si="7"/>
        <v>24</v>
      </c>
      <c r="AB27" s="135">
        <f t="shared" si="8"/>
        <v>4</v>
      </c>
      <c r="AC27" s="135">
        <f t="shared" si="8"/>
        <v>0</v>
      </c>
      <c r="AD27" s="135">
        <f t="shared" si="8"/>
        <v>4</v>
      </c>
      <c r="AE27" s="910">
        <v>45</v>
      </c>
      <c r="AF27" s="134">
        <v>0</v>
      </c>
      <c r="AG27" s="910">
        <f t="shared" si="3"/>
        <v>45</v>
      </c>
      <c r="AH27" s="928">
        <v>9</v>
      </c>
      <c r="AI27" s="927">
        <v>0</v>
      </c>
      <c r="AJ27" s="494">
        <f t="shared" si="9"/>
        <v>9</v>
      </c>
      <c r="AK27" s="137">
        <v>0</v>
      </c>
      <c r="AL27" s="134">
        <v>0</v>
      </c>
      <c r="AM27" s="494">
        <f t="shared" si="10"/>
        <v>0</v>
      </c>
      <c r="AN27" s="6">
        <f t="shared" si="11"/>
        <v>78</v>
      </c>
      <c r="AO27" s="6">
        <f t="shared" si="12"/>
        <v>0</v>
      </c>
      <c r="AP27" s="6">
        <f t="shared" si="13"/>
        <v>78</v>
      </c>
      <c r="AQ27" s="955">
        <f t="shared" si="14"/>
        <v>8.6666666666666661</v>
      </c>
      <c r="AR27" s="955">
        <f t="shared" si="15"/>
        <v>0</v>
      </c>
      <c r="AS27" s="955">
        <f t="shared" si="16"/>
        <v>8.6666666666666661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</row>
    <row r="28" spans="1:60" ht="15.75">
      <c r="A28" s="117">
        <v>21</v>
      </c>
      <c r="B28" s="118" t="s">
        <v>949</v>
      </c>
      <c r="C28" s="117" t="s">
        <v>925</v>
      </c>
      <c r="D28" s="117" t="s">
        <v>950</v>
      </c>
      <c r="E28" s="119" t="s">
        <v>15</v>
      </c>
      <c r="F28" s="120">
        <v>20</v>
      </c>
      <c r="G28" s="136">
        <v>250</v>
      </c>
      <c r="H28" s="117">
        <v>0</v>
      </c>
      <c r="I28" s="117">
        <f t="shared" si="4"/>
        <v>250</v>
      </c>
      <c r="J28" s="137">
        <v>76</v>
      </c>
      <c r="K28" s="117">
        <v>0</v>
      </c>
      <c r="L28" s="117">
        <f t="shared" si="5"/>
        <v>76</v>
      </c>
      <c r="M28" s="137">
        <v>35</v>
      </c>
      <c r="N28" s="134">
        <v>0</v>
      </c>
      <c r="O28" s="117">
        <f t="shared" si="6"/>
        <v>35</v>
      </c>
      <c r="P28" s="117">
        <v>0</v>
      </c>
      <c r="Q28" s="117">
        <v>0</v>
      </c>
      <c r="R28" s="117">
        <f t="shared" si="0"/>
        <v>0</v>
      </c>
      <c r="S28" s="117">
        <v>5</v>
      </c>
      <c r="T28" s="117">
        <v>0</v>
      </c>
      <c r="U28" s="117">
        <f t="shared" si="1"/>
        <v>5</v>
      </c>
      <c r="V28" s="117">
        <v>45</v>
      </c>
      <c r="W28" s="117">
        <v>0</v>
      </c>
      <c r="X28" s="117">
        <f t="shared" si="2"/>
        <v>45</v>
      </c>
      <c r="Y28" s="134">
        <f t="shared" si="7"/>
        <v>411</v>
      </c>
      <c r="Z28" s="134">
        <f t="shared" si="7"/>
        <v>0</v>
      </c>
      <c r="AA28" s="134">
        <f t="shared" si="7"/>
        <v>411</v>
      </c>
      <c r="AB28" s="135">
        <f t="shared" si="8"/>
        <v>68.5</v>
      </c>
      <c r="AC28" s="135">
        <f t="shared" si="8"/>
        <v>0</v>
      </c>
      <c r="AD28" s="135">
        <f t="shared" si="8"/>
        <v>68.5</v>
      </c>
      <c r="AE28" s="910">
        <v>55</v>
      </c>
      <c r="AF28" s="134">
        <v>0</v>
      </c>
      <c r="AG28" s="910">
        <f t="shared" si="3"/>
        <v>55</v>
      </c>
      <c r="AH28" s="928">
        <v>67</v>
      </c>
      <c r="AI28" s="927">
        <v>0</v>
      </c>
      <c r="AJ28" s="494">
        <f t="shared" si="9"/>
        <v>67</v>
      </c>
      <c r="AK28" s="137">
        <v>15</v>
      </c>
      <c r="AL28" s="134">
        <v>0</v>
      </c>
      <c r="AM28" s="494">
        <f t="shared" si="10"/>
        <v>15</v>
      </c>
      <c r="AN28" s="6">
        <f t="shared" si="11"/>
        <v>548</v>
      </c>
      <c r="AO28" s="6">
        <f t="shared" si="12"/>
        <v>0</v>
      </c>
      <c r="AP28" s="6">
        <f t="shared" si="13"/>
        <v>548</v>
      </c>
      <c r="AQ28" s="955">
        <f t="shared" si="14"/>
        <v>60.888888888888886</v>
      </c>
      <c r="AR28" s="955">
        <f t="shared" si="15"/>
        <v>0</v>
      </c>
      <c r="AS28" s="955">
        <f t="shared" si="16"/>
        <v>60.888888888888886</v>
      </c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</row>
    <row r="29" spans="1:60" ht="15.75">
      <c r="A29" s="117">
        <v>22</v>
      </c>
      <c r="B29" s="118" t="s">
        <v>951</v>
      </c>
      <c r="C29" s="117" t="s">
        <v>925</v>
      </c>
      <c r="D29" s="117" t="s">
        <v>952</v>
      </c>
      <c r="E29" s="119" t="s">
        <v>15</v>
      </c>
      <c r="F29" s="120">
        <v>10</v>
      </c>
      <c r="G29" s="136">
        <v>20</v>
      </c>
      <c r="H29" s="117">
        <v>0</v>
      </c>
      <c r="I29" s="117">
        <f t="shared" si="4"/>
        <v>20</v>
      </c>
      <c r="J29" s="137">
        <v>0</v>
      </c>
      <c r="K29" s="117">
        <v>0</v>
      </c>
      <c r="L29" s="117">
        <f t="shared" si="5"/>
        <v>0</v>
      </c>
      <c r="M29" s="137">
        <v>0</v>
      </c>
      <c r="N29" s="134">
        <v>0</v>
      </c>
      <c r="O29" s="117">
        <f t="shared" si="6"/>
        <v>0</v>
      </c>
      <c r="P29" s="117">
        <v>3</v>
      </c>
      <c r="Q29" s="117">
        <v>0</v>
      </c>
      <c r="R29" s="117">
        <f t="shared" si="0"/>
        <v>3</v>
      </c>
      <c r="S29" s="117">
        <v>5</v>
      </c>
      <c r="T29" s="117">
        <v>0</v>
      </c>
      <c r="U29" s="117">
        <f t="shared" si="1"/>
        <v>5</v>
      </c>
      <c r="V29" s="117">
        <v>0</v>
      </c>
      <c r="W29" s="117">
        <v>0</v>
      </c>
      <c r="X29" s="117">
        <f t="shared" si="2"/>
        <v>0</v>
      </c>
      <c r="Y29" s="134">
        <f t="shared" si="7"/>
        <v>28</v>
      </c>
      <c r="Z29" s="134">
        <f t="shared" si="7"/>
        <v>0</v>
      </c>
      <c r="AA29" s="134">
        <f t="shared" si="7"/>
        <v>28</v>
      </c>
      <c r="AB29" s="135">
        <f t="shared" si="8"/>
        <v>4.666666666666667</v>
      </c>
      <c r="AC29" s="135">
        <f t="shared" si="8"/>
        <v>0</v>
      </c>
      <c r="AD29" s="135">
        <f t="shared" si="8"/>
        <v>4.666666666666667</v>
      </c>
      <c r="AE29" s="910">
        <v>38</v>
      </c>
      <c r="AF29" s="134">
        <v>0</v>
      </c>
      <c r="AG29" s="910">
        <f t="shared" si="3"/>
        <v>38</v>
      </c>
      <c r="AH29" s="928">
        <v>20</v>
      </c>
      <c r="AI29" s="927">
        <v>0</v>
      </c>
      <c r="AJ29" s="494">
        <f t="shared" si="9"/>
        <v>20</v>
      </c>
      <c r="AK29" s="137">
        <v>10</v>
      </c>
      <c r="AL29" s="134">
        <v>0</v>
      </c>
      <c r="AM29" s="494">
        <f t="shared" si="10"/>
        <v>10</v>
      </c>
      <c r="AN29" s="6">
        <f t="shared" si="11"/>
        <v>96</v>
      </c>
      <c r="AO29" s="6">
        <f t="shared" si="12"/>
        <v>0</v>
      </c>
      <c r="AP29" s="6">
        <f t="shared" si="13"/>
        <v>96</v>
      </c>
      <c r="AQ29" s="955">
        <f t="shared" si="14"/>
        <v>10.666666666666666</v>
      </c>
      <c r="AR29" s="955">
        <f t="shared" si="15"/>
        <v>0</v>
      </c>
      <c r="AS29" s="955">
        <f t="shared" si="16"/>
        <v>10.666666666666666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0" ht="15.75">
      <c r="A30" s="117">
        <v>23</v>
      </c>
      <c r="B30" s="118" t="s">
        <v>953</v>
      </c>
      <c r="C30" s="117" t="s">
        <v>925</v>
      </c>
      <c r="D30" s="117" t="s">
        <v>954</v>
      </c>
      <c r="E30" s="119" t="s">
        <v>15</v>
      </c>
      <c r="F30" s="121">
        <v>15</v>
      </c>
      <c r="G30" s="136">
        <v>12</v>
      </c>
      <c r="H30" s="117">
        <v>0</v>
      </c>
      <c r="I30" s="117">
        <f t="shared" si="4"/>
        <v>12</v>
      </c>
      <c r="J30" s="137">
        <v>0</v>
      </c>
      <c r="K30" s="117">
        <v>0</v>
      </c>
      <c r="L30" s="117">
        <f t="shared" si="5"/>
        <v>0</v>
      </c>
      <c r="M30" s="137">
        <v>19</v>
      </c>
      <c r="N30" s="134">
        <v>0</v>
      </c>
      <c r="O30" s="117">
        <f t="shared" si="6"/>
        <v>19</v>
      </c>
      <c r="P30" s="117">
        <v>6</v>
      </c>
      <c r="Q30" s="117">
        <v>0</v>
      </c>
      <c r="R30" s="117">
        <f t="shared" si="0"/>
        <v>6</v>
      </c>
      <c r="S30" s="117">
        <v>6</v>
      </c>
      <c r="T30" s="117">
        <v>0</v>
      </c>
      <c r="U30" s="117">
        <f t="shared" si="1"/>
        <v>6</v>
      </c>
      <c r="V30" s="117">
        <v>16</v>
      </c>
      <c r="W30" s="117">
        <v>0</v>
      </c>
      <c r="X30" s="117">
        <f t="shared" si="2"/>
        <v>16</v>
      </c>
      <c r="Y30" s="134">
        <f t="shared" si="7"/>
        <v>59</v>
      </c>
      <c r="Z30" s="134">
        <f t="shared" si="7"/>
        <v>0</v>
      </c>
      <c r="AA30" s="134">
        <f t="shared" si="7"/>
        <v>59</v>
      </c>
      <c r="AB30" s="135">
        <f t="shared" si="8"/>
        <v>9.8333333333333339</v>
      </c>
      <c r="AC30" s="135">
        <f t="shared" si="8"/>
        <v>0</v>
      </c>
      <c r="AD30" s="135">
        <f t="shared" si="8"/>
        <v>9.8333333333333339</v>
      </c>
      <c r="AE30" s="910">
        <v>0</v>
      </c>
      <c r="AF30" s="134">
        <v>20</v>
      </c>
      <c r="AG30" s="910">
        <f t="shared" si="3"/>
        <v>20</v>
      </c>
      <c r="AH30" s="928">
        <v>12</v>
      </c>
      <c r="AI30" s="927">
        <v>0</v>
      </c>
      <c r="AJ30" s="494">
        <f t="shared" si="9"/>
        <v>12</v>
      </c>
      <c r="AK30" s="137">
        <v>5</v>
      </c>
      <c r="AL30" s="134">
        <v>0</v>
      </c>
      <c r="AM30" s="494">
        <f t="shared" si="10"/>
        <v>5</v>
      </c>
      <c r="AN30" s="6">
        <f t="shared" si="11"/>
        <v>76</v>
      </c>
      <c r="AO30" s="6">
        <f t="shared" si="12"/>
        <v>20</v>
      </c>
      <c r="AP30" s="6">
        <f t="shared" si="13"/>
        <v>96</v>
      </c>
      <c r="AQ30" s="955">
        <f t="shared" si="14"/>
        <v>8.4444444444444446</v>
      </c>
      <c r="AR30" s="955">
        <f t="shared" si="15"/>
        <v>2.2222222222222223</v>
      </c>
      <c r="AS30" s="955">
        <f t="shared" si="16"/>
        <v>10.666666666666666</v>
      </c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</row>
    <row r="31" spans="1:60" ht="15.75">
      <c r="A31" s="117">
        <v>24</v>
      </c>
      <c r="B31" s="118" t="s">
        <v>955</v>
      </c>
      <c r="C31" s="117" t="s">
        <v>925</v>
      </c>
      <c r="D31" s="117" t="s">
        <v>956</v>
      </c>
      <c r="E31" s="119" t="s">
        <v>15</v>
      </c>
      <c r="F31" s="120">
        <v>10</v>
      </c>
      <c r="G31" s="136">
        <v>200</v>
      </c>
      <c r="H31" s="117">
        <v>0</v>
      </c>
      <c r="I31" s="117">
        <f t="shared" si="4"/>
        <v>200</v>
      </c>
      <c r="J31" s="137">
        <v>36</v>
      </c>
      <c r="K31" s="117">
        <v>0</v>
      </c>
      <c r="L31" s="117">
        <f t="shared" si="5"/>
        <v>36</v>
      </c>
      <c r="M31" s="137">
        <v>25</v>
      </c>
      <c r="N31" s="134">
        <v>0</v>
      </c>
      <c r="O31" s="117">
        <f t="shared" si="6"/>
        <v>25</v>
      </c>
      <c r="P31" s="117">
        <v>18</v>
      </c>
      <c r="Q31" s="117">
        <v>0</v>
      </c>
      <c r="R31" s="117">
        <f t="shared" si="0"/>
        <v>18</v>
      </c>
      <c r="S31" s="117">
        <v>18</v>
      </c>
      <c r="T31" s="117">
        <v>0</v>
      </c>
      <c r="U31" s="117">
        <f t="shared" si="1"/>
        <v>18</v>
      </c>
      <c r="V31" s="117">
        <v>67</v>
      </c>
      <c r="W31" s="117">
        <v>0</v>
      </c>
      <c r="X31" s="117">
        <f t="shared" si="2"/>
        <v>67</v>
      </c>
      <c r="Y31" s="134">
        <f t="shared" si="7"/>
        <v>364</v>
      </c>
      <c r="Z31" s="134">
        <f t="shared" si="7"/>
        <v>0</v>
      </c>
      <c r="AA31" s="134">
        <f t="shared" si="7"/>
        <v>364</v>
      </c>
      <c r="AB31" s="135">
        <f t="shared" si="8"/>
        <v>60.666666666666664</v>
      </c>
      <c r="AC31" s="135">
        <f t="shared" si="8"/>
        <v>0</v>
      </c>
      <c r="AD31" s="135">
        <f t="shared" si="8"/>
        <v>60.666666666666664</v>
      </c>
      <c r="AE31" s="910">
        <v>56</v>
      </c>
      <c r="AF31" s="134">
        <v>0</v>
      </c>
      <c r="AG31" s="910">
        <f t="shared" si="3"/>
        <v>56</v>
      </c>
      <c r="AH31" s="928">
        <v>200</v>
      </c>
      <c r="AI31" s="927">
        <v>0</v>
      </c>
      <c r="AJ31" s="494">
        <f t="shared" si="9"/>
        <v>200</v>
      </c>
      <c r="AK31" s="137">
        <v>156</v>
      </c>
      <c r="AL31" s="134">
        <v>0</v>
      </c>
      <c r="AM31" s="494">
        <f t="shared" si="10"/>
        <v>156</v>
      </c>
      <c r="AN31" s="6">
        <f t="shared" si="11"/>
        <v>776</v>
      </c>
      <c r="AO31" s="6">
        <f t="shared" si="12"/>
        <v>0</v>
      </c>
      <c r="AP31" s="6">
        <f t="shared" si="13"/>
        <v>776</v>
      </c>
      <c r="AQ31" s="955">
        <f t="shared" si="14"/>
        <v>86.222222222222229</v>
      </c>
      <c r="AR31" s="955">
        <f t="shared" si="15"/>
        <v>0</v>
      </c>
      <c r="AS31" s="955">
        <f t="shared" si="16"/>
        <v>86.222222222222229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</row>
    <row r="32" spans="1:60" ht="15.75">
      <c r="A32" s="117">
        <v>25</v>
      </c>
      <c r="B32" s="122" t="s">
        <v>957</v>
      </c>
      <c r="C32" s="117" t="s">
        <v>925</v>
      </c>
      <c r="D32" s="117" t="s">
        <v>958</v>
      </c>
      <c r="E32" s="119" t="s">
        <v>15</v>
      </c>
      <c r="F32" s="120">
        <v>5</v>
      </c>
      <c r="G32" s="136">
        <v>25</v>
      </c>
      <c r="H32" s="117">
        <v>0</v>
      </c>
      <c r="I32" s="117">
        <f t="shared" si="4"/>
        <v>25</v>
      </c>
      <c r="J32" s="137">
        <v>16</v>
      </c>
      <c r="K32" s="117">
        <v>0</v>
      </c>
      <c r="L32" s="117">
        <f t="shared" si="5"/>
        <v>16</v>
      </c>
      <c r="M32" s="137">
        <v>28</v>
      </c>
      <c r="N32" s="134">
        <v>0</v>
      </c>
      <c r="O32" s="117">
        <f t="shared" si="6"/>
        <v>28</v>
      </c>
      <c r="P32" s="117">
        <v>6</v>
      </c>
      <c r="Q32" s="117">
        <v>0</v>
      </c>
      <c r="R32" s="117">
        <f t="shared" si="0"/>
        <v>6</v>
      </c>
      <c r="S32" s="117">
        <v>6</v>
      </c>
      <c r="T32" s="117">
        <v>0</v>
      </c>
      <c r="U32" s="117">
        <f t="shared" si="1"/>
        <v>6</v>
      </c>
      <c r="V32" s="117">
        <v>9</v>
      </c>
      <c r="W32" s="117">
        <v>0</v>
      </c>
      <c r="X32" s="117">
        <f t="shared" si="2"/>
        <v>9</v>
      </c>
      <c r="Y32" s="134">
        <f t="shared" si="7"/>
        <v>90</v>
      </c>
      <c r="Z32" s="134">
        <f t="shared" si="7"/>
        <v>0</v>
      </c>
      <c r="AA32" s="134">
        <f t="shared" si="7"/>
        <v>90</v>
      </c>
      <c r="AB32" s="135">
        <f t="shared" si="8"/>
        <v>15</v>
      </c>
      <c r="AC32" s="135">
        <f t="shared" si="8"/>
        <v>0</v>
      </c>
      <c r="AD32" s="135">
        <f t="shared" si="8"/>
        <v>15</v>
      </c>
      <c r="AE32" s="910">
        <v>5</v>
      </c>
      <c r="AF32" s="134">
        <v>0</v>
      </c>
      <c r="AG32" s="910">
        <f t="shared" si="3"/>
        <v>5</v>
      </c>
      <c r="AH32" s="928">
        <v>25</v>
      </c>
      <c r="AI32" s="927">
        <v>0</v>
      </c>
      <c r="AJ32" s="494">
        <f t="shared" si="9"/>
        <v>25</v>
      </c>
      <c r="AK32" s="137">
        <v>16</v>
      </c>
      <c r="AL32" s="134">
        <v>0</v>
      </c>
      <c r="AM32" s="494">
        <f t="shared" si="10"/>
        <v>16</v>
      </c>
      <c r="AN32" s="6">
        <f t="shared" si="11"/>
        <v>136</v>
      </c>
      <c r="AO32" s="6">
        <f t="shared" si="12"/>
        <v>0</v>
      </c>
      <c r="AP32" s="6">
        <f t="shared" si="13"/>
        <v>136</v>
      </c>
      <c r="AQ32" s="955">
        <f t="shared" si="14"/>
        <v>15.111111111111111</v>
      </c>
      <c r="AR32" s="955">
        <f t="shared" si="15"/>
        <v>0</v>
      </c>
      <c r="AS32" s="955">
        <f t="shared" si="16"/>
        <v>15.111111111111111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</row>
    <row r="33" spans="1:60" ht="15.75">
      <c r="A33" s="117">
        <v>26</v>
      </c>
      <c r="B33" s="118" t="s">
        <v>959</v>
      </c>
      <c r="C33" s="117" t="s">
        <v>960</v>
      </c>
      <c r="D33" s="117" t="s">
        <v>961</v>
      </c>
      <c r="E33" s="119" t="s">
        <v>15</v>
      </c>
      <c r="F33" s="120">
        <v>95</v>
      </c>
      <c r="G33" s="132">
        <v>372</v>
      </c>
      <c r="H33" s="117">
        <v>100</v>
      </c>
      <c r="I33" s="117">
        <f t="shared" si="4"/>
        <v>472</v>
      </c>
      <c r="J33" s="137">
        <v>58</v>
      </c>
      <c r="K33" s="117">
        <v>36</v>
      </c>
      <c r="L33" s="117">
        <f t="shared" si="5"/>
        <v>94</v>
      </c>
      <c r="M33" s="137">
        <v>0</v>
      </c>
      <c r="N33" s="134">
        <v>54</v>
      </c>
      <c r="O33" s="117">
        <f t="shared" si="6"/>
        <v>54</v>
      </c>
      <c r="P33" s="117">
        <v>0</v>
      </c>
      <c r="Q33" s="117">
        <v>0</v>
      </c>
      <c r="R33" s="117">
        <f t="shared" si="0"/>
        <v>0</v>
      </c>
      <c r="S33" s="117">
        <v>120</v>
      </c>
      <c r="T33" s="117">
        <v>54</v>
      </c>
      <c r="U33" s="117">
        <f t="shared" si="1"/>
        <v>174</v>
      </c>
      <c r="V33" s="117">
        <v>352</v>
      </c>
      <c r="W33" s="117">
        <v>0</v>
      </c>
      <c r="X33" s="117">
        <f t="shared" si="2"/>
        <v>352</v>
      </c>
      <c r="Y33" s="134">
        <f t="shared" si="7"/>
        <v>902</v>
      </c>
      <c r="Z33" s="134">
        <f t="shared" si="7"/>
        <v>244</v>
      </c>
      <c r="AA33" s="134">
        <f t="shared" si="7"/>
        <v>1146</v>
      </c>
      <c r="AB33" s="135">
        <f t="shared" si="8"/>
        <v>150.33333333333334</v>
      </c>
      <c r="AC33" s="135">
        <f t="shared" si="8"/>
        <v>40.666666666666664</v>
      </c>
      <c r="AD33" s="135">
        <f t="shared" si="8"/>
        <v>191</v>
      </c>
      <c r="AE33" s="910">
        <v>238</v>
      </c>
      <c r="AF33" s="134">
        <v>0</v>
      </c>
      <c r="AG33" s="910">
        <f t="shared" si="3"/>
        <v>238</v>
      </c>
      <c r="AH33" s="132">
        <v>372</v>
      </c>
      <c r="AI33" s="927">
        <v>112</v>
      </c>
      <c r="AJ33" s="494">
        <f t="shared" si="9"/>
        <v>484</v>
      </c>
      <c r="AK33" s="137">
        <v>122</v>
      </c>
      <c r="AL33" s="134">
        <v>108</v>
      </c>
      <c r="AM33" s="494">
        <f t="shared" si="10"/>
        <v>230</v>
      </c>
      <c r="AN33" s="6">
        <f t="shared" si="11"/>
        <v>1634</v>
      </c>
      <c r="AO33" s="6">
        <f t="shared" si="12"/>
        <v>464</v>
      </c>
      <c r="AP33" s="6">
        <f t="shared" si="13"/>
        <v>2098</v>
      </c>
      <c r="AQ33" s="955">
        <f t="shared" si="14"/>
        <v>181.55555555555554</v>
      </c>
      <c r="AR33" s="955">
        <f t="shared" si="15"/>
        <v>51.555555555555557</v>
      </c>
      <c r="AS33" s="955">
        <f t="shared" si="16"/>
        <v>233.11111111111111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</row>
    <row r="34" spans="1:60" ht="15.75">
      <c r="A34" s="117">
        <v>27</v>
      </c>
      <c r="B34" s="118" t="s">
        <v>962</v>
      </c>
      <c r="C34" s="117" t="s">
        <v>960</v>
      </c>
      <c r="D34" s="117" t="s">
        <v>963</v>
      </c>
      <c r="E34" s="119" t="s">
        <v>15</v>
      </c>
      <c r="F34" s="120">
        <v>10</v>
      </c>
      <c r="G34" s="132">
        <v>5</v>
      </c>
      <c r="H34" s="117">
        <v>0</v>
      </c>
      <c r="I34" s="117">
        <f t="shared" si="4"/>
        <v>5</v>
      </c>
      <c r="J34" s="137">
        <v>15</v>
      </c>
      <c r="K34" s="117">
        <v>0</v>
      </c>
      <c r="L34" s="117">
        <f t="shared" si="5"/>
        <v>15</v>
      </c>
      <c r="M34" s="137">
        <v>0</v>
      </c>
      <c r="N34" s="134">
        <v>0</v>
      </c>
      <c r="O34" s="117">
        <f t="shared" si="6"/>
        <v>0</v>
      </c>
      <c r="P34" s="117">
        <v>16</v>
      </c>
      <c r="Q34" s="117">
        <v>0</v>
      </c>
      <c r="R34" s="117">
        <f t="shared" si="0"/>
        <v>16</v>
      </c>
      <c r="S34" s="117">
        <v>25</v>
      </c>
      <c r="T34" s="117">
        <v>0</v>
      </c>
      <c r="U34" s="117">
        <f t="shared" si="1"/>
        <v>25</v>
      </c>
      <c r="V34" s="117">
        <v>5</v>
      </c>
      <c r="W34" s="117">
        <v>0</v>
      </c>
      <c r="X34" s="117">
        <f t="shared" si="2"/>
        <v>5</v>
      </c>
      <c r="Y34" s="134">
        <f t="shared" si="7"/>
        <v>66</v>
      </c>
      <c r="Z34" s="134">
        <f t="shared" si="7"/>
        <v>0</v>
      </c>
      <c r="AA34" s="134">
        <f t="shared" si="7"/>
        <v>66</v>
      </c>
      <c r="AB34" s="135">
        <f t="shared" si="8"/>
        <v>11</v>
      </c>
      <c r="AC34" s="135">
        <f t="shared" si="8"/>
        <v>0</v>
      </c>
      <c r="AD34" s="135">
        <f t="shared" si="8"/>
        <v>11</v>
      </c>
      <c r="AE34" s="910">
        <v>0</v>
      </c>
      <c r="AF34" s="134">
        <v>0</v>
      </c>
      <c r="AG34" s="910">
        <f t="shared" si="3"/>
        <v>0</v>
      </c>
      <c r="AH34" s="132">
        <v>5</v>
      </c>
      <c r="AI34" s="927">
        <v>0</v>
      </c>
      <c r="AJ34" s="494">
        <f t="shared" si="9"/>
        <v>5</v>
      </c>
      <c r="AK34" s="137">
        <v>15</v>
      </c>
      <c r="AL34" s="134">
        <v>0</v>
      </c>
      <c r="AM34" s="494">
        <f t="shared" si="10"/>
        <v>15</v>
      </c>
      <c r="AN34" s="6">
        <f t="shared" si="11"/>
        <v>86</v>
      </c>
      <c r="AO34" s="6">
        <f t="shared" si="12"/>
        <v>0</v>
      </c>
      <c r="AP34" s="6">
        <f t="shared" si="13"/>
        <v>86</v>
      </c>
      <c r="AQ34" s="955">
        <f t="shared" si="14"/>
        <v>9.5555555555555554</v>
      </c>
      <c r="AR34" s="955">
        <f t="shared" si="15"/>
        <v>0</v>
      </c>
      <c r="AS34" s="955">
        <f t="shared" si="16"/>
        <v>9.5555555555555554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spans="1:60" ht="15.75">
      <c r="A35" s="117">
        <v>28</v>
      </c>
      <c r="B35" s="118" t="s">
        <v>964</v>
      </c>
      <c r="C35" s="117" t="s">
        <v>960</v>
      </c>
      <c r="D35" s="117" t="s">
        <v>965</v>
      </c>
      <c r="E35" s="119" t="s">
        <v>15</v>
      </c>
      <c r="F35" s="120">
        <v>10</v>
      </c>
      <c r="G35" s="132">
        <v>251</v>
      </c>
      <c r="H35" s="117">
        <v>0</v>
      </c>
      <c r="I35" s="117">
        <f t="shared" si="4"/>
        <v>251</v>
      </c>
      <c r="J35" s="137">
        <v>0</v>
      </c>
      <c r="K35" s="117">
        <v>5</v>
      </c>
      <c r="L35" s="117">
        <f t="shared" si="5"/>
        <v>5</v>
      </c>
      <c r="M35" s="137">
        <v>0</v>
      </c>
      <c r="N35" s="134">
        <v>0</v>
      </c>
      <c r="O35" s="117">
        <f t="shared" si="6"/>
        <v>0</v>
      </c>
      <c r="P35" s="117">
        <v>11</v>
      </c>
      <c r="Q35" s="117">
        <v>0</v>
      </c>
      <c r="R35" s="117">
        <f t="shared" si="0"/>
        <v>11</v>
      </c>
      <c r="S35" s="117">
        <v>10</v>
      </c>
      <c r="T35" s="117">
        <v>0</v>
      </c>
      <c r="U35" s="117">
        <f t="shared" si="1"/>
        <v>10</v>
      </c>
      <c r="V35" s="117">
        <v>50</v>
      </c>
      <c r="W35" s="117">
        <v>0</v>
      </c>
      <c r="X35" s="117">
        <f t="shared" si="2"/>
        <v>50</v>
      </c>
      <c r="Y35" s="134">
        <f t="shared" si="7"/>
        <v>322</v>
      </c>
      <c r="Z35" s="134">
        <f t="shared" si="7"/>
        <v>5</v>
      </c>
      <c r="AA35" s="134">
        <f t="shared" si="7"/>
        <v>327</v>
      </c>
      <c r="AB35" s="135">
        <f t="shared" si="8"/>
        <v>53.666666666666664</v>
      </c>
      <c r="AC35" s="135">
        <f t="shared" si="8"/>
        <v>0.83333333333333337</v>
      </c>
      <c r="AD35" s="135">
        <f t="shared" si="8"/>
        <v>54.5</v>
      </c>
      <c r="AE35" s="910">
        <v>68</v>
      </c>
      <c r="AF35" s="134">
        <v>30</v>
      </c>
      <c r="AG35" s="910">
        <f t="shared" si="3"/>
        <v>98</v>
      </c>
      <c r="AH35" s="132">
        <v>0</v>
      </c>
      <c r="AI35" s="927">
        <v>0</v>
      </c>
      <c r="AJ35" s="494">
        <f t="shared" si="9"/>
        <v>0</v>
      </c>
      <c r="AK35" s="137">
        <v>0</v>
      </c>
      <c r="AL35" s="134">
        <v>0</v>
      </c>
      <c r="AM35" s="494">
        <f t="shared" si="10"/>
        <v>0</v>
      </c>
      <c r="AN35" s="6">
        <f t="shared" si="11"/>
        <v>390</v>
      </c>
      <c r="AO35" s="6">
        <f t="shared" si="12"/>
        <v>35</v>
      </c>
      <c r="AP35" s="6">
        <f t="shared" si="13"/>
        <v>425</v>
      </c>
      <c r="AQ35" s="955">
        <f t="shared" si="14"/>
        <v>43.333333333333336</v>
      </c>
      <c r="AR35" s="955">
        <f t="shared" si="15"/>
        <v>3.8888888888888888</v>
      </c>
      <c r="AS35" s="955">
        <f t="shared" si="16"/>
        <v>47.222222222222221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</row>
    <row r="36" spans="1:60" ht="15.75">
      <c r="A36" s="117">
        <v>29</v>
      </c>
      <c r="B36" s="118" t="s">
        <v>966</v>
      </c>
      <c r="C36" s="117" t="s">
        <v>960</v>
      </c>
      <c r="D36" s="117" t="s">
        <v>967</v>
      </c>
      <c r="E36" s="119" t="s">
        <v>15</v>
      </c>
      <c r="F36" s="120">
        <v>5</v>
      </c>
      <c r="G36" s="132">
        <v>20</v>
      </c>
      <c r="H36" s="117">
        <v>0</v>
      </c>
      <c r="I36" s="117">
        <f t="shared" si="4"/>
        <v>20</v>
      </c>
      <c r="J36" s="137">
        <v>6</v>
      </c>
      <c r="K36" s="117">
        <v>0</v>
      </c>
      <c r="L36" s="117">
        <f t="shared" si="5"/>
        <v>6</v>
      </c>
      <c r="M36" s="137">
        <v>20</v>
      </c>
      <c r="N36" s="134">
        <v>0</v>
      </c>
      <c r="O36" s="117">
        <f t="shared" si="6"/>
        <v>20</v>
      </c>
      <c r="P36" s="117">
        <v>6</v>
      </c>
      <c r="Q36" s="117">
        <v>0</v>
      </c>
      <c r="R36" s="117">
        <f t="shared" si="0"/>
        <v>6</v>
      </c>
      <c r="S36" s="117">
        <v>5</v>
      </c>
      <c r="T36" s="117">
        <v>0</v>
      </c>
      <c r="U36" s="117">
        <f t="shared" si="1"/>
        <v>5</v>
      </c>
      <c r="V36" s="117">
        <v>37</v>
      </c>
      <c r="W36" s="117">
        <v>0</v>
      </c>
      <c r="X36" s="117">
        <f t="shared" si="2"/>
        <v>37</v>
      </c>
      <c r="Y36" s="134">
        <f t="shared" si="7"/>
        <v>94</v>
      </c>
      <c r="Z36" s="134">
        <f t="shared" si="7"/>
        <v>0</v>
      </c>
      <c r="AA36" s="134">
        <f t="shared" si="7"/>
        <v>94</v>
      </c>
      <c r="AB36" s="135">
        <f t="shared" si="8"/>
        <v>15.666666666666666</v>
      </c>
      <c r="AC36" s="135">
        <f t="shared" si="8"/>
        <v>0</v>
      </c>
      <c r="AD36" s="135">
        <f t="shared" si="8"/>
        <v>15.666666666666666</v>
      </c>
      <c r="AE36" s="910">
        <v>25</v>
      </c>
      <c r="AF36" s="134">
        <v>0</v>
      </c>
      <c r="AG36" s="910">
        <f t="shared" si="3"/>
        <v>25</v>
      </c>
      <c r="AH36" s="132">
        <v>55</v>
      </c>
      <c r="AI36" s="927">
        <v>0</v>
      </c>
      <c r="AJ36" s="494">
        <f t="shared" si="9"/>
        <v>55</v>
      </c>
      <c r="AK36" s="137">
        <v>38</v>
      </c>
      <c r="AL36" s="134">
        <v>0</v>
      </c>
      <c r="AM36" s="494">
        <f t="shared" si="10"/>
        <v>38</v>
      </c>
      <c r="AN36" s="6">
        <f t="shared" si="11"/>
        <v>212</v>
      </c>
      <c r="AO36" s="6">
        <f t="shared" si="12"/>
        <v>0</v>
      </c>
      <c r="AP36" s="6">
        <f t="shared" si="13"/>
        <v>212</v>
      </c>
      <c r="AQ36" s="955">
        <f t="shared" si="14"/>
        <v>23.555555555555557</v>
      </c>
      <c r="AR36" s="955">
        <f t="shared" si="15"/>
        <v>0</v>
      </c>
      <c r="AS36" s="955">
        <f t="shared" si="16"/>
        <v>23.555555555555557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</row>
    <row r="37" spans="1:60" ht="15.75">
      <c r="A37" s="117">
        <v>30</v>
      </c>
      <c r="B37" s="118" t="s">
        <v>968</v>
      </c>
      <c r="C37" s="117" t="s">
        <v>960</v>
      </c>
      <c r="D37" s="117" t="s">
        <v>969</v>
      </c>
      <c r="E37" s="119" t="s">
        <v>15</v>
      </c>
      <c r="F37" s="120">
        <v>5</v>
      </c>
      <c r="G37" s="132">
        <v>3</v>
      </c>
      <c r="H37" s="117">
        <v>0</v>
      </c>
      <c r="I37" s="117">
        <f t="shared" si="4"/>
        <v>3</v>
      </c>
      <c r="J37" s="137">
        <v>5</v>
      </c>
      <c r="K37" s="117">
        <v>0</v>
      </c>
      <c r="L37" s="117">
        <f t="shared" si="5"/>
        <v>5</v>
      </c>
      <c r="M37" s="137">
        <v>19</v>
      </c>
      <c r="N37" s="134">
        <v>0</v>
      </c>
      <c r="O37" s="117">
        <f t="shared" si="6"/>
        <v>19</v>
      </c>
      <c r="P37" s="117">
        <v>6</v>
      </c>
      <c r="Q37" s="117">
        <v>0</v>
      </c>
      <c r="R37" s="117">
        <f t="shared" si="0"/>
        <v>6</v>
      </c>
      <c r="S37" s="117">
        <v>3</v>
      </c>
      <c r="T37" s="117">
        <v>0</v>
      </c>
      <c r="U37" s="117">
        <f t="shared" si="1"/>
        <v>3</v>
      </c>
      <c r="V37" s="117">
        <v>5</v>
      </c>
      <c r="W37" s="117">
        <v>0</v>
      </c>
      <c r="X37" s="117">
        <f t="shared" si="2"/>
        <v>5</v>
      </c>
      <c r="Y37" s="134">
        <f t="shared" si="7"/>
        <v>41</v>
      </c>
      <c r="Z37" s="134">
        <f t="shared" si="7"/>
        <v>0</v>
      </c>
      <c r="AA37" s="134">
        <f t="shared" si="7"/>
        <v>41</v>
      </c>
      <c r="AB37" s="135">
        <f t="shared" si="8"/>
        <v>6.833333333333333</v>
      </c>
      <c r="AC37" s="135">
        <f t="shared" si="8"/>
        <v>0</v>
      </c>
      <c r="AD37" s="135">
        <f t="shared" si="8"/>
        <v>6.833333333333333</v>
      </c>
      <c r="AE37" s="910">
        <v>0</v>
      </c>
      <c r="AF37" s="134">
        <v>0</v>
      </c>
      <c r="AG37" s="910">
        <f t="shared" si="3"/>
        <v>0</v>
      </c>
      <c r="AH37" s="132">
        <v>3</v>
      </c>
      <c r="AI37" s="927">
        <v>0</v>
      </c>
      <c r="AJ37" s="494">
        <f t="shared" si="9"/>
        <v>3</v>
      </c>
      <c r="AK37" s="137">
        <v>5</v>
      </c>
      <c r="AL37" s="134">
        <v>0</v>
      </c>
      <c r="AM37" s="494">
        <f t="shared" si="10"/>
        <v>5</v>
      </c>
      <c r="AN37" s="6">
        <f t="shared" si="11"/>
        <v>49</v>
      </c>
      <c r="AO37" s="6">
        <f t="shared" si="12"/>
        <v>0</v>
      </c>
      <c r="AP37" s="6">
        <f t="shared" si="13"/>
        <v>49</v>
      </c>
      <c r="AQ37" s="955">
        <f t="shared" si="14"/>
        <v>5.4444444444444446</v>
      </c>
      <c r="AR37" s="955">
        <f t="shared" si="15"/>
        <v>0</v>
      </c>
      <c r="AS37" s="955">
        <f t="shared" si="16"/>
        <v>5.4444444444444446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</row>
    <row r="38" spans="1:60" ht="15.75">
      <c r="A38" s="117">
        <v>31</v>
      </c>
      <c r="B38" s="118" t="s">
        <v>970</v>
      </c>
      <c r="C38" s="117" t="s">
        <v>960</v>
      </c>
      <c r="D38" s="117" t="s">
        <v>971</v>
      </c>
      <c r="E38" s="119" t="s">
        <v>15</v>
      </c>
      <c r="F38" s="120">
        <v>10</v>
      </c>
      <c r="G38" s="132">
        <v>15</v>
      </c>
      <c r="H38" s="117">
        <v>0</v>
      </c>
      <c r="I38" s="117">
        <f t="shared" si="4"/>
        <v>15</v>
      </c>
      <c r="J38" s="137">
        <v>10</v>
      </c>
      <c r="K38" s="117">
        <v>0</v>
      </c>
      <c r="L38" s="117">
        <f t="shared" si="5"/>
        <v>10</v>
      </c>
      <c r="M38" s="137">
        <v>0</v>
      </c>
      <c r="N38" s="134">
        <v>0</v>
      </c>
      <c r="O38" s="117">
        <f t="shared" si="6"/>
        <v>0</v>
      </c>
      <c r="P38" s="117">
        <v>11</v>
      </c>
      <c r="Q38" s="117">
        <v>0</v>
      </c>
      <c r="R38" s="117">
        <f t="shared" si="0"/>
        <v>11</v>
      </c>
      <c r="S38" s="117">
        <v>10</v>
      </c>
      <c r="T38" s="117">
        <v>0</v>
      </c>
      <c r="U38" s="117">
        <f t="shared" si="1"/>
        <v>10</v>
      </c>
      <c r="V38" s="117">
        <v>5</v>
      </c>
      <c r="W38" s="117">
        <v>0</v>
      </c>
      <c r="X38" s="117">
        <f t="shared" si="2"/>
        <v>5</v>
      </c>
      <c r="Y38" s="134">
        <f t="shared" si="7"/>
        <v>51</v>
      </c>
      <c r="Z38" s="134">
        <f t="shared" si="7"/>
        <v>0</v>
      </c>
      <c r="AA38" s="134">
        <f t="shared" si="7"/>
        <v>51</v>
      </c>
      <c r="AB38" s="135">
        <f t="shared" si="8"/>
        <v>8.5</v>
      </c>
      <c r="AC38" s="135">
        <f t="shared" si="8"/>
        <v>0</v>
      </c>
      <c r="AD38" s="135">
        <f t="shared" si="8"/>
        <v>8.5</v>
      </c>
      <c r="AE38" s="910">
        <v>6</v>
      </c>
      <c r="AF38" s="134">
        <v>0</v>
      </c>
      <c r="AG38" s="910">
        <f t="shared" si="3"/>
        <v>6</v>
      </c>
      <c r="AH38" s="132">
        <v>15</v>
      </c>
      <c r="AI38" s="927">
        <v>0</v>
      </c>
      <c r="AJ38" s="494">
        <f t="shared" si="9"/>
        <v>15</v>
      </c>
      <c r="AK38" s="137">
        <v>10</v>
      </c>
      <c r="AL38" s="134">
        <v>0</v>
      </c>
      <c r="AM38" s="494">
        <f t="shared" si="10"/>
        <v>10</v>
      </c>
      <c r="AN38" s="6">
        <f t="shared" si="11"/>
        <v>82</v>
      </c>
      <c r="AO38" s="6">
        <f t="shared" si="12"/>
        <v>0</v>
      </c>
      <c r="AP38" s="6">
        <f t="shared" si="13"/>
        <v>82</v>
      </c>
      <c r="AQ38" s="955">
        <f t="shared" si="14"/>
        <v>9.1111111111111107</v>
      </c>
      <c r="AR38" s="955">
        <f t="shared" si="15"/>
        <v>0</v>
      </c>
      <c r="AS38" s="955">
        <f t="shared" si="16"/>
        <v>9.1111111111111107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ht="15.75">
      <c r="A39" s="117">
        <v>32</v>
      </c>
      <c r="B39" s="118" t="s">
        <v>972</v>
      </c>
      <c r="C39" s="117" t="s">
        <v>960</v>
      </c>
      <c r="D39" s="117" t="s">
        <v>973</v>
      </c>
      <c r="E39" s="119" t="s">
        <v>15</v>
      </c>
      <c r="F39" s="120">
        <v>20</v>
      </c>
      <c r="G39" s="132">
        <v>55</v>
      </c>
      <c r="H39" s="117">
        <v>0</v>
      </c>
      <c r="I39" s="117">
        <f t="shared" si="4"/>
        <v>55</v>
      </c>
      <c r="J39" s="137">
        <v>0</v>
      </c>
      <c r="K39" s="117">
        <v>0</v>
      </c>
      <c r="L39" s="117">
        <f t="shared" si="5"/>
        <v>0</v>
      </c>
      <c r="M39" s="137">
        <v>18</v>
      </c>
      <c r="N39" s="134">
        <v>0</v>
      </c>
      <c r="O39" s="117">
        <f t="shared" si="6"/>
        <v>18</v>
      </c>
      <c r="P39" s="117">
        <v>0</v>
      </c>
      <c r="Q39" s="117">
        <v>0</v>
      </c>
      <c r="R39" s="117">
        <f t="shared" si="0"/>
        <v>0</v>
      </c>
      <c r="S39" s="117">
        <v>12</v>
      </c>
      <c r="T39" s="117">
        <v>0</v>
      </c>
      <c r="U39" s="117">
        <f t="shared" si="1"/>
        <v>12</v>
      </c>
      <c r="V39" s="117">
        <v>5</v>
      </c>
      <c r="W39" s="117">
        <v>0</v>
      </c>
      <c r="X39" s="117">
        <f t="shared" si="2"/>
        <v>5</v>
      </c>
      <c r="Y39" s="134">
        <f t="shared" si="7"/>
        <v>90</v>
      </c>
      <c r="Z39" s="134">
        <f t="shared" si="7"/>
        <v>0</v>
      </c>
      <c r="AA39" s="134">
        <f t="shared" si="7"/>
        <v>90</v>
      </c>
      <c r="AB39" s="135">
        <f t="shared" si="8"/>
        <v>15</v>
      </c>
      <c r="AC39" s="135">
        <f t="shared" si="8"/>
        <v>0</v>
      </c>
      <c r="AD39" s="135">
        <f t="shared" si="8"/>
        <v>15</v>
      </c>
      <c r="AE39" s="910">
        <v>0</v>
      </c>
      <c r="AF39" s="134">
        <v>0</v>
      </c>
      <c r="AG39" s="910">
        <f t="shared" si="3"/>
        <v>0</v>
      </c>
      <c r="AH39" s="132">
        <v>10</v>
      </c>
      <c r="AI39" s="927">
        <v>0</v>
      </c>
      <c r="AJ39" s="494">
        <f t="shared" si="9"/>
        <v>10</v>
      </c>
      <c r="AK39" s="137">
        <v>0</v>
      </c>
      <c r="AL39" s="134">
        <v>0</v>
      </c>
      <c r="AM39" s="494">
        <f t="shared" si="10"/>
        <v>0</v>
      </c>
      <c r="AN39" s="6">
        <f t="shared" si="11"/>
        <v>100</v>
      </c>
      <c r="AO39" s="6">
        <f t="shared" si="12"/>
        <v>0</v>
      </c>
      <c r="AP39" s="6">
        <f t="shared" si="13"/>
        <v>100</v>
      </c>
      <c r="AQ39" s="955">
        <f t="shared" si="14"/>
        <v>11.111111111111111</v>
      </c>
      <c r="AR39" s="955">
        <f t="shared" si="15"/>
        <v>0</v>
      </c>
      <c r="AS39" s="955">
        <f t="shared" si="16"/>
        <v>11.111111111111111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</row>
    <row r="40" spans="1:60" ht="15.75">
      <c r="A40" s="117">
        <v>33</v>
      </c>
      <c r="B40" s="118" t="s">
        <v>974</v>
      </c>
      <c r="C40" s="117" t="s">
        <v>960</v>
      </c>
      <c r="D40" s="117" t="s">
        <v>975</v>
      </c>
      <c r="E40" s="119" t="s">
        <v>15</v>
      </c>
      <c r="F40" s="120">
        <v>80</v>
      </c>
      <c r="G40" s="132">
        <v>422</v>
      </c>
      <c r="H40" s="117">
        <v>0</v>
      </c>
      <c r="I40" s="117">
        <f t="shared" si="4"/>
        <v>422</v>
      </c>
      <c r="J40" s="137">
        <v>55</v>
      </c>
      <c r="K40" s="117">
        <v>0</v>
      </c>
      <c r="L40" s="117">
        <f t="shared" si="5"/>
        <v>55</v>
      </c>
      <c r="M40" s="137">
        <v>0</v>
      </c>
      <c r="N40" s="134">
        <v>0</v>
      </c>
      <c r="O40" s="117">
        <f t="shared" si="6"/>
        <v>0</v>
      </c>
      <c r="P40" s="117">
        <v>0</v>
      </c>
      <c r="Q40" s="117">
        <v>0</v>
      </c>
      <c r="R40" s="117">
        <f t="shared" si="0"/>
        <v>0</v>
      </c>
      <c r="S40" s="117">
        <v>0</v>
      </c>
      <c r="T40" s="117">
        <v>0</v>
      </c>
      <c r="U40" s="117">
        <f t="shared" si="1"/>
        <v>0</v>
      </c>
      <c r="V40" s="117">
        <v>258</v>
      </c>
      <c r="W40" s="117">
        <v>0</v>
      </c>
      <c r="X40" s="117">
        <f t="shared" si="2"/>
        <v>258</v>
      </c>
      <c r="Y40" s="134">
        <f t="shared" si="7"/>
        <v>735</v>
      </c>
      <c r="Z40" s="134">
        <f t="shared" si="7"/>
        <v>0</v>
      </c>
      <c r="AA40" s="134">
        <f t="shared" si="7"/>
        <v>735</v>
      </c>
      <c r="AB40" s="135">
        <f t="shared" si="8"/>
        <v>122.5</v>
      </c>
      <c r="AC40" s="135">
        <f t="shared" si="8"/>
        <v>0</v>
      </c>
      <c r="AD40" s="135">
        <f t="shared" si="8"/>
        <v>122.5</v>
      </c>
      <c r="AE40" s="910">
        <v>238</v>
      </c>
      <c r="AF40" s="134">
        <v>0</v>
      </c>
      <c r="AG40" s="910">
        <f t="shared" si="3"/>
        <v>238</v>
      </c>
      <c r="AH40" s="132">
        <v>352</v>
      </c>
      <c r="AI40" s="927">
        <v>0</v>
      </c>
      <c r="AJ40" s="494">
        <f t="shared" si="9"/>
        <v>352</v>
      </c>
      <c r="AK40" s="137">
        <v>68</v>
      </c>
      <c r="AL40" s="134">
        <v>0</v>
      </c>
      <c r="AM40" s="494">
        <f t="shared" si="10"/>
        <v>68</v>
      </c>
      <c r="AN40" s="6">
        <f t="shared" si="11"/>
        <v>1393</v>
      </c>
      <c r="AO40" s="6">
        <f t="shared" si="12"/>
        <v>0</v>
      </c>
      <c r="AP40" s="6">
        <f t="shared" si="13"/>
        <v>1393</v>
      </c>
      <c r="AQ40" s="955">
        <f t="shared" si="14"/>
        <v>154.77777777777777</v>
      </c>
      <c r="AR40" s="955">
        <f t="shared" si="15"/>
        <v>0</v>
      </c>
      <c r="AS40" s="955">
        <f t="shared" si="16"/>
        <v>154.77777777777777</v>
      </c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</row>
    <row r="41" spans="1:60" ht="15.75">
      <c r="A41" s="117">
        <v>34</v>
      </c>
      <c r="B41" s="118" t="s">
        <v>976</v>
      </c>
      <c r="C41" s="117" t="s">
        <v>960</v>
      </c>
      <c r="D41" s="117" t="s">
        <v>977</v>
      </c>
      <c r="E41" s="119" t="s">
        <v>15</v>
      </c>
      <c r="F41" s="120">
        <v>20</v>
      </c>
      <c r="G41" s="132">
        <v>54</v>
      </c>
      <c r="H41" s="117">
        <v>0</v>
      </c>
      <c r="I41" s="117">
        <f t="shared" si="4"/>
        <v>54</v>
      </c>
      <c r="J41" s="137">
        <v>34</v>
      </c>
      <c r="K41" s="117">
        <v>0</v>
      </c>
      <c r="L41" s="117">
        <f t="shared" si="5"/>
        <v>34</v>
      </c>
      <c r="M41" s="137">
        <v>18</v>
      </c>
      <c r="N41" s="134">
        <v>0</v>
      </c>
      <c r="O41" s="117">
        <f t="shared" si="6"/>
        <v>18</v>
      </c>
      <c r="P41" s="117">
        <v>12</v>
      </c>
      <c r="Q41" s="117">
        <v>0</v>
      </c>
      <c r="R41" s="117">
        <f t="shared" si="0"/>
        <v>12</v>
      </c>
      <c r="S41" s="117">
        <v>0</v>
      </c>
      <c r="T41" s="117">
        <v>0</v>
      </c>
      <c r="U41" s="117">
        <f t="shared" si="1"/>
        <v>0</v>
      </c>
      <c r="V41" s="117">
        <v>112</v>
      </c>
      <c r="W41" s="117">
        <v>0</v>
      </c>
      <c r="X41" s="117">
        <f t="shared" si="2"/>
        <v>112</v>
      </c>
      <c r="Y41" s="134">
        <f t="shared" si="7"/>
        <v>230</v>
      </c>
      <c r="Z41" s="134">
        <f t="shared" si="7"/>
        <v>0</v>
      </c>
      <c r="AA41" s="134">
        <f t="shared" si="7"/>
        <v>230</v>
      </c>
      <c r="AB41" s="135">
        <f t="shared" si="8"/>
        <v>38.333333333333336</v>
      </c>
      <c r="AC41" s="135">
        <f t="shared" si="8"/>
        <v>0</v>
      </c>
      <c r="AD41" s="135">
        <f t="shared" si="8"/>
        <v>38.333333333333336</v>
      </c>
      <c r="AE41" s="910">
        <v>96</v>
      </c>
      <c r="AF41" s="134">
        <v>0</v>
      </c>
      <c r="AG41" s="910">
        <f t="shared" si="3"/>
        <v>96</v>
      </c>
      <c r="AH41" s="132">
        <v>86</v>
      </c>
      <c r="AI41" s="927">
        <v>0</v>
      </c>
      <c r="AJ41" s="494">
        <f t="shared" si="9"/>
        <v>86</v>
      </c>
      <c r="AK41" s="137">
        <v>34</v>
      </c>
      <c r="AL41" s="134">
        <v>0</v>
      </c>
      <c r="AM41" s="494">
        <f t="shared" si="10"/>
        <v>34</v>
      </c>
      <c r="AN41" s="6">
        <f t="shared" si="11"/>
        <v>446</v>
      </c>
      <c r="AO41" s="6">
        <f t="shared" si="12"/>
        <v>0</v>
      </c>
      <c r="AP41" s="6">
        <f t="shared" si="13"/>
        <v>446</v>
      </c>
      <c r="AQ41" s="955">
        <f t="shared" si="14"/>
        <v>49.555555555555557</v>
      </c>
      <c r="AR41" s="955">
        <f t="shared" si="15"/>
        <v>0</v>
      </c>
      <c r="AS41" s="955">
        <f t="shared" si="16"/>
        <v>49.555555555555557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</row>
    <row r="42" spans="1:60" ht="15.75">
      <c r="A42" s="117">
        <v>35</v>
      </c>
      <c r="B42" s="118" t="s">
        <v>978</v>
      </c>
      <c r="C42" s="117" t="s">
        <v>960</v>
      </c>
      <c r="D42" s="117" t="s">
        <v>979</v>
      </c>
      <c r="E42" s="119" t="s">
        <v>15</v>
      </c>
      <c r="F42" s="120">
        <v>10</v>
      </c>
      <c r="G42" s="132">
        <v>42</v>
      </c>
      <c r="H42" s="117">
        <v>0</v>
      </c>
      <c r="I42" s="117">
        <f t="shared" si="4"/>
        <v>42</v>
      </c>
      <c r="J42" s="137">
        <v>0</v>
      </c>
      <c r="K42" s="117">
        <v>0</v>
      </c>
      <c r="L42" s="117">
        <f t="shared" si="5"/>
        <v>0</v>
      </c>
      <c r="M42" s="137">
        <v>0</v>
      </c>
      <c r="N42" s="134">
        <v>0</v>
      </c>
      <c r="O42" s="117">
        <f t="shared" si="6"/>
        <v>0</v>
      </c>
      <c r="P42" s="117">
        <v>16</v>
      </c>
      <c r="Q42" s="117">
        <v>0</v>
      </c>
      <c r="R42" s="117">
        <f t="shared" si="0"/>
        <v>16</v>
      </c>
      <c r="S42" s="117">
        <v>18</v>
      </c>
      <c r="T42" s="117">
        <v>0</v>
      </c>
      <c r="U42" s="117">
        <f t="shared" si="1"/>
        <v>18</v>
      </c>
      <c r="V42" s="117">
        <v>25</v>
      </c>
      <c r="W42" s="117">
        <v>0</v>
      </c>
      <c r="X42" s="117">
        <f t="shared" si="2"/>
        <v>25</v>
      </c>
      <c r="Y42" s="134">
        <f t="shared" si="7"/>
        <v>101</v>
      </c>
      <c r="Z42" s="134">
        <f t="shared" si="7"/>
        <v>0</v>
      </c>
      <c r="AA42" s="134">
        <f t="shared" si="7"/>
        <v>101</v>
      </c>
      <c r="AB42" s="135">
        <f t="shared" si="8"/>
        <v>16.833333333333332</v>
      </c>
      <c r="AC42" s="135">
        <f t="shared" si="8"/>
        <v>0</v>
      </c>
      <c r="AD42" s="135">
        <f t="shared" si="8"/>
        <v>16.833333333333332</v>
      </c>
      <c r="AE42" s="910">
        <v>0</v>
      </c>
      <c r="AF42" s="134">
        <v>0</v>
      </c>
      <c r="AG42" s="910">
        <f t="shared" si="3"/>
        <v>0</v>
      </c>
      <c r="AH42" s="132">
        <v>0</v>
      </c>
      <c r="AI42" s="927">
        <v>0</v>
      </c>
      <c r="AJ42" s="494">
        <f t="shared" si="9"/>
        <v>0</v>
      </c>
      <c r="AK42" s="137">
        <v>0</v>
      </c>
      <c r="AL42" s="134">
        <v>0</v>
      </c>
      <c r="AM42" s="494">
        <f t="shared" si="10"/>
        <v>0</v>
      </c>
      <c r="AN42" s="6">
        <f t="shared" si="11"/>
        <v>101</v>
      </c>
      <c r="AO42" s="6">
        <f t="shared" si="12"/>
        <v>0</v>
      </c>
      <c r="AP42" s="6">
        <f t="shared" si="13"/>
        <v>101</v>
      </c>
      <c r="AQ42" s="955">
        <f t="shared" si="14"/>
        <v>11.222222222222221</v>
      </c>
      <c r="AR42" s="955">
        <f t="shared" si="15"/>
        <v>0</v>
      </c>
      <c r="AS42" s="955">
        <f t="shared" si="16"/>
        <v>11.222222222222221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ht="15.75">
      <c r="A43" s="117">
        <v>36</v>
      </c>
      <c r="B43" s="118" t="s">
        <v>316</v>
      </c>
      <c r="C43" s="117" t="s">
        <v>960</v>
      </c>
      <c r="D43" s="117" t="s">
        <v>980</v>
      </c>
      <c r="E43" s="119" t="s">
        <v>15</v>
      </c>
      <c r="F43" s="120">
        <v>10</v>
      </c>
      <c r="G43" s="132">
        <v>3</v>
      </c>
      <c r="H43" s="117">
        <v>0</v>
      </c>
      <c r="I43" s="117">
        <f t="shared" si="4"/>
        <v>3</v>
      </c>
      <c r="J43" s="137">
        <v>0</v>
      </c>
      <c r="K43" s="117">
        <v>0</v>
      </c>
      <c r="L43" s="117">
        <f t="shared" si="5"/>
        <v>0</v>
      </c>
      <c r="M43" s="137">
        <v>0</v>
      </c>
      <c r="N43" s="134">
        <v>0</v>
      </c>
      <c r="O43" s="117">
        <f t="shared" si="6"/>
        <v>0</v>
      </c>
      <c r="P43" s="117">
        <v>6</v>
      </c>
      <c r="Q43" s="117">
        <v>0</v>
      </c>
      <c r="R43" s="117">
        <f t="shared" si="0"/>
        <v>6</v>
      </c>
      <c r="S43" s="117">
        <v>5</v>
      </c>
      <c r="T43" s="117">
        <v>0</v>
      </c>
      <c r="U43" s="117">
        <f t="shared" si="1"/>
        <v>5</v>
      </c>
      <c r="V43" s="117">
        <v>28</v>
      </c>
      <c r="W43" s="117">
        <v>0</v>
      </c>
      <c r="X43" s="117">
        <f t="shared" si="2"/>
        <v>28</v>
      </c>
      <c r="Y43" s="134">
        <f t="shared" si="7"/>
        <v>42</v>
      </c>
      <c r="Z43" s="134">
        <f t="shared" si="7"/>
        <v>0</v>
      </c>
      <c r="AA43" s="134">
        <f t="shared" si="7"/>
        <v>42</v>
      </c>
      <c r="AB43" s="135">
        <f t="shared" si="8"/>
        <v>7</v>
      </c>
      <c r="AC43" s="135">
        <f t="shared" si="8"/>
        <v>0</v>
      </c>
      <c r="AD43" s="135">
        <f t="shared" si="8"/>
        <v>7</v>
      </c>
      <c r="AE43" s="910">
        <v>0</v>
      </c>
      <c r="AF43" s="134">
        <v>0</v>
      </c>
      <c r="AG43" s="910">
        <f t="shared" si="3"/>
        <v>0</v>
      </c>
      <c r="AH43" s="132">
        <v>3</v>
      </c>
      <c r="AI43" s="927">
        <v>0</v>
      </c>
      <c r="AJ43" s="494">
        <f t="shared" si="9"/>
        <v>3</v>
      </c>
      <c r="AK43" s="137">
        <v>0</v>
      </c>
      <c r="AL43" s="134">
        <v>0</v>
      </c>
      <c r="AM43" s="494">
        <f t="shared" si="10"/>
        <v>0</v>
      </c>
      <c r="AN43" s="6">
        <f t="shared" si="11"/>
        <v>45</v>
      </c>
      <c r="AO43" s="6">
        <f t="shared" si="12"/>
        <v>0</v>
      </c>
      <c r="AP43" s="6">
        <f t="shared" si="13"/>
        <v>45</v>
      </c>
      <c r="AQ43" s="955">
        <f t="shared" si="14"/>
        <v>5</v>
      </c>
      <c r="AR43" s="955">
        <f t="shared" si="15"/>
        <v>0</v>
      </c>
      <c r="AS43" s="955">
        <f t="shared" si="16"/>
        <v>5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</row>
    <row r="44" spans="1:60" ht="15.75">
      <c r="A44" s="117">
        <v>37</v>
      </c>
      <c r="B44" s="118" t="s">
        <v>981</v>
      </c>
      <c r="C44" s="117" t="s">
        <v>960</v>
      </c>
      <c r="D44" s="117" t="s">
        <v>982</v>
      </c>
      <c r="E44" s="119" t="s">
        <v>15</v>
      </c>
      <c r="F44" s="120">
        <v>10</v>
      </c>
      <c r="G44" s="132">
        <v>5</v>
      </c>
      <c r="H44" s="117">
        <v>0</v>
      </c>
      <c r="I44" s="117">
        <f t="shared" si="4"/>
        <v>5</v>
      </c>
      <c r="J44" s="137">
        <v>0</v>
      </c>
      <c r="K44" s="117">
        <v>0</v>
      </c>
      <c r="L44" s="117">
        <f t="shared" si="5"/>
        <v>0</v>
      </c>
      <c r="M44" s="137">
        <v>26</v>
      </c>
      <c r="N44" s="134">
        <v>0</v>
      </c>
      <c r="O44" s="117">
        <f t="shared" si="6"/>
        <v>26</v>
      </c>
      <c r="P44" s="117">
        <v>10</v>
      </c>
      <c r="Q44" s="117">
        <v>0</v>
      </c>
      <c r="R44" s="117">
        <f t="shared" si="0"/>
        <v>10</v>
      </c>
      <c r="S44" s="117">
        <v>6</v>
      </c>
      <c r="T44" s="117">
        <v>0</v>
      </c>
      <c r="U44" s="117">
        <f t="shared" si="1"/>
        <v>6</v>
      </c>
      <c r="V44" s="117">
        <v>23</v>
      </c>
      <c r="W44" s="117">
        <v>0</v>
      </c>
      <c r="X44" s="117">
        <f t="shared" si="2"/>
        <v>23</v>
      </c>
      <c r="Y44" s="134">
        <f t="shared" si="7"/>
        <v>70</v>
      </c>
      <c r="Z44" s="134">
        <f t="shared" si="7"/>
        <v>0</v>
      </c>
      <c r="AA44" s="134">
        <f t="shared" si="7"/>
        <v>70</v>
      </c>
      <c r="AB44" s="135">
        <f t="shared" si="8"/>
        <v>11.666666666666666</v>
      </c>
      <c r="AC44" s="135">
        <f t="shared" si="8"/>
        <v>0</v>
      </c>
      <c r="AD44" s="135">
        <f t="shared" si="8"/>
        <v>11.666666666666666</v>
      </c>
      <c r="AE44" s="910">
        <v>0</v>
      </c>
      <c r="AF44" s="134">
        <v>0</v>
      </c>
      <c r="AG44" s="910">
        <f t="shared" si="3"/>
        <v>0</v>
      </c>
      <c r="AH44" s="132">
        <v>5</v>
      </c>
      <c r="AI44" s="927">
        <v>0</v>
      </c>
      <c r="AJ44" s="494">
        <f t="shared" si="9"/>
        <v>5</v>
      </c>
      <c r="AK44" s="137">
        <v>0</v>
      </c>
      <c r="AL44" s="134">
        <v>0</v>
      </c>
      <c r="AM44" s="494">
        <f t="shared" si="10"/>
        <v>0</v>
      </c>
      <c r="AN44" s="6">
        <f t="shared" si="11"/>
        <v>75</v>
      </c>
      <c r="AO44" s="6">
        <f t="shared" si="12"/>
        <v>0</v>
      </c>
      <c r="AP44" s="6">
        <f t="shared" si="13"/>
        <v>75</v>
      </c>
      <c r="AQ44" s="955">
        <f t="shared" si="14"/>
        <v>8.3333333333333339</v>
      </c>
      <c r="AR44" s="955">
        <f t="shared" si="15"/>
        <v>0</v>
      </c>
      <c r="AS44" s="955">
        <f t="shared" si="16"/>
        <v>8.3333333333333339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</row>
    <row r="45" spans="1:60" ht="15.75">
      <c r="A45" s="117">
        <v>38</v>
      </c>
      <c r="B45" s="118" t="s">
        <v>983</v>
      </c>
      <c r="C45" s="117" t="s">
        <v>960</v>
      </c>
      <c r="D45" s="117" t="s">
        <v>984</v>
      </c>
      <c r="E45" s="119" t="s">
        <v>15</v>
      </c>
      <c r="F45" s="120">
        <v>11</v>
      </c>
      <c r="G45" s="132">
        <v>28</v>
      </c>
      <c r="H45" s="117">
        <v>0</v>
      </c>
      <c r="I45" s="117">
        <f t="shared" si="4"/>
        <v>28</v>
      </c>
      <c r="J45" s="137">
        <v>0</v>
      </c>
      <c r="K45" s="117">
        <v>0</v>
      </c>
      <c r="L45" s="117">
        <f t="shared" si="5"/>
        <v>0</v>
      </c>
      <c r="M45" s="137">
        <v>15</v>
      </c>
      <c r="N45" s="134">
        <v>0</v>
      </c>
      <c r="O45" s="117">
        <f t="shared" si="6"/>
        <v>15</v>
      </c>
      <c r="P45" s="117">
        <v>6</v>
      </c>
      <c r="Q45" s="117">
        <v>0</v>
      </c>
      <c r="R45" s="117">
        <f t="shared" si="0"/>
        <v>6</v>
      </c>
      <c r="S45" s="117">
        <v>5</v>
      </c>
      <c r="T45" s="117">
        <v>0</v>
      </c>
      <c r="U45" s="117">
        <f t="shared" si="1"/>
        <v>5</v>
      </c>
      <c r="V45" s="117">
        <v>18</v>
      </c>
      <c r="W45" s="117">
        <v>0</v>
      </c>
      <c r="X45" s="117">
        <f t="shared" si="2"/>
        <v>18</v>
      </c>
      <c r="Y45" s="134">
        <f t="shared" si="7"/>
        <v>72</v>
      </c>
      <c r="Z45" s="134">
        <f t="shared" si="7"/>
        <v>0</v>
      </c>
      <c r="AA45" s="134">
        <f t="shared" si="7"/>
        <v>72</v>
      </c>
      <c r="AB45" s="135">
        <f t="shared" si="8"/>
        <v>12</v>
      </c>
      <c r="AC45" s="135">
        <f t="shared" si="8"/>
        <v>0</v>
      </c>
      <c r="AD45" s="135">
        <f t="shared" si="8"/>
        <v>12</v>
      </c>
      <c r="AE45" s="910">
        <v>15</v>
      </c>
      <c r="AF45" s="134">
        <v>0</v>
      </c>
      <c r="AG45" s="910">
        <f t="shared" si="3"/>
        <v>15</v>
      </c>
      <c r="AH45" s="132">
        <v>28</v>
      </c>
      <c r="AI45" s="927">
        <v>0</v>
      </c>
      <c r="AJ45" s="494">
        <f t="shared" si="9"/>
        <v>28</v>
      </c>
      <c r="AK45" s="137">
        <v>0</v>
      </c>
      <c r="AL45" s="134">
        <v>0</v>
      </c>
      <c r="AM45" s="494">
        <f t="shared" si="10"/>
        <v>0</v>
      </c>
      <c r="AN45" s="6">
        <f t="shared" si="11"/>
        <v>115</v>
      </c>
      <c r="AO45" s="6">
        <f t="shared" si="12"/>
        <v>0</v>
      </c>
      <c r="AP45" s="6">
        <f t="shared" si="13"/>
        <v>115</v>
      </c>
      <c r="AQ45" s="955">
        <f t="shared" si="14"/>
        <v>12.777777777777779</v>
      </c>
      <c r="AR45" s="955">
        <f t="shared" si="15"/>
        <v>0</v>
      </c>
      <c r="AS45" s="955">
        <f t="shared" si="16"/>
        <v>12.777777777777779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</row>
    <row r="46" spans="1:60" ht="15.75">
      <c r="A46" s="117">
        <v>39</v>
      </c>
      <c r="B46" s="123" t="s">
        <v>985</v>
      </c>
      <c r="C46" s="117" t="s">
        <v>960</v>
      </c>
      <c r="D46" s="117" t="s">
        <v>986</v>
      </c>
      <c r="E46" s="119" t="s">
        <v>15</v>
      </c>
      <c r="F46" s="120">
        <v>10</v>
      </c>
      <c r="G46" s="132">
        <v>35</v>
      </c>
      <c r="H46" s="117">
        <v>0</v>
      </c>
      <c r="I46" s="117">
        <f t="shared" si="4"/>
        <v>35</v>
      </c>
      <c r="J46" s="137">
        <v>0</v>
      </c>
      <c r="K46" s="117">
        <v>0</v>
      </c>
      <c r="L46" s="117">
        <f t="shared" si="5"/>
        <v>0</v>
      </c>
      <c r="M46" s="137">
        <v>0</v>
      </c>
      <c r="N46" s="134">
        <v>0</v>
      </c>
      <c r="O46" s="117">
        <f t="shared" si="6"/>
        <v>0</v>
      </c>
      <c r="P46" s="117">
        <v>6</v>
      </c>
      <c r="Q46" s="117">
        <v>0</v>
      </c>
      <c r="R46" s="117">
        <f t="shared" si="0"/>
        <v>6</v>
      </c>
      <c r="S46" s="117">
        <v>8</v>
      </c>
      <c r="T46" s="117">
        <v>0</v>
      </c>
      <c r="U46" s="117">
        <f t="shared" si="1"/>
        <v>8</v>
      </c>
      <c r="V46" s="117">
        <v>10</v>
      </c>
      <c r="W46" s="117">
        <v>0</v>
      </c>
      <c r="X46" s="117">
        <f t="shared" si="2"/>
        <v>10</v>
      </c>
      <c r="Y46" s="134">
        <f t="shared" si="7"/>
        <v>59</v>
      </c>
      <c r="Z46" s="134">
        <f t="shared" si="7"/>
        <v>0</v>
      </c>
      <c r="AA46" s="134">
        <f t="shared" si="7"/>
        <v>59</v>
      </c>
      <c r="AB46" s="135">
        <f t="shared" si="8"/>
        <v>9.8333333333333339</v>
      </c>
      <c r="AC46" s="135">
        <f t="shared" si="8"/>
        <v>0</v>
      </c>
      <c r="AD46" s="135">
        <f t="shared" si="8"/>
        <v>9.8333333333333339</v>
      </c>
      <c r="AE46" s="910">
        <v>12</v>
      </c>
      <c r="AF46" s="134">
        <v>0</v>
      </c>
      <c r="AG46" s="910">
        <f t="shared" si="3"/>
        <v>12</v>
      </c>
      <c r="AH46" s="132">
        <v>35</v>
      </c>
      <c r="AI46" s="927">
        <v>0</v>
      </c>
      <c r="AJ46" s="494">
        <f t="shared" si="9"/>
        <v>35</v>
      </c>
      <c r="AK46" s="137">
        <v>0</v>
      </c>
      <c r="AL46" s="134">
        <v>0</v>
      </c>
      <c r="AM46" s="494">
        <f t="shared" si="10"/>
        <v>0</v>
      </c>
      <c r="AN46" s="6">
        <f t="shared" si="11"/>
        <v>106</v>
      </c>
      <c r="AO46" s="6">
        <f t="shared" si="12"/>
        <v>0</v>
      </c>
      <c r="AP46" s="6">
        <f t="shared" si="13"/>
        <v>106</v>
      </c>
      <c r="AQ46" s="955">
        <f t="shared" si="14"/>
        <v>11.777777777777779</v>
      </c>
      <c r="AR46" s="955">
        <f t="shared" si="15"/>
        <v>0</v>
      </c>
      <c r="AS46" s="955">
        <f t="shared" si="16"/>
        <v>11.777777777777779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ht="15.75">
      <c r="A47" s="117">
        <v>40</v>
      </c>
      <c r="B47" s="123" t="s">
        <v>947</v>
      </c>
      <c r="C47" s="117" t="s">
        <v>960</v>
      </c>
      <c r="D47" s="117" t="s">
        <v>987</v>
      </c>
      <c r="E47" s="119" t="s">
        <v>15</v>
      </c>
      <c r="F47" s="120">
        <v>10</v>
      </c>
      <c r="G47" s="132">
        <v>6</v>
      </c>
      <c r="H47" s="117">
        <v>0</v>
      </c>
      <c r="I47" s="117">
        <f t="shared" si="4"/>
        <v>6</v>
      </c>
      <c r="J47" s="137">
        <v>0</v>
      </c>
      <c r="K47" s="117">
        <v>0</v>
      </c>
      <c r="L47" s="117">
        <f t="shared" si="5"/>
        <v>0</v>
      </c>
      <c r="M47" s="137">
        <v>20</v>
      </c>
      <c r="N47" s="134">
        <v>0</v>
      </c>
      <c r="O47" s="117">
        <f t="shared" si="6"/>
        <v>20</v>
      </c>
      <c r="P47" s="117">
        <v>3</v>
      </c>
      <c r="Q47" s="117">
        <v>0</v>
      </c>
      <c r="R47" s="117">
        <f t="shared" si="0"/>
        <v>3</v>
      </c>
      <c r="S47" s="117">
        <v>3</v>
      </c>
      <c r="T47" s="117">
        <v>0</v>
      </c>
      <c r="U47" s="117">
        <f t="shared" si="1"/>
        <v>3</v>
      </c>
      <c r="V47" s="117">
        <v>47</v>
      </c>
      <c r="W47" s="117">
        <v>0</v>
      </c>
      <c r="X47" s="117">
        <f t="shared" si="2"/>
        <v>47</v>
      </c>
      <c r="Y47" s="134">
        <f t="shared" si="7"/>
        <v>79</v>
      </c>
      <c r="Z47" s="134">
        <f t="shared" si="7"/>
        <v>0</v>
      </c>
      <c r="AA47" s="134">
        <f t="shared" si="7"/>
        <v>79</v>
      </c>
      <c r="AB47" s="135">
        <f t="shared" si="8"/>
        <v>13.166666666666666</v>
      </c>
      <c r="AC47" s="135">
        <f t="shared" si="8"/>
        <v>0</v>
      </c>
      <c r="AD47" s="135">
        <f t="shared" si="8"/>
        <v>13.166666666666666</v>
      </c>
      <c r="AE47" s="910">
        <v>57</v>
      </c>
      <c r="AF47" s="134">
        <v>0</v>
      </c>
      <c r="AG47" s="910">
        <f t="shared" si="3"/>
        <v>57</v>
      </c>
      <c r="AH47" s="132">
        <v>6</v>
      </c>
      <c r="AI47" s="927">
        <v>0</v>
      </c>
      <c r="AJ47" s="494">
        <f t="shared" si="9"/>
        <v>6</v>
      </c>
      <c r="AK47" s="137">
        <v>0</v>
      </c>
      <c r="AL47" s="134">
        <v>0</v>
      </c>
      <c r="AM47" s="494">
        <f t="shared" si="10"/>
        <v>0</v>
      </c>
      <c r="AN47" s="6">
        <f t="shared" si="11"/>
        <v>142</v>
      </c>
      <c r="AO47" s="6">
        <f t="shared" si="12"/>
        <v>0</v>
      </c>
      <c r="AP47" s="6">
        <f t="shared" si="13"/>
        <v>142</v>
      </c>
      <c r="AQ47" s="955">
        <f t="shared" si="14"/>
        <v>15.777777777777779</v>
      </c>
      <c r="AR47" s="955">
        <f t="shared" si="15"/>
        <v>0</v>
      </c>
      <c r="AS47" s="955">
        <f t="shared" si="16"/>
        <v>15.777777777777779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</row>
    <row r="48" spans="1:60" ht="15.75">
      <c r="A48" s="117">
        <v>41</v>
      </c>
      <c r="B48" s="123" t="s">
        <v>988</v>
      </c>
      <c r="C48" s="117" t="s">
        <v>960</v>
      </c>
      <c r="D48" s="117" t="s">
        <v>989</v>
      </c>
      <c r="E48" s="119" t="s">
        <v>15</v>
      </c>
      <c r="F48" s="120">
        <v>13</v>
      </c>
      <c r="G48" s="132">
        <v>10</v>
      </c>
      <c r="H48" s="117">
        <v>0</v>
      </c>
      <c r="I48" s="117">
        <f t="shared" si="4"/>
        <v>10</v>
      </c>
      <c r="J48" s="137">
        <v>0</v>
      </c>
      <c r="K48" s="117">
        <v>0</v>
      </c>
      <c r="L48" s="117">
        <f t="shared" si="5"/>
        <v>0</v>
      </c>
      <c r="M48" s="137">
        <v>20</v>
      </c>
      <c r="N48" s="134">
        <v>0</v>
      </c>
      <c r="O48" s="117">
        <f t="shared" si="6"/>
        <v>20</v>
      </c>
      <c r="P48" s="117">
        <v>10</v>
      </c>
      <c r="Q48" s="117">
        <v>0</v>
      </c>
      <c r="R48" s="117">
        <f t="shared" si="0"/>
        <v>10</v>
      </c>
      <c r="S48" s="117">
        <v>11</v>
      </c>
      <c r="T48" s="117">
        <v>0</v>
      </c>
      <c r="U48" s="117">
        <f t="shared" si="1"/>
        <v>11</v>
      </c>
      <c r="V48" s="117">
        <v>55</v>
      </c>
      <c r="W48" s="117">
        <v>0</v>
      </c>
      <c r="X48" s="117">
        <f t="shared" si="2"/>
        <v>55</v>
      </c>
      <c r="Y48" s="134">
        <f t="shared" si="7"/>
        <v>106</v>
      </c>
      <c r="Z48" s="134">
        <f t="shared" si="7"/>
        <v>0</v>
      </c>
      <c r="AA48" s="134">
        <f t="shared" si="7"/>
        <v>106</v>
      </c>
      <c r="AB48" s="135">
        <f t="shared" si="8"/>
        <v>17.666666666666668</v>
      </c>
      <c r="AC48" s="135">
        <f t="shared" si="8"/>
        <v>0</v>
      </c>
      <c r="AD48" s="135">
        <f t="shared" si="8"/>
        <v>17.666666666666668</v>
      </c>
      <c r="AE48" s="910">
        <v>85</v>
      </c>
      <c r="AF48" s="134">
        <v>0</v>
      </c>
      <c r="AG48" s="910">
        <f t="shared" si="3"/>
        <v>85</v>
      </c>
      <c r="AH48" s="132">
        <v>10</v>
      </c>
      <c r="AI48" s="927">
        <v>0</v>
      </c>
      <c r="AJ48" s="494">
        <f t="shared" si="9"/>
        <v>10</v>
      </c>
      <c r="AK48" s="137">
        <v>0</v>
      </c>
      <c r="AL48" s="134">
        <v>0</v>
      </c>
      <c r="AM48" s="494">
        <f t="shared" si="10"/>
        <v>0</v>
      </c>
      <c r="AN48" s="6">
        <f t="shared" si="11"/>
        <v>201</v>
      </c>
      <c r="AO48" s="6">
        <f t="shared" si="12"/>
        <v>0</v>
      </c>
      <c r="AP48" s="6">
        <f t="shared" si="13"/>
        <v>201</v>
      </c>
      <c r="AQ48" s="955">
        <f t="shared" si="14"/>
        <v>22.333333333333332</v>
      </c>
      <c r="AR48" s="955">
        <f t="shared" si="15"/>
        <v>0</v>
      </c>
      <c r="AS48" s="955">
        <f t="shared" si="16"/>
        <v>22.333333333333332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</row>
    <row r="49" spans="1:60" ht="15.75">
      <c r="A49" s="117">
        <v>42</v>
      </c>
      <c r="B49" s="123" t="s">
        <v>990</v>
      </c>
      <c r="C49" s="117" t="s">
        <v>960</v>
      </c>
      <c r="D49" s="117" t="s">
        <v>991</v>
      </c>
      <c r="E49" s="119" t="s">
        <v>15</v>
      </c>
      <c r="F49" s="120">
        <v>16</v>
      </c>
      <c r="G49" s="132">
        <v>15</v>
      </c>
      <c r="H49" s="117">
        <v>0</v>
      </c>
      <c r="I49" s="117">
        <f t="shared" si="4"/>
        <v>15</v>
      </c>
      <c r="J49" s="137">
        <v>5</v>
      </c>
      <c r="K49" s="117">
        <v>0</v>
      </c>
      <c r="L49" s="117">
        <f t="shared" si="5"/>
        <v>5</v>
      </c>
      <c r="M49" s="137">
        <v>0</v>
      </c>
      <c r="N49" s="134">
        <v>0</v>
      </c>
      <c r="O49" s="117">
        <f t="shared" si="6"/>
        <v>0</v>
      </c>
      <c r="P49" s="117">
        <v>10</v>
      </c>
      <c r="Q49" s="117">
        <v>0</v>
      </c>
      <c r="R49" s="117">
        <f t="shared" si="0"/>
        <v>10</v>
      </c>
      <c r="S49" s="117">
        <v>10</v>
      </c>
      <c r="T49" s="117">
        <v>0</v>
      </c>
      <c r="U49" s="117">
        <f t="shared" si="1"/>
        <v>10</v>
      </c>
      <c r="V49" s="117">
        <v>38</v>
      </c>
      <c r="W49" s="117">
        <v>0</v>
      </c>
      <c r="X49" s="117">
        <f t="shared" si="2"/>
        <v>38</v>
      </c>
      <c r="Y49" s="134">
        <f t="shared" si="7"/>
        <v>78</v>
      </c>
      <c r="Z49" s="134">
        <f t="shared" si="7"/>
        <v>0</v>
      </c>
      <c r="AA49" s="134">
        <f t="shared" si="7"/>
        <v>78</v>
      </c>
      <c r="AB49" s="135">
        <f t="shared" si="8"/>
        <v>13</v>
      </c>
      <c r="AC49" s="135">
        <f t="shared" si="8"/>
        <v>0</v>
      </c>
      <c r="AD49" s="135">
        <f t="shared" si="8"/>
        <v>13</v>
      </c>
      <c r="AE49" s="910">
        <v>28</v>
      </c>
      <c r="AF49" s="134">
        <v>0</v>
      </c>
      <c r="AG49" s="910">
        <f t="shared" si="3"/>
        <v>28</v>
      </c>
      <c r="AH49" s="132">
        <v>15</v>
      </c>
      <c r="AI49" s="927">
        <v>0</v>
      </c>
      <c r="AJ49" s="494">
        <f t="shared" si="9"/>
        <v>15</v>
      </c>
      <c r="AK49" s="137">
        <v>5</v>
      </c>
      <c r="AL49" s="134">
        <v>0</v>
      </c>
      <c r="AM49" s="494">
        <f t="shared" si="10"/>
        <v>5</v>
      </c>
      <c r="AN49" s="6">
        <f t="shared" si="11"/>
        <v>126</v>
      </c>
      <c r="AO49" s="6">
        <f t="shared" si="12"/>
        <v>0</v>
      </c>
      <c r="AP49" s="6">
        <f t="shared" si="13"/>
        <v>126</v>
      </c>
      <c r="AQ49" s="955">
        <f t="shared" si="14"/>
        <v>14</v>
      </c>
      <c r="AR49" s="955">
        <f t="shared" si="15"/>
        <v>0</v>
      </c>
      <c r="AS49" s="955">
        <f t="shared" si="16"/>
        <v>14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</row>
    <row r="50" spans="1:60" ht="15.75">
      <c r="A50" s="117">
        <v>43</v>
      </c>
      <c r="B50" s="123" t="s">
        <v>992</v>
      </c>
      <c r="C50" s="117" t="s">
        <v>960</v>
      </c>
      <c r="D50" s="117" t="s">
        <v>993</v>
      </c>
      <c r="E50" s="119" t="s">
        <v>15</v>
      </c>
      <c r="F50" s="120">
        <v>9</v>
      </c>
      <c r="G50" s="132">
        <v>0</v>
      </c>
      <c r="H50" s="117">
        <v>0</v>
      </c>
      <c r="I50" s="117">
        <f t="shared" si="4"/>
        <v>0</v>
      </c>
      <c r="J50" s="137">
        <v>3</v>
      </c>
      <c r="K50" s="117">
        <v>0</v>
      </c>
      <c r="L50" s="117">
        <f t="shared" si="5"/>
        <v>3</v>
      </c>
      <c r="M50" s="137">
        <v>25</v>
      </c>
      <c r="N50" s="134">
        <v>0</v>
      </c>
      <c r="O50" s="117">
        <f t="shared" si="6"/>
        <v>25</v>
      </c>
      <c r="P50" s="117">
        <v>5</v>
      </c>
      <c r="Q50" s="117">
        <v>0</v>
      </c>
      <c r="R50" s="117">
        <f t="shared" si="0"/>
        <v>5</v>
      </c>
      <c r="S50" s="117">
        <v>15</v>
      </c>
      <c r="T50" s="117">
        <v>0</v>
      </c>
      <c r="U50" s="117">
        <f t="shared" si="1"/>
        <v>15</v>
      </c>
      <c r="V50" s="117">
        <v>48</v>
      </c>
      <c r="W50" s="117">
        <v>0</v>
      </c>
      <c r="X50" s="117">
        <f t="shared" si="2"/>
        <v>48</v>
      </c>
      <c r="Y50" s="134">
        <f t="shared" si="7"/>
        <v>96</v>
      </c>
      <c r="Z50" s="134">
        <f t="shared" si="7"/>
        <v>0</v>
      </c>
      <c r="AA50" s="134">
        <f t="shared" si="7"/>
        <v>96</v>
      </c>
      <c r="AB50" s="135">
        <f t="shared" si="8"/>
        <v>16</v>
      </c>
      <c r="AC50" s="135">
        <f t="shared" si="8"/>
        <v>0</v>
      </c>
      <c r="AD50" s="135">
        <f t="shared" si="8"/>
        <v>16</v>
      </c>
      <c r="AE50" s="910">
        <v>33</v>
      </c>
      <c r="AF50" s="134">
        <v>0</v>
      </c>
      <c r="AG50" s="910">
        <f t="shared" si="3"/>
        <v>33</v>
      </c>
      <c r="AH50" s="132">
        <v>0</v>
      </c>
      <c r="AI50" s="927">
        <v>0</v>
      </c>
      <c r="AJ50" s="494">
        <f t="shared" si="9"/>
        <v>0</v>
      </c>
      <c r="AK50" s="137">
        <v>3</v>
      </c>
      <c r="AL50" s="134">
        <v>0</v>
      </c>
      <c r="AM50" s="494">
        <f t="shared" si="10"/>
        <v>3</v>
      </c>
      <c r="AN50" s="6">
        <f t="shared" si="11"/>
        <v>132</v>
      </c>
      <c r="AO50" s="6">
        <f t="shared" si="12"/>
        <v>0</v>
      </c>
      <c r="AP50" s="6">
        <f t="shared" si="13"/>
        <v>132</v>
      </c>
      <c r="AQ50" s="955">
        <f t="shared" si="14"/>
        <v>14.666666666666666</v>
      </c>
      <c r="AR50" s="955">
        <f t="shared" si="15"/>
        <v>0</v>
      </c>
      <c r="AS50" s="955">
        <f t="shared" si="16"/>
        <v>14.666666666666666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ht="15.75">
      <c r="A51" s="117">
        <v>44</v>
      </c>
      <c r="B51" s="118" t="s">
        <v>994</v>
      </c>
      <c r="C51" s="117" t="s">
        <v>995</v>
      </c>
      <c r="D51" s="117" t="s">
        <v>996</v>
      </c>
      <c r="E51" s="119" t="s">
        <v>15</v>
      </c>
      <c r="F51" s="121">
        <v>15</v>
      </c>
      <c r="G51" s="132">
        <v>5</v>
      </c>
      <c r="H51" s="117">
        <v>0</v>
      </c>
      <c r="I51" s="117">
        <f t="shared" si="4"/>
        <v>5</v>
      </c>
      <c r="J51" s="137">
        <v>0</v>
      </c>
      <c r="K51" s="117">
        <v>0</v>
      </c>
      <c r="L51" s="117">
        <f t="shared" si="5"/>
        <v>0</v>
      </c>
      <c r="M51" s="137">
        <v>0</v>
      </c>
      <c r="N51" s="134">
        <v>0</v>
      </c>
      <c r="O51" s="117">
        <f t="shared" si="6"/>
        <v>0</v>
      </c>
      <c r="P51" s="117">
        <v>6</v>
      </c>
      <c r="Q51" s="117">
        <v>0</v>
      </c>
      <c r="R51" s="117">
        <f t="shared" si="0"/>
        <v>6</v>
      </c>
      <c r="S51" s="117">
        <v>3</v>
      </c>
      <c r="T51" s="117">
        <v>0</v>
      </c>
      <c r="U51" s="117">
        <f t="shared" si="1"/>
        <v>3</v>
      </c>
      <c r="V51" s="117">
        <v>6</v>
      </c>
      <c r="W51" s="117">
        <v>0</v>
      </c>
      <c r="X51" s="117">
        <f t="shared" si="2"/>
        <v>6</v>
      </c>
      <c r="Y51" s="134">
        <f t="shared" si="7"/>
        <v>20</v>
      </c>
      <c r="Z51" s="134">
        <f t="shared" si="7"/>
        <v>0</v>
      </c>
      <c r="AA51" s="134">
        <f t="shared" si="7"/>
        <v>20</v>
      </c>
      <c r="AB51" s="135">
        <f t="shared" si="8"/>
        <v>3.3333333333333335</v>
      </c>
      <c r="AC51" s="135">
        <f t="shared" si="8"/>
        <v>0</v>
      </c>
      <c r="AD51" s="135">
        <f t="shared" si="8"/>
        <v>3.3333333333333335</v>
      </c>
      <c r="AE51" s="910">
        <v>0</v>
      </c>
      <c r="AF51" s="134">
        <v>0</v>
      </c>
      <c r="AG51" s="910">
        <f t="shared" si="3"/>
        <v>0</v>
      </c>
      <c r="AH51" s="132">
        <v>25</v>
      </c>
      <c r="AI51" s="927">
        <v>0</v>
      </c>
      <c r="AJ51" s="494">
        <f t="shared" si="9"/>
        <v>25</v>
      </c>
      <c r="AK51" s="137">
        <v>0</v>
      </c>
      <c r="AL51" s="134">
        <v>0</v>
      </c>
      <c r="AM51" s="494">
        <f t="shared" si="10"/>
        <v>0</v>
      </c>
      <c r="AN51" s="6">
        <f t="shared" si="11"/>
        <v>45</v>
      </c>
      <c r="AO51" s="6">
        <f t="shared" si="12"/>
        <v>0</v>
      </c>
      <c r="AP51" s="6">
        <f t="shared" si="13"/>
        <v>45</v>
      </c>
      <c r="AQ51" s="955">
        <f t="shared" si="14"/>
        <v>5</v>
      </c>
      <c r="AR51" s="955">
        <f t="shared" si="15"/>
        <v>0</v>
      </c>
      <c r="AS51" s="955">
        <f t="shared" si="16"/>
        <v>5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</row>
    <row r="52" spans="1:60" ht="15.75">
      <c r="A52" s="117">
        <v>45</v>
      </c>
      <c r="B52" s="118" t="s">
        <v>997</v>
      </c>
      <c r="C52" s="117" t="s">
        <v>995</v>
      </c>
      <c r="D52" s="117" t="s">
        <v>998</v>
      </c>
      <c r="E52" s="119" t="s">
        <v>15</v>
      </c>
      <c r="F52" s="121">
        <v>20</v>
      </c>
      <c r="G52" s="132">
        <v>0</v>
      </c>
      <c r="H52" s="117">
        <v>0</v>
      </c>
      <c r="I52" s="117">
        <f t="shared" si="4"/>
        <v>0</v>
      </c>
      <c r="J52" s="137">
        <v>0</v>
      </c>
      <c r="K52" s="117">
        <v>0</v>
      </c>
      <c r="L52" s="117">
        <f t="shared" si="5"/>
        <v>0</v>
      </c>
      <c r="M52" s="137">
        <v>15</v>
      </c>
      <c r="N52" s="134">
        <v>0</v>
      </c>
      <c r="O52" s="117">
        <f t="shared" si="6"/>
        <v>15</v>
      </c>
      <c r="P52" s="117">
        <v>5</v>
      </c>
      <c r="Q52" s="117">
        <v>0</v>
      </c>
      <c r="R52" s="117">
        <f t="shared" si="0"/>
        <v>5</v>
      </c>
      <c r="S52" s="117">
        <v>6</v>
      </c>
      <c r="T52" s="117">
        <v>0</v>
      </c>
      <c r="U52" s="117">
        <f t="shared" si="1"/>
        <v>6</v>
      </c>
      <c r="V52" s="117">
        <v>10</v>
      </c>
      <c r="W52" s="117">
        <v>0</v>
      </c>
      <c r="X52" s="117">
        <f t="shared" si="2"/>
        <v>10</v>
      </c>
      <c r="Y52" s="134">
        <f t="shared" si="7"/>
        <v>36</v>
      </c>
      <c r="Z52" s="134">
        <f t="shared" si="7"/>
        <v>0</v>
      </c>
      <c r="AA52" s="134">
        <f t="shared" si="7"/>
        <v>36</v>
      </c>
      <c r="AB52" s="135">
        <f t="shared" si="8"/>
        <v>6</v>
      </c>
      <c r="AC52" s="135">
        <f t="shared" si="8"/>
        <v>0</v>
      </c>
      <c r="AD52" s="135">
        <f t="shared" si="8"/>
        <v>6</v>
      </c>
      <c r="AE52" s="910">
        <v>15</v>
      </c>
      <c r="AF52" s="134">
        <v>0</v>
      </c>
      <c r="AG52" s="910">
        <f t="shared" si="3"/>
        <v>15</v>
      </c>
      <c r="AH52" s="132">
        <v>0</v>
      </c>
      <c r="AI52" s="927">
        <v>0</v>
      </c>
      <c r="AJ52" s="494">
        <f t="shared" si="9"/>
        <v>0</v>
      </c>
      <c r="AK52" s="137">
        <v>0</v>
      </c>
      <c r="AL52" s="134">
        <v>0</v>
      </c>
      <c r="AM52" s="494">
        <f t="shared" si="10"/>
        <v>0</v>
      </c>
      <c r="AN52" s="6">
        <f t="shared" si="11"/>
        <v>51</v>
      </c>
      <c r="AO52" s="6">
        <f t="shared" si="12"/>
        <v>0</v>
      </c>
      <c r="AP52" s="6">
        <f t="shared" si="13"/>
        <v>51</v>
      </c>
      <c r="AQ52" s="955">
        <f t="shared" si="14"/>
        <v>5.666666666666667</v>
      </c>
      <c r="AR52" s="955">
        <f t="shared" si="15"/>
        <v>0</v>
      </c>
      <c r="AS52" s="955">
        <f t="shared" si="16"/>
        <v>5.666666666666667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ht="15.75">
      <c r="A53" s="117">
        <v>46</v>
      </c>
      <c r="B53" s="118" t="s">
        <v>999</v>
      </c>
      <c r="C53" s="117" t="s">
        <v>995</v>
      </c>
      <c r="D53" s="117" t="s">
        <v>1000</v>
      </c>
      <c r="E53" s="119" t="s">
        <v>15</v>
      </c>
      <c r="F53" s="121">
        <v>25</v>
      </c>
      <c r="G53" s="132">
        <v>36</v>
      </c>
      <c r="H53" s="117">
        <v>0</v>
      </c>
      <c r="I53" s="117">
        <f t="shared" si="4"/>
        <v>36</v>
      </c>
      <c r="J53" s="137">
        <v>10</v>
      </c>
      <c r="K53" s="117">
        <v>0</v>
      </c>
      <c r="L53" s="117">
        <f t="shared" si="5"/>
        <v>10</v>
      </c>
      <c r="M53" s="137">
        <v>20</v>
      </c>
      <c r="N53" s="134">
        <v>0</v>
      </c>
      <c r="O53" s="117">
        <f t="shared" si="6"/>
        <v>20</v>
      </c>
      <c r="P53" s="117">
        <v>19</v>
      </c>
      <c r="Q53" s="117">
        <v>0</v>
      </c>
      <c r="R53" s="117">
        <f t="shared" si="0"/>
        <v>19</v>
      </c>
      <c r="S53" s="117">
        <v>11</v>
      </c>
      <c r="T53" s="117">
        <v>0</v>
      </c>
      <c r="U53" s="117">
        <f t="shared" si="1"/>
        <v>11</v>
      </c>
      <c r="V53" s="117">
        <v>180</v>
      </c>
      <c r="W53" s="117">
        <v>0</v>
      </c>
      <c r="X53" s="117">
        <f t="shared" si="2"/>
        <v>180</v>
      </c>
      <c r="Y53" s="134">
        <f t="shared" si="7"/>
        <v>276</v>
      </c>
      <c r="Z53" s="134">
        <f t="shared" si="7"/>
        <v>0</v>
      </c>
      <c r="AA53" s="134">
        <f t="shared" si="7"/>
        <v>276</v>
      </c>
      <c r="AB53" s="135">
        <f t="shared" si="8"/>
        <v>46</v>
      </c>
      <c r="AC53" s="135">
        <f t="shared" si="8"/>
        <v>0</v>
      </c>
      <c r="AD53" s="135">
        <f t="shared" si="8"/>
        <v>46</v>
      </c>
      <c r="AE53" s="910">
        <v>154</v>
      </c>
      <c r="AF53" s="134">
        <v>30</v>
      </c>
      <c r="AG53" s="910">
        <f t="shared" si="3"/>
        <v>184</v>
      </c>
      <c r="AH53" s="132">
        <v>136</v>
      </c>
      <c r="AI53" s="927">
        <v>0</v>
      </c>
      <c r="AJ53" s="494">
        <f t="shared" si="9"/>
        <v>136</v>
      </c>
      <c r="AK53" s="137">
        <v>132</v>
      </c>
      <c r="AL53" s="134">
        <v>98</v>
      </c>
      <c r="AM53" s="494">
        <f t="shared" si="10"/>
        <v>230</v>
      </c>
      <c r="AN53" s="6">
        <f t="shared" si="11"/>
        <v>698</v>
      </c>
      <c r="AO53" s="6">
        <f t="shared" si="12"/>
        <v>128</v>
      </c>
      <c r="AP53" s="6">
        <f t="shared" si="13"/>
        <v>826</v>
      </c>
      <c r="AQ53" s="955">
        <f t="shared" si="14"/>
        <v>77.555555555555557</v>
      </c>
      <c r="AR53" s="955">
        <f t="shared" si="15"/>
        <v>14.222222222222221</v>
      </c>
      <c r="AS53" s="955">
        <f t="shared" si="16"/>
        <v>91.777777777777771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</row>
    <row r="54" spans="1:60" ht="15.75">
      <c r="A54" s="117">
        <v>47</v>
      </c>
      <c r="B54" s="118" t="s">
        <v>1001</v>
      </c>
      <c r="C54" s="117" t="s">
        <v>995</v>
      </c>
      <c r="D54" s="117" t="s">
        <v>1002</v>
      </c>
      <c r="E54" s="119" t="s">
        <v>15</v>
      </c>
      <c r="F54" s="121">
        <v>20</v>
      </c>
      <c r="G54" s="132">
        <v>10</v>
      </c>
      <c r="H54" s="117">
        <v>0</v>
      </c>
      <c r="I54" s="117">
        <f t="shared" si="4"/>
        <v>10</v>
      </c>
      <c r="J54" s="137">
        <v>56</v>
      </c>
      <c r="K54" s="117">
        <v>100</v>
      </c>
      <c r="L54" s="117">
        <f t="shared" si="5"/>
        <v>156</v>
      </c>
      <c r="M54" s="137">
        <v>0</v>
      </c>
      <c r="N54" s="134">
        <v>72</v>
      </c>
      <c r="O54" s="117">
        <f t="shared" si="6"/>
        <v>72</v>
      </c>
      <c r="P54" s="117">
        <v>16</v>
      </c>
      <c r="Q54" s="117">
        <v>0</v>
      </c>
      <c r="R54" s="117">
        <f t="shared" si="0"/>
        <v>16</v>
      </c>
      <c r="S54" s="117">
        <v>5</v>
      </c>
      <c r="T54" s="117">
        <v>0</v>
      </c>
      <c r="U54" s="117">
        <f t="shared" si="1"/>
        <v>5</v>
      </c>
      <c r="V54" s="117">
        <v>5</v>
      </c>
      <c r="W54" s="117">
        <v>0</v>
      </c>
      <c r="X54" s="117">
        <f t="shared" si="2"/>
        <v>5</v>
      </c>
      <c r="Y54" s="134">
        <f t="shared" si="7"/>
        <v>92</v>
      </c>
      <c r="Z54" s="134">
        <f t="shared" si="7"/>
        <v>172</v>
      </c>
      <c r="AA54" s="134">
        <f t="shared" si="7"/>
        <v>264</v>
      </c>
      <c r="AB54" s="135">
        <f t="shared" si="8"/>
        <v>15.333333333333334</v>
      </c>
      <c r="AC54" s="135">
        <f t="shared" si="8"/>
        <v>28.666666666666668</v>
      </c>
      <c r="AD54" s="135">
        <f t="shared" si="8"/>
        <v>44</v>
      </c>
      <c r="AE54" s="910">
        <v>6</v>
      </c>
      <c r="AF54" s="134">
        <v>0</v>
      </c>
      <c r="AG54" s="910">
        <f t="shared" si="3"/>
        <v>6</v>
      </c>
      <c r="AH54" s="132">
        <v>10</v>
      </c>
      <c r="AI54" s="927">
        <v>0</v>
      </c>
      <c r="AJ54" s="494">
        <f t="shared" si="9"/>
        <v>10</v>
      </c>
      <c r="AK54" s="137">
        <v>16</v>
      </c>
      <c r="AL54" s="134">
        <v>0</v>
      </c>
      <c r="AM54" s="494">
        <f t="shared" si="10"/>
        <v>16</v>
      </c>
      <c r="AN54" s="6">
        <f t="shared" si="11"/>
        <v>124</v>
      </c>
      <c r="AO54" s="6">
        <f t="shared" si="12"/>
        <v>172</v>
      </c>
      <c r="AP54" s="6">
        <f t="shared" si="13"/>
        <v>296</v>
      </c>
      <c r="AQ54" s="955">
        <f t="shared" si="14"/>
        <v>13.777777777777779</v>
      </c>
      <c r="AR54" s="955">
        <f t="shared" si="15"/>
        <v>19.111111111111111</v>
      </c>
      <c r="AS54" s="955">
        <f t="shared" si="16"/>
        <v>32.888888888888886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</row>
    <row r="55" spans="1:60" ht="15.75">
      <c r="A55" s="117">
        <v>48</v>
      </c>
      <c r="B55" s="118" t="s">
        <v>1003</v>
      </c>
      <c r="C55" s="117" t="s">
        <v>995</v>
      </c>
      <c r="D55" s="117" t="s">
        <v>1004</v>
      </c>
      <c r="E55" s="119" t="s">
        <v>15</v>
      </c>
      <c r="F55" s="121">
        <v>5</v>
      </c>
      <c r="G55" s="132">
        <v>20</v>
      </c>
      <c r="H55" s="117">
        <v>0</v>
      </c>
      <c r="I55" s="117">
        <f t="shared" si="4"/>
        <v>20</v>
      </c>
      <c r="J55" s="137">
        <v>0</v>
      </c>
      <c r="K55" s="117">
        <v>0</v>
      </c>
      <c r="L55" s="117">
        <f t="shared" si="5"/>
        <v>0</v>
      </c>
      <c r="M55" s="137">
        <v>20</v>
      </c>
      <c r="N55" s="134">
        <v>0</v>
      </c>
      <c r="O55" s="117">
        <f t="shared" si="6"/>
        <v>20</v>
      </c>
      <c r="P55" s="117">
        <v>5</v>
      </c>
      <c r="Q55" s="117">
        <v>0</v>
      </c>
      <c r="R55" s="117">
        <f t="shared" si="0"/>
        <v>5</v>
      </c>
      <c r="S55" s="117">
        <v>10</v>
      </c>
      <c r="T55" s="117">
        <v>0</v>
      </c>
      <c r="U55" s="117">
        <f t="shared" si="1"/>
        <v>10</v>
      </c>
      <c r="V55" s="117">
        <v>160</v>
      </c>
      <c r="W55" s="117">
        <v>0</v>
      </c>
      <c r="X55" s="117">
        <f t="shared" si="2"/>
        <v>160</v>
      </c>
      <c r="Y55" s="134">
        <f t="shared" si="7"/>
        <v>215</v>
      </c>
      <c r="Z55" s="134">
        <f t="shared" si="7"/>
        <v>0</v>
      </c>
      <c r="AA55" s="134">
        <f t="shared" si="7"/>
        <v>215</v>
      </c>
      <c r="AB55" s="135">
        <f t="shared" si="8"/>
        <v>35.833333333333336</v>
      </c>
      <c r="AC55" s="135">
        <f t="shared" si="8"/>
        <v>0</v>
      </c>
      <c r="AD55" s="135">
        <f t="shared" si="8"/>
        <v>35.833333333333336</v>
      </c>
      <c r="AE55" s="910">
        <v>180</v>
      </c>
      <c r="AF55" s="134">
        <v>0</v>
      </c>
      <c r="AG55" s="910">
        <f t="shared" si="3"/>
        <v>180</v>
      </c>
      <c r="AH55" s="132">
        <v>138</v>
      </c>
      <c r="AI55" s="927">
        <v>0</v>
      </c>
      <c r="AJ55" s="494">
        <f t="shared" si="9"/>
        <v>138</v>
      </c>
      <c r="AK55" s="137">
        <v>0</v>
      </c>
      <c r="AL55" s="134">
        <v>0</v>
      </c>
      <c r="AM55" s="494">
        <f t="shared" si="10"/>
        <v>0</v>
      </c>
      <c r="AN55" s="6">
        <f t="shared" si="11"/>
        <v>533</v>
      </c>
      <c r="AO55" s="6">
        <f t="shared" si="12"/>
        <v>0</v>
      </c>
      <c r="AP55" s="6">
        <f t="shared" si="13"/>
        <v>533</v>
      </c>
      <c r="AQ55" s="955">
        <f t="shared" si="14"/>
        <v>59.222222222222221</v>
      </c>
      <c r="AR55" s="955">
        <f t="shared" si="15"/>
        <v>0</v>
      </c>
      <c r="AS55" s="955">
        <f t="shared" si="16"/>
        <v>59.222222222222221</v>
      </c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</row>
    <row r="56" spans="1:60" ht="15.75">
      <c r="A56" s="117">
        <v>49</v>
      </c>
      <c r="B56" s="118" t="s">
        <v>1005</v>
      </c>
      <c r="C56" s="117" t="s">
        <v>995</v>
      </c>
      <c r="D56" s="117" t="s">
        <v>1006</v>
      </c>
      <c r="E56" s="119" t="s">
        <v>15</v>
      </c>
      <c r="F56" s="121">
        <v>20</v>
      </c>
      <c r="G56" s="132">
        <v>12</v>
      </c>
      <c r="H56" s="117">
        <v>0</v>
      </c>
      <c r="I56" s="117">
        <f t="shared" si="4"/>
        <v>12</v>
      </c>
      <c r="J56" s="137">
        <v>0</v>
      </c>
      <c r="K56" s="117">
        <v>0</v>
      </c>
      <c r="L56" s="117">
        <f t="shared" si="5"/>
        <v>0</v>
      </c>
      <c r="M56" s="137">
        <v>18</v>
      </c>
      <c r="N56" s="134">
        <v>6</v>
      </c>
      <c r="O56" s="117">
        <f t="shared" si="6"/>
        <v>24</v>
      </c>
      <c r="P56" s="117">
        <v>0</v>
      </c>
      <c r="Q56" s="117">
        <v>0</v>
      </c>
      <c r="R56" s="117">
        <f t="shared" si="0"/>
        <v>0</v>
      </c>
      <c r="S56" s="117">
        <v>13</v>
      </c>
      <c r="T56" s="117">
        <v>0</v>
      </c>
      <c r="U56" s="117">
        <f t="shared" si="1"/>
        <v>13</v>
      </c>
      <c r="V56" s="117">
        <v>20</v>
      </c>
      <c r="W56" s="117">
        <v>0</v>
      </c>
      <c r="X56" s="117">
        <f t="shared" si="2"/>
        <v>20</v>
      </c>
      <c r="Y56" s="134">
        <f t="shared" si="7"/>
        <v>63</v>
      </c>
      <c r="Z56" s="134">
        <f t="shared" si="7"/>
        <v>6</v>
      </c>
      <c r="AA56" s="134">
        <f t="shared" si="7"/>
        <v>69</v>
      </c>
      <c r="AB56" s="135">
        <f t="shared" si="8"/>
        <v>10.5</v>
      </c>
      <c r="AC56" s="135">
        <f t="shared" si="8"/>
        <v>1</v>
      </c>
      <c r="AD56" s="135">
        <f t="shared" si="8"/>
        <v>11.5</v>
      </c>
      <c r="AE56" s="910">
        <v>15</v>
      </c>
      <c r="AF56" s="134">
        <v>0</v>
      </c>
      <c r="AG56" s="910">
        <f t="shared" si="3"/>
        <v>15</v>
      </c>
      <c r="AH56" s="132">
        <v>12</v>
      </c>
      <c r="AI56" s="927">
        <v>0</v>
      </c>
      <c r="AJ56" s="494">
        <f t="shared" si="9"/>
        <v>12</v>
      </c>
      <c r="AK56" s="137">
        <v>0</v>
      </c>
      <c r="AL56" s="134">
        <v>0</v>
      </c>
      <c r="AM56" s="494">
        <f t="shared" si="10"/>
        <v>0</v>
      </c>
      <c r="AN56" s="6">
        <f t="shared" si="11"/>
        <v>90</v>
      </c>
      <c r="AO56" s="6">
        <f t="shared" si="12"/>
        <v>6</v>
      </c>
      <c r="AP56" s="6">
        <f t="shared" si="13"/>
        <v>96</v>
      </c>
      <c r="AQ56" s="955">
        <f t="shared" si="14"/>
        <v>10</v>
      </c>
      <c r="AR56" s="955">
        <f t="shared" si="15"/>
        <v>0.66666666666666663</v>
      </c>
      <c r="AS56" s="955">
        <f t="shared" si="16"/>
        <v>10.666666666666666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  <row r="57" spans="1:60" ht="15.75">
      <c r="A57" s="117">
        <v>50</v>
      </c>
      <c r="B57" s="118" t="s">
        <v>51</v>
      </c>
      <c r="C57" s="117" t="s">
        <v>995</v>
      </c>
      <c r="D57" s="117" t="s">
        <v>1007</v>
      </c>
      <c r="E57" s="119" t="s">
        <v>15</v>
      </c>
      <c r="F57" s="121">
        <v>15</v>
      </c>
      <c r="G57" s="132">
        <v>40</v>
      </c>
      <c r="H57" s="117">
        <v>0</v>
      </c>
      <c r="I57" s="117">
        <f t="shared" si="4"/>
        <v>40</v>
      </c>
      <c r="J57" s="137">
        <v>25</v>
      </c>
      <c r="K57" s="117">
        <v>27</v>
      </c>
      <c r="L57" s="117">
        <f t="shared" si="5"/>
        <v>52</v>
      </c>
      <c r="M57" s="137">
        <v>0</v>
      </c>
      <c r="N57" s="134">
        <v>0</v>
      </c>
      <c r="O57" s="117">
        <f t="shared" si="6"/>
        <v>0</v>
      </c>
      <c r="P57" s="117">
        <v>11</v>
      </c>
      <c r="Q57" s="117">
        <v>0</v>
      </c>
      <c r="R57" s="117">
        <f t="shared" si="0"/>
        <v>11</v>
      </c>
      <c r="S57" s="117">
        <v>8</v>
      </c>
      <c r="T57" s="117">
        <v>0</v>
      </c>
      <c r="U57" s="117">
        <f t="shared" si="1"/>
        <v>8</v>
      </c>
      <c r="V57" s="117">
        <v>6</v>
      </c>
      <c r="W57" s="117">
        <v>0</v>
      </c>
      <c r="X57" s="117">
        <f t="shared" si="2"/>
        <v>6</v>
      </c>
      <c r="Y57" s="134">
        <f t="shared" si="7"/>
        <v>90</v>
      </c>
      <c r="Z57" s="134">
        <f t="shared" si="7"/>
        <v>27</v>
      </c>
      <c r="AA57" s="134">
        <f t="shared" si="7"/>
        <v>117</v>
      </c>
      <c r="AB57" s="135">
        <f t="shared" si="8"/>
        <v>15</v>
      </c>
      <c r="AC57" s="135">
        <f t="shared" si="8"/>
        <v>4.5</v>
      </c>
      <c r="AD57" s="135">
        <f t="shared" si="8"/>
        <v>19.5</v>
      </c>
      <c r="AE57" s="910">
        <v>28</v>
      </c>
      <c r="AF57" s="134">
        <v>0</v>
      </c>
      <c r="AG57" s="910">
        <f t="shared" si="3"/>
        <v>28</v>
      </c>
      <c r="AH57" s="132">
        <v>40</v>
      </c>
      <c r="AI57" s="927">
        <v>0</v>
      </c>
      <c r="AJ57" s="494">
        <f t="shared" si="9"/>
        <v>40</v>
      </c>
      <c r="AK57" s="137">
        <v>10</v>
      </c>
      <c r="AL57" s="134">
        <v>0</v>
      </c>
      <c r="AM57" s="494">
        <f t="shared" si="10"/>
        <v>10</v>
      </c>
      <c r="AN57" s="6">
        <f t="shared" si="11"/>
        <v>168</v>
      </c>
      <c r="AO57" s="6">
        <f t="shared" si="12"/>
        <v>27</v>
      </c>
      <c r="AP57" s="6">
        <f t="shared" si="13"/>
        <v>195</v>
      </c>
      <c r="AQ57" s="955">
        <f t="shared" si="14"/>
        <v>18.666666666666668</v>
      </c>
      <c r="AR57" s="955">
        <f t="shared" si="15"/>
        <v>3</v>
      </c>
      <c r="AS57" s="955">
        <f t="shared" si="16"/>
        <v>21.666666666666668</v>
      </c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</row>
    <row r="58" spans="1:60" ht="15.75">
      <c r="A58" s="117">
        <v>51</v>
      </c>
      <c r="B58" s="118" t="s">
        <v>1008</v>
      </c>
      <c r="C58" s="117" t="s">
        <v>995</v>
      </c>
      <c r="D58" s="117" t="s">
        <v>1009</v>
      </c>
      <c r="E58" s="119" t="s">
        <v>15</v>
      </c>
      <c r="F58" s="121">
        <v>10</v>
      </c>
      <c r="G58" s="132">
        <v>32</v>
      </c>
      <c r="H58" s="117">
        <v>0</v>
      </c>
      <c r="I58" s="117">
        <f t="shared" si="4"/>
        <v>32</v>
      </c>
      <c r="J58" s="137">
        <v>0</v>
      </c>
      <c r="K58" s="117">
        <v>0</v>
      </c>
      <c r="L58" s="117">
        <f t="shared" si="5"/>
        <v>0</v>
      </c>
      <c r="M58" s="137">
        <v>0</v>
      </c>
      <c r="N58" s="134">
        <v>0</v>
      </c>
      <c r="O58" s="117">
        <f t="shared" si="6"/>
        <v>0</v>
      </c>
      <c r="P58" s="117">
        <v>5</v>
      </c>
      <c r="Q58" s="117">
        <v>0</v>
      </c>
      <c r="R58" s="117">
        <f t="shared" si="0"/>
        <v>5</v>
      </c>
      <c r="S58" s="117">
        <v>6</v>
      </c>
      <c r="T58" s="117">
        <v>0</v>
      </c>
      <c r="U58" s="117">
        <f t="shared" si="1"/>
        <v>6</v>
      </c>
      <c r="V58" s="117">
        <v>5</v>
      </c>
      <c r="W58" s="117">
        <v>0</v>
      </c>
      <c r="X58" s="117">
        <f t="shared" si="2"/>
        <v>5</v>
      </c>
      <c r="Y58" s="134">
        <f t="shared" si="7"/>
        <v>48</v>
      </c>
      <c r="Z58" s="134">
        <f t="shared" si="7"/>
        <v>0</v>
      </c>
      <c r="AA58" s="134">
        <f t="shared" si="7"/>
        <v>48</v>
      </c>
      <c r="AB58" s="135">
        <f t="shared" si="8"/>
        <v>8</v>
      </c>
      <c r="AC58" s="135">
        <f t="shared" si="8"/>
        <v>0</v>
      </c>
      <c r="AD58" s="135">
        <f t="shared" si="8"/>
        <v>8</v>
      </c>
      <c r="AE58" s="910">
        <v>5</v>
      </c>
      <c r="AF58" s="134">
        <v>0</v>
      </c>
      <c r="AG58" s="910">
        <f t="shared" si="3"/>
        <v>5</v>
      </c>
      <c r="AH58" s="132">
        <v>32</v>
      </c>
      <c r="AI58" s="927">
        <v>0</v>
      </c>
      <c r="AJ58" s="494">
        <f t="shared" si="9"/>
        <v>32</v>
      </c>
      <c r="AK58" s="137">
        <v>15</v>
      </c>
      <c r="AL58" s="134">
        <v>0</v>
      </c>
      <c r="AM58" s="494">
        <f t="shared" si="10"/>
        <v>15</v>
      </c>
      <c r="AN58" s="6">
        <f t="shared" si="11"/>
        <v>100</v>
      </c>
      <c r="AO58" s="6">
        <f t="shared" si="12"/>
        <v>0</v>
      </c>
      <c r="AP58" s="6">
        <f t="shared" si="13"/>
        <v>100</v>
      </c>
      <c r="AQ58" s="955">
        <f t="shared" si="14"/>
        <v>11.111111111111111</v>
      </c>
      <c r="AR58" s="955">
        <f t="shared" si="15"/>
        <v>0</v>
      </c>
      <c r="AS58" s="955">
        <f t="shared" si="16"/>
        <v>11.111111111111111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</row>
    <row r="59" spans="1:60" ht="15.75">
      <c r="A59" s="117">
        <v>52</v>
      </c>
      <c r="B59" s="118" t="s">
        <v>1010</v>
      </c>
      <c r="C59" s="117" t="s">
        <v>995</v>
      </c>
      <c r="D59" s="117" t="s">
        <v>1011</v>
      </c>
      <c r="E59" s="119" t="s">
        <v>15</v>
      </c>
      <c r="F59" s="121">
        <v>20</v>
      </c>
      <c r="G59" s="132">
        <v>15</v>
      </c>
      <c r="H59" s="117">
        <v>0</v>
      </c>
      <c r="I59" s="117">
        <f t="shared" si="4"/>
        <v>15</v>
      </c>
      <c r="J59" s="137">
        <v>15</v>
      </c>
      <c r="K59" s="117">
        <v>0</v>
      </c>
      <c r="L59" s="117">
        <f t="shared" si="5"/>
        <v>15</v>
      </c>
      <c r="M59" s="137">
        <v>5</v>
      </c>
      <c r="N59" s="134">
        <v>0</v>
      </c>
      <c r="O59" s="117">
        <f t="shared" si="6"/>
        <v>5</v>
      </c>
      <c r="P59" s="117">
        <v>9</v>
      </c>
      <c r="Q59" s="117">
        <v>0</v>
      </c>
      <c r="R59" s="117">
        <f t="shared" si="0"/>
        <v>9</v>
      </c>
      <c r="S59" s="117">
        <v>15</v>
      </c>
      <c r="T59" s="117">
        <v>0</v>
      </c>
      <c r="U59" s="117">
        <f t="shared" si="1"/>
        <v>15</v>
      </c>
      <c r="V59" s="117">
        <v>25</v>
      </c>
      <c r="W59" s="117">
        <v>0</v>
      </c>
      <c r="X59" s="117">
        <f t="shared" si="2"/>
        <v>25</v>
      </c>
      <c r="Y59" s="134">
        <f t="shared" si="7"/>
        <v>84</v>
      </c>
      <c r="Z59" s="134">
        <f t="shared" si="7"/>
        <v>0</v>
      </c>
      <c r="AA59" s="134">
        <f t="shared" si="7"/>
        <v>84</v>
      </c>
      <c r="AB59" s="135">
        <f t="shared" si="8"/>
        <v>14</v>
      </c>
      <c r="AC59" s="135">
        <f t="shared" si="8"/>
        <v>0</v>
      </c>
      <c r="AD59" s="135">
        <f t="shared" si="8"/>
        <v>14</v>
      </c>
      <c r="AE59" s="910">
        <v>33</v>
      </c>
      <c r="AF59" s="134">
        <v>0</v>
      </c>
      <c r="AG59" s="910">
        <f t="shared" si="3"/>
        <v>33</v>
      </c>
      <c r="AH59" s="132">
        <v>15</v>
      </c>
      <c r="AI59" s="927">
        <v>0</v>
      </c>
      <c r="AJ59" s="494">
        <f t="shared" si="9"/>
        <v>15</v>
      </c>
      <c r="AK59" s="137">
        <v>12</v>
      </c>
      <c r="AL59" s="134">
        <v>0</v>
      </c>
      <c r="AM59" s="494">
        <f t="shared" si="10"/>
        <v>12</v>
      </c>
      <c r="AN59" s="6">
        <f t="shared" si="11"/>
        <v>144</v>
      </c>
      <c r="AO59" s="6">
        <f t="shared" si="12"/>
        <v>0</v>
      </c>
      <c r="AP59" s="6">
        <f t="shared" si="13"/>
        <v>144</v>
      </c>
      <c r="AQ59" s="955">
        <f t="shared" si="14"/>
        <v>16</v>
      </c>
      <c r="AR59" s="955">
        <f t="shared" si="15"/>
        <v>0</v>
      </c>
      <c r="AS59" s="955">
        <f t="shared" si="16"/>
        <v>16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</row>
    <row r="60" spans="1:60" ht="15.75">
      <c r="A60" s="117">
        <v>53</v>
      </c>
      <c r="B60" s="124" t="s">
        <v>972</v>
      </c>
      <c r="C60" s="117" t="s">
        <v>995</v>
      </c>
      <c r="D60" s="117" t="s">
        <v>1012</v>
      </c>
      <c r="E60" s="119" t="s">
        <v>15</v>
      </c>
      <c r="F60" s="121">
        <v>20</v>
      </c>
      <c r="G60" s="132">
        <v>0</v>
      </c>
      <c r="H60" s="117">
        <v>0</v>
      </c>
      <c r="I60" s="117">
        <f t="shared" si="4"/>
        <v>0</v>
      </c>
      <c r="J60" s="137">
        <v>0</v>
      </c>
      <c r="K60" s="117">
        <v>10</v>
      </c>
      <c r="L60" s="117">
        <f t="shared" si="5"/>
        <v>10</v>
      </c>
      <c r="M60" s="137">
        <v>20</v>
      </c>
      <c r="N60" s="134">
        <v>0</v>
      </c>
      <c r="O60" s="117">
        <f t="shared" si="6"/>
        <v>20</v>
      </c>
      <c r="P60" s="117">
        <v>5</v>
      </c>
      <c r="Q60" s="117">
        <v>0</v>
      </c>
      <c r="R60" s="117">
        <f t="shared" si="0"/>
        <v>5</v>
      </c>
      <c r="S60" s="117">
        <v>21</v>
      </c>
      <c r="T60" s="117">
        <v>0</v>
      </c>
      <c r="U60" s="117">
        <f t="shared" si="1"/>
        <v>21</v>
      </c>
      <c r="V60" s="117">
        <v>58</v>
      </c>
      <c r="W60" s="117">
        <v>0</v>
      </c>
      <c r="X60" s="117">
        <f t="shared" si="2"/>
        <v>58</v>
      </c>
      <c r="Y60" s="134">
        <f t="shared" si="7"/>
        <v>104</v>
      </c>
      <c r="Z60" s="134">
        <f t="shared" si="7"/>
        <v>10</v>
      </c>
      <c r="AA60" s="134">
        <f t="shared" si="7"/>
        <v>114</v>
      </c>
      <c r="AB60" s="135">
        <f t="shared" si="8"/>
        <v>17.333333333333332</v>
      </c>
      <c r="AC60" s="135">
        <f t="shared" si="8"/>
        <v>1.6666666666666667</v>
      </c>
      <c r="AD60" s="135">
        <f t="shared" si="8"/>
        <v>19</v>
      </c>
      <c r="AE60" s="910">
        <v>72</v>
      </c>
      <c r="AF60" s="134">
        <v>0</v>
      </c>
      <c r="AG60" s="910">
        <f t="shared" si="3"/>
        <v>72</v>
      </c>
      <c r="AH60" s="132">
        <v>0</v>
      </c>
      <c r="AI60" s="927">
        <v>0</v>
      </c>
      <c r="AJ60" s="494">
        <f t="shared" si="9"/>
        <v>0</v>
      </c>
      <c r="AK60" s="137">
        <v>5</v>
      </c>
      <c r="AL60" s="134">
        <v>0</v>
      </c>
      <c r="AM60" s="494">
        <f t="shared" si="10"/>
        <v>5</v>
      </c>
      <c r="AN60" s="6">
        <f t="shared" si="11"/>
        <v>181</v>
      </c>
      <c r="AO60" s="6">
        <f t="shared" si="12"/>
        <v>10</v>
      </c>
      <c r="AP60" s="6">
        <f t="shared" si="13"/>
        <v>191</v>
      </c>
      <c r="AQ60" s="955">
        <f t="shared" si="14"/>
        <v>20.111111111111111</v>
      </c>
      <c r="AR60" s="955">
        <f t="shared" si="15"/>
        <v>1.1111111111111112</v>
      </c>
      <c r="AS60" s="955">
        <f t="shared" si="16"/>
        <v>21.222222222222221</v>
      </c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</row>
    <row r="61" spans="1:60" ht="15.75">
      <c r="A61" s="117">
        <v>54</v>
      </c>
      <c r="B61" s="124" t="s">
        <v>1013</v>
      </c>
      <c r="C61" s="117" t="s">
        <v>995</v>
      </c>
      <c r="D61" s="117" t="s">
        <v>1014</v>
      </c>
      <c r="E61" s="119" t="s">
        <v>15</v>
      </c>
      <c r="F61" s="121">
        <v>5</v>
      </c>
      <c r="G61" s="132">
        <v>11</v>
      </c>
      <c r="H61" s="117">
        <v>0</v>
      </c>
      <c r="I61" s="117">
        <f t="shared" si="4"/>
        <v>11</v>
      </c>
      <c r="J61" s="137">
        <v>0</v>
      </c>
      <c r="K61" s="117">
        <v>0</v>
      </c>
      <c r="L61" s="117">
        <f t="shared" si="5"/>
        <v>0</v>
      </c>
      <c r="M61" s="137">
        <v>0</v>
      </c>
      <c r="N61" s="134">
        <v>18</v>
      </c>
      <c r="O61" s="117">
        <f t="shared" si="6"/>
        <v>18</v>
      </c>
      <c r="P61" s="117">
        <v>5</v>
      </c>
      <c r="Q61" s="117">
        <v>0</v>
      </c>
      <c r="R61" s="117">
        <f t="shared" si="0"/>
        <v>5</v>
      </c>
      <c r="S61" s="117">
        <v>17</v>
      </c>
      <c r="T61" s="117">
        <v>0</v>
      </c>
      <c r="U61" s="117">
        <f t="shared" si="1"/>
        <v>17</v>
      </c>
      <c r="V61" s="117">
        <v>72</v>
      </c>
      <c r="W61" s="117">
        <v>0</v>
      </c>
      <c r="X61" s="117">
        <f t="shared" si="2"/>
        <v>72</v>
      </c>
      <c r="Y61" s="134">
        <f t="shared" si="7"/>
        <v>105</v>
      </c>
      <c r="Z61" s="134">
        <f t="shared" si="7"/>
        <v>18</v>
      </c>
      <c r="AA61" s="134">
        <f t="shared" si="7"/>
        <v>123</v>
      </c>
      <c r="AB61" s="135">
        <f t="shared" si="8"/>
        <v>17.5</v>
      </c>
      <c r="AC61" s="135">
        <f t="shared" si="8"/>
        <v>3</v>
      </c>
      <c r="AD61" s="135">
        <f t="shared" si="8"/>
        <v>20.5</v>
      </c>
      <c r="AE61" s="910">
        <v>68</v>
      </c>
      <c r="AF61" s="134">
        <v>0</v>
      </c>
      <c r="AG61" s="910">
        <f t="shared" si="3"/>
        <v>68</v>
      </c>
      <c r="AH61" s="132">
        <v>11</v>
      </c>
      <c r="AI61" s="927">
        <v>0</v>
      </c>
      <c r="AJ61" s="494">
        <f t="shared" si="9"/>
        <v>11</v>
      </c>
      <c r="AK61" s="137">
        <v>0</v>
      </c>
      <c r="AL61" s="134">
        <v>0</v>
      </c>
      <c r="AM61" s="494">
        <f t="shared" si="10"/>
        <v>0</v>
      </c>
      <c r="AN61" s="6">
        <f t="shared" si="11"/>
        <v>184</v>
      </c>
      <c r="AO61" s="6">
        <f t="shared" si="12"/>
        <v>18</v>
      </c>
      <c r="AP61" s="6">
        <f t="shared" si="13"/>
        <v>202</v>
      </c>
      <c r="AQ61" s="955">
        <f t="shared" si="14"/>
        <v>20.444444444444443</v>
      </c>
      <c r="AR61" s="955">
        <f t="shared" si="15"/>
        <v>2</v>
      </c>
      <c r="AS61" s="955">
        <f t="shared" si="16"/>
        <v>22.444444444444443</v>
      </c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</row>
    <row r="62" spans="1:60" ht="15.75">
      <c r="A62" s="117">
        <v>55</v>
      </c>
      <c r="B62" s="124" t="s">
        <v>976</v>
      </c>
      <c r="C62" s="117" t="s">
        <v>995</v>
      </c>
      <c r="D62" s="117" t="s">
        <v>1015</v>
      </c>
      <c r="E62" s="119" t="s">
        <v>15</v>
      </c>
      <c r="F62" s="121">
        <v>3</v>
      </c>
      <c r="G62" s="132">
        <v>21</v>
      </c>
      <c r="H62" s="117">
        <v>0</v>
      </c>
      <c r="I62" s="117">
        <f t="shared" si="4"/>
        <v>21</v>
      </c>
      <c r="J62" s="137">
        <v>21</v>
      </c>
      <c r="K62" s="117">
        <v>0</v>
      </c>
      <c r="L62" s="117">
        <f t="shared" si="5"/>
        <v>21</v>
      </c>
      <c r="M62" s="137">
        <v>25</v>
      </c>
      <c r="N62" s="134">
        <v>20</v>
      </c>
      <c r="O62" s="117">
        <f t="shared" si="6"/>
        <v>45</v>
      </c>
      <c r="P62" s="117">
        <v>10</v>
      </c>
      <c r="Q62" s="117">
        <v>0</v>
      </c>
      <c r="R62" s="117">
        <f t="shared" si="0"/>
        <v>10</v>
      </c>
      <c r="S62" s="117">
        <v>6</v>
      </c>
      <c r="T62" s="117">
        <v>0</v>
      </c>
      <c r="U62" s="117">
        <f t="shared" si="1"/>
        <v>6</v>
      </c>
      <c r="V62" s="117">
        <v>100</v>
      </c>
      <c r="W62" s="117">
        <v>0</v>
      </c>
      <c r="X62" s="117">
        <f t="shared" si="2"/>
        <v>100</v>
      </c>
      <c r="Y62" s="134">
        <f t="shared" si="7"/>
        <v>183</v>
      </c>
      <c r="Z62" s="134">
        <f t="shared" si="7"/>
        <v>20</v>
      </c>
      <c r="AA62" s="134">
        <f t="shared" si="7"/>
        <v>203</v>
      </c>
      <c r="AB62" s="135">
        <f t="shared" si="8"/>
        <v>30.5</v>
      </c>
      <c r="AC62" s="135">
        <f t="shared" si="8"/>
        <v>3.3333333333333335</v>
      </c>
      <c r="AD62" s="135">
        <f t="shared" si="8"/>
        <v>33.833333333333336</v>
      </c>
      <c r="AE62" s="910">
        <v>84</v>
      </c>
      <c r="AF62" s="134">
        <v>0</v>
      </c>
      <c r="AG62" s="910">
        <f t="shared" si="3"/>
        <v>84</v>
      </c>
      <c r="AH62" s="132">
        <v>69</v>
      </c>
      <c r="AI62" s="927">
        <v>0</v>
      </c>
      <c r="AJ62" s="494">
        <f t="shared" si="9"/>
        <v>69</v>
      </c>
      <c r="AK62" s="137">
        <v>21</v>
      </c>
      <c r="AL62" s="134">
        <v>0</v>
      </c>
      <c r="AM62" s="494">
        <f t="shared" si="10"/>
        <v>21</v>
      </c>
      <c r="AN62" s="6">
        <f t="shared" si="11"/>
        <v>357</v>
      </c>
      <c r="AO62" s="6">
        <f t="shared" si="12"/>
        <v>20</v>
      </c>
      <c r="AP62" s="6">
        <f t="shared" si="13"/>
        <v>377</v>
      </c>
      <c r="AQ62" s="955">
        <f t="shared" si="14"/>
        <v>39.666666666666664</v>
      </c>
      <c r="AR62" s="955">
        <f t="shared" si="15"/>
        <v>2.2222222222222223</v>
      </c>
      <c r="AS62" s="955">
        <f t="shared" si="16"/>
        <v>41.888888888888886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</row>
    <row r="63" spans="1:60" ht="15.75">
      <c r="A63" s="117">
        <v>56</v>
      </c>
      <c r="B63" s="124" t="s">
        <v>1016</v>
      </c>
      <c r="C63" s="117" t="s">
        <v>995</v>
      </c>
      <c r="D63" s="117" t="s">
        <v>1017</v>
      </c>
      <c r="E63" s="119" t="s">
        <v>15</v>
      </c>
      <c r="F63" s="121">
        <v>8</v>
      </c>
      <c r="G63" s="132">
        <v>0</v>
      </c>
      <c r="H63" s="117">
        <v>0</v>
      </c>
      <c r="I63" s="117">
        <f t="shared" si="4"/>
        <v>0</v>
      </c>
      <c r="J63" s="137">
        <v>0</v>
      </c>
      <c r="K63" s="117">
        <v>0</v>
      </c>
      <c r="L63" s="117">
        <f t="shared" si="5"/>
        <v>0</v>
      </c>
      <c r="M63" s="137">
        <v>0</v>
      </c>
      <c r="N63" s="134">
        <v>0</v>
      </c>
      <c r="O63" s="117">
        <f t="shared" si="6"/>
        <v>0</v>
      </c>
      <c r="P63" s="117">
        <v>6</v>
      </c>
      <c r="Q63" s="117">
        <v>0</v>
      </c>
      <c r="R63" s="117">
        <f t="shared" si="0"/>
        <v>6</v>
      </c>
      <c r="S63" s="117">
        <v>8</v>
      </c>
      <c r="T63" s="117">
        <v>0</v>
      </c>
      <c r="U63" s="117">
        <f t="shared" si="1"/>
        <v>8</v>
      </c>
      <c r="V63" s="117">
        <v>20</v>
      </c>
      <c r="W63" s="117">
        <v>0</v>
      </c>
      <c r="X63" s="117">
        <f t="shared" si="2"/>
        <v>20</v>
      </c>
      <c r="Y63" s="134">
        <f t="shared" si="7"/>
        <v>34</v>
      </c>
      <c r="Z63" s="134">
        <f t="shared" si="7"/>
        <v>0</v>
      </c>
      <c r="AA63" s="134">
        <f t="shared" si="7"/>
        <v>34</v>
      </c>
      <c r="AB63" s="135">
        <f t="shared" si="8"/>
        <v>5.666666666666667</v>
      </c>
      <c r="AC63" s="135">
        <f t="shared" si="8"/>
        <v>0</v>
      </c>
      <c r="AD63" s="135">
        <f t="shared" si="8"/>
        <v>5.666666666666667</v>
      </c>
      <c r="AE63" s="910">
        <v>0</v>
      </c>
      <c r="AF63" s="134">
        <v>0</v>
      </c>
      <c r="AG63" s="910">
        <f t="shared" si="3"/>
        <v>0</v>
      </c>
      <c r="AH63" s="132">
        <v>4</v>
      </c>
      <c r="AI63" s="927">
        <v>0</v>
      </c>
      <c r="AJ63" s="494">
        <f t="shared" si="9"/>
        <v>4</v>
      </c>
      <c r="AK63" s="137">
        <v>0</v>
      </c>
      <c r="AL63" s="134">
        <v>0</v>
      </c>
      <c r="AM63" s="494">
        <f t="shared" si="10"/>
        <v>0</v>
      </c>
      <c r="AN63" s="6">
        <f t="shared" si="11"/>
        <v>38</v>
      </c>
      <c r="AO63" s="6">
        <f t="shared" si="12"/>
        <v>0</v>
      </c>
      <c r="AP63" s="6">
        <f t="shared" si="13"/>
        <v>38</v>
      </c>
      <c r="AQ63" s="955">
        <f t="shared" si="14"/>
        <v>4.2222222222222223</v>
      </c>
      <c r="AR63" s="955">
        <f t="shared" si="15"/>
        <v>0</v>
      </c>
      <c r="AS63" s="955">
        <f t="shared" si="16"/>
        <v>4.2222222222222223</v>
      </c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</row>
    <row r="64" spans="1:60" ht="15.75">
      <c r="A64" s="117">
        <v>57</v>
      </c>
      <c r="B64" s="124" t="s">
        <v>1018</v>
      </c>
      <c r="C64" s="117" t="s">
        <v>995</v>
      </c>
      <c r="D64" s="117" t="s">
        <v>1019</v>
      </c>
      <c r="E64" s="119" t="s">
        <v>15</v>
      </c>
      <c r="F64" s="121">
        <v>30</v>
      </c>
      <c r="G64" s="132">
        <v>385</v>
      </c>
      <c r="H64" s="117">
        <v>50</v>
      </c>
      <c r="I64" s="117">
        <f t="shared" si="4"/>
        <v>435</v>
      </c>
      <c r="J64" s="137">
        <v>82</v>
      </c>
      <c r="K64" s="117">
        <f>112-19</f>
        <v>93</v>
      </c>
      <c r="L64" s="117">
        <f t="shared" si="5"/>
        <v>175</v>
      </c>
      <c r="M64" s="137">
        <v>0</v>
      </c>
      <c r="N64" s="134">
        <v>56</v>
      </c>
      <c r="O64" s="117">
        <f t="shared" si="6"/>
        <v>56</v>
      </c>
      <c r="P64" s="117">
        <v>0</v>
      </c>
      <c r="Q64" s="117">
        <v>0</v>
      </c>
      <c r="R64" s="117">
        <f t="shared" si="0"/>
        <v>0</v>
      </c>
      <c r="S64" s="117">
        <v>6</v>
      </c>
      <c r="T64" s="117">
        <v>0</v>
      </c>
      <c r="U64" s="117">
        <f t="shared" si="1"/>
        <v>6</v>
      </c>
      <c r="V64" s="117">
        <v>310</v>
      </c>
      <c r="W64" s="117">
        <v>0</v>
      </c>
      <c r="X64" s="117">
        <f t="shared" si="2"/>
        <v>310</v>
      </c>
      <c r="Y64" s="134">
        <f t="shared" si="7"/>
        <v>783</v>
      </c>
      <c r="Z64" s="134">
        <f t="shared" si="7"/>
        <v>199</v>
      </c>
      <c r="AA64" s="134">
        <f t="shared" si="7"/>
        <v>982</v>
      </c>
      <c r="AB64" s="135">
        <f t="shared" si="8"/>
        <v>130.5</v>
      </c>
      <c r="AC64" s="135">
        <f t="shared" si="8"/>
        <v>33.166666666666664</v>
      </c>
      <c r="AD64" s="135">
        <f t="shared" si="8"/>
        <v>163.66666666666666</v>
      </c>
      <c r="AE64" s="910">
        <v>257</v>
      </c>
      <c r="AF64" s="134">
        <v>56</v>
      </c>
      <c r="AG64" s="910">
        <f t="shared" si="3"/>
        <v>313</v>
      </c>
      <c r="AH64" s="132">
        <v>385</v>
      </c>
      <c r="AI64" s="927">
        <v>2</v>
      </c>
      <c r="AJ64" s="494">
        <f t="shared" si="9"/>
        <v>387</v>
      </c>
      <c r="AK64" s="137">
        <v>50</v>
      </c>
      <c r="AL64" s="134">
        <v>125</v>
      </c>
      <c r="AM64" s="494">
        <f t="shared" si="10"/>
        <v>175</v>
      </c>
      <c r="AN64" s="6">
        <f t="shared" si="11"/>
        <v>1475</v>
      </c>
      <c r="AO64" s="6">
        <f t="shared" si="12"/>
        <v>382</v>
      </c>
      <c r="AP64" s="6">
        <f t="shared" si="13"/>
        <v>1857</v>
      </c>
      <c r="AQ64" s="955">
        <f t="shared" si="14"/>
        <v>163.88888888888889</v>
      </c>
      <c r="AR64" s="955">
        <f t="shared" si="15"/>
        <v>42.444444444444443</v>
      </c>
      <c r="AS64" s="955">
        <f t="shared" si="16"/>
        <v>206.33333333333334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</row>
    <row r="65" spans="1:60" ht="15.75">
      <c r="A65" s="117">
        <v>58</v>
      </c>
      <c r="B65" s="124" t="s">
        <v>1020</v>
      </c>
      <c r="C65" s="117" t="s">
        <v>995</v>
      </c>
      <c r="D65" s="117" t="s">
        <v>1021</v>
      </c>
      <c r="E65" s="119" t="s">
        <v>15</v>
      </c>
      <c r="F65" s="121">
        <v>10</v>
      </c>
      <c r="G65" s="132">
        <v>10</v>
      </c>
      <c r="H65" s="117">
        <v>0</v>
      </c>
      <c r="I65" s="117">
        <f t="shared" si="4"/>
        <v>10</v>
      </c>
      <c r="J65" s="137">
        <v>25</v>
      </c>
      <c r="K65" s="117">
        <v>0</v>
      </c>
      <c r="L65" s="117">
        <f t="shared" si="5"/>
        <v>25</v>
      </c>
      <c r="M65" s="137">
        <v>10</v>
      </c>
      <c r="N65" s="134">
        <v>0</v>
      </c>
      <c r="O65" s="117">
        <f t="shared" si="6"/>
        <v>10</v>
      </c>
      <c r="P65" s="117">
        <v>15</v>
      </c>
      <c r="Q65" s="117">
        <v>0</v>
      </c>
      <c r="R65" s="117">
        <f t="shared" si="0"/>
        <v>15</v>
      </c>
      <c r="S65" s="117">
        <v>10</v>
      </c>
      <c r="T65" s="117">
        <v>0</v>
      </c>
      <c r="U65" s="117">
        <f t="shared" si="1"/>
        <v>10</v>
      </c>
      <c r="V65" s="117">
        <v>38</v>
      </c>
      <c r="W65" s="117">
        <v>0</v>
      </c>
      <c r="X65" s="117">
        <f t="shared" si="2"/>
        <v>38</v>
      </c>
      <c r="Y65" s="134">
        <f t="shared" si="7"/>
        <v>108</v>
      </c>
      <c r="Z65" s="134">
        <f t="shared" si="7"/>
        <v>0</v>
      </c>
      <c r="AA65" s="134">
        <f t="shared" si="7"/>
        <v>108</v>
      </c>
      <c r="AB65" s="135">
        <f t="shared" si="8"/>
        <v>18</v>
      </c>
      <c r="AC65" s="135">
        <f t="shared" si="8"/>
        <v>0</v>
      </c>
      <c r="AD65" s="135">
        <f t="shared" si="8"/>
        <v>18</v>
      </c>
      <c r="AE65" s="910">
        <v>0</v>
      </c>
      <c r="AF65" s="134">
        <v>0</v>
      </c>
      <c r="AG65" s="910">
        <f t="shared" si="3"/>
        <v>0</v>
      </c>
      <c r="AH65" s="132">
        <v>10</v>
      </c>
      <c r="AI65" s="927">
        <v>0</v>
      </c>
      <c r="AJ65" s="494">
        <f t="shared" si="9"/>
        <v>10</v>
      </c>
      <c r="AK65" s="137">
        <v>25</v>
      </c>
      <c r="AL65" s="134">
        <v>0</v>
      </c>
      <c r="AM65" s="494">
        <f t="shared" si="10"/>
        <v>25</v>
      </c>
      <c r="AN65" s="6">
        <f t="shared" si="11"/>
        <v>143</v>
      </c>
      <c r="AO65" s="6">
        <f t="shared" si="12"/>
        <v>0</v>
      </c>
      <c r="AP65" s="6">
        <f t="shared" si="13"/>
        <v>143</v>
      </c>
      <c r="AQ65" s="955">
        <f t="shared" si="14"/>
        <v>15.888888888888889</v>
      </c>
      <c r="AR65" s="955">
        <f t="shared" si="15"/>
        <v>0</v>
      </c>
      <c r="AS65" s="955">
        <f t="shared" si="16"/>
        <v>15.888888888888889</v>
      </c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</row>
    <row r="66" spans="1:60" ht="15.75">
      <c r="A66" s="117">
        <v>59</v>
      </c>
      <c r="B66" s="124" t="s">
        <v>1022</v>
      </c>
      <c r="C66" s="117" t="s">
        <v>995</v>
      </c>
      <c r="D66" s="117" t="s">
        <v>1023</v>
      </c>
      <c r="E66" s="119" t="s">
        <v>15</v>
      </c>
      <c r="F66" s="121">
        <v>10</v>
      </c>
      <c r="G66" s="132">
        <v>20</v>
      </c>
      <c r="H66" s="117">
        <v>0</v>
      </c>
      <c r="I66" s="117">
        <f t="shared" si="4"/>
        <v>20</v>
      </c>
      <c r="J66" s="137">
        <v>16</v>
      </c>
      <c r="K66" s="117">
        <v>0</v>
      </c>
      <c r="L66" s="117">
        <f t="shared" si="5"/>
        <v>16</v>
      </c>
      <c r="M66" s="137">
        <v>20</v>
      </c>
      <c r="N66" s="134">
        <v>12</v>
      </c>
      <c r="O66" s="117">
        <f t="shared" si="6"/>
        <v>32</v>
      </c>
      <c r="P66" s="117">
        <v>11</v>
      </c>
      <c r="Q66" s="117">
        <v>0</v>
      </c>
      <c r="R66" s="117">
        <f t="shared" si="0"/>
        <v>11</v>
      </c>
      <c r="S66" s="117">
        <v>5</v>
      </c>
      <c r="T66" s="117">
        <v>0</v>
      </c>
      <c r="U66" s="117">
        <f t="shared" si="1"/>
        <v>5</v>
      </c>
      <c r="V66" s="117">
        <v>58</v>
      </c>
      <c r="W66" s="117">
        <v>0</v>
      </c>
      <c r="X66" s="117">
        <f t="shared" si="2"/>
        <v>58</v>
      </c>
      <c r="Y66" s="134">
        <f t="shared" si="7"/>
        <v>130</v>
      </c>
      <c r="Z66" s="134">
        <f t="shared" si="7"/>
        <v>12</v>
      </c>
      <c r="AA66" s="134">
        <f t="shared" si="7"/>
        <v>142</v>
      </c>
      <c r="AB66" s="135">
        <f t="shared" si="8"/>
        <v>21.666666666666668</v>
      </c>
      <c r="AC66" s="135">
        <f t="shared" si="8"/>
        <v>2</v>
      </c>
      <c r="AD66" s="135">
        <f t="shared" si="8"/>
        <v>23.666666666666668</v>
      </c>
      <c r="AE66" s="910">
        <v>75</v>
      </c>
      <c r="AF66" s="134">
        <v>0</v>
      </c>
      <c r="AG66" s="910">
        <f t="shared" si="3"/>
        <v>75</v>
      </c>
      <c r="AH66" s="132">
        <v>20</v>
      </c>
      <c r="AI66" s="927">
        <v>0</v>
      </c>
      <c r="AJ66" s="494">
        <f t="shared" si="9"/>
        <v>20</v>
      </c>
      <c r="AK66" s="137">
        <v>16</v>
      </c>
      <c r="AL66" s="134">
        <v>0</v>
      </c>
      <c r="AM66" s="494">
        <f t="shared" si="10"/>
        <v>16</v>
      </c>
      <c r="AN66" s="6">
        <f t="shared" si="11"/>
        <v>241</v>
      </c>
      <c r="AO66" s="6">
        <f t="shared" si="12"/>
        <v>12</v>
      </c>
      <c r="AP66" s="6">
        <f t="shared" si="13"/>
        <v>253</v>
      </c>
      <c r="AQ66" s="955">
        <f t="shared" si="14"/>
        <v>26.777777777777779</v>
      </c>
      <c r="AR66" s="955">
        <f t="shared" si="15"/>
        <v>1.3333333333333333</v>
      </c>
      <c r="AS66" s="955">
        <f t="shared" si="16"/>
        <v>28.111111111111111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</row>
    <row r="67" spans="1:60" ht="15.75">
      <c r="A67" s="117">
        <v>60</v>
      </c>
      <c r="B67" s="124" t="s">
        <v>947</v>
      </c>
      <c r="C67" s="117" t="s">
        <v>995</v>
      </c>
      <c r="D67" s="117" t="s">
        <v>1024</v>
      </c>
      <c r="E67" s="119" t="s">
        <v>15</v>
      </c>
      <c r="F67" s="121">
        <v>18</v>
      </c>
      <c r="G67" s="132">
        <v>25</v>
      </c>
      <c r="H67" s="117">
        <v>0</v>
      </c>
      <c r="I67" s="117">
        <f t="shared" si="4"/>
        <v>25</v>
      </c>
      <c r="J67" s="137">
        <v>0</v>
      </c>
      <c r="K67" s="117">
        <v>0</v>
      </c>
      <c r="L67" s="117">
        <f t="shared" si="5"/>
        <v>0</v>
      </c>
      <c r="M67" s="137">
        <v>36</v>
      </c>
      <c r="N67" s="134">
        <v>0</v>
      </c>
      <c r="O67" s="117">
        <f t="shared" si="6"/>
        <v>36</v>
      </c>
      <c r="P67" s="117">
        <v>16</v>
      </c>
      <c r="Q67" s="117">
        <v>0</v>
      </c>
      <c r="R67" s="117">
        <f t="shared" si="0"/>
        <v>16</v>
      </c>
      <c r="S67" s="117">
        <v>20</v>
      </c>
      <c r="T67" s="117">
        <v>0</v>
      </c>
      <c r="U67" s="117">
        <f t="shared" si="1"/>
        <v>20</v>
      </c>
      <c r="V67" s="117">
        <v>100</v>
      </c>
      <c r="W67" s="117">
        <v>0</v>
      </c>
      <c r="X67" s="117">
        <f t="shared" si="2"/>
        <v>100</v>
      </c>
      <c r="Y67" s="134">
        <f t="shared" si="7"/>
        <v>197</v>
      </c>
      <c r="Z67" s="134">
        <f t="shared" si="7"/>
        <v>0</v>
      </c>
      <c r="AA67" s="134">
        <f t="shared" si="7"/>
        <v>197</v>
      </c>
      <c r="AB67" s="135">
        <f t="shared" si="8"/>
        <v>32.833333333333336</v>
      </c>
      <c r="AC67" s="135">
        <f t="shared" si="8"/>
        <v>0</v>
      </c>
      <c r="AD67" s="135">
        <f t="shared" si="8"/>
        <v>32.833333333333336</v>
      </c>
      <c r="AE67" s="910">
        <v>115</v>
      </c>
      <c r="AF67" s="134">
        <v>0</v>
      </c>
      <c r="AG67" s="910">
        <f t="shared" si="3"/>
        <v>115</v>
      </c>
      <c r="AH67" s="132">
        <v>25</v>
      </c>
      <c r="AI67" s="927">
        <v>0</v>
      </c>
      <c r="AJ67" s="494">
        <f t="shared" si="9"/>
        <v>25</v>
      </c>
      <c r="AK67" s="137">
        <v>10</v>
      </c>
      <c r="AL67" s="134">
        <v>0</v>
      </c>
      <c r="AM67" s="494">
        <f t="shared" si="10"/>
        <v>10</v>
      </c>
      <c r="AN67" s="6">
        <f t="shared" si="11"/>
        <v>347</v>
      </c>
      <c r="AO67" s="6">
        <f t="shared" si="12"/>
        <v>0</v>
      </c>
      <c r="AP67" s="6">
        <f t="shared" si="13"/>
        <v>347</v>
      </c>
      <c r="AQ67" s="955">
        <f t="shared" si="14"/>
        <v>38.555555555555557</v>
      </c>
      <c r="AR67" s="955">
        <f t="shared" si="15"/>
        <v>0</v>
      </c>
      <c r="AS67" s="955">
        <f t="shared" si="16"/>
        <v>38.555555555555557</v>
      </c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</row>
    <row r="68" spans="1:60" ht="15.75">
      <c r="A68" s="117">
        <v>61</v>
      </c>
      <c r="B68" s="124" t="s">
        <v>1025</v>
      </c>
      <c r="C68" s="117" t="s">
        <v>995</v>
      </c>
      <c r="D68" s="117" t="s">
        <v>1026</v>
      </c>
      <c r="E68" s="119" t="s">
        <v>15</v>
      </c>
      <c r="F68" s="121">
        <v>30</v>
      </c>
      <c r="G68" s="132">
        <v>512</v>
      </c>
      <c r="H68" s="117">
        <v>50</v>
      </c>
      <c r="I68" s="117">
        <f t="shared" si="4"/>
        <v>562</v>
      </c>
      <c r="J68" s="137">
        <v>60</v>
      </c>
      <c r="K68" s="117">
        <v>56</v>
      </c>
      <c r="L68" s="117">
        <f t="shared" si="5"/>
        <v>116</v>
      </c>
      <c r="M68" s="137">
        <v>0</v>
      </c>
      <c r="N68" s="134">
        <v>10</v>
      </c>
      <c r="O68" s="117">
        <f t="shared" si="6"/>
        <v>10</v>
      </c>
      <c r="P68" s="117">
        <v>15</v>
      </c>
      <c r="Q68" s="117">
        <v>0</v>
      </c>
      <c r="R68" s="117">
        <f t="shared" si="0"/>
        <v>15</v>
      </c>
      <c r="S68" s="117">
        <v>16</v>
      </c>
      <c r="T68" s="117">
        <v>0</v>
      </c>
      <c r="U68" s="117">
        <f t="shared" si="1"/>
        <v>16</v>
      </c>
      <c r="V68" s="117">
        <v>500</v>
      </c>
      <c r="W68" s="117">
        <v>0</v>
      </c>
      <c r="X68" s="117">
        <f t="shared" si="2"/>
        <v>500</v>
      </c>
      <c r="Y68" s="134">
        <f t="shared" si="7"/>
        <v>1103</v>
      </c>
      <c r="Z68" s="134">
        <f t="shared" si="7"/>
        <v>116</v>
      </c>
      <c r="AA68" s="134">
        <f t="shared" si="7"/>
        <v>1219</v>
      </c>
      <c r="AB68" s="135">
        <f t="shared" si="8"/>
        <v>183.83333333333334</v>
      </c>
      <c r="AC68" s="135">
        <f t="shared" si="8"/>
        <v>19.333333333333332</v>
      </c>
      <c r="AD68" s="135">
        <f t="shared" si="8"/>
        <v>203.16666666666666</v>
      </c>
      <c r="AE68" s="910">
        <v>0</v>
      </c>
      <c r="AF68" s="134">
        <v>0</v>
      </c>
      <c r="AG68" s="910">
        <f t="shared" si="3"/>
        <v>0</v>
      </c>
      <c r="AH68" s="132">
        <v>480</v>
      </c>
      <c r="AI68" s="927">
        <v>20</v>
      </c>
      <c r="AJ68" s="494">
        <f t="shared" si="9"/>
        <v>500</v>
      </c>
      <c r="AK68" s="137">
        <v>58</v>
      </c>
      <c r="AL68" s="134">
        <v>0</v>
      </c>
      <c r="AM68" s="494">
        <f t="shared" si="10"/>
        <v>58</v>
      </c>
      <c r="AN68" s="6">
        <f t="shared" si="11"/>
        <v>1641</v>
      </c>
      <c r="AO68" s="6">
        <f t="shared" si="12"/>
        <v>136</v>
      </c>
      <c r="AP68" s="6">
        <f t="shared" si="13"/>
        <v>1777</v>
      </c>
      <c r="AQ68" s="955">
        <f t="shared" si="14"/>
        <v>182.33333333333334</v>
      </c>
      <c r="AR68" s="955">
        <f t="shared" si="15"/>
        <v>15.111111111111111</v>
      </c>
      <c r="AS68" s="955">
        <f t="shared" si="16"/>
        <v>197.44444444444446</v>
      </c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</row>
    <row r="69" spans="1:60" ht="15.75">
      <c r="A69" s="117">
        <v>62</v>
      </c>
      <c r="B69" s="124" t="s">
        <v>213</v>
      </c>
      <c r="C69" s="117" t="s">
        <v>995</v>
      </c>
      <c r="D69" s="117" t="s">
        <v>1027</v>
      </c>
      <c r="E69" s="119" t="s">
        <v>15</v>
      </c>
      <c r="F69" s="121">
        <v>8</v>
      </c>
      <c r="G69" s="132">
        <v>15</v>
      </c>
      <c r="H69" s="117">
        <v>0</v>
      </c>
      <c r="I69" s="117">
        <f t="shared" si="4"/>
        <v>15</v>
      </c>
      <c r="J69" s="137">
        <v>0</v>
      </c>
      <c r="K69" s="117">
        <v>0</v>
      </c>
      <c r="L69" s="117">
        <f t="shared" si="5"/>
        <v>0</v>
      </c>
      <c r="M69" s="137">
        <v>26</v>
      </c>
      <c r="N69" s="134">
        <v>20</v>
      </c>
      <c r="O69" s="117">
        <f t="shared" si="6"/>
        <v>46</v>
      </c>
      <c r="P69" s="117">
        <v>5</v>
      </c>
      <c r="Q69" s="117">
        <v>0</v>
      </c>
      <c r="R69" s="117">
        <f t="shared" si="0"/>
        <v>5</v>
      </c>
      <c r="S69" s="117">
        <v>8</v>
      </c>
      <c r="T69" s="117">
        <v>0</v>
      </c>
      <c r="U69" s="117">
        <f t="shared" si="1"/>
        <v>8</v>
      </c>
      <c r="V69" s="117">
        <v>55</v>
      </c>
      <c r="W69" s="117">
        <v>0</v>
      </c>
      <c r="X69" s="117">
        <f t="shared" si="2"/>
        <v>55</v>
      </c>
      <c r="Y69" s="134">
        <f t="shared" si="7"/>
        <v>109</v>
      </c>
      <c r="Z69" s="134">
        <f t="shared" si="7"/>
        <v>20</v>
      </c>
      <c r="AA69" s="134">
        <f t="shared" si="7"/>
        <v>129</v>
      </c>
      <c r="AB69" s="135">
        <f t="shared" si="8"/>
        <v>18.166666666666668</v>
      </c>
      <c r="AC69" s="135">
        <f t="shared" si="8"/>
        <v>3.3333333333333335</v>
      </c>
      <c r="AD69" s="135">
        <f t="shared" si="8"/>
        <v>21.5</v>
      </c>
      <c r="AE69" s="910">
        <v>67</v>
      </c>
      <c r="AF69" s="134">
        <v>0</v>
      </c>
      <c r="AG69" s="910">
        <f t="shared" si="3"/>
        <v>67</v>
      </c>
      <c r="AH69" s="132">
        <v>15</v>
      </c>
      <c r="AI69" s="927">
        <v>0</v>
      </c>
      <c r="AJ69" s="494">
        <f t="shared" si="9"/>
        <v>15</v>
      </c>
      <c r="AK69" s="137">
        <v>0</v>
      </c>
      <c r="AL69" s="134">
        <v>0</v>
      </c>
      <c r="AM69" s="494">
        <f t="shared" si="10"/>
        <v>0</v>
      </c>
      <c r="AN69" s="6">
        <f t="shared" si="11"/>
        <v>191</v>
      </c>
      <c r="AO69" s="6">
        <f t="shared" si="12"/>
        <v>20</v>
      </c>
      <c r="AP69" s="6">
        <f t="shared" si="13"/>
        <v>211</v>
      </c>
      <c r="AQ69" s="955">
        <f t="shared" si="14"/>
        <v>21.222222222222221</v>
      </c>
      <c r="AR69" s="955">
        <f t="shared" si="15"/>
        <v>2.2222222222222223</v>
      </c>
      <c r="AS69" s="955">
        <f t="shared" si="16"/>
        <v>23.444444444444443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</row>
    <row r="70" spans="1:60" ht="15.75">
      <c r="A70" s="117">
        <v>63</v>
      </c>
      <c r="B70" s="124" t="s">
        <v>1028</v>
      </c>
      <c r="C70" s="117" t="s">
        <v>995</v>
      </c>
      <c r="D70" s="117" t="s">
        <v>1029</v>
      </c>
      <c r="E70" s="119" t="s">
        <v>15</v>
      </c>
      <c r="F70" s="121">
        <v>5</v>
      </c>
      <c r="G70" s="132">
        <v>55</v>
      </c>
      <c r="H70" s="117">
        <v>0</v>
      </c>
      <c r="I70" s="117">
        <f t="shared" si="4"/>
        <v>55</v>
      </c>
      <c r="J70" s="137">
        <v>5</v>
      </c>
      <c r="K70" s="117">
        <v>5</v>
      </c>
      <c r="L70" s="117">
        <f t="shared" si="5"/>
        <v>10</v>
      </c>
      <c r="M70" s="137">
        <v>0</v>
      </c>
      <c r="N70" s="134">
        <v>0</v>
      </c>
      <c r="O70" s="117">
        <f t="shared" si="6"/>
        <v>0</v>
      </c>
      <c r="P70" s="117">
        <v>5</v>
      </c>
      <c r="Q70" s="117">
        <v>0</v>
      </c>
      <c r="R70" s="117">
        <f t="shared" si="0"/>
        <v>5</v>
      </c>
      <c r="S70" s="117">
        <v>13</v>
      </c>
      <c r="T70" s="117">
        <v>0</v>
      </c>
      <c r="U70" s="117">
        <f t="shared" si="1"/>
        <v>13</v>
      </c>
      <c r="V70" s="117">
        <v>65</v>
      </c>
      <c r="W70" s="117">
        <v>0</v>
      </c>
      <c r="X70" s="117">
        <f t="shared" si="2"/>
        <v>65</v>
      </c>
      <c r="Y70" s="134">
        <f t="shared" si="7"/>
        <v>143</v>
      </c>
      <c r="Z70" s="134">
        <f t="shared" si="7"/>
        <v>5</v>
      </c>
      <c r="AA70" s="134">
        <f t="shared" si="7"/>
        <v>148</v>
      </c>
      <c r="AB70" s="135">
        <f t="shared" si="8"/>
        <v>23.833333333333332</v>
      </c>
      <c r="AC70" s="135">
        <f t="shared" si="8"/>
        <v>0.83333333333333337</v>
      </c>
      <c r="AD70" s="135">
        <f t="shared" si="8"/>
        <v>24.666666666666668</v>
      </c>
      <c r="AE70" s="910">
        <v>53</v>
      </c>
      <c r="AF70" s="134">
        <v>0</v>
      </c>
      <c r="AG70" s="910">
        <f t="shared" si="3"/>
        <v>53</v>
      </c>
      <c r="AH70" s="132">
        <v>55</v>
      </c>
      <c r="AI70" s="927">
        <v>0</v>
      </c>
      <c r="AJ70" s="494">
        <f t="shared" si="9"/>
        <v>55</v>
      </c>
      <c r="AK70" s="137">
        <v>5</v>
      </c>
      <c r="AL70" s="134">
        <v>0</v>
      </c>
      <c r="AM70" s="494">
        <f t="shared" si="10"/>
        <v>5</v>
      </c>
      <c r="AN70" s="6">
        <f t="shared" si="11"/>
        <v>256</v>
      </c>
      <c r="AO70" s="6">
        <f t="shared" si="12"/>
        <v>5</v>
      </c>
      <c r="AP70" s="6">
        <f t="shared" si="13"/>
        <v>261</v>
      </c>
      <c r="AQ70" s="955">
        <f t="shared" si="14"/>
        <v>28.444444444444443</v>
      </c>
      <c r="AR70" s="955">
        <f t="shared" si="15"/>
        <v>0.55555555555555558</v>
      </c>
      <c r="AS70" s="955">
        <f t="shared" si="16"/>
        <v>29</v>
      </c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</row>
    <row r="71" spans="1:60" ht="15.75">
      <c r="A71" s="117">
        <v>64</v>
      </c>
      <c r="B71" s="118" t="s">
        <v>1030</v>
      </c>
      <c r="C71" s="117" t="s">
        <v>1031</v>
      </c>
      <c r="D71" s="117" t="s">
        <v>1032</v>
      </c>
      <c r="E71" s="119" t="s">
        <v>15</v>
      </c>
      <c r="F71" s="120">
        <v>11</v>
      </c>
      <c r="G71" s="132">
        <v>256</v>
      </c>
      <c r="H71" s="117">
        <v>0</v>
      </c>
      <c r="I71" s="117">
        <f t="shared" si="4"/>
        <v>256</v>
      </c>
      <c r="J71" s="137">
        <v>0</v>
      </c>
      <c r="K71" s="117">
        <v>0</v>
      </c>
      <c r="L71" s="117">
        <f t="shared" si="5"/>
        <v>0</v>
      </c>
      <c r="M71" s="137">
        <v>15</v>
      </c>
      <c r="N71" s="134">
        <v>6</v>
      </c>
      <c r="O71" s="117">
        <f t="shared" si="6"/>
        <v>21</v>
      </c>
      <c r="P71" s="117">
        <v>6</v>
      </c>
      <c r="Q71" s="117">
        <v>0</v>
      </c>
      <c r="R71" s="117">
        <f t="shared" si="0"/>
        <v>6</v>
      </c>
      <c r="S71" s="117">
        <v>22</v>
      </c>
      <c r="T71" s="117">
        <v>0</v>
      </c>
      <c r="U71" s="117">
        <f t="shared" si="1"/>
        <v>22</v>
      </c>
      <c r="V71" s="117">
        <v>321</v>
      </c>
      <c r="W71" s="117">
        <v>0</v>
      </c>
      <c r="X71" s="117">
        <f t="shared" si="2"/>
        <v>321</v>
      </c>
      <c r="Y71" s="134">
        <f t="shared" si="7"/>
        <v>620</v>
      </c>
      <c r="Z71" s="134">
        <f t="shared" si="7"/>
        <v>6</v>
      </c>
      <c r="AA71" s="134">
        <f t="shared" si="7"/>
        <v>626</v>
      </c>
      <c r="AB71" s="135">
        <f t="shared" si="8"/>
        <v>103.33333333333333</v>
      </c>
      <c r="AC71" s="135">
        <f t="shared" si="8"/>
        <v>1</v>
      </c>
      <c r="AD71" s="135">
        <f t="shared" si="8"/>
        <v>104.33333333333333</v>
      </c>
      <c r="AE71" s="910">
        <v>224</v>
      </c>
      <c r="AF71" s="134">
        <v>0</v>
      </c>
      <c r="AG71" s="910">
        <f t="shared" si="3"/>
        <v>224</v>
      </c>
      <c r="AH71" s="132">
        <v>256</v>
      </c>
      <c r="AI71" s="927">
        <v>0</v>
      </c>
      <c r="AJ71" s="494">
        <f t="shared" si="9"/>
        <v>256</v>
      </c>
      <c r="AK71" s="137">
        <v>0</v>
      </c>
      <c r="AL71" s="134">
        <v>0</v>
      </c>
      <c r="AM71" s="494">
        <f t="shared" si="10"/>
        <v>0</v>
      </c>
      <c r="AN71" s="6">
        <f t="shared" si="11"/>
        <v>1100</v>
      </c>
      <c r="AO71" s="6">
        <f t="shared" si="12"/>
        <v>6</v>
      </c>
      <c r="AP71" s="6">
        <f t="shared" si="13"/>
        <v>1106</v>
      </c>
      <c r="AQ71" s="955">
        <f t="shared" si="14"/>
        <v>122.22222222222223</v>
      </c>
      <c r="AR71" s="955">
        <f t="shared" si="15"/>
        <v>0.66666666666666663</v>
      </c>
      <c r="AS71" s="955">
        <f t="shared" si="16"/>
        <v>122.88888888888889</v>
      </c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</row>
    <row r="72" spans="1:60" ht="15.75">
      <c r="A72" s="117">
        <v>65</v>
      </c>
      <c r="B72" s="118" t="s">
        <v>316</v>
      </c>
      <c r="C72" s="117" t="s">
        <v>1031</v>
      </c>
      <c r="D72" s="117" t="s">
        <v>1033</v>
      </c>
      <c r="E72" s="119" t="s">
        <v>15</v>
      </c>
      <c r="F72" s="120">
        <v>10</v>
      </c>
      <c r="G72" s="132">
        <v>45</v>
      </c>
      <c r="H72" s="117">
        <v>0</v>
      </c>
      <c r="I72" s="117">
        <f t="shared" si="4"/>
        <v>45</v>
      </c>
      <c r="J72" s="137">
        <v>33</v>
      </c>
      <c r="K72" s="117">
        <v>0</v>
      </c>
      <c r="L72" s="117">
        <f t="shared" si="5"/>
        <v>33</v>
      </c>
      <c r="M72" s="137">
        <v>0</v>
      </c>
      <c r="N72" s="134">
        <v>0</v>
      </c>
      <c r="O72" s="117">
        <f t="shared" si="6"/>
        <v>0</v>
      </c>
      <c r="P72" s="117">
        <v>5</v>
      </c>
      <c r="Q72" s="117">
        <v>0</v>
      </c>
      <c r="R72" s="117">
        <f t="shared" ref="R72:R93" si="17">P72+Q72</f>
        <v>5</v>
      </c>
      <c r="S72" s="117">
        <v>18</v>
      </c>
      <c r="T72" s="117">
        <v>0</v>
      </c>
      <c r="U72" s="117">
        <f t="shared" ref="U72:U93" si="18">S72+T72</f>
        <v>18</v>
      </c>
      <c r="V72" s="117">
        <v>100</v>
      </c>
      <c r="W72" s="117">
        <v>0</v>
      </c>
      <c r="X72" s="117">
        <f t="shared" ref="X72:X93" si="19">V72+W72</f>
        <v>100</v>
      </c>
      <c r="Y72" s="134">
        <f t="shared" si="7"/>
        <v>201</v>
      </c>
      <c r="Z72" s="134">
        <f t="shared" si="7"/>
        <v>0</v>
      </c>
      <c r="AA72" s="134">
        <f t="shared" si="7"/>
        <v>201</v>
      </c>
      <c r="AB72" s="135">
        <f t="shared" si="8"/>
        <v>33.5</v>
      </c>
      <c r="AC72" s="135">
        <f t="shared" si="8"/>
        <v>0</v>
      </c>
      <c r="AD72" s="135">
        <f t="shared" si="8"/>
        <v>33.5</v>
      </c>
      <c r="AE72" s="910">
        <v>20</v>
      </c>
      <c r="AF72" s="134">
        <v>0</v>
      </c>
      <c r="AG72" s="910">
        <f t="shared" ref="AG72:AG92" si="20">AE72+AF72</f>
        <v>20</v>
      </c>
      <c r="AH72" s="132">
        <v>45</v>
      </c>
      <c r="AI72" s="927">
        <v>0</v>
      </c>
      <c r="AJ72" s="494">
        <f t="shared" si="9"/>
        <v>45</v>
      </c>
      <c r="AK72" s="137">
        <v>15</v>
      </c>
      <c r="AL72" s="134">
        <v>0</v>
      </c>
      <c r="AM72" s="494">
        <f t="shared" si="10"/>
        <v>15</v>
      </c>
      <c r="AN72" s="6">
        <f t="shared" si="11"/>
        <v>281</v>
      </c>
      <c r="AO72" s="6">
        <f t="shared" si="12"/>
        <v>0</v>
      </c>
      <c r="AP72" s="6">
        <f t="shared" si="13"/>
        <v>281</v>
      </c>
      <c r="AQ72" s="955">
        <f t="shared" si="14"/>
        <v>31.222222222222221</v>
      </c>
      <c r="AR72" s="955">
        <f t="shared" si="15"/>
        <v>0</v>
      </c>
      <c r="AS72" s="955">
        <f t="shared" si="16"/>
        <v>31.222222222222221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</row>
    <row r="73" spans="1:60" ht="15.75">
      <c r="A73" s="117">
        <v>66</v>
      </c>
      <c r="B73" s="118" t="s">
        <v>1034</v>
      </c>
      <c r="C73" s="117" t="s">
        <v>1031</v>
      </c>
      <c r="D73" s="117" t="s">
        <v>1035</v>
      </c>
      <c r="E73" s="119" t="s">
        <v>15</v>
      </c>
      <c r="F73" s="120">
        <v>25</v>
      </c>
      <c r="G73" s="132">
        <v>35</v>
      </c>
      <c r="H73" s="117">
        <v>0</v>
      </c>
      <c r="I73" s="117">
        <f t="shared" ref="I73:I92" si="21">G73+H73</f>
        <v>35</v>
      </c>
      <c r="J73" s="137">
        <v>25</v>
      </c>
      <c r="K73" s="117">
        <v>0</v>
      </c>
      <c r="L73" s="117">
        <f t="shared" ref="L73:L93" si="22">J73+K73</f>
        <v>25</v>
      </c>
      <c r="M73" s="137">
        <v>15</v>
      </c>
      <c r="N73" s="134">
        <v>10</v>
      </c>
      <c r="O73" s="117">
        <f t="shared" ref="O73:O93" si="23">M73+N73</f>
        <v>25</v>
      </c>
      <c r="P73" s="117">
        <v>0</v>
      </c>
      <c r="Q73" s="117">
        <v>0</v>
      </c>
      <c r="R73" s="117">
        <f t="shared" si="17"/>
        <v>0</v>
      </c>
      <c r="S73" s="117">
        <v>30</v>
      </c>
      <c r="T73" s="117">
        <v>0</v>
      </c>
      <c r="U73" s="117">
        <f t="shared" si="18"/>
        <v>30</v>
      </c>
      <c r="V73" s="117">
        <v>125</v>
      </c>
      <c r="W73" s="117">
        <v>0</v>
      </c>
      <c r="X73" s="117">
        <f t="shared" si="19"/>
        <v>125</v>
      </c>
      <c r="Y73" s="134">
        <f t="shared" ref="Y73:AA94" si="24">G73+J73+M73+P73+S73+V73</f>
        <v>230</v>
      </c>
      <c r="Z73" s="134">
        <f t="shared" si="24"/>
        <v>10</v>
      </c>
      <c r="AA73" s="134">
        <f t="shared" si="24"/>
        <v>240</v>
      </c>
      <c r="AB73" s="135">
        <f t="shared" ref="AB73:AD94" si="25">Y73/6</f>
        <v>38.333333333333336</v>
      </c>
      <c r="AC73" s="135">
        <f t="shared" si="25"/>
        <v>1.6666666666666667</v>
      </c>
      <c r="AD73" s="135">
        <f t="shared" si="25"/>
        <v>40</v>
      </c>
      <c r="AE73" s="910">
        <v>15</v>
      </c>
      <c r="AF73" s="134">
        <v>0</v>
      </c>
      <c r="AG73" s="910">
        <f t="shared" si="20"/>
        <v>15</v>
      </c>
      <c r="AH73" s="132">
        <v>35</v>
      </c>
      <c r="AI73" s="927">
        <v>0</v>
      </c>
      <c r="AJ73" s="494">
        <f t="shared" ref="AJ73:AJ92" si="26">AH73+AI73</f>
        <v>35</v>
      </c>
      <c r="AK73" s="137">
        <v>25</v>
      </c>
      <c r="AL73" s="134">
        <v>0</v>
      </c>
      <c r="AM73" s="494">
        <f t="shared" ref="AM73:AM92" si="27">AK73+AL73</f>
        <v>25</v>
      </c>
      <c r="AN73" s="6">
        <f t="shared" ref="AN73:AN92" si="28">Y73+AE73+AH73+AK73</f>
        <v>305</v>
      </c>
      <c r="AO73" s="6">
        <f t="shared" ref="AO73:AO92" si="29">Z73+AF73+AI73+AL73</f>
        <v>10</v>
      </c>
      <c r="AP73" s="6">
        <f t="shared" ref="AP73:AP92" si="30">AA73+AG73+AJ73+AM73</f>
        <v>315</v>
      </c>
      <c r="AQ73" s="955">
        <f t="shared" ref="AQ73:AQ92" si="31">AN73/9</f>
        <v>33.888888888888886</v>
      </c>
      <c r="AR73" s="955">
        <f t="shared" ref="AR73:AR92" si="32">AO73/9</f>
        <v>1.1111111111111112</v>
      </c>
      <c r="AS73" s="955">
        <f t="shared" ref="AS73:AS92" si="33">AP73/9</f>
        <v>35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</row>
    <row r="74" spans="1:60" ht="15.75">
      <c r="A74" s="117">
        <v>67</v>
      </c>
      <c r="B74" s="118" t="s">
        <v>1036</v>
      </c>
      <c r="C74" s="117" t="s">
        <v>1031</v>
      </c>
      <c r="D74" s="117" t="s">
        <v>1037</v>
      </c>
      <c r="E74" s="119" t="s">
        <v>15</v>
      </c>
      <c r="F74" s="120">
        <v>16</v>
      </c>
      <c r="G74" s="132">
        <v>15</v>
      </c>
      <c r="H74" s="117">
        <v>0</v>
      </c>
      <c r="I74" s="117">
        <f t="shared" si="21"/>
        <v>15</v>
      </c>
      <c r="J74" s="137">
        <v>0</v>
      </c>
      <c r="K74" s="117">
        <v>0</v>
      </c>
      <c r="L74" s="117">
        <f t="shared" si="22"/>
        <v>0</v>
      </c>
      <c r="M74" s="137">
        <v>10</v>
      </c>
      <c r="N74" s="134">
        <v>0</v>
      </c>
      <c r="O74" s="117">
        <f t="shared" si="23"/>
        <v>10</v>
      </c>
      <c r="P74" s="117">
        <v>0</v>
      </c>
      <c r="Q74" s="117">
        <v>0</v>
      </c>
      <c r="R74" s="117">
        <f t="shared" si="17"/>
        <v>0</v>
      </c>
      <c r="S74" s="117">
        <v>15</v>
      </c>
      <c r="T74" s="117">
        <v>0</v>
      </c>
      <c r="U74" s="117">
        <f t="shared" si="18"/>
        <v>15</v>
      </c>
      <c r="V74" s="117">
        <v>52</v>
      </c>
      <c r="W74" s="117">
        <v>0</v>
      </c>
      <c r="X74" s="117">
        <f t="shared" si="19"/>
        <v>52</v>
      </c>
      <c r="Y74" s="134">
        <f t="shared" si="24"/>
        <v>92</v>
      </c>
      <c r="Z74" s="134">
        <f t="shared" si="24"/>
        <v>0</v>
      </c>
      <c r="AA74" s="134">
        <f t="shared" si="24"/>
        <v>92</v>
      </c>
      <c r="AB74" s="135">
        <f t="shared" si="25"/>
        <v>15.333333333333334</v>
      </c>
      <c r="AC74" s="135">
        <f t="shared" si="25"/>
        <v>0</v>
      </c>
      <c r="AD74" s="135">
        <f t="shared" si="25"/>
        <v>15.333333333333334</v>
      </c>
      <c r="AE74" s="910">
        <v>48</v>
      </c>
      <c r="AF74" s="134">
        <v>0</v>
      </c>
      <c r="AG74" s="910">
        <f t="shared" si="20"/>
        <v>48</v>
      </c>
      <c r="AH74" s="132">
        <v>15</v>
      </c>
      <c r="AI74" s="927">
        <v>0</v>
      </c>
      <c r="AJ74" s="494">
        <f t="shared" si="26"/>
        <v>15</v>
      </c>
      <c r="AK74" s="137">
        <v>0</v>
      </c>
      <c r="AL74" s="134">
        <v>0</v>
      </c>
      <c r="AM74" s="494">
        <f t="shared" si="27"/>
        <v>0</v>
      </c>
      <c r="AN74" s="6">
        <f t="shared" si="28"/>
        <v>155</v>
      </c>
      <c r="AO74" s="6">
        <f t="shared" si="29"/>
        <v>0</v>
      </c>
      <c r="AP74" s="6">
        <f t="shared" si="30"/>
        <v>155</v>
      </c>
      <c r="AQ74" s="955">
        <f t="shared" si="31"/>
        <v>17.222222222222221</v>
      </c>
      <c r="AR74" s="955">
        <f t="shared" si="32"/>
        <v>0</v>
      </c>
      <c r="AS74" s="955">
        <f t="shared" si="33"/>
        <v>17.222222222222221</v>
      </c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</row>
    <row r="75" spans="1:60" ht="15.75">
      <c r="A75" s="117">
        <v>68</v>
      </c>
      <c r="B75" s="118" t="s">
        <v>1038</v>
      </c>
      <c r="C75" s="117" t="s">
        <v>1031</v>
      </c>
      <c r="D75" s="117" t="s">
        <v>1039</v>
      </c>
      <c r="E75" s="119" t="s">
        <v>15</v>
      </c>
      <c r="F75" s="120">
        <v>35</v>
      </c>
      <c r="G75" s="132">
        <v>158</v>
      </c>
      <c r="H75" s="117">
        <v>0</v>
      </c>
      <c r="I75" s="117">
        <f t="shared" si="21"/>
        <v>158</v>
      </c>
      <c r="J75" s="137">
        <v>5</v>
      </c>
      <c r="K75" s="117">
        <v>0</v>
      </c>
      <c r="L75" s="117">
        <f t="shared" si="22"/>
        <v>5</v>
      </c>
      <c r="M75" s="137">
        <v>0</v>
      </c>
      <c r="N75" s="134">
        <v>0</v>
      </c>
      <c r="O75" s="117">
        <f t="shared" si="23"/>
        <v>0</v>
      </c>
      <c r="P75" s="117">
        <v>0</v>
      </c>
      <c r="Q75" s="117">
        <v>0</v>
      </c>
      <c r="R75" s="117">
        <f t="shared" si="17"/>
        <v>0</v>
      </c>
      <c r="S75" s="117">
        <v>16</v>
      </c>
      <c r="T75" s="117">
        <v>30</v>
      </c>
      <c r="U75" s="117">
        <f t="shared" si="18"/>
        <v>46</v>
      </c>
      <c r="V75" s="117">
        <v>100</v>
      </c>
      <c r="W75" s="117">
        <v>0</v>
      </c>
      <c r="X75" s="117">
        <f t="shared" si="19"/>
        <v>100</v>
      </c>
      <c r="Y75" s="134">
        <f t="shared" si="24"/>
        <v>279</v>
      </c>
      <c r="Z75" s="134">
        <f t="shared" si="24"/>
        <v>30</v>
      </c>
      <c r="AA75" s="134">
        <f t="shared" si="24"/>
        <v>309</v>
      </c>
      <c r="AB75" s="135">
        <f t="shared" si="25"/>
        <v>46.5</v>
      </c>
      <c r="AC75" s="135">
        <f t="shared" si="25"/>
        <v>5</v>
      </c>
      <c r="AD75" s="135">
        <f t="shared" si="25"/>
        <v>51.5</v>
      </c>
      <c r="AE75" s="910">
        <v>74</v>
      </c>
      <c r="AF75" s="134">
        <v>0</v>
      </c>
      <c r="AG75" s="910">
        <f t="shared" si="20"/>
        <v>74</v>
      </c>
      <c r="AH75" s="132">
        <v>158</v>
      </c>
      <c r="AI75" s="927">
        <v>0</v>
      </c>
      <c r="AJ75" s="494">
        <f t="shared" si="26"/>
        <v>158</v>
      </c>
      <c r="AK75" s="137">
        <v>5</v>
      </c>
      <c r="AL75" s="134">
        <v>0</v>
      </c>
      <c r="AM75" s="494">
        <f t="shared" si="27"/>
        <v>5</v>
      </c>
      <c r="AN75" s="6">
        <f t="shared" si="28"/>
        <v>516</v>
      </c>
      <c r="AO75" s="6">
        <f t="shared" si="29"/>
        <v>30</v>
      </c>
      <c r="AP75" s="6">
        <f t="shared" si="30"/>
        <v>546</v>
      </c>
      <c r="AQ75" s="955">
        <f t="shared" si="31"/>
        <v>57.333333333333336</v>
      </c>
      <c r="AR75" s="955">
        <f t="shared" si="32"/>
        <v>3.3333333333333335</v>
      </c>
      <c r="AS75" s="955">
        <f t="shared" si="33"/>
        <v>60.666666666666664</v>
      </c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</row>
    <row r="76" spans="1:60" ht="15.75">
      <c r="A76" s="117">
        <v>69</v>
      </c>
      <c r="B76" s="118" t="s">
        <v>1040</v>
      </c>
      <c r="C76" s="117" t="s">
        <v>1031</v>
      </c>
      <c r="D76" s="117" t="s">
        <v>1041</v>
      </c>
      <c r="E76" s="119" t="s">
        <v>15</v>
      </c>
      <c r="F76" s="120">
        <v>50</v>
      </c>
      <c r="G76" s="132">
        <v>72</v>
      </c>
      <c r="H76" s="117">
        <v>0</v>
      </c>
      <c r="I76" s="117">
        <f t="shared" si="21"/>
        <v>72</v>
      </c>
      <c r="J76" s="137">
        <v>60</v>
      </c>
      <c r="K76" s="117">
        <v>0</v>
      </c>
      <c r="L76" s="117">
        <f t="shared" si="22"/>
        <v>60</v>
      </c>
      <c r="M76" s="137">
        <v>40</v>
      </c>
      <c r="N76" s="134">
        <v>9</v>
      </c>
      <c r="O76" s="117">
        <f t="shared" si="23"/>
        <v>49</v>
      </c>
      <c r="P76" s="117">
        <v>0</v>
      </c>
      <c r="Q76" s="117">
        <v>0</v>
      </c>
      <c r="R76" s="117">
        <f t="shared" si="17"/>
        <v>0</v>
      </c>
      <c r="S76" s="117">
        <v>21</v>
      </c>
      <c r="T76" s="117">
        <v>0</v>
      </c>
      <c r="U76" s="117">
        <f t="shared" si="18"/>
        <v>21</v>
      </c>
      <c r="V76" s="117">
        <v>150</v>
      </c>
      <c r="W76" s="117">
        <v>0</v>
      </c>
      <c r="X76" s="117">
        <f t="shared" si="19"/>
        <v>150</v>
      </c>
      <c r="Y76" s="134">
        <f t="shared" si="24"/>
        <v>343</v>
      </c>
      <c r="Z76" s="134">
        <f t="shared" si="24"/>
        <v>9</v>
      </c>
      <c r="AA76" s="134">
        <f t="shared" si="24"/>
        <v>352</v>
      </c>
      <c r="AB76" s="135">
        <f t="shared" si="25"/>
        <v>57.166666666666664</v>
      </c>
      <c r="AC76" s="135">
        <f t="shared" si="25"/>
        <v>1.5</v>
      </c>
      <c r="AD76" s="135">
        <f t="shared" si="25"/>
        <v>58.666666666666664</v>
      </c>
      <c r="AE76" s="910">
        <v>165</v>
      </c>
      <c r="AF76" s="134">
        <v>0</v>
      </c>
      <c r="AG76" s="910">
        <f t="shared" si="20"/>
        <v>165</v>
      </c>
      <c r="AH76" s="132">
        <v>72</v>
      </c>
      <c r="AI76" s="927">
        <v>0</v>
      </c>
      <c r="AJ76" s="494">
        <f t="shared" si="26"/>
        <v>72</v>
      </c>
      <c r="AK76" s="137">
        <v>0</v>
      </c>
      <c r="AL76" s="134">
        <v>0</v>
      </c>
      <c r="AM76" s="494">
        <f t="shared" si="27"/>
        <v>0</v>
      </c>
      <c r="AN76" s="6">
        <f t="shared" si="28"/>
        <v>580</v>
      </c>
      <c r="AO76" s="6">
        <f t="shared" si="29"/>
        <v>9</v>
      </c>
      <c r="AP76" s="6">
        <f t="shared" si="30"/>
        <v>589</v>
      </c>
      <c r="AQ76" s="955">
        <f t="shared" si="31"/>
        <v>64.444444444444443</v>
      </c>
      <c r="AR76" s="955">
        <f t="shared" si="32"/>
        <v>1</v>
      </c>
      <c r="AS76" s="955">
        <f t="shared" si="33"/>
        <v>65.444444444444443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</row>
    <row r="77" spans="1:60" ht="15.75">
      <c r="A77" s="117">
        <v>70</v>
      </c>
      <c r="B77" s="118" t="s">
        <v>1042</v>
      </c>
      <c r="C77" s="117" t="s">
        <v>1031</v>
      </c>
      <c r="D77" s="117" t="s">
        <v>1043</v>
      </c>
      <c r="E77" s="119" t="s">
        <v>15</v>
      </c>
      <c r="F77" s="120">
        <v>20</v>
      </c>
      <c r="G77" s="132">
        <v>15</v>
      </c>
      <c r="H77" s="117">
        <v>0</v>
      </c>
      <c r="I77" s="117">
        <f t="shared" si="21"/>
        <v>15</v>
      </c>
      <c r="J77" s="137">
        <v>0</v>
      </c>
      <c r="K77" s="117">
        <v>0</v>
      </c>
      <c r="L77" s="117">
        <f t="shared" si="22"/>
        <v>0</v>
      </c>
      <c r="M77" s="137">
        <v>0</v>
      </c>
      <c r="N77" s="134">
        <v>0</v>
      </c>
      <c r="O77" s="117">
        <f t="shared" si="23"/>
        <v>0</v>
      </c>
      <c r="P77" s="117">
        <v>15</v>
      </c>
      <c r="Q77" s="117">
        <v>0</v>
      </c>
      <c r="R77" s="117">
        <f t="shared" si="17"/>
        <v>15</v>
      </c>
      <c r="S77" s="117">
        <v>16</v>
      </c>
      <c r="T77" s="117">
        <v>0</v>
      </c>
      <c r="U77" s="117">
        <f t="shared" si="18"/>
        <v>16</v>
      </c>
      <c r="V77" s="117">
        <v>122</v>
      </c>
      <c r="W77" s="117">
        <v>0</v>
      </c>
      <c r="X77" s="117">
        <f t="shared" si="19"/>
        <v>122</v>
      </c>
      <c r="Y77" s="134">
        <f t="shared" si="24"/>
        <v>168</v>
      </c>
      <c r="Z77" s="134">
        <f t="shared" si="24"/>
        <v>0</v>
      </c>
      <c r="AA77" s="134">
        <f t="shared" si="24"/>
        <v>168</v>
      </c>
      <c r="AB77" s="135">
        <f t="shared" si="25"/>
        <v>28</v>
      </c>
      <c r="AC77" s="135">
        <f t="shared" si="25"/>
        <v>0</v>
      </c>
      <c r="AD77" s="135">
        <f t="shared" si="25"/>
        <v>28</v>
      </c>
      <c r="AE77" s="910">
        <v>114</v>
      </c>
      <c r="AF77" s="134">
        <v>0</v>
      </c>
      <c r="AG77" s="910">
        <f t="shared" si="20"/>
        <v>114</v>
      </c>
      <c r="AH77" s="132">
        <v>15</v>
      </c>
      <c r="AI77" s="927">
        <v>0</v>
      </c>
      <c r="AJ77" s="494">
        <f t="shared" si="26"/>
        <v>15</v>
      </c>
      <c r="AK77" s="137">
        <v>10</v>
      </c>
      <c r="AL77" s="134">
        <v>0</v>
      </c>
      <c r="AM77" s="494">
        <f t="shared" si="27"/>
        <v>10</v>
      </c>
      <c r="AN77" s="6">
        <f t="shared" si="28"/>
        <v>307</v>
      </c>
      <c r="AO77" s="6">
        <f t="shared" si="29"/>
        <v>0</v>
      </c>
      <c r="AP77" s="6">
        <f t="shared" si="30"/>
        <v>307</v>
      </c>
      <c r="AQ77" s="955">
        <f t="shared" si="31"/>
        <v>34.111111111111114</v>
      </c>
      <c r="AR77" s="955">
        <f t="shared" si="32"/>
        <v>0</v>
      </c>
      <c r="AS77" s="955">
        <f t="shared" si="33"/>
        <v>34.111111111111114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</row>
    <row r="78" spans="1:60" ht="15.75">
      <c r="A78" s="117">
        <v>71</v>
      </c>
      <c r="B78" s="118" t="s">
        <v>1044</v>
      </c>
      <c r="C78" s="117" t="s">
        <v>1031</v>
      </c>
      <c r="D78" s="117" t="s">
        <v>1045</v>
      </c>
      <c r="E78" s="119" t="s">
        <v>15</v>
      </c>
      <c r="F78" s="120">
        <v>28</v>
      </c>
      <c r="G78" s="132">
        <v>0</v>
      </c>
      <c r="H78" s="117">
        <v>0</v>
      </c>
      <c r="I78" s="117">
        <f t="shared" si="21"/>
        <v>0</v>
      </c>
      <c r="J78" s="137">
        <v>0</v>
      </c>
      <c r="K78" s="117">
        <v>0</v>
      </c>
      <c r="L78" s="117">
        <f t="shared" si="22"/>
        <v>0</v>
      </c>
      <c r="M78" s="137">
        <v>30</v>
      </c>
      <c r="N78" s="134">
        <v>6</v>
      </c>
      <c r="O78" s="117">
        <f t="shared" si="23"/>
        <v>36</v>
      </c>
      <c r="P78" s="117">
        <v>0</v>
      </c>
      <c r="Q78" s="117">
        <v>0</v>
      </c>
      <c r="R78" s="117">
        <f t="shared" si="17"/>
        <v>0</v>
      </c>
      <c r="S78" s="117">
        <v>18</v>
      </c>
      <c r="T78" s="117">
        <v>0</v>
      </c>
      <c r="U78" s="117">
        <f t="shared" si="18"/>
        <v>18</v>
      </c>
      <c r="V78" s="117">
        <v>20</v>
      </c>
      <c r="W78" s="117">
        <v>0</v>
      </c>
      <c r="X78" s="117">
        <f t="shared" si="19"/>
        <v>20</v>
      </c>
      <c r="Y78" s="134">
        <f t="shared" si="24"/>
        <v>68</v>
      </c>
      <c r="Z78" s="134">
        <f t="shared" si="24"/>
        <v>6</v>
      </c>
      <c r="AA78" s="134">
        <f t="shared" si="24"/>
        <v>74</v>
      </c>
      <c r="AB78" s="135">
        <f t="shared" si="25"/>
        <v>11.333333333333334</v>
      </c>
      <c r="AC78" s="135">
        <f t="shared" si="25"/>
        <v>1</v>
      </c>
      <c r="AD78" s="135">
        <f t="shared" si="25"/>
        <v>12.333333333333334</v>
      </c>
      <c r="AE78" s="910">
        <v>38</v>
      </c>
      <c r="AF78" s="134">
        <v>0</v>
      </c>
      <c r="AG78" s="910">
        <f t="shared" si="20"/>
        <v>38</v>
      </c>
      <c r="AH78" s="132">
        <v>0</v>
      </c>
      <c r="AI78" s="927">
        <v>0</v>
      </c>
      <c r="AJ78" s="494">
        <f t="shared" si="26"/>
        <v>0</v>
      </c>
      <c r="AK78" s="137">
        <v>10</v>
      </c>
      <c r="AL78" s="134">
        <v>0</v>
      </c>
      <c r="AM78" s="494">
        <f t="shared" si="27"/>
        <v>10</v>
      </c>
      <c r="AN78" s="6">
        <f t="shared" si="28"/>
        <v>116</v>
      </c>
      <c r="AO78" s="6">
        <f t="shared" si="29"/>
        <v>6</v>
      </c>
      <c r="AP78" s="6">
        <f t="shared" si="30"/>
        <v>122</v>
      </c>
      <c r="AQ78" s="955">
        <f t="shared" si="31"/>
        <v>12.888888888888889</v>
      </c>
      <c r="AR78" s="955">
        <f t="shared" si="32"/>
        <v>0.66666666666666663</v>
      </c>
      <c r="AS78" s="955">
        <f t="shared" si="33"/>
        <v>13.555555555555555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</row>
    <row r="79" spans="1:60" ht="15.75">
      <c r="A79" s="117">
        <v>72</v>
      </c>
      <c r="B79" s="118" t="s">
        <v>1046</v>
      </c>
      <c r="C79" s="117" t="s">
        <v>1031</v>
      </c>
      <c r="D79" s="117" t="s">
        <v>1047</v>
      </c>
      <c r="E79" s="119" t="s">
        <v>15</v>
      </c>
      <c r="F79" s="120">
        <v>15</v>
      </c>
      <c r="G79" s="132">
        <v>12</v>
      </c>
      <c r="H79" s="117">
        <v>0</v>
      </c>
      <c r="I79" s="117">
        <f t="shared" si="21"/>
        <v>12</v>
      </c>
      <c r="J79" s="137"/>
      <c r="K79" s="117">
        <v>0</v>
      </c>
      <c r="L79" s="117">
        <f t="shared" si="22"/>
        <v>0</v>
      </c>
      <c r="M79" s="137">
        <v>20</v>
      </c>
      <c r="N79" s="134">
        <v>56</v>
      </c>
      <c r="O79" s="117">
        <f t="shared" si="23"/>
        <v>76</v>
      </c>
      <c r="P79" s="117">
        <v>0</v>
      </c>
      <c r="Q79" s="117">
        <v>0</v>
      </c>
      <c r="R79" s="117">
        <f t="shared" si="17"/>
        <v>0</v>
      </c>
      <c r="S79" s="117">
        <v>10</v>
      </c>
      <c r="T79" s="117">
        <v>0</v>
      </c>
      <c r="U79" s="117">
        <f t="shared" si="18"/>
        <v>10</v>
      </c>
      <c r="V79" s="117">
        <v>259</v>
      </c>
      <c r="W79" s="117">
        <v>0</v>
      </c>
      <c r="X79" s="117">
        <f t="shared" si="19"/>
        <v>259</v>
      </c>
      <c r="Y79" s="134">
        <f t="shared" si="24"/>
        <v>301</v>
      </c>
      <c r="Z79" s="134">
        <f t="shared" si="24"/>
        <v>56</v>
      </c>
      <c r="AA79" s="134">
        <f t="shared" si="24"/>
        <v>357</v>
      </c>
      <c r="AB79" s="135">
        <f t="shared" si="25"/>
        <v>50.166666666666664</v>
      </c>
      <c r="AC79" s="135">
        <f t="shared" si="25"/>
        <v>9.3333333333333339</v>
      </c>
      <c r="AD79" s="135">
        <f t="shared" si="25"/>
        <v>59.5</v>
      </c>
      <c r="AE79" s="910">
        <v>20</v>
      </c>
      <c r="AF79" s="134">
        <v>0</v>
      </c>
      <c r="AG79" s="910">
        <f t="shared" si="20"/>
        <v>20</v>
      </c>
      <c r="AH79" s="132">
        <v>112</v>
      </c>
      <c r="AI79" s="927">
        <v>0</v>
      </c>
      <c r="AJ79" s="494">
        <f t="shared" si="26"/>
        <v>112</v>
      </c>
      <c r="AK79" s="137">
        <v>0</v>
      </c>
      <c r="AL79" s="134">
        <v>0</v>
      </c>
      <c r="AM79" s="494">
        <f t="shared" si="27"/>
        <v>0</v>
      </c>
      <c r="AN79" s="6">
        <f t="shared" si="28"/>
        <v>433</v>
      </c>
      <c r="AO79" s="6">
        <f t="shared" si="29"/>
        <v>56</v>
      </c>
      <c r="AP79" s="6">
        <f t="shared" si="30"/>
        <v>489</v>
      </c>
      <c r="AQ79" s="955">
        <f t="shared" si="31"/>
        <v>48.111111111111114</v>
      </c>
      <c r="AR79" s="955">
        <f t="shared" si="32"/>
        <v>6.2222222222222223</v>
      </c>
      <c r="AS79" s="955">
        <f t="shared" si="33"/>
        <v>54.333333333333336</v>
      </c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</row>
    <row r="80" spans="1:60" ht="15.75">
      <c r="A80" s="117">
        <v>73</v>
      </c>
      <c r="B80" s="118" t="s">
        <v>1048</v>
      </c>
      <c r="C80" s="117" t="s">
        <v>1031</v>
      </c>
      <c r="D80" s="117" t="s">
        <v>1049</v>
      </c>
      <c r="E80" s="119" t="s">
        <v>15</v>
      </c>
      <c r="F80" s="120">
        <v>10</v>
      </c>
      <c r="G80" s="132">
        <v>24</v>
      </c>
      <c r="H80" s="117">
        <v>0</v>
      </c>
      <c r="I80" s="117">
        <f t="shared" si="21"/>
        <v>24</v>
      </c>
      <c r="J80" s="137">
        <v>10</v>
      </c>
      <c r="K80" s="117">
        <v>0</v>
      </c>
      <c r="L80" s="117">
        <f t="shared" si="22"/>
        <v>10</v>
      </c>
      <c r="M80" s="137">
        <v>0</v>
      </c>
      <c r="N80" s="134">
        <v>0</v>
      </c>
      <c r="O80" s="117">
        <f t="shared" si="23"/>
        <v>0</v>
      </c>
      <c r="P80" s="117">
        <v>13</v>
      </c>
      <c r="Q80" s="117">
        <v>0</v>
      </c>
      <c r="R80" s="117">
        <f t="shared" si="17"/>
        <v>13</v>
      </c>
      <c r="S80" s="117">
        <v>15</v>
      </c>
      <c r="T80" s="117">
        <v>0</v>
      </c>
      <c r="U80" s="117">
        <f t="shared" si="18"/>
        <v>15</v>
      </c>
      <c r="V80" s="117">
        <v>25</v>
      </c>
      <c r="W80" s="117">
        <v>0</v>
      </c>
      <c r="X80" s="117">
        <f t="shared" si="19"/>
        <v>25</v>
      </c>
      <c r="Y80" s="134">
        <f t="shared" si="24"/>
        <v>87</v>
      </c>
      <c r="Z80" s="134">
        <f t="shared" si="24"/>
        <v>0</v>
      </c>
      <c r="AA80" s="134">
        <f t="shared" si="24"/>
        <v>87</v>
      </c>
      <c r="AB80" s="135">
        <f t="shared" si="25"/>
        <v>14.5</v>
      </c>
      <c r="AC80" s="135">
        <f t="shared" si="25"/>
        <v>0</v>
      </c>
      <c r="AD80" s="135">
        <f t="shared" si="25"/>
        <v>14.5</v>
      </c>
      <c r="AE80" s="910">
        <v>45</v>
      </c>
      <c r="AF80" s="134">
        <v>0</v>
      </c>
      <c r="AG80" s="910">
        <f t="shared" si="20"/>
        <v>45</v>
      </c>
      <c r="AH80" s="132">
        <v>24</v>
      </c>
      <c r="AI80" s="927">
        <v>0</v>
      </c>
      <c r="AJ80" s="494">
        <f t="shared" si="26"/>
        <v>24</v>
      </c>
      <c r="AK80" s="137">
        <v>16</v>
      </c>
      <c r="AL80" s="134">
        <v>0</v>
      </c>
      <c r="AM80" s="494">
        <f t="shared" si="27"/>
        <v>16</v>
      </c>
      <c r="AN80" s="6">
        <f t="shared" si="28"/>
        <v>172</v>
      </c>
      <c r="AO80" s="6">
        <f t="shared" si="29"/>
        <v>0</v>
      </c>
      <c r="AP80" s="6">
        <f t="shared" si="30"/>
        <v>172</v>
      </c>
      <c r="AQ80" s="955">
        <f t="shared" si="31"/>
        <v>19.111111111111111</v>
      </c>
      <c r="AR80" s="955">
        <f t="shared" si="32"/>
        <v>0</v>
      </c>
      <c r="AS80" s="955">
        <f t="shared" si="33"/>
        <v>19.111111111111111</v>
      </c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</row>
    <row r="81" spans="1:60" ht="15.75">
      <c r="A81" s="117">
        <v>74</v>
      </c>
      <c r="B81" s="118" t="s">
        <v>943</v>
      </c>
      <c r="C81" s="117" t="s">
        <v>1031</v>
      </c>
      <c r="D81" s="117" t="s">
        <v>1050</v>
      </c>
      <c r="E81" s="119" t="s">
        <v>15</v>
      </c>
      <c r="F81" s="120">
        <v>5</v>
      </c>
      <c r="G81" s="132">
        <v>0</v>
      </c>
      <c r="H81" s="117">
        <v>0</v>
      </c>
      <c r="I81" s="117">
        <f t="shared" si="21"/>
        <v>0</v>
      </c>
      <c r="J81" s="137">
        <v>0</v>
      </c>
      <c r="K81" s="117">
        <v>0</v>
      </c>
      <c r="L81" s="117">
        <f t="shared" si="22"/>
        <v>0</v>
      </c>
      <c r="M81" s="137">
        <v>20</v>
      </c>
      <c r="N81" s="134">
        <v>0</v>
      </c>
      <c r="O81" s="117">
        <f t="shared" si="23"/>
        <v>20</v>
      </c>
      <c r="P81" s="117">
        <v>0</v>
      </c>
      <c r="Q81" s="117">
        <v>0</v>
      </c>
      <c r="R81" s="117">
        <f t="shared" si="17"/>
        <v>0</v>
      </c>
      <c r="S81" s="117">
        <v>28</v>
      </c>
      <c r="T81" s="117">
        <v>0</v>
      </c>
      <c r="U81" s="117">
        <f t="shared" si="18"/>
        <v>28</v>
      </c>
      <c r="V81" s="117">
        <v>80</v>
      </c>
      <c r="W81" s="117">
        <v>0</v>
      </c>
      <c r="X81" s="117">
        <f t="shared" si="19"/>
        <v>80</v>
      </c>
      <c r="Y81" s="134">
        <f t="shared" si="24"/>
        <v>128</v>
      </c>
      <c r="Z81" s="134">
        <f t="shared" si="24"/>
        <v>0</v>
      </c>
      <c r="AA81" s="134">
        <f t="shared" si="24"/>
        <v>128</v>
      </c>
      <c r="AB81" s="135">
        <f t="shared" si="25"/>
        <v>21.333333333333332</v>
      </c>
      <c r="AC81" s="135">
        <f t="shared" si="25"/>
        <v>0</v>
      </c>
      <c r="AD81" s="135">
        <f t="shared" si="25"/>
        <v>21.333333333333332</v>
      </c>
      <c r="AE81" s="910">
        <v>120</v>
      </c>
      <c r="AF81" s="134">
        <v>0</v>
      </c>
      <c r="AG81" s="910">
        <f t="shared" si="20"/>
        <v>120</v>
      </c>
      <c r="AH81" s="132">
        <v>68</v>
      </c>
      <c r="AI81" s="927">
        <v>0</v>
      </c>
      <c r="AJ81" s="494">
        <f t="shared" si="26"/>
        <v>68</v>
      </c>
      <c r="AK81" s="137">
        <v>0</v>
      </c>
      <c r="AL81" s="134">
        <v>0</v>
      </c>
      <c r="AM81" s="494">
        <f t="shared" si="27"/>
        <v>0</v>
      </c>
      <c r="AN81" s="6">
        <f t="shared" si="28"/>
        <v>316</v>
      </c>
      <c r="AO81" s="6">
        <f t="shared" si="29"/>
        <v>0</v>
      </c>
      <c r="AP81" s="6">
        <f t="shared" si="30"/>
        <v>316</v>
      </c>
      <c r="AQ81" s="955">
        <f t="shared" si="31"/>
        <v>35.111111111111114</v>
      </c>
      <c r="AR81" s="955">
        <f t="shared" si="32"/>
        <v>0</v>
      </c>
      <c r="AS81" s="955">
        <f t="shared" si="33"/>
        <v>35.111111111111114</v>
      </c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</row>
    <row r="82" spans="1:60" ht="15.75">
      <c r="A82" s="117">
        <v>75</v>
      </c>
      <c r="B82" s="118" t="s">
        <v>1051</v>
      </c>
      <c r="C82" s="117" t="s">
        <v>1031</v>
      </c>
      <c r="D82" s="117" t="s">
        <v>1052</v>
      </c>
      <c r="E82" s="119" t="s">
        <v>15</v>
      </c>
      <c r="F82" s="120">
        <v>17</v>
      </c>
      <c r="G82" s="132">
        <v>100</v>
      </c>
      <c r="H82" s="117">
        <v>0</v>
      </c>
      <c r="I82" s="117">
        <f t="shared" si="21"/>
        <v>100</v>
      </c>
      <c r="J82" s="137">
        <v>25</v>
      </c>
      <c r="K82" s="117">
        <v>0</v>
      </c>
      <c r="L82" s="117">
        <f t="shared" si="22"/>
        <v>25</v>
      </c>
      <c r="M82" s="137">
        <v>30</v>
      </c>
      <c r="N82" s="134">
        <v>0</v>
      </c>
      <c r="O82" s="117">
        <f t="shared" si="23"/>
        <v>30</v>
      </c>
      <c r="P82" s="117">
        <v>20</v>
      </c>
      <c r="Q82" s="117">
        <v>0</v>
      </c>
      <c r="R82" s="117">
        <f t="shared" si="17"/>
        <v>20</v>
      </c>
      <c r="S82" s="117">
        <v>25</v>
      </c>
      <c r="T82" s="117">
        <v>0</v>
      </c>
      <c r="U82" s="117">
        <f t="shared" si="18"/>
        <v>25</v>
      </c>
      <c r="V82" s="117">
        <v>100</v>
      </c>
      <c r="W82" s="117">
        <v>0</v>
      </c>
      <c r="X82" s="117">
        <f t="shared" si="19"/>
        <v>100</v>
      </c>
      <c r="Y82" s="134">
        <f t="shared" si="24"/>
        <v>300</v>
      </c>
      <c r="Z82" s="134">
        <f t="shared" si="24"/>
        <v>0</v>
      </c>
      <c r="AA82" s="134">
        <f t="shared" si="24"/>
        <v>300</v>
      </c>
      <c r="AB82" s="135">
        <f t="shared" si="25"/>
        <v>50</v>
      </c>
      <c r="AC82" s="135">
        <f t="shared" si="25"/>
        <v>0</v>
      </c>
      <c r="AD82" s="135">
        <f t="shared" si="25"/>
        <v>50</v>
      </c>
      <c r="AE82" s="910">
        <v>105</v>
      </c>
      <c r="AF82" s="134">
        <v>10</v>
      </c>
      <c r="AG82" s="910">
        <f t="shared" si="20"/>
        <v>115</v>
      </c>
      <c r="AH82" s="132">
        <v>120</v>
      </c>
      <c r="AI82" s="927">
        <v>0</v>
      </c>
      <c r="AJ82" s="494">
        <f t="shared" si="26"/>
        <v>120</v>
      </c>
      <c r="AK82" s="137">
        <v>0</v>
      </c>
      <c r="AL82" s="134">
        <v>0</v>
      </c>
      <c r="AM82" s="494">
        <f t="shared" si="27"/>
        <v>0</v>
      </c>
      <c r="AN82" s="6">
        <f t="shared" si="28"/>
        <v>525</v>
      </c>
      <c r="AO82" s="6">
        <f t="shared" si="29"/>
        <v>10</v>
      </c>
      <c r="AP82" s="6">
        <f t="shared" si="30"/>
        <v>535</v>
      </c>
      <c r="AQ82" s="955">
        <f t="shared" si="31"/>
        <v>58.333333333333336</v>
      </c>
      <c r="AR82" s="955">
        <f t="shared" si="32"/>
        <v>1.1111111111111112</v>
      </c>
      <c r="AS82" s="955">
        <f t="shared" si="33"/>
        <v>59.444444444444443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</row>
    <row r="83" spans="1:60" ht="15.75">
      <c r="A83" s="117">
        <v>76</v>
      </c>
      <c r="B83" s="125" t="s">
        <v>1053</v>
      </c>
      <c r="C83" s="126" t="s">
        <v>1054</v>
      </c>
      <c r="D83" s="126" t="s">
        <v>1055</v>
      </c>
      <c r="E83" s="127" t="s">
        <v>18</v>
      </c>
      <c r="F83" s="128">
        <v>2639</v>
      </c>
      <c r="G83" s="126">
        <v>3324</v>
      </c>
      <c r="H83" s="126">
        <v>386</v>
      </c>
      <c r="I83" s="126">
        <f t="shared" si="21"/>
        <v>3710</v>
      </c>
      <c r="J83" s="126">
        <v>2974</v>
      </c>
      <c r="K83" s="126">
        <v>342</v>
      </c>
      <c r="L83" s="126">
        <f t="shared" si="22"/>
        <v>3316</v>
      </c>
      <c r="M83" s="138">
        <v>4299</v>
      </c>
      <c r="N83" s="138">
        <v>130</v>
      </c>
      <c r="O83" s="126">
        <f t="shared" si="23"/>
        <v>4429</v>
      </c>
      <c r="P83" s="126">
        <v>2272</v>
      </c>
      <c r="Q83" s="126">
        <v>292</v>
      </c>
      <c r="R83" s="126">
        <f t="shared" si="17"/>
        <v>2564</v>
      </c>
      <c r="S83" s="126">
        <v>5242</v>
      </c>
      <c r="T83" s="126">
        <v>294</v>
      </c>
      <c r="U83" s="126">
        <f t="shared" si="18"/>
        <v>5536</v>
      </c>
      <c r="V83" s="126">
        <v>2988</v>
      </c>
      <c r="W83" s="126">
        <v>246</v>
      </c>
      <c r="X83" s="126">
        <f t="shared" si="19"/>
        <v>3234</v>
      </c>
      <c r="Y83" s="138">
        <f t="shared" si="24"/>
        <v>21099</v>
      </c>
      <c r="Z83" s="138">
        <f t="shared" si="24"/>
        <v>1690</v>
      </c>
      <c r="AA83" s="138">
        <f t="shared" si="24"/>
        <v>22789</v>
      </c>
      <c r="AB83" s="139">
        <f t="shared" si="25"/>
        <v>3516.5</v>
      </c>
      <c r="AC83" s="139">
        <f t="shared" si="25"/>
        <v>281.66666666666669</v>
      </c>
      <c r="AD83" s="139">
        <f t="shared" si="25"/>
        <v>3798.1666666666665</v>
      </c>
      <c r="AE83" s="138">
        <v>3078</v>
      </c>
      <c r="AF83" s="138">
        <v>312</v>
      </c>
      <c r="AG83" s="913">
        <f t="shared" si="20"/>
        <v>3390</v>
      </c>
      <c r="AH83" s="138">
        <v>2330</v>
      </c>
      <c r="AI83" s="138">
        <v>228</v>
      </c>
      <c r="AJ83" s="703">
        <f t="shared" si="26"/>
        <v>2558</v>
      </c>
      <c r="AK83" s="138">
        <v>3906</v>
      </c>
      <c r="AL83" s="138">
        <v>270</v>
      </c>
      <c r="AM83" s="703">
        <f t="shared" si="27"/>
        <v>4176</v>
      </c>
      <c r="AN83" s="19">
        <f t="shared" si="28"/>
        <v>30413</v>
      </c>
      <c r="AO83" s="19">
        <f t="shared" si="29"/>
        <v>2500</v>
      </c>
      <c r="AP83" s="19">
        <f t="shared" si="30"/>
        <v>32913</v>
      </c>
      <c r="AQ83" s="703">
        <f t="shared" si="31"/>
        <v>3379.2222222222222</v>
      </c>
      <c r="AR83" s="703">
        <f t="shared" si="32"/>
        <v>277.77777777777777</v>
      </c>
      <c r="AS83" s="703">
        <f t="shared" si="33"/>
        <v>3657</v>
      </c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</row>
    <row r="84" spans="1:60" ht="15.75">
      <c r="A84" s="117">
        <v>77</v>
      </c>
      <c r="B84" s="125" t="s">
        <v>1056</v>
      </c>
      <c r="C84" s="126" t="s">
        <v>960</v>
      </c>
      <c r="D84" s="126" t="s">
        <v>1057</v>
      </c>
      <c r="E84" s="127" t="s">
        <v>18</v>
      </c>
      <c r="F84" s="128">
        <v>2107</v>
      </c>
      <c r="G84" s="126">
        <v>1507</v>
      </c>
      <c r="H84" s="126">
        <v>350</v>
      </c>
      <c r="I84" s="126">
        <f t="shared" si="21"/>
        <v>1857</v>
      </c>
      <c r="J84" s="126">
        <v>788</v>
      </c>
      <c r="K84" s="126">
        <v>96</v>
      </c>
      <c r="L84" s="126">
        <f t="shared" si="22"/>
        <v>884</v>
      </c>
      <c r="M84" s="138">
        <v>4794</v>
      </c>
      <c r="N84" s="138">
        <v>338</v>
      </c>
      <c r="O84" s="126">
        <f t="shared" si="23"/>
        <v>5132</v>
      </c>
      <c r="P84" s="126">
        <v>702</v>
      </c>
      <c r="Q84" s="126">
        <v>206</v>
      </c>
      <c r="R84" s="126">
        <f t="shared" si="17"/>
        <v>908</v>
      </c>
      <c r="S84" s="126">
        <v>3840</v>
      </c>
      <c r="T84" s="126">
        <v>290</v>
      </c>
      <c r="U84" s="126">
        <f t="shared" si="18"/>
        <v>4130</v>
      </c>
      <c r="V84" s="126">
        <v>1440</v>
      </c>
      <c r="W84" s="126">
        <v>90</v>
      </c>
      <c r="X84" s="126">
        <f t="shared" si="19"/>
        <v>1530</v>
      </c>
      <c r="Y84" s="138">
        <f t="shared" si="24"/>
        <v>13071</v>
      </c>
      <c r="Z84" s="138">
        <f t="shared" si="24"/>
        <v>1370</v>
      </c>
      <c r="AA84" s="138">
        <f t="shared" si="24"/>
        <v>14441</v>
      </c>
      <c r="AB84" s="139">
        <f t="shared" si="25"/>
        <v>2178.5</v>
      </c>
      <c r="AC84" s="139">
        <f t="shared" si="25"/>
        <v>228.33333333333334</v>
      </c>
      <c r="AD84" s="139">
        <f t="shared" si="25"/>
        <v>2406.8333333333335</v>
      </c>
      <c r="AE84" s="138">
        <v>1386</v>
      </c>
      <c r="AF84" s="138">
        <v>438</v>
      </c>
      <c r="AG84" s="913">
        <f t="shared" si="20"/>
        <v>1824</v>
      </c>
      <c r="AH84" s="138">
        <v>676</v>
      </c>
      <c r="AI84" s="138">
        <v>312</v>
      </c>
      <c r="AJ84" s="703">
        <f t="shared" si="26"/>
        <v>988</v>
      </c>
      <c r="AK84" s="138">
        <v>3010</v>
      </c>
      <c r="AL84" s="138">
        <v>372</v>
      </c>
      <c r="AM84" s="703">
        <f t="shared" si="27"/>
        <v>3382</v>
      </c>
      <c r="AN84" s="19">
        <f t="shared" si="28"/>
        <v>18143</v>
      </c>
      <c r="AO84" s="19">
        <f t="shared" si="29"/>
        <v>2492</v>
      </c>
      <c r="AP84" s="19">
        <f t="shared" si="30"/>
        <v>20635</v>
      </c>
      <c r="AQ84" s="703">
        <f t="shared" si="31"/>
        <v>2015.8888888888889</v>
      </c>
      <c r="AR84" s="703">
        <f t="shared" si="32"/>
        <v>276.88888888888891</v>
      </c>
      <c r="AS84" s="703">
        <f t="shared" si="33"/>
        <v>2292.7777777777778</v>
      </c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</row>
    <row r="85" spans="1:60" ht="15.75">
      <c r="A85" s="117">
        <v>78</v>
      </c>
      <c r="B85" s="125" t="s">
        <v>1058</v>
      </c>
      <c r="C85" s="126" t="s">
        <v>1059</v>
      </c>
      <c r="D85" s="126" t="s">
        <v>1060</v>
      </c>
      <c r="E85" s="127" t="s">
        <v>18</v>
      </c>
      <c r="F85" s="128">
        <v>2439</v>
      </c>
      <c r="G85" s="126">
        <v>2337</v>
      </c>
      <c r="H85" s="126">
        <v>528</v>
      </c>
      <c r="I85" s="126">
        <f t="shared" si="21"/>
        <v>2865</v>
      </c>
      <c r="J85" s="126">
        <v>3944</v>
      </c>
      <c r="K85" s="126">
        <v>678</v>
      </c>
      <c r="L85" s="126">
        <f t="shared" si="22"/>
        <v>4622</v>
      </c>
      <c r="M85" s="138">
        <v>3136</v>
      </c>
      <c r="N85" s="138">
        <v>504</v>
      </c>
      <c r="O85" s="126">
        <f t="shared" si="23"/>
        <v>3640</v>
      </c>
      <c r="P85" s="126">
        <v>1228</v>
      </c>
      <c r="Q85" s="126">
        <v>274</v>
      </c>
      <c r="R85" s="126">
        <f t="shared" si="17"/>
        <v>1502</v>
      </c>
      <c r="S85" s="126">
        <v>4372</v>
      </c>
      <c r="T85" s="126">
        <v>554</v>
      </c>
      <c r="U85" s="126">
        <f t="shared" si="18"/>
        <v>4926</v>
      </c>
      <c r="V85" s="126">
        <v>3162</v>
      </c>
      <c r="W85" s="126">
        <v>420</v>
      </c>
      <c r="X85" s="126">
        <f t="shared" si="19"/>
        <v>3582</v>
      </c>
      <c r="Y85" s="138">
        <f t="shared" si="24"/>
        <v>18179</v>
      </c>
      <c r="Z85" s="138">
        <f t="shared" si="24"/>
        <v>2958</v>
      </c>
      <c r="AA85" s="138">
        <f t="shared" si="24"/>
        <v>21137</v>
      </c>
      <c r="AB85" s="139">
        <f t="shared" si="25"/>
        <v>3029.8333333333335</v>
      </c>
      <c r="AC85" s="139">
        <f t="shared" si="25"/>
        <v>493</v>
      </c>
      <c r="AD85" s="139">
        <f t="shared" si="25"/>
        <v>3522.8333333333335</v>
      </c>
      <c r="AE85" s="138">
        <v>2098</v>
      </c>
      <c r="AF85" s="138">
        <v>578</v>
      </c>
      <c r="AG85" s="913">
        <f t="shared" si="20"/>
        <v>2676</v>
      </c>
      <c r="AH85" s="138">
        <v>1474</v>
      </c>
      <c r="AI85" s="138">
        <v>448</v>
      </c>
      <c r="AJ85" s="703">
        <f t="shared" si="26"/>
        <v>1922</v>
      </c>
      <c r="AK85" s="138">
        <v>5524</v>
      </c>
      <c r="AL85" s="138">
        <v>484</v>
      </c>
      <c r="AM85" s="703">
        <f t="shared" si="27"/>
        <v>6008</v>
      </c>
      <c r="AN85" s="19">
        <f t="shared" si="28"/>
        <v>27275</v>
      </c>
      <c r="AO85" s="19">
        <f t="shared" si="29"/>
        <v>4468</v>
      </c>
      <c r="AP85" s="19">
        <f t="shared" si="30"/>
        <v>31743</v>
      </c>
      <c r="AQ85" s="703">
        <f t="shared" si="31"/>
        <v>3030.5555555555557</v>
      </c>
      <c r="AR85" s="703">
        <f t="shared" si="32"/>
        <v>496.44444444444446</v>
      </c>
      <c r="AS85" s="703">
        <f t="shared" si="33"/>
        <v>3527</v>
      </c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</row>
    <row r="86" spans="1:60" ht="15.75">
      <c r="A86" s="117">
        <v>79</v>
      </c>
      <c r="B86" s="125" t="s">
        <v>1061</v>
      </c>
      <c r="C86" s="126" t="s">
        <v>960</v>
      </c>
      <c r="D86" s="126" t="s">
        <v>1062</v>
      </c>
      <c r="E86" s="127" t="s">
        <v>18</v>
      </c>
      <c r="F86" s="128">
        <v>842</v>
      </c>
      <c r="G86" s="126">
        <v>2116</v>
      </c>
      <c r="H86" s="126">
        <v>286</v>
      </c>
      <c r="I86" s="126">
        <f t="shared" si="21"/>
        <v>2402</v>
      </c>
      <c r="J86" s="126">
        <v>2895</v>
      </c>
      <c r="K86" s="126">
        <v>240</v>
      </c>
      <c r="L86" s="126">
        <f t="shared" si="22"/>
        <v>3135</v>
      </c>
      <c r="M86" s="138">
        <v>4882</v>
      </c>
      <c r="N86" s="138">
        <v>324</v>
      </c>
      <c r="O86" s="126">
        <f t="shared" si="23"/>
        <v>5206</v>
      </c>
      <c r="P86" s="126">
        <v>658</v>
      </c>
      <c r="Q86" s="126">
        <v>56</v>
      </c>
      <c r="R86" s="126">
        <f t="shared" si="17"/>
        <v>714</v>
      </c>
      <c r="S86" s="126">
        <v>0</v>
      </c>
      <c r="T86" s="126">
        <v>0</v>
      </c>
      <c r="U86" s="126">
        <f t="shared" si="18"/>
        <v>0</v>
      </c>
      <c r="V86" s="126">
        <v>0</v>
      </c>
      <c r="W86" s="126">
        <v>0</v>
      </c>
      <c r="X86" s="126">
        <f t="shared" si="19"/>
        <v>0</v>
      </c>
      <c r="Y86" s="138">
        <f t="shared" si="24"/>
        <v>10551</v>
      </c>
      <c r="Z86" s="138">
        <f t="shared" si="24"/>
        <v>906</v>
      </c>
      <c r="AA86" s="138">
        <f t="shared" si="24"/>
        <v>11457</v>
      </c>
      <c r="AB86" s="139">
        <f t="shared" si="25"/>
        <v>1758.5</v>
      </c>
      <c r="AC86" s="139">
        <f t="shared" si="25"/>
        <v>151</v>
      </c>
      <c r="AD86" s="139">
        <f t="shared" si="25"/>
        <v>1909.5</v>
      </c>
      <c r="AE86" s="138">
        <v>0</v>
      </c>
      <c r="AF86" s="138">
        <v>0</v>
      </c>
      <c r="AG86" s="913">
        <f t="shared" si="20"/>
        <v>0</v>
      </c>
      <c r="AH86" s="138">
        <v>0</v>
      </c>
      <c r="AI86" s="138">
        <v>0</v>
      </c>
      <c r="AJ86" s="703">
        <f t="shared" si="26"/>
        <v>0</v>
      </c>
      <c r="AK86" s="138">
        <v>0</v>
      </c>
      <c r="AL86" s="138">
        <v>0</v>
      </c>
      <c r="AM86" s="703">
        <f t="shared" si="27"/>
        <v>0</v>
      </c>
      <c r="AN86" s="19">
        <f t="shared" si="28"/>
        <v>10551</v>
      </c>
      <c r="AO86" s="19">
        <f t="shared" si="29"/>
        <v>906</v>
      </c>
      <c r="AP86" s="19">
        <f t="shared" si="30"/>
        <v>11457</v>
      </c>
      <c r="AQ86" s="703">
        <f t="shared" si="31"/>
        <v>1172.3333333333333</v>
      </c>
      <c r="AR86" s="703">
        <f t="shared" si="32"/>
        <v>100.66666666666667</v>
      </c>
      <c r="AS86" s="703">
        <f t="shared" si="33"/>
        <v>1273</v>
      </c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</row>
    <row r="87" spans="1:60" ht="15.75">
      <c r="A87" s="117">
        <v>80</v>
      </c>
      <c r="B87" s="125" t="s">
        <v>1063</v>
      </c>
      <c r="C87" s="126" t="s">
        <v>1064</v>
      </c>
      <c r="D87" s="126" t="s">
        <v>1065</v>
      </c>
      <c r="E87" s="127" t="s">
        <v>15</v>
      </c>
      <c r="F87" s="128">
        <v>1322</v>
      </c>
      <c r="G87" s="126">
        <v>0</v>
      </c>
      <c r="H87" s="126">
        <v>0</v>
      </c>
      <c r="I87" s="126">
        <f t="shared" si="21"/>
        <v>0</v>
      </c>
      <c r="J87" s="126">
        <v>1040</v>
      </c>
      <c r="K87" s="126">
        <v>90</v>
      </c>
      <c r="L87" s="126">
        <f t="shared" si="22"/>
        <v>1130</v>
      </c>
      <c r="M87" s="138">
        <v>0</v>
      </c>
      <c r="N87" s="138">
        <v>0</v>
      </c>
      <c r="O87" s="126">
        <f t="shared" si="23"/>
        <v>0</v>
      </c>
      <c r="P87" s="126">
        <v>772</v>
      </c>
      <c r="Q87" s="126">
        <v>36</v>
      </c>
      <c r="R87" s="126">
        <f t="shared" si="17"/>
        <v>808</v>
      </c>
      <c r="S87" s="126">
        <v>1290</v>
      </c>
      <c r="T87" s="126">
        <v>90</v>
      </c>
      <c r="U87" s="126">
        <f t="shared" si="18"/>
        <v>1380</v>
      </c>
      <c r="V87" s="126">
        <v>1430</v>
      </c>
      <c r="W87" s="126">
        <v>180</v>
      </c>
      <c r="X87" s="126">
        <f t="shared" si="19"/>
        <v>1610</v>
      </c>
      <c r="Y87" s="138">
        <f>G87+J87+M87+P87+S87+V87</f>
        <v>4532</v>
      </c>
      <c r="Z87" s="138">
        <f t="shared" si="24"/>
        <v>396</v>
      </c>
      <c r="AA87" s="138">
        <f t="shared" si="24"/>
        <v>4928</v>
      </c>
      <c r="AB87" s="139">
        <f t="shared" si="25"/>
        <v>755.33333333333337</v>
      </c>
      <c r="AC87" s="139">
        <f t="shared" si="25"/>
        <v>66</v>
      </c>
      <c r="AD87" s="139">
        <f t="shared" si="25"/>
        <v>821.33333333333337</v>
      </c>
      <c r="AE87" s="138">
        <v>1430</v>
      </c>
      <c r="AF87" s="138">
        <v>180</v>
      </c>
      <c r="AG87" s="913">
        <f t="shared" si="20"/>
        <v>1610</v>
      </c>
      <c r="AH87" s="138">
        <v>0</v>
      </c>
      <c r="AI87" s="138">
        <v>0</v>
      </c>
      <c r="AJ87" s="703">
        <f t="shared" si="26"/>
        <v>0</v>
      </c>
      <c r="AK87" s="138">
        <v>0</v>
      </c>
      <c r="AL87" s="138">
        <v>0</v>
      </c>
      <c r="AM87" s="703">
        <f t="shared" si="27"/>
        <v>0</v>
      </c>
      <c r="AN87" s="19">
        <f t="shared" si="28"/>
        <v>5962</v>
      </c>
      <c r="AO87" s="19">
        <f t="shared" si="29"/>
        <v>576</v>
      </c>
      <c r="AP87" s="19">
        <f t="shared" si="30"/>
        <v>6538</v>
      </c>
      <c r="AQ87" s="703">
        <f t="shared" si="31"/>
        <v>662.44444444444446</v>
      </c>
      <c r="AR87" s="703">
        <f t="shared" si="32"/>
        <v>64</v>
      </c>
      <c r="AS87" s="703">
        <f t="shared" si="33"/>
        <v>726.44444444444446</v>
      </c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</row>
    <row r="88" spans="1:60" ht="15.75">
      <c r="A88" s="117">
        <v>81</v>
      </c>
      <c r="B88" s="129" t="s">
        <v>1066</v>
      </c>
      <c r="C88" s="126" t="s">
        <v>907</v>
      </c>
      <c r="D88" s="126" t="s">
        <v>1067</v>
      </c>
      <c r="E88" s="127" t="s">
        <v>18</v>
      </c>
      <c r="F88" s="128">
        <v>871</v>
      </c>
      <c r="G88" s="126">
        <v>172</v>
      </c>
      <c r="H88" s="126">
        <v>152</v>
      </c>
      <c r="I88" s="126">
        <f t="shared" si="21"/>
        <v>324</v>
      </c>
      <c r="J88" s="126">
        <v>224</v>
      </c>
      <c r="K88" s="126">
        <v>224</v>
      </c>
      <c r="L88" s="126">
        <f t="shared" si="22"/>
        <v>448</v>
      </c>
      <c r="M88" s="138">
        <v>444</v>
      </c>
      <c r="N88" s="138">
        <v>168</v>
      </c>
      <c r="O88" s="126">
        <f t="shared" si="23"/>
        <v>612</v>
      </c>
      <c r="P88" s="126">
        <v>892</v>
      </c>
      <c r="Q88" s="126">
        <v>180</v>
      </c>
      <c r="R88" s="126">
        <f t="shared" si="17"/>
        <v>1072</v>
      </c>
      <c r="S88" s="126">
        <v>900</v>
      </c>
      <c r="T88" s="126">
        <v>152</v>
      </c>
      <c r="U88" s="126">
        <f t="shared" si="18"/>
        <v>1052</v>
      </c>
      <c r="V88" s="126">
        <v>1350</v>
      </c>
      <c r="W88" s="126">
        <v>100</v>
      </c>
      <c r="X88" s="126">
        <f t="shared" si="19"/>
        <v>1450</v>
      </c>
      <c r="Y88" s="138">
        <f t="shared" si="24"/>
        <v>3982</v>
      </c>
      <c r="Z88" s="138">
        <f t="shared" si="24"/>
        <v>976</v>
      </c>
      <c r="AA88" s="138">
        <f t="shared" si="24"/>
        <v>4958</v>
      </c>
      <c r="AB88" s="139">
        <f t="shared" si="25"/>
        <v>663.66666666666663</v>
      </c>
      <c r="AC88" s="139">
        <f t="shared" si="25"/>
        <v>162.66666666666666</v>
      </c>
      <c r="AD88" s="139">
        <f t="shared" si="25"/>
        <v>826.33333333333337</v>
      </c>
      <c r="AE88" s="138">
        <v>0</v>
      </c>
      <c r="AF88" s="138">
        <v>0</v>
      </c>
      <c r="AG88" s="913">
        <f t="shared" si="20"/>
        <v>0</v>
      </c>
      <c r="AH88" s="138">
        <v>0</v>
      </c>
      <c r="AI88" s="138">
        <v>0</v>
      </c>
      <c r="AJ88" s="703">
        <f t="shared" si="26"/>
        <v>0</v>
      </c>
      <c r="AK88" s="138">
        <v>315</v>
      </c>
      <c r="AL88" s="138">
        <v>446</v>
      </c>
      <c r="AM88" s="703">
        <f t="shared" si="27"/>
        <v>761</v>
      </c>
      <c r="AN88" s="19">
        <f t="shared" si="28"/>
        <v>4297</v>
      </c>
      <c r="AO88" s="19">
        <f t="shared" si="29"/>
        <v>1422</v>
      </c>
      <c r="AP88" s="19">
        <f t="shared" si="30"/>
        <v>5719</v>
      </c>
      <c r="AQ88" s="703">
        <f t="shared" si="31"/>
        <v>477.44444444444446</v>
      </c>
      <c r="AR88" s="703">
        <f t="shared" si="32"/>
        <v>158</v>
      </c>
      <c r="AS88" s="703">
        <f t="shared" si="33"/>
        <v>635.44444444444446</v>
      </c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</row>
    <row r="89" spans="1:60" ht="15.75">
      <c r="A89" s="117">
        <v>82</v>
      </c>
      <c r="B89" s="129" t="s">
        <v>1068</v>
      </c>
      <c r="C89" s="126" t="s">
        <v>1064</v>
      </c>
      <c r="D89" s="126" t="s">
        <v>1069</v>
      </c>
      <c r="E89" s="127" t="s">
        <v>18</v>
      </c>
      <c r="F89" s="128">
        <v>1410</v>
      </c>
      <c r="G89" s="126">
        <v>0</v>
      </c>
      <c r="H89" s="126">
        <v>0</v>
      </c>
      <c r="I89" s="126">
        <f t="shared" si="21"/>
        <v>0</v>
      </c>
      <c r="J89" s="126">
        <v>1120</v>
      </c>
      <c r="K89" s="126">
        <v>208</v>
      </c>
      <c r="L89" s="126">
        <f t="shared" si="22"/>
        <v>1328</v>
      </c>
      <c r="M89" s="138">
        <v>0</v>
      </c>
      <c r="N89" s="138">
        <v>0</v>
      </c>
      <c r="O89" s="126">
        <f t="shared" si="23"/>
        <v>0</v>
      </c>
      <c r="P89" s="126">
        <v>948</v>
      </c>
      <c r="Q89" s="126">
        <v>108</v>
      </c>
      <c r="R89" s="126">
        <f t="shared" si="17"/>
        <v>1056</v>
      </c>
      <c r="S89" s="126">
        <v>0</v>
      </c>
      <c r="T89" s="126">
        <v>0</v>
      </c>
      <c r="U89" s="126">
        <f t="shared" si="18"/>
        <v>0</v>
      </c>
      <c r="V89" s="126">
        <v>524</v>
      </c>
      <c r="W89" s="126">
        <v>0</v>
      </c>
      <c r="X89" s="126">
        <f t="shared" si="19"/>
        <v>524</v>
      </c>
      <c r="Y89" s="138">
        <f t="shared" si="24"/>
        <v>2592</v>
      </c>
      <c r="Z89" s="138">
        <f t="shared" si="24"/>
        <v>316</v>
      </c>
      <c r="AA89" s="138">
        <f t="shared" si="24"/>
        <v>2908</v>
      </c>
      <c r="AB89" s="139">
        <f t="shared" si="25"/>
        <v>432</v>
      </c>
      <c r="AC89" s="139">
        <f t="shared" si="25"/>
        <v>52.666666666666664</v>
      </c>
      <c r="AD89" s="139">
        <f t="shared" si="25"/>
        <v>484.66666666666669</v>
      </c>
      <c r="AE89" s="138">
        <v>366</v>
      </c>
      <c r="AF89" s="138">
        <v>106</v>
      </c>
      <c r="AG89" s="913">
        <f t="shared" si="20"/>
        <v>472</v>
      </c>
      <c r="AH89" s="138">
        <v>0</v>
      </c>
      <c r="AI89" s="138">
        <v>0</v>
      </c>
      <c r="AJ89" s="703">
        <f t="shared" si="26"/>
        <v>0</v>
      </c>
      <c r="AK89" s="138">
        <v>0</v>
      </c>
      <c r="AL89" s="138">
        <v>0</v>
      </c>
      <c r="AM89" s="703">
        <f t="shared" si="27"/>
        <v>0</v>
      </c>
      <c r="AN89" s="19">
        <f t="shared" si="28"/>
        <v>2958</v>
      </c>
      <c r="AO89" s="19">
        <f t="shared" si="29"/>
        <v>422</v>
      </c>
      <c r="AP89" s="19">
        <f t="shared" si="30"/>
        <v>3380</v>
      </c>
      <c r="AQ89" s="703">
        <f t="shared" si="31"/>
        <v>328.66666666666669</v>
      </c>
      <c r="AR89" s="703">
        <f t="shared" si="32"/>
        <v>46.888888888888886</v>
      </c>
      <c r="AS89" s="703">
        <f t="shared" si="33"/>
        <v>375.55555555555554</v>
      </c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</row>
    <row r="90" spans="1:60" ht="15.75">
      <c r="A90" s="117">
        <v>83</v>
      </c>
      <c r="B90" s="129" t="s">
        <v>1070</v>
      </c>
      <c r="C90" s="126" t="s">
        <v>1071</v>
      </c>
      <c r="D90" s="126" t="s">
        <v>1072</v>
      </c>
      <c r="E90" s="127" t="s">
        <v>18</v>
      </c>
      <c r="F90" s="128">
        <v>910</v>
      </c>
      <c r="G90" s="126">
        <v>0</v>
      </c>
      <c r="H90" s="126">
        <v>0</v>
      </c>
      <c r="I90" s="126">
        <f t="shared" si="21"/>
        <v>0</v>
      </c>
      <c r="J90" s="126">
        <v>1644</v>
      </c>
      <c r="K90" s="126">
        <v>144</v>
      </c>
      <c r="L90" s="126">
        <f t="shared" si="22"/>
        <v>1788</v>
      </c>
      <c r="M90" s="138">
        <v>108</v>
      </c>
      <c r="N90" s="138">
        <v>238</v>
      </c>
      <c r="O90" s="126">
        <f t="shared" si="23"/>
        <v>346</v>
      </c>
      <c r="P90" s="126">
        <v>0</v>
      </c>
      <c r="Q90" s="126">
        <v>0</v>
      </c>
      <c r="R90" s="126">
        <f t="shared" si="17"/>
        <v>0</v>
      </c>
      <c r="S90" s="126">
        <v>0</v>
      </c>
      <c r="T90" s="126">
        <v>0</v>
      </c>
      <c r="U90" s="126">
        <f t="shared" si="18"/>
        <v>0</v>
      </c>
      <c r="V90" s="126">
        <v>448</v>
      </c>
      <c r="W90" s="126">
        <v>126</v>
      </c>
      <c r="X90" s="126">
        <f t="shared" si="19"/>
        <v>574</v>
      </c>
      <c r="Y90" s="138">
        <f t="shared" si="24"/>
        <v>2200</v>
      </c>
      <c r="Z90" s="138">
        <f t="shared" si="24"/>
        <v>508</v>
      </c>
      <c r="AA90" s="138">
        <f t="shared" si="24"/>
        <v>2708</v>
      </c>
      <c r="AB90" s="139">
        <f t="shared" si="25"/>
        <v>366.66666666666669</v>
      </c>
      <c r="AC90" s="139">
        <f t="shared" si="25"/>
        <v>84.666666666666671</v>
      </c>
      <c r="AD90" s="139">
        <f t="shared" si="25"/>
        <v>451.33333333333331</v>
      </c>
      <c r="AE90" s="138">
        <v>837</v>
      </c>
      <c r="AF90" s="138">
        <v>72</v>
      </c>
      <c r="AG90" s="913">
        <f t="shared" si="20"/>
        <v>909</v>
      </c>
      <c r="AH90" s="138">
        <v>1385</v>
      </c>
      <c r="AI90" s="138">
        <v>0</v>
      </c>
      <c r="AJ90" s="703">
        <f t="shared" si="26"/>
        <v>1385</v>
      </c>
      <c r="AK90" s="138">
        <v>90</v>
      </c>
      <c r="AL90" s="138">
        <v>36</v>
      </c>
      <c r="AM90" s="703">
        <f t="shared" si="27"/>
        <v>126</v>
      </c>
      <c r="AN90" s="19">
        <f t="shared" si="28"/>
        <v>4512</v>
      </c>
      <c r="AO90" s="19">
        <f t="shared" si="29"/>
        <v>616</v>
      </c>
      <c r="AP90" s="19">
        <f t="shared" si="30"/>
        <v>5128</v>
      </c>
      <c r="AQ90" s="703">
        <f t="shared" si="31"/>
        <v>501.33333333333331</v>
      </c>
      <c r="AR90" s="703">
        <f t="shared" si="32"/>
        <v>68.444444444444443</v>
      </c>
      <c r="AS90" s="703">
        <f t="shared" si="33"/>
        <v>569.77777777777783</v>
      </c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</row>
    <row r="91" spans="1:60" ht="15.75">
      <c r="A91" s="117">
        <v>84</v>
      </c>
      <c r="B91" s="117" t="s">
        <v>1073</v>
      </c>
      <c r="C91" s="117" t="s">
        <v>1074</v>
      </c>
      <c r="D91" s="117" t="s">
        <v>1075</v>
      </c>
      <c r="E91" s="119" t="s">
        <v>18</v>
      </c>
      <c r="F91" s="119"/>
      <c r="G91" s="117"/>
      <c r="H91" s="117"/>
      <c r="I91" s="117">
        <f t="shared" si="21"/>
        <v>0</v>
      </c>
      <c r="J91" s="117"/>
      <c r="K91" s="117"/>
      <c r="L91" s="117">
        <f t="shared" si="22"/>
        <v>0</v>
      </c>
      <c r="M91" s="134">
        <v>160</v>
      </c>
      <c r="N91" s="134"/>
      <c r="O91" s="117">
        <f t="shared" si="23"/>
        <v>160</v>
      </c>
      <c r="P91" s="117"/>
      <c r="Q91" s="117"/>
      <c r="R91" s="117">
        <f t="shared" si="17"/>
        <v>0</v>
      </c>
      <c r="S91" s="117">
        <f>587+134</f>
        <v>721</v>
      </c>
      <c r="T91" s="117"/>
      <c r="U91" s="117">
        <f t="shared" si="18"/>
        <v>721</v>
      </c>
      <c r="V91" s="117">
        <v>547</v>
      </c>
      <c r="W91" s="117"/>
      <c r="X91" s="117">
        <f t="shared" si="19"/>
        <v>547</v>
      </c>
      <c r="Y91" s="134">
        <f t="shared" si="24"/>
        <v>1428</v>
      </c>
      <c r="Z91" s="134">
        <f t="shared" si="24"/>
        <v>0</v>
      </c>
      <c r="AA91" s="134">
        <f t="shared" si="24"/>
        <v>1428</v>
      </c>
      <c r="AB91" s="135">
        <f t="shared" si="25"/>
        <v>238</v>
      </c>
      <c r="AC91" s="135">
        <f t="shared" si="25"/>
        <v>0</v>
      </c>
      <c r="AD91" s="135">
        <f t="shared" si="25"/>
        <v>238</v>
      </c>
      <c r="AE91" s="134">
        <v>1365</v>
      </c>
      <c r="AF91" s="134">
        <v>0</v>
      </c>
      <c r="AG91" s="910">
        <f t="shared" si="20"/>
        <v>1365</v>
      </c>
      <c r="AH91" s="134">
        <v>1568</v>
      </c>
      <c r="AI91" s="134">
        <v>0</v>
      </c>
      <c r="AJ91" s="494">
        <f t="shared" si="26"/>
        <v>1568</v>
      </c>
      <c r="AK91" s="500">
        <v>0</v>
      </c>
      <c r="AL91" s="500">
        <v>0</v>
      </c>
      <c r="AM91" s="494">
        <f t="shared" si="27"/>
        <v>0</v>
      </c>
      <c r="AN91" s="6">
        <f t="shared" si="28"/>
        <v>4361</v>
      </c>
      <c r="AO91" s="6">
        <f t="shared" si="29"/>
        <v>0</v>
      </c>
      <c r="AP91" s="6">
        <f t="shared" si="30"/>
        <v>4361</v>
      </c>
      <c r="AQ91" s="955">
        <f t="shared" si="31"/>
        <v>484.55555555555554</v>
      </c>
      <c r="AR91" s="955">
        <f t="shared" si="32"/>
        <v>0</v>
      </c>
      <c r="AS91" s="955">
        <f t="shared" si="33"/>
        <v>484.55555555555554</v>
      </c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</row>
    <row r="92" spans="1:60" ht="15.75">
      <c r="A92" s="117">
        <v>85</v>
      </c>
      <c r="B92" s="117"/>
      <c r="C92" s="117"/>
      <c r="D92" s="117"/>
      <c r="E92" s="119" t="s">
        <v>18</v>
      </c>
      <c r="F92" s="119"/>
      <c r="G92" s="117"/>
      <c r="H92" s="117"/>
      <c r="I92" s="117">
        <f t="shared" si="21"/>
        <v>0</v>
      </c>
      <c r="J92" s="117"/>
      <c r="K92" s="117"/>
      <c r="L92" s="117">
        <f t="shared" si="22"/>
        <v>0</v>
      </c>
      <c r="M92" s="134"/>
      <c r="N92" s="134"/>
      <c r="O92" s="117">
        <f t="shared" si="23"/>
        <v>0</v>
      </c>
      <c r="P92" s="117"/>
      <c r="Q92" s="117"/>
      <c r="R92" s="117">
        <f t="shared" si="17"/>
        <v>0</v>
      </c>
      <c r="S92" s="117"/>
      <c r="T92" s="117"/>
      <c r="U92" s="117">
        <f t="shared" si="18"/>
        <v>0</v>
      </c>
      <c r="V92" s="117">
        <v>0</v>
      </c>
      <c r="W92" s="117"/>
      <c r="X92" s="117">
        <f t="shared" si="19"/>
        <v>0</v>
      </c>
      <c r="Y92" s="134">
        <f t="shared" si="24"/>
        <v>0</v>
      </c>
      <c r="Z92" s="134">
        <f t="shared" si="24"/>
        <v>0</v>
      </c>
      <c r="AA92" s="134">
        <f t="shared" si="24"/>
        <v>0</v>
      </c>
      <c r="AB92" s="135">
        <f t="shared" si="25"/>
        <v>0</v>
      </c>
      <c r="AC92" s="135">
        <f t="shared" si="25"/>
        <v>0</v>
      </c>
      <c r="AD92" s="135">
        <f t="shared" si="25"/>
        <v>0</v>
      </c>
      <c r="AE92" s="134">
        <v>0</v>
      </c>
      <c r="AF92" s="134">
        <v>0</v>
      </c>
      <c r="AG92" s="910">
        <f t="shared" si="20"/>
        <v>0</v>
      </c>
      <c r="AH92" s="134">
        <v>0</v>
      </c>
      <c r="AI92" s="134">
        <v>0</v>
      </c>
      <c r="AJ92" s="494">
        <f t="shared" si="26"/>
        <v>0</v>
      </c>
      <c r="AK92" s="500">
        <v>0</v>
      </c>
      <c r="AL92" s="500">
        <v>0</v>
      </c>
      <c r="AM92" s="494">
        <f t="shared" si="27"/>
        <v>0</v>
      </c>
      <c r="AN92" s="6">
        <f t="shared" si="28"/>
        <v>0</v>
      </c>
      <c r="AO92" s="6">
        <f t="shared" si="29"/>
        <v>0</v>
      </c>
      <c r="AP92" s="6">
        <f t="shared" si="30"/>
        <v>0</v>
      </c>
      <c r="AQ92" s="955">
        <f t="shared" si="31"/>
        <v>0</v>
      </c>
      <c r="AR92" s="955">
        <f t="shared" si="32"/>
        <v>0</v>
      </c>
      <c r="AS92" s="955">
        <f t="shared" si="33"/>
        <v>0</v>
      </c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</row>
    <row r="93" spans="1:60" ht="15.75">
      <c r="A93" s="117">
        <v>180</v>
      </c>
      <c r="B93" s="117"/>
      <c r="C93" s="117"/>
      <c r="D93" s="117"/>
      <c r="E93" s="117"/>
      <c r="F93" s="119"/>
      <c r="G93" s="117"/>
      <c r="H93" s="117"/>
      <c r="I93" s="117"/>
      <c r="J93" s="117"/>
      <c r="K93" s="117"/>
      <c r="L93" s="117">
        <f t="shared" si="22"/>
        <v>0</v>
      </c>
      <c r="M93" s="134"/>
      <c r="N93" s="134"/>
      <c r="O93" s="117">
        <f t="shared" si="23"/>
        <v>0</v>
      </c>
      <c r="P93" s="117"/>
      <c r="Q93" s="117"/>
      <c r="R93" s="117">
        <f t="shared" si="17"/>
        <v>0</v>
      </c>
      <c r="S93" s="117"/>
      <c r="T93" s="117"/>
      <c r="U93" s="117">
        <f t="shared" si="18"/>
        <v>0</v>
      </c>
      <c r="V93" s="117"/>
      <c r="W93" s="117"/>
      <c r="X93" s="117">
        <f t="shared" si="19"/>
        <v>0</v>
      </c>
      <c r="Y93" s="134">
        <f t="shared" si="24"/>
        <v>0</v>
      </c>
      <c r="Z93" s="134">
        <f t="shared" si="24"/>
        <v>0</v>
      </c>
      <c r="AA93" s="134">
        <f t="shared" si="24"/>
        <v>0</v>
      </c>
      <c r="AB93" s="135">
        <f t="shared" si="25"/>
        <v>0</v>
      </c>
      <c r="AC93" s="135">
        <f t="shared" si="25"/>
        <v>0</v>
      </c>
      <c r="AD93" s="135">
        <f t="shared" si="25"/>
        <v>0</v>
      </c>
      <c r="AE93" s="134"/>
      <c r="AF93" s="134"/>
      <c r="AG93" s="134"/>
      <c r="AH93" s="6"/>
      <c r="AI93" s="6"/>
      <c r="AJ93" s="494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</row>
    <row r="94" spans="1:60" ht="15.75">
      <c r="A94" s="982" t="s">
        <v>11</v>
      </c>
      <c r="B94" s="983"/>
      <c r="C94" s="130"/>
      <c r="D94" s="130"/>
      <c r="E94" s="130"/>
      <c r="F94" s="131">
        <f t="shared" ref="F94:W94" si="34">SUM(F8:F93)</f>
        <v>13831</v>
      </c>
      <c r="G94" s="130">
        <f t="shared" si="34"/>
        <v>15096</v>
      </c>
      <c r="H94" s="130">
        <f t="shared" si="34"/>
        <v>2184</v>
      </c>
      <c r="I94" s="130">
        <f t="shared" si="34"/>
        <v>17280</v>
      </c>
      <c r="J94" s="130">
        <f t="shared" si="34"/>
        <v>16082</v>
      </c>
      <c r="K94" s="130">
        <f t="shared" si="34"/>
        <v>2390</v>
      </c>
      <c r="L94" s="130">
        <f t="shared" si="34"/>
        <v>18472</v>
      </c>
      <c r="M94" s="130">
        <f t="shared" si="34"/>
        <v>18954</v>
      </c>
      <c r="N94" s="130">
        <f t="shared" si="34"/>
        <v>2271</v>
      </c>
      <c r="O94" s="130">
        <f>SUM(O8:O93)</f>
        <v>21225</v>
      </c>
      <c r="P94" s="130">
        <f t="shared" si="34"/>
        <v>8010</v>
      </c>
      <c r="Q94" s="130">
        <f t="shared" si="34"/>
        <v>1218</v>
      </c>
      <c r="R94" s="130">
        <f>SUM(R8:R93)</f>
        <v>9228</v>
      </c>
      <c r="S94" s="130">
        <f t="shared" si="34"/>
        <v>17807</v>
      </c>
      <c r="T94" s="130">
        <f t="shared" si="34"/>
        <v>1636</v>
      </c>
      <c r="U94" s="130">
        <f>SUM(U8:U93)</f>
        <v>19443</v>
      </c>
      <c r="V94" s="130">
        <f t="shared" si="34"/>
        <v>17952</v>
      </c>
      <c r="W94" s="130">
        <f t="shared" si="34"/>
        <v>1162</v>
      </c>
      <c r="X94" s="130">
        <f>SUM(X8:X93)</f>
        <v>19114</v>
      </c>
      <c r="Y94" s="138">
        <f t="shared" si="24"/>
        <v>93901</v>
      </c>
      <c r="Z94" s="138">
        <f t="shared" si="24"/>
        <v>10861</v>
      </c>
      <c r="AA94" s="138">
        <f t="shared" si="24"/>
        <v>104762</v>
      </c>
      <c r="AB94" s="139">
        <f t="shared" si="25"/>
        <v>15650.166666666666</v>
      </c>
      <c r="AC94" s="139">
        <f t="shared" si="25"/>
        <v>1810.1666666666667</v>
      </c>
      <c r="AD94" s="139">
        <f t="shared" si="25"/>
        <v>17460.333333333332</v>
      </c>
      <c r="AE94" s="911">
        <f t="shared" ref="AE94:BH94" si="35">SUM(AE8:AE93)</f>
        <v>15139</v>
      </c>
      <c r="AF94" s="911">
        <f t="shared" si="35"/>
        <v>1984</v>
      </c>
      <c r="AG94" s="911">
        <f t="shared" si="35"/>
        <v>17123</v>
      </c>
      <c r="AH94" s="911">
        <f t="shared" si="35"/>
        <v>13180</v>
      </c>
      <c r="AI94" s="911">
        <f t="shared" si="35"/>
        <v>1314</v>
      </c>
      <c r="AJ94" s="911">
        <f t="shared" si="35"/>
        <v>14494</v>
      </c>
      <c r="AK94" s="911">
        <f t="shared" si="35"/>
        <v>15563</v>
      </c>
      <c r="AL94" s="911">
        <f t="shared" si="35"/>
        <v>2408</v>
      </c>
      <c r="AM94" s="911">
        <f t="shared" si="35"/>
        <v>17971</v>
      </c>
      <c r="AN94" s="911">
        <f t="shared" si="35"/>
        <v>137783</v>
      </c>
      <c r="AO94" s="911">
        <f t="shared" si="35"/>
        <v>16567</v>
      </c>
      <c r="AP94" s="911">
        <f t="shared" si="35"/>
        <v>154350</v>
      </c>
      <c r="AQ94" s="934">
        <f t="shared" si="35"/>
        <v>15309.222222222224</v>
      </c>
      <c r="AR94" s="934">
        <f t="shared" si="35"/>
        <v>1840.7777777777778</v>
      </c>
      <c r="AS94" s="934">
        <f t="shared" si="35"/>
        <v>17150</v>
      </c>
      <c r="AT94" s="911">
        <f t="shared" si="35"/>
        <v>0</v>
      </c>
      <c r="AU94" s="911">
        <f t="shared" si="35"/>
        <v>0</v>
      </c>
      <c r="AV94" s="924"/>
      <c r="AW94" s="924"/>
      <c r="AX94" s="924"/>
      <c r="AY94" s="924"/>
      <c r="AZ94" s="924"/>
      <c r="BA94" s="924"/>
      <c r="BB94" s="911">
        <f t="shared" si="35"/>
        <v>0</v>
      </c>
      <c r="BC94" s="911">
        <f t="shared" si="35"/>
        <v>0</v>
      </c>
      <c r="BD94" s="911">
        <f t="shared" si="35"/>
        <v>0</v>
      </c>
      <c r="BE94" s="911">
        <f t="shared" si="35"/>
        <v>0</v>
      </c>
      <c r="BF94" s="911">
        <f t="shared" si="35"/>
        <v>0</v>
      </c>
      <c r="BG94" s="911">
        <f t="shared" si="35"/>
        <v>0</v>
      </c>
      <c r="BH94" s="911">
        <f t="shared" si="35"/>
        <v>0</v>
      </c>
    </row>
    <row r="95" spans="1:60" ht="16.149999999999999" thickBot="1"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1"/>
      <c r="S95" s="140"/>
      <c r="T95" s="140"/>
      <c r="U95" s="140"/>
      <c r="V95" s="140"/>
      <c r="W95" s="140"/>
      <c r="X95" s="140"/>
      <c r="Y95" s="142"/>
      <c r="Z95" s="142"/>
      <c r="AA95" s="142"/>
      <c r="AB95" s="143"/>
      <c r="AC95" s="143"/>
      <c r="AD95" s="143"/>
    </row>
    <row r="96" spans="1:60" ht="15.75">
      <c r="A96" s="104"/>
      <c r="B96" s="76" t="s">
        <v>338</v>
      </c>
      <c r="C96" s="77"/>
      <c r="D96" s="83"/>
      <c r="E96" s="209"/>
      <c r="F96" s="210">
        <v>12540</v>
      </c>
      <c r="G96" s="205">
        <v>9456</v>
      </c>
      <c r="H96" s="206">
        <v>1702</v>
      </c>
      <c r="I96" s="206">
        <f>G96+H96</f>
        <v>11158</v>
      </c>
      <c r="J96" s="206">
        <v>14629</v>
      </c>
      <c r="K96" s="206">
        <v>2022</v>
      </c>
      <c r="L96" s="206">
        <f>J96+K96</f>
        <v>16651</v>
      </c>
      <c r="M96" s="206">
        <v>17663</v>
      </c>
      <c r="N96" s="206">
        <v>1702</v>
      </c>
      <c r="O96" s="206">
        <f>M96+N96</f>
        <v>19365</v>
      </c>
      <c r="P96" s="206">
        <v>7472</v>
      </c>
      <c r="Q96" s="206">
        <v>1152</v>
      </c>
      <c r="R96" s="206">
        <f>P96+Q96</f>
        <v>8624</v>
      </c>
      <c r="S96" s="206">
        <v>15644</v>
      </c>
      <c r="T96" s="206">
        <v>1380</v>
      </c>
      <c r="U96" s="206">
        <f>S96+T96</f>
        <v>17024</v>
      </c>
      <c r="V96" s="206">
        <v>11342</v>
      </c>
      <c r="W96" s="206">
        <v>1162</v>
      </c>
      <c r="X96" s="206">
        <f>V96+W96</f>
        <v>12504</v>
      </c>
      <c r="Y96" s="206">
        <f>G96+J96+M96+P96+S96+V96</f>
        <v>76206</v>
      </c>
      <c r="Z96" s="206">
        <f>H96+K96+N96+Q96+T96+W96</f>
        <v>9120</v>
      </c>
      <c r="AA96" s="206">
        <f>Y96+Z96</f>
        <v>85326</v>
      </c>
      <c r="AB96" s="206">
        <f t="shared" ref="AB96:AD97" si="36">Y96/6</f>
        <v>12701</v>
      </c>
      <c r="AC96" s="207">
        <f t="shared" si="36"/>
        <v>1520</v>
      </c>
      <c r="AD96" s="208">
        <f t="shared" si="36"/>
        <v>14221</v>
      </c>
      <c r="AE96" s="206">
        <v>9159</v>
      </c>
      <c r="AF96" s="206">
        <v>1686</v>
      </c>
      <c r="AG96" s="206">
        <f t="shared" ref="AG96" si="37">AE96+AF96</f>
        <v>10845</v>
      </c>
      <c r="AH96" s="206"/>
      <c r="AI96" s="206"/>
      <c r="AJ96" s="206">
        <f t="shared" ref="AJ96" si="38">AH96+AI96</f>
        <v>0</v>
      </c>
      <c r="AK96" s="206"/>
      <c r="AL96" s="206"/>
      <c r="AM96" s="206">
        <f t="shared" ref="AM96" si="39">AK96+AL96</f>
        <v>0</v>
      </c>
      <c r="AN96" s="206"/>
      <c r="AO96" s="206"/>
      <c r="AP96" s="206">
        <f t="shared" ref="AP96" si="40">AN96+AO96</f>
        <v>0</v>
      </c>
      <c r="AQ96" s="930"/>
      <c r="AR96" s="930"/>
      <c r="AS96" s="930">
        <f t="shared" ref="AS96" si="41">AQ96+AR96</f>
        <v>0</v>
      </c>
      <c r="AT96" s="206"/>
      <c r="AU96" s="206"/>
      <c r="AV96" s="206"/>
      <c r="AW96" s="206"/>
      <c r="AX96" s="206"/>
      <c r="AY96" s="206"/>
      <c r="AZ96" s="206"/>
      <c r="BA96" s="206"/>
      <c r="BB96" s="206">
        <f t="shared" ref="BB96" si="42">AT96+AU96</f>
        <v>0</v>
      </c>
      <c r="BC96" s="206"/>
      <c r="BD96" s="206"/>
      <c r="BE96" s="206">
        <f t="shared" ref="BE96" si="43">BC96+BD96</f>
        <v>0</v>
      </c>
      <c r="BF96" s="206"/>
      <c r="BG96" s="206"/>
      <c r="BH96" s="206">
        <f t="shared" ref="BH96" si="44">BF96+BG96</f>
        <v>0</v>
      </c>
    </row>
    <row r="97" spans="1:60">
      <c r="A97" s="78"/>
      <c r="B97" s="7" t="s">
        <v>339</v>
      </c>
      <c r="C97" s="6"/>
      <c r="D97" s="15"/>
      <c r="E97" s="211"/>
      <c r="F97" s="212">
        <f>F94-F96</f>
        <v>1291</v>
      </c>
      <c r="G97" s="106">
        <f>G94-G96</f>
        <v>5640</v>
      </c>
      <c r="H97" s="102">
        <f>H94-H96</f>
        <v>482</v>
      </c>
      <c r="I97" s="102">
        <f t="shared" ref="I97:AA97" si="45">I94-I96</f>
        <v>6122</v>
      </c>
      <c r="J97" s="102">
        <f t="shared" si="45"/>
        <v>1453</v>
      </c>
      <c r="K97" s="102">
        <f t="shared" si="45"/>
        <v>368</v>
      </c>
      <c r="L97" s="102">
        <f t="shared" si="45"/>
        <v>1821</v>
      </c>
      <c r="M97" s="102">
        <f t="shared" si="45"/>
        <v>1291</v>
      </c>
      <c r="N97" s="102">
        <f t="shared" si="45"/>
        <v>569</v>
      </c>
      <c r="O97" s="102">
        <f t="shared" si="45"/>
        <v>1860</v>
      </c>
      <c r="P97" s="102">
        <f t="shared" si="45"/>
        <v>538</v>
      </c>
      <c r="Q97" s="102">
        <f t="shared" si="45"/>
        <v>66</v>
      </c>
      <c r="R97" s="102">
        <f t="shared" si="45"/>
        <v>604</v>
      </c>
      <c r="S97" s="102">
        <f t="shared" si="45"/>
        <v>2163</v>
      </c>
      <c r="T97" s="102">
        <f t="shared" si="45"/>
        <v>256</v>
      </c>
      <c r="U97" s="102">
        <f t="shared" si="45"/>
        <v>2419</v>
      </c>
      <c r="V97" s="102">
        <f t="shared" si="45"/>
        <v>6610</v>
      </c>
      <c r="W97" s="102">
        <f t="shared" si="45"/>
        <v>0</v>
      </c>
      <c r="X97" s="102">
        <f t="shared" si="45"/>
        <v>6610</v>
      </c>
      <c r="Y97" s="102">
        <f t="shared" si="45"/>
        <v>17695</v>
      </c>
      <c r="Z97" s="102">
        <f t="shared" si="45"/>
        <v>1741</v>
      </c>
      <c r="AA97" s="102">
        <f t="shared" si="45"/>
        <v>19436</v>
      </c>
      <c r="AB97" s="71">
        <f t="shared" si="36"/>
        <v>2949.1666666666665</v>
      </c>
      <c r="AC97" s="71">
        <f t="shared" si="36"/>
        <v>290.16666666666669</v>
      </c>
      <c r="AD97" s="72">
        <f t="shared" si="36"/>
        <v>3239.3333333333335</v>
      </c>
      <c r="AE97" s="102">
        <f t="shared" ref="AE97:BH97" si="46">AE94-AE96</f>
        <v>5980</v>
      </c>
      <c r="AF97" s="102">
        <f t="shared" si="46"/>
        <v>298</v>
      </c>
      <c r="AG97" s="102">
        <f t="shared" si="46"/>
        <v>6278</v>
      </c>
      <c r="AH97" s="102">
        <f t="shared" si="46"/>
        <v>13180</v>
      </c>
      <c r="AI97" s="102">
        <f t="shared" si="46"/>
        <v>1314</v>
      </c>
      <c r="AJ97" s="102">
        <f t="shared" si="46"/>
        <v>14494</v>
      </c>
      <c r="AK97" s="102">
        <f t="shared" si="46"/>
        <v>15563</v>
      </c>
      <c r="AL97" s="102">
        <f t="shared" si="46"/>
        <v>2408</v>
      </c>
      <c r="AM97" s="102">
        <f t="shared" si="46"/>
        <v>17971</v>
      </c>
      <c r="AN97" s="102">
        <f t="shared" si="46"/>
        <v>137783</v>
      </c>
      <c r="AO97" s="102">
        <f t="shared" si="46"/>
        <v>16567</v>
      </c>
      <c r="AP97" s="102">
        <f t="shared" si="46"/>
        <v>154350</v>
      </c>
      <c r="AQ97" s="931">
        <f t="shared" si="46"/>
        <v>15309.222222222224</v>
      </c>
      <c r="AR97" s="931">
        <f t="shared" si="46"/>
        <v>1840.7777777777778</v>
      </c>
      <c r="AS97" s="931">
        <f t="shared" si="46"/>
        <v>17150</v>
      </c>
      <c r="AT97" s="102">
        <f t="shared" si="46"/>
        <v>0</v>
      </c>
      <c r="AU97" s="102">
        <f t="shared" si="46"/>
        <v>0</v>
      </c>
      <c r="AV97" s="102"/>
      <c r="AW97" s="102"/>
      <c r="AX97" s="102"/>
      <c r="AY97" s="102"/>
      <c r="AZ97" s="102"/>
      <c r="BA97" s="102"/>
      <c r="BB97" s="102">
        <f t="shared" si="46"/>
        <v>0</v>
      </c>
      <c r="BC97" s="102">
        <f t="shared" si="46"/>
        <v>0</v>
      </c>
      <c r="BD97" s="102">
        <f t="shared" si="46"/>
        <v>0</v>
      </c>
      <c r="BE97" s="102">
        <f t="shared" si="46"/>
        <v>0</v>
      </c>
      <c r="BF97" s="102">
        <f t="shared" si="46"/>
        <v>0</v>
      </c>
      <c r="BG97" s="102">
        <f t="shared" si="46"/>
        <v>0</v>
      </c>
      <c r="BH97" s="102">
        <f t="shared" si="46"/>
        <v>0</v>
      </c>
    </row>
    <row r="98" spans="1:60">
      <c r="A98" s="78"/>
      <c r="B98" s="7" t="s">
        <v>340</v>
      </c>
      <c r="C98" s="6"/>
      <c r="D98" s="15"/>
      <c r="E98" s="96"/>
      <c r="F98" s="86">
        <f>F97/F94%</f>
        <v>9.3341045477550431</v>
      </c>
      <c r="G98" s="107">
        <f t="shared" ref="G98:AD98" si="47">G97/G94%</f>
        <v>37.360890302066771</v>
      </c>
      <c r="H98" s="96">
        <f t="shared" si="47"/>
        <v>22.069597069597069</v>
      </c>
      <c r="I98" s="96">
        <f t="shared" si="47"/>
        <v>35.42824074074074</v>
      </c>
      <c r="J98" s="96">
        <f t="shared" si="47"/>
        <v>9.0349459022509642</v>
      </c>
      <c r="K98" s="96">
        <f t="shared" si="47"/>
        <v>15.397489539748955</v>
      </c>
      <c r="L98" s="96">
        <f t="shared" si="47"/>
        <v>9.8581637072325687</v>
      </c>
      <c r="M98" s="96">
        <f t="shared" si="47"/>
        <v>6.8112271815975527</v>
      </c>
      <c r="N98" s="96">
        <f t="shared" si="47"/>
        <v>25.05504183179216</v>
      </c>
      <c r="O98" s="96">
        <f t="shared" si="47"/>
        <v>8.7632508833922262</v>
      </c>
      <c r="P98" s="96">
        <f t="shared" si="47"/>
        <v>6.7166042446941328</v>
      </c>
      <c r="Q98" s="96">
        <f t="shared" si="47"/>
        <v>5.4187192118226601</v>
      </c>
      <c r="R98" s="96">
        <f t="shared" si="47"/>
        <v>6.5452969224100563</v>
      </c>
      <c r="S98" s="96">
        <f t="shared" si="47"/>
        <v>12.146908519121695</v>
      </c>
      <c r="T98" s="96">
        <f t="shared" si="47"/>
        <v>15.647921760391199</v>
      </c>
      <c r="U98" s="96">
        <f t="shared" si="47"/>
        <v>12.441495653962866</v>
      </c>
      <c r="V98" s="96">
        <f t="shared" si="47"/>
        <v>36.820409982174688</v>
      </c>
      <c r="W98" s="96">
        <f t="shared" si="47"/>
        <v>0</v>
      </c>
      <c r="X98" s="96">
        <f t="shared" si="47"/>
        <v>34.581981793449827</v>
      </c>
      <c r="Y98" s="96">
        <f t="shared" si="47"/>
        <v>18.844314757031341</v>
      </c>
      <c r="Z98" s="96">
        <f t="shared" si="47"/>
        <v>16.029831507227694</v>
      </c>
      <c r="AA98" s="96">
        <f t="shared" si="47"/>
        <v>18.552528588610375</v>
      </c>
      <c r="AB98" s="96">
        <f t="shared" si="47"/>
        <v>18.844314757031341</v>
      </c>
      <c r="AC98" s="96">
        <f t="shared" si="47"/>
        <v>16.029831507227698</v>
      </c>
      <c r="AD98" s="86">
        <f t="shared" si="47"/>
        <v>18.552528588610375</v>
      </c>
      <c r="AE98" s="96">
        <f t="shared" ref="AE98:BH98" si="48">AE97/AE94%</f>
        <v>39.500627518330141</v>
      </c>
      <c r="AF98" s="96">
        <f t="shared" si="48"/>
        <v>15.02016129032258</v>
      </c>
      <c r="AG98" s="96">
        <f t="shared" si="48"/>
        <v>36.664135957484085</v>
      </c>
      <c r="AH98" s="96">
        <f t="shared" si="48"/>
        <v>99.999999999999986</v>
      </c>
      <c r="AI98" s="96">
        <f t="shared" si="48"/>
        <v>100</v>
      </c>
      <c r="AJ98" s="96">
        <f t="shared" si="48"/>
        <v>100</v>
      </c>
      <c r="AK98" s="96">
        <f t="shared" si="48"/>
        <v>100</v>
      </c>
      <c r="AL98" s="96">
        <f t="shared" si="48"/>
        <v>100</v>
      </c>
      <c r="AM98" s="96">
        <f t="shared" si="48"/>
        <v>100</v>
      </c>
      <c r="AN98" s="96">
        <f t="shared" si="48"/>
        <v>100</v>
      </c>
      <c r="AO98" s="96">
        <f t="shared" si="48"/>
        <v>100.00000000000001</v>
      </c>
      <c r="AP98" s="96">
        <f t="shared" si="48"/>
        <v>100</v>
      </c>
      <c r="AQ98" s="932">
        <f t="shared" si="48"/>
        <v>100.00000000000001</v>
      </c>
      <c r="AR98" s="932">
        <f t="shared" si="48"/>
        <v>100</v>
      </c>
      <c r="AS98" s="932">
        <f t="shared" si="48"/>
        <v>100</v>
      </c>
      <c r="AT98" s="96" t="e">
        <f t="shared" si="48"/>
        <v>#DIV/0!</v>
      </c>
      <c r="AU98" s="96" t="e">
        <f t="shared" si="48"/>
        <v>#DIV/0!</v>
      </c>
      <c r="AV98" s="96"/>
      <c r="AW98" s="96"/>
      <c r="AX98" s="96"/>
      <c r="AY98" s="96"/>
      <c r="AZ98" s="96"/>
      <c r="BA98" s="96"/>
      <c r="BB98" s="96" t="e">
        <f t="shared" si="48"/>
        <v>#DIV/0!</v>
      </c>
      <c r="BC98" s="96" t="e">
        <f t="shared" si="48"/>
        <v>#DIV/0!</v>
      </c>
      <c r="BD98" s="96" t="e">
        <f t="shared" si="48"/>
        <v>#DIV/0!</v>
      </c>
      <c r="BE98" s="96" t="e">
        <f t="shared" si="48"/>
        <v>#DIV/0!</v>
      </c>
      <c r="BF98" s="96" t="e">
        <f t="shared" si="48"/>
        <v>#DIV/0!</v>
      </c>
      <c r="BG98" s="96" t="e">
        <f t="shared" si="48"/>
        <v>#DIV/0!</v>
      </c>
      <c r="BH98" s="96" t="e">
        <f t="shared" si="48"/>
        <v>#DIV/0!</v>
      </c>
    </row>
    <row r="99" spans="1:60" ht="14.65" thickBot="1">
      <c r="A99" s="80"/>
      <c r="B99" s="81" t="s">
        <v>341</v>
      </c>
      <c r="C99" s="82"/>
      <c r="D99" s="85"/>
      <c r="E99" s="97"/>
      <c r="F99" s="87">
        <f>F96/F94%</f>
        <v>90.665895452244953</v>
      </c>
      <c r="G99" s="108">
        <f t="shared" ref="G99:AD99" si="49">G96/G94%</f>
        <v>62.639109697933222</v>
      </c>
      <c r="H99" s="97">
        <f t="shared" si="49"/>
        <v>77.930402930402934</v>
      </c>
      <c r="I99" s="97">
        <f t="shared" si="49"/>
        <v>64.571759259259252</v>
      </c>
      <c r="J99" s="97">
        <f t="shared" si="49"/>
        <v>90.965054097749046</v>
      </c>
      <c r="K99" s="97">
        <f t="shared" si="49"/>
        <v>84.602510460251054</v>
      </c>
      <c r="L99" s="97">
        <f t="shared" si="49"/>
        <v>90.141836292767437</v>
      </c>
      <c r="M99" s="97">
        <f t="shared" si="49"/>
        <v>93.188772818402455</v>
      </c>
      <c r="N99" s="97">
        <f t="shared" si="49"/>
        <v>74.944958168207833</v>
      </c>
      <c r="O99" s="97">
        <f t="shared" si="49"/>
        <v>91.236749116607768</v>
      </c>
      <c r="P99" s="97">
        <f t="shared" si="49"/>
        <v>93.283395755305875</v>
      </c>
      <c r="Q99" s="97">
        <f t="shared" si="49"/>
        <v>94.581280788177338</v>
      </c>
      <c r="R99" s="97">
        <f t="shared" si="49"/>
        <v>93.45470307758994</v>
      </c>
      <c r="S99" s="97">
        <f t="shared" si="49"/>
        <v>87.853091480878305</v>
      </c>
      <c r="T99" s="97">
        <f t="shared" si="49"/>
        <v>84.352078239608801</v>
      </c>
      <c r="U99" s="97">
        <f t="shared" si="49"/>
        <v>87.558504346037125</v>
      </c>
      <c r="V99" s="97">
        <f t="shared" si="49"/>
        <v>63.179590017825305</v>
      </c>
      <c r="W99" s="97">
        <f t="shared" si="49"/>
        <v>100</v>
      </c>
      <c r="X99" s="97">
        <f t="shared" si="49"/>
        <v>65.418018206550173</v>
      </c>
      <c r="Y99" s="97">
        <f t="shared" si="49"/>
        <v>81.155685242968659</v>
      </c>
      <c r="Z99" s="97">
        <f t="shared" si="49"/>
        <v>83.970168492772302</v>
      </c>
      <c r="AA99" s="97">
        <f t="shared" si="49"/>
        <v>81.447471411389628</v>
      </c>
      <c r="AB99" s="97">
        <f t="shared" si="49"/>
        <v>81.155685242968659</v>
      </c>
      <c r="AC99" s="97">
        <f t="shared" si="49"/>
        <v>83.970168492772302</v>
      </c>
      <c r="AD99" s="87">
        <f t="shared" si="49"/>
        <v>81.447471411389628</v>
      </c>
      <c r="AE99" s="97">
        <f t="shared" ref="AE99:BH99" si="50">AE96/AE94%</f>
        <v>60.499372481669866</v>
      </c>
      <c r="AF99" s="97">
        <f t="shared" si="50"/>
        <v>84.979838709677423</v>
      </c>
      <c r="AG99" s="97">
        <f t="shared" si="50"/>
        <v>63.335864042515915</v>
      </c>
      <c r="AH99" s="97">
        <f t="shared" si="50"/>
        <v>0</v>
      </c>
      <c r="AI99" s="97">
        <f t="shared" si="50"/>
        <v>0</v>
      </c>
      <c r="AJ99" s="97">
        <f t="shared" si="50"/>
        <v>0</v>
      </c>
      <c r="AK99" s="97">
        <f t="shared" si="50"/>
        <v>0</v>
      </c>
      <c r="AL99" s="97">
        <f t="shared" si="50"/>
        <v>0</v>
      </c>
      <c r="AM99" s="97">
        <f t="shared" si="50"/>
        <v>0</v>
      </c>
      <c r="AN99" s="97">
        <f t="shared" si="50"/>
        <v>0</v>
      </c>
      <c r="AO99" s="97">
        <f t="shared" si="50"/>
        <v>0</v>
      </c>
      <c r="AP99" s="97">
        <f t="shared" si="50"/>
        <v>0</v>
      </c>
      <c r="AQ99" s="933">
        <f t="shared" si="50"/>
        <v>0</v>
      </c>
      <c r="AR99" s="933">
        <f t="shared" si="50"/>
        <v>0</v>
      </c>
      <c r="AS99" s="933">
        <f t="shared" si="50"/>
        <v>0</v>
      </c>
      <c r="AT99" s="97" t="e">
        <f t="shared" si="50"/>
        <v>#DIV/0!</v>
      </c>
      <c r="AU99" s="97" t="e">
        <f t="shared" si="50"/>
        <v>#DIV/0!</v>
      </c>
      <c r="AV99" s="97"/>
      <c r="AW99" s="97"/>
      <c r="AX99" s="97"/>
      <c r="AY99" s="97"/>
      <c r="AZ99" s="97"/>
      <c r="BA99" s="97"/>
      <c r="BB99" s="97" t="e">
        <f t="shared" si="50"/>
        <v>#DIV/0!</v>
      </c>
      <c r="BC99" s="97" t="e">
        <f t="shared" si="50"/>
        <v>#DIV/0!</v>
      </c>
      <c r="BD99" s="97" t="e">
        <f t="shared" si="50"/>
        <v>#DIV/0!</v>
      </c>
      <c r="BE99" s="97" t="e">
        <f t="shared" si="50"/>
        <v>#DIV/0!</v>
      </c>
      <c r="BF99" s="97" t="e">
        <f t="shared" si="50"/>
        <v>#DIV/0!</v>
      </c>
      <c r="BG99" s="97" t="e">
        <f t="shared" si="50"/>
        <v>#DIV/0!</v>
      </c>
      <c r="BH99" s="97" t="e">
        <f t="shared" si="50"/>
        <v>#DIV/0!</v>
      </c>
    </row>
    <row r="100" spans="1:60">
      <c r="AB100" s="201"/>
    </row>
  </sheetData>
  <autoFilter ref="A7:BC7"/>
  <mergeCells count="20">
    <mergeCell ref="BC6:BE6"/>
    <mergeCell ref="BF6:BH6"/>
    <mergeCell ref="AE6:AG6"/>
    <mergeCell ref="AH6:AJ6"/>
    <mergeCell ref="AK6:AM6"/>
    <mergeCell ref="AN6:AP6"/>
    <mergeCell ref="AQ6:AS6"/>
    <mergeCell ref="AT6:AV6"/>
    <mergeCell ref="AW6:AY6"/>
    <mergeCell ref="AZ6:BB6"/>
    <mergeCell ref="V6:X6"/>
    <mergeCell ref="Y6:AA6"/>
    <mergeCell ref="AB6:AD6"/>
    <mergeCell ref="B1:Y1"/>
    <mergeCell ref="A94:B94"/>
    <mergeCell ref="G6:I6"/>
    <mergeCell ref="J6:L6"/>
    <mergeCell ref="M6:O6"/>
    <mergeCell ref="P6:R6"/>
    <mergeCell ref="S6:U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H137"/>
  <sheetViews>
    <sheetView workbookViewId="0">
      <pane xSplit="6" ySplit="8" topLeftCell="AN127" activePane="bottomRight" state="frozen"/>
      <selection pane="topRight" activeCell="G1" sqref="G1"/>
      <selection pane="bottomLeft" activeCell="A9" sqref="A9"/>
      <selection pane="bottomRight" activeCell="AR135" sqref="AR135"/>
    </sheetView>
  </sheetViews>
  <sheetFormatPr defaultRowHeight="14.25"/>
  <cols>
    <col min="1" max="1" width="6.73046875" customWidth="1"/>
    <col min="2" max="2" width="24.3984375" bestFit="1" customWidth="1"/>
    <col min="3" max="3" width="16.3984375" bestFit="1" customWidth="1"/>
    <col min="4" max="4" width="12.265625" bestFit="1" customWidth="1"/>
  </cols>
  <sheetData>
    <row r="1" spans="1:60" ht="14.65" thickBot="1"/>
    <row r="2" spans="1:60" ht="25.9" thickBot="1">
      <c r="A2" s="988" t="s">
        <v>1086</v>
      </c>
      <c r="B2" s="989"/>
      <c r="C2" s="989"/>
      <c r="D2" s="989"/>
      <c r="E2" s="989"/>
      <c r="F2" s="989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</row>
    <row r="3" spans="1:60">
      <c r="A3" s="149"/>
      <c r="B3" s="149"/>
      <c r="C3" s="149"/>
      <c r="D3" s="149"/>
      <c r="E3" s="149"/>
      <c r="F3" s="150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</row>
    <row r="4" spans="1:60">
      <c r="A4" s="149" t="s">
        <v>1083</v>
      </c>
      <c r="B4" s="149"/>
      <c r="C4" s="151" t="s">
        <v>1084</v>
      </c>
      <c r="D4" s="150">
        <v>119</v>
      </c>
      <c r="E4" s="149"/>
      <c r="F4" s="150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</row>
    <row r="5" spans="1:60">
      <c r="A5" s="149"/>
      <c r="B5" s="149"/>
      <c r="C5" s="151" t="s">
        <v>8</v>
      </c>
      <c r="D5" s="149" t="s">
        <v>1087</v>
      </c>
      <c r="E5" s="149"/>
      <c r="F5" s="152" t="s">
        <v>1088</v>
      </c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</row>
    <row r="6" spans="1:60">
      <c r="A6" s="149" t="s">
        <v>1089</v>
      </c>
      <c r="B6" s="149"/>
      <c r="C6" s="151"/>
      <c r="D6" s="149"/>
      <c r="E6" s="149"/>
      <c r="F6" s="150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</row>
    <row r="7" spans="1:60" ht="28.5">
      <c r="A7" s="153"/>
      <c r="B7" s="153"/>
      <c r="C7" s="153"/>
      <c r="D7" s="153"/>
      <c r="E7" s="114" t="s">
        <v>903</v>
      </c>
      <c r="F7" s="154" t="s">
        <v>904</v>
      </c>
      <c r="G7" s="990" t="s">
        <v>1307</v>
      </c>
      <c r="H7" s="985"/>
      <c r="I7" s="985"/>
      <c r="J7" s="990" t="s">
        <v>1078</v>
      </c>
      <c r="K7" s="985"/>
      <c r="L7" s="985"/>
      <c r="M7" s="990" t="s">
        <v>1079</v>
      </c>
      <c r="N7" s="985"/>
      <c r="O7" s="985"/>
      <c r="P7" s="984" t="s">
        <v>1080</v>
      </c>
      <c r="Q7" s="985"/>
      <c r="R7" s="985"/>
      <c r="S7" s="984" t="s">
        <v>1081</v>
      </c>
      <c r="T7" s="985"/>
      <c r="U7" s="985"/>
      <c r="V7" s="984" t="s">
        <v>1082</v>
      </c>
      <c r="W7" s="985"/>
      <c r="X7" s="985"/>
      <c r="Y7" s="968" t="s">
        <v>901</v>
      </c>
      <c r="Z7" s="968"/>
      <c r="AA7" s="968"/>
      <c r="AB7" s="968" t="s">
        <v>902</v>
      </c>
      <c r="AC7" s="968"/>
      <c r="AD7" s="968"/>
      <c r="AE7" s="978" t="s">
        <v>3321</v>
      </c>
      <c r="AF7" s="979"/>
      <c r="AG7" s="979"/>
      <c r="AH7" s="978" t="s">
        <v>3333</v>
      </c>
      <c r="AI7" s="979"/>
      <c r="AJ7" s="979"/>
      <c r="AK7" s="978" t="s">
        <v>3322</v>
      </c>
      <c r="AL7" s="979"/>
      <c r="AM7" s="979"/>
      <c r="AN7" s="968" t="s">
        <v>3332</v>
      </c>
      <c r="AO7" s="968"/>
      <c r="AP7" s="968"/>
      <c r="AQ7" s="977" t="s">
        <v>3335</v>
      </c>
      <c r="AR7" s="977"/>
      <c r="AS7" s="977"/>
      <c r="AT7" s="978" t="s">
        <v>3323</v>
      </c>
      <c r="AU7" s="978"/>
      <c r="AV7" s="978"/>
      <c r="AW7" s="978" t="s">
        <v>3324</v>
      </c>
      <c r="AX7" s="978"/>
      <c r="AY7" s="978"/>
      <c r="AZ7" s="978" t="s">
        <v>3325</v>
      </c>
      <c r="BA7" s="978"/>
      <c r="BB7" s="978"/>
      <c r="BC7" s="968" t="s">
        <v>3317</v>
      </c>
      <c r="BD7" s="968"/>
      <c r="BE7" s="968"/>
      <c r="BF7" s="991" t="s">
        <v>3326</v>
      </c>
      <c r="BG7" s="991"/>
      <c r="BH7" s="991"/>
    </row>
    <row r="8" spans="1:60" ht="15.75">
      <c r="A8" s="156" t="s">
        <v>5</v>
      </c>
      <c r="B8" s="156" t="s">
        <v>6</v>
      </c>
      <c r="C8" s="156" t="s">
        <v>7</v>
      </c>
      <c r="D8" s="156" t="s">
        <v>8</v>
      </c>
      <c r="E8" s="157" t="s">
        <v>905</v>
      </c>
      <c r="F8" s="156" t="s">
        <v>3</v>
      </c>
      <c r="G8" s="156" t="s">
        <v>9</v>
      </c>
      <c r="H8" s="156" t="s">
        <v>10</v>
      </c>
      <c r="I8" s="156" t="s">
        <v>11</v>
      </c>
      <c r="J8" s="156" t="s">
        <v>9</v>
      </c>
      <c r="K8" s="156" t="s">
        <v>10</v>
      </c>
      <c r="L8" s="156" t="s">
        <v>11</v>
      </c>
      <c r="M8" s="156" t="s">
        <v>9</v>
      </c>
      <c r="N8" s="156" t="s">
        <v>10</v>
      </c>
      <c r="O8" s="156" t="s">
        <v>11</v>
      </c>
      <c r="P8" s="156" t="s">
        <v>9</v>
      </c>
      <c r="Q8" s="156" t="s">
        <v>10</v>
      </c>
      <c r="R8" s="156" t="s">
        <v>11</v>
      </c>
      <c r="S8" s="156" t="s">
        <v>9</v>
      </c>
      <c r="T8" s="156" t="s">
        <v>10</v>
      </c>
      <c r="U8" s="156" t="s">
        <v>11</v>
      </c>
      <c r="V8" s="156" t="s">
        <v>9</v>
      </c>
      <c r="W8" s="156" t="s">
        <v>10</v>
      </c>
      <c r="X8" s="156" t="s">
        <v>11</v>
      </c>
      <c r="Y8" s="40" t="s">
        <v>9</v>
      </c>
      <c r="Z8" s="40" t="s">
        <v>10</v>
      </c>
      <c r="AA8" s="40" t="s">
        <v>11</v>
      </c>
      <c r="AB8" s="40" t="s">
        <v>9</v>
      </c>
      <c r="AC8" s="40" t="s">
        <v>10</v>
      </c>
      <c r="AD8" s="40" t="s">
        <v>11</v>
      </c>
      <c r="AE8" s="116" t="s">
        <v>9</v>
      </c>
      <c r="AF8" s="116" t="s">
        <v>10</v>
      </c>
      <c r="AG8" s="116" t="s">
        <v>11</v>
      </c>
      <c r="AH8" s="116" t="s">
        <v>9</v>
      </c>
      <c r="AI8" s="116" t="s">
        <v>10</v>
      </c>
      <c r="AJ8" s="116" t="s">
        <v>11</v>
      </c>
      <c r="AK8" s="116" t="s">
        <v>9</v>
      </c>
      <c r="AL8" s="116" t="s">
        <v>10</v>
      </c>
      <c r="AM8" s="116" t="s">
        <v>11</v>
      </c>
      <c r="AN8" s="116" t="s">
        <v>9</v>
      </c>
      <c r="AO8" s="116" t="s">
        <v>10</v>
      </c>
      <c r="AP8" s="116" t="s">
        <v>11</v>
      </c>
      <c r="AQ8" s="961" t="s">
        <v>9</v>
      </c>
      <c r="AR8" s="961" t="s">
        <v>10</v>
      </c>
      <c r="AS8" s="961" t="s">
        <v>11</v>
      </c>
      <c r="AT8" s="116" t="s">
        <v>9</v>
      </c>
      <c r="AU8" s="116" t="s">
        <v>10</v>
      </c>
      <c r="AV8" s="116" t="s">
        <v>2780</v>
      </c>
      <c r="AW8" s="116" t="s">
        <v>9</v>
      </c>
      <c r="AX8" s="116" t="s">
        <v>10</v>
      </c>
      <c r="AY8" s="116" t="s">
        <v>2780</v>
      </c>
      <c r="AZ8" s="116" t="s">
        <v>9</v>
      </c>
      <c r="BA8" s="116" t="s">
        <v>10</v>
      </c>
      <c r="BB8" s="116" t="s">
        <v>2780</v>
      </c>
      <c r="BC8" s="40" t="s">
        <v>9</v>
      </c>
      <c r="BD8" s="40" t="s">
        <v>10</v>
      </c>
      <c r="BE8" s="40" t="s">
        <v>11</v>
      </c>
      <c r="BF8" s="929" t="s">
        <v>9</v>
      </c>
      <c r="BG8" s="929" t="s">
        <v>10</v>
      </c>
      <c r="BH8" s="929" t="s">
        <v>11</v>
      </c>
    </row>
    <row r="9" spans="1:60" ht="15.4">
      <c r="A9" s="136">
        <v>1</v>
      </c>
      <c r="B9" s="123" t="s">
        <v>1090</v>
      </c>
      <c r="C9" s="158" t="s">
        <v>1091</v>
      </c>
      <c r="D9" s="136" t="s">
        <v>1092</v>
      </c>
      <c r="E9" s="159" t="s">
        <v>18</v>
      </c>
      <c r="F9" s="160">
        <v>26</v>
      </c>
      <c r="G9" s="158">
        <v>155</v>
      </c>
      <c r="H9" s="158">
        <v>75</v>
      </c>
      <c r="I9" s="158">
        <f t="shared" ref="I9:I22" si="0">H9+G9</f>
        <v>230</v>
      </c>
      <c r="J9" s="158">
        <v>20</v>
      </c>
      <c r="K9" s="158">
        <v>4</v>
      </c>
      <c r="L9" s="158">
        <f t="shared" ref="L9:L22" si="1">K9+J9</f>
        <v>24</v>
      </c>
      <c r="M9" s="158">
        <v>650</v>
      </c>
      <c r="N9" s="158">
        <v>0</v>
      </c>
      <c r="O9" s="158">
        <f t="shared" ref="O9:O22" si="2">N9+M9</f>
        <v>650</v>
      </c>
      <c r="P9" s="158">
        <v>0</v>
      </c>
      <c r="Q9" s="158">
        <v>0</v>
      </c>
      <c r="R9" s="158">
        <f>Q9+P9</f>
        <v>0</v>
      </c>
      <c r="S9" s="158">
        <v>0</v>
      </c>
      <c r="T9" s="158">
        <v>90</v>
      </c>
      <c r="U9" s="158">
        <f t="shared" ref="U9:U22" si="3">T9+S9</f>
        <v>90</v>
      </c>
      <c r="V9" s="158">
        <v>200</v>
      </c>
      <c r="W9" s="158">
        <v>72</v>
      </c>
      <c r="X9" s="158">
        <f t="shared" ref="X9:X72" si="4">W9+V9</f>
        <v>272</v>
      </c>
      <c r="Y9" s="174">
        <f>G9+J9+M9+P9+S9+V9</f>
        <v>1025</v>
      </c>
      <c r="Z9" s="174">
        <f>H9+K9+N9+Q9+T9+W9</f>
        <v>241</v>
      </c>
      <c r="AA9" s="174">
        <f>I9+L9+O9+R9+U9+X9</f>
        <v>1266</v>
      </c>
      <c r="AB9" s="175">
        <f>Y9/6</f>
        <v>170.83333333333334</v>
      </c>
      <c r="AC9" s="175">
        <f>Z9/6</f>
        <v>40.166666666666664</v>
      </c>
      <c r="AD9" s="175">
        <f>AA9/6</f>
        <v>211</v>
      </c>
      <c r="AE9" s="158">
        <v>100</v>
      </c>
      <c r="AF9" s="158">
        <v>18</v>
      </c>
      <c r="AG9" s="158">
        <f t="shared" ref="AG9:AG72" si="5">AF9+AE9</f>
        <v>118</v>
      </c>
      <c r="AH9" s="922">
        <v>185</v>
      </c>
      <c r="AI9" s="922">
        <v>0</v>
      </c>
      <c r="AJ9" s="922">
        <f t="shared" ref="AJ9:AJ72" si="6">AI9+AH9</f>
        <v>185</v>
      </c>
      <c r="AK9" s="134">
        <v>124</v>
      </c>
      <c r="AL9" s="134">
        <v>0</v>
      </c>
      <c r="AM9" s="922">
        <f t="shared" ref="AM9:AM72" si="7">AL9+AK9</f>
        <v>124</v>
      </c>
      <c r="AN9" s="6">
        <f>Y9+AE9+AH9+AK9</f>
        <v>1434</v>
      </c>
      <c r="AO9" s="6">
        <f>Z9+AF9+AI9+AL9</f>
        <v>259</v>
      </c>
      <c r="AP9" s="6">
        <f>AA9+AG9+AJ9+AM9</f>
        <v>1693</v>
      </c>
      <c r="AQ9" s="955">
        <f>AN9/9</f>
        <v>159.33333333333334</v>
      </c>
      <c r="AR9" s="955">
        <f>AO9/9</f>
        <v>28.777777777777779</v>
      </c>
      <c r="AS9" s="955">
        <f>AP9/9</f>
        <v>188.11111111111111</v>
      </c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</row>
    <row r="10" spans="1:60" ht="15.4">
      <c r="A10" s="136">
        <v>2</v>
      </c>
      <c r="B10" s="161" t="s">
        <v>1093</v>
      </c>
      <c r="C10" s="158" t="s">
        <v>1091</v>
      </c>
      <c r="D10" s="136" t="s">
        <v>1094</v>
      </c>
      <c r="E10" s="159" t="s">
        <v>15</v>
      </c>
      <c r="F10" s="160">
        <v>6</v>
      </c>
      <c r="G10" s="158">
        <v>0</v>
      </c>
      <c r="H10" s="158">
        <v>0</v>
      </c>
      <c r="I10" s="158">
        <f t="shared" si="0"/>
        <v>0</v>
      </c>
      <c r="J10" s="158">
        <v>40</v>
      </c>
      <c r="K10" s="158">
        <v>0</v>
      </c>
      <c r="L10" s="158">
        <f t="shared" si="1"/>
        <v>40</v>
      </c>
      <c r="M10" s="158">
        <v>40</v>
      </c>
      <c r="N10" s="158">
        <v>0</v>
      </c>
      <c r="O10" s="158">
        <f t="shared" si="2"/>
        <v>40</v>
      </c>
      <c r="P10" s="158">
        <v>0</v>
      </c>
      <c r="Q10" s="158">
        <v>0</v>
      </c>
      <c r="R10" s="158">
        <f t="shared" ref="R10:R22" si="8">Q10+P10</f>
        <v>0</v>
      </c>
      <c r="S10" s="158">
        <v>18</v>
      </c>
      <c r="T10" s="158">
        <v>0</v>
      </c>
      <c r="U10" s="158">
        <f t="shared" si="3"/>
        <v>18</v>
      </c>
      <c r="V10" s="158">
        <v>0</v>
      </c>
      <c r="W10" s="158">
        <v>0</v>
      </c>
      <c r="X10" s="158">
        <f t="shared" si="4"/>
        <v>0</v>
      </c>
      <c r="Y10" s="174">
        <f t="shared" ref="Y10:Y73" si="9">G10+J10+M10+P10+S10+V10</f>
        <v>98</v>
      </c>
      <c r="Z10" s="174">
        <f t="shared" ref="Z10:Z73" si="10">H10+K10+N10+Q10+T10+W10</f>
        <v>0</v>
      </c>
      <c r="AA10" s="174">
        <f t="shared" ref="AA10:AA73" si="11">I10+L10+O10+R10+U10+X10</f>
        <v>98</v>
      </c>
      <c r="AB10" s="175">
        <f t="shared" ref="AB10:AB73" si="12">Y10/6</f>
        <v>16.333333333333332</v>
      </c>
      <c r="AC10" s="175">
        <f t="shared" ref="AC10:AC73" si="13">Z10/6</f>
        <v>0</v>
      </c>
      <c r="AD10" s="175">
        <f t="shared" ref="AD10:AD73" si="14">AA10/6</f>
        <v>16.333333333333332</v>
      </c>
      <c r="AE10" s="158">
        <v>3</v>
      </c>
      <c r="AF10" s="158">
        <v>0</v>
      </c>
      <c r="AG10" s="158">
        <f t="shared" si="5"/>
        <v>3</v>
      </c>
      <c r="AH10" s="922">
        <v>15</v>
      </c>
      <c r="AI10" s="922">
        <v>0</v>
      </c>
      <c r="AJ10" s="922">
        <f t="shared" si="6"/>
        <v>15</v>
      </c>
      <c r="AK10" s="134">
        <v>5</v>
      </c>
      <c r="AL10" s="134">
        <v>0</v>
      </c>
      <c r="AM10" s="922">
        <f t="shared" si="7"/>
        <v>5</v>
      </c>
      <c r="AN10" s="6">
        <f t="shared" ref="AN10:AN73" si="15">Y10+AE10+AH10+AK10</f>
        <v>121</v>
      </c>
      <c r="AO10" s="6">
        <f t="shared" ref="AO10:AO73" si="16">Z10+AF10+AI10+AL10</f>
        <v>0</v>
      </c>
      <c r="AP10" s="6">
        <f t="shared" ref="AP10:AP73" si="17">AA10+AG10+AJ10+AM10</f>
        <v>121</v>
      </c>
      <c r="AQ10" s="955">
        <f t="shared" ref="AQ10:AQ73" si="18">AN10/9</f>
        <v>13.444444444444445</v>
      </c>
      <c r="AR10" s="955">
        <f t="shared" ref="AR10:AR73" si="19">AO10/9</f>
        <v>0</v>
      </c>
      <c r="AS10" s="955">
        <f t="shared" ref="AS10:AS73" si="20">AP10/9</f>
        <v>13.444444444444445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</row>
    <row r="11" spans="1:60" ht="15.4">
      <c r="A11" s="136">
        <v>3</v>
      </c>
      <c r="B11" s="123" t="s">
        <v>1095</v>
      </c>
      <c r="C11" s="158" t="s">
        <v>1091</v>
      </c>
      <c r="D11" s="136" t="s">
        <v>1096</v>
      </c>
      <c r="E11" s="159" t="s">
        <v>15</v>
      </c>
      <c r="F11" s="160">
        <v>10</v>
      </c>
      <c r="G11" s="158">
        <v>32</v>
      </c>
      <c r="H11" s="158">
        <v>0</v>
      </c>
      <c r="I11" s="158">
        <v>30</v>
      </c>
      <c r="J11" s="158">
        <v>15</v>
      </c>
      <c r="K11" s="158">
        <v>0</v>
      </c>
      <c r="L11" s="158">
        <f t="shared" si="1"/>
        <v>15</v>
      </c>
      <c r="M11" s="158">
        <v>24</v>
      </c>
      <c r="N11" s="158">
        <v>0</v>
      </c>
      <c r="O11" s="158">
        <f t="shared" si="2"/>
        <v>24</v>
      </c>
      <c r="P11" s="158">
        <v>18</v>
      </c>
      <c r="Q11" s="158">
        <v>0</v>
      </c>
      <c r="R11" s="158">
        <f t="shared" si="8"/>
        <v>18</v>
      </c>
      <c r="S11" s="158">
        <v>0</v>
      </c>
      <c r="T11" s="158">
        <v>0</v>
      </c>
      <c r="U11" s="158">
        <f t="shared" si="3"/>
        <v>0</v>
      </c>
      <c r="V11" s="158">
        <v>32</v>
      </c>
      <c r="W11" s="158">
        <v>0</v>
      </c>
      <c r="X11" s="158">
        <f t="shared" si="4"/>
        <v>32</v>
      </c>
      <c r="Y11" s="174">
        <f t="shared" si="9"/>
        <v>121</v>
      </c>
      <c r="Z11" s="174">
        <f t="shared" si="10"/>
        <v>0</v>
      </c>
      <c r="AA11" s="174">
        <f t="shared" si="11"/>
        <v>119</v>
      </c>
      <c r="AB11" s="175">
        <f t="shared" si="12"/>
        <v>20.166666666666668</v>
      </c>
      <c r="AC11" s="175">
        <f t="shared" si="13"/>
        <v>0</v>
      </c>
      <c r="AD11" s="175">
        <f t="shared" si="14"/>
        <v>19.833333333333332</v>
      </c>
      <c r="AE11" s="158">
        <v>6</v>
      </c>
      <c r="AF11" s="158">
        <v>0</v>
      </c>
      <c r="AG11" s="158">
        <f t="shared" si="5"/>
        <v>6</v>
      </c>
      <c r="AH11" s="922">
        <v>0</v>
      </c>
      <c r="AI11" s="922">
        <v>0</v>
      </c>
      <c r="AJ11" s="922">
        <f t="shared" si="6"/>
        <v>0</v>
      </c>
      <c r="AK11" s="134">
        <v>6</v>
      </c>
      <c r="AL11" s="134">
        <v>0</v>
      </c>
      <c r="AM11" s="922">
        <f t="shared" si="7"/>
        <v>6</v>
      </c>
      <c r="AN11" s="6">
        <f t="shared" si="15"/>
        <v>133</v>
      </c>
      <c r="AO11" s="6">
        <f t="shared" si="16"/>
        <v>0</v>
      </c>
      <c r="AP11" s="6">
        <f t="shared" si="17"/>
        <v>131</v>
      </c>
      <c r="AQ11" s="955">
        <f t="shared" si="18"/>
        <v>14.777777777777779</v>
      </c>
      <c r="AR11" s="955">
        <f t="shared" si="19"/>
        <v>0</v>
      </c>
      <c r="AS11" s="955">
        <f t="shared" si="20"/>
        <v>14.555555555555555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</row>
    <row r="12" spans="1:60" ht="15.4">
      <c r="A12" s="136">
        <v>4</v>
      </c>
      <c r="B12" s="123" t="s">
        <v>1097</v>
      </c>
      <c r="C12" s="158" t="s">
        <v>1091</v>
      </c>
      <c r="D12" s="136" t="s">
        <v>1098</v>
      </c>
      <c r="E12" s="159" t="s">
        <v>15</v>
      </c>
      <c r="F12" s="160">
        <v>5</v>
      </c>
      <c r="G12" s="158">
        <v>0</v>
      </c>
      <c r="H12" s="158">
        <v>0</v>
      </c>
      <c r="I12" s="158">
        <f t="shared" si="0"/>
        <v>0</v>
      </c>
      <c r="J12" s="158">
        <v>0</v>
      </c>
      <c r="K12" s="158">
        <v>0</v>
      </c>
      <c r="L12" s="158">
        <f t="shared" si="1"/>
        <v>0</v>
      </c>
      <c r="M12" s="158">
        <v>0</v>
      </c>
      <c r="N12" s="158">
        <v>0</v>
      </c>
      <c r="O12" s="158">
        <f t="shared" si="2"/>
        <v>0</v>
      </c>
      <c r="P12" s="158">
        <v>0</v>
      </c>
      <c r="Q12" s="158">
        <v>0</v>
      </c>
      <c r="R12" s="158">
        <f t="shared" si="8"/>
        <v>0</v>
      </c>
      <c r="S12" s="158">
        <v>21</v>
      </c>
      <c r="T12" s="158">
        <v>0</v>
      </c>
      <c r="U12" s="158">
        <f t="shared" si="3"/>
        <v>21</v>
      </c>
      <c r="V12" s="158">
        <v>31</v>
      </c>
      <c r="W12" s="158">
        <v>0</v>
      </c>
      <c r="X12" s="158">
        <f t="shared" si="4"/>
        <v>31</v>
      </c>
      <c r="Y12" s="174">
        <f t="shared" si="9"/>
        <v>52</v>
      </c>
      <c r="Z12" s="174">
        <f t="shared" si="10"/>
        <v>0</v>
      </c>
      <c r="AA12" s="174">
        <f t="shared" si="11"/>
        <v>52</v>
      </c>
      <c r="AB12" s="175">
        <f t="shared" si="12"/>
        <v>8.6666666666666661</v>
      </c>
      <c r="AC12" s="175">
        <f t="shared" si="13"/>
        <v>0</v>
      </c>
      <c r="AD12" s="175">
        <f t="shared" si="14"/>
        <v>8.6666666666666661</v>
      </c>
      <c r="AE12" s="134">
        <v>0</v>
      </c>
      <c r="AF12" s="134">
        <v>0</v>
      </c>
      <c r="AG12" s="158">
        <f t="shared" si="5"/>
        <v>0</v>
      </c>
      <c r="AH12" s="134">
        <v>5</v>
      </c>
      <c r="AI12" s="134">
        <v>0</v>
      </c>
      <c r="AJ12" s="922">
        <f t="shared" si="6"/>
        <v>5</v>
      </c>
      <c r="AK12" s="134">
        <v>10</v>
      </c>
      <c r="AL12" s="134">
        <v>0</v>
      </c>
      <c r="AM12" s="922">
        <f t="shared" si="7"/>
        <v>10</v>
      </c>
      <c r="AN12" s="6">
        <f t="shared" si="15"/>
        <v>67</v>
      </c>
      <c r="AO12" s="6">
        <f t="shared" si="16"/>
        <v>0</v>
      </c>
      <c r="AP12" s="6">
        <f t="shared" si="17"/>
        <v>67</v>
      </c>
      <c r="AQ12" s="955">
        <f t="shared" si="18"/>
        <v>7.4444444444444446</v>
      </c>
      <c r="AR12" s="955">
        <f t="shared" si="19"/>
        <v>0</v>
      </c>
      <c r="AS12" s="955">
        <f t="shared" si="20"/>
        <v>7.4444444444444446</v>
      </c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</row>
    <row r="13" spans="1:60" ht="15.4">
      <c r="A13" s="136">
        <v>5</v>
      </c>
      <c r="B13" s="123" t="s">
        <v>1099</v>
      </c>
      <c r="C13" s="158" t="s">
        <v>1091</v>
      </c>
      <c r="D13" s="136" t="s">
        <v>1100</v>
      </c>
      <c r="E13" s="159" t="s">
        <v>15</v>
      </c>
      <c r="F13" s="160">
        <v>11</v>
      </c>
      <c r="G13" s="158">
        <v>16</v>
      </c>
      <c r="H13" s="158">
        <v>0</v>
      </c>
      <c r="I13" s="158">
        <f t="shared" si="0"/>
        <v>16</v>
      </c>
      <c r="J13" s="158">
        <v>40</v>
      </c>
      <c r="K13" s="158">
        <v>0</v>
      </c>
      <c r="L13" s="158">
        <f t="shared" si="1"/>
        <v>40</v>
      </c>
      <c r="M13" s="158">
        <v>150</v>
      </c>
      <c r="N13" s="158">
        <v>0</v>
      </c>
      <c r="O13" s="158">
        <f t="shared" si="2"/>
        <v>150</v>
      </c>
      <c r="P13" s="158">
        <v>16</v>
      </c>
      <c r="Q13" s="158">
        <v>0</v>
      </c>
      <c r="R13" s="158">
        <f t="shared" si="8"/>
        <v>16</v>
      </c>
      <c r="S13" s="158">
        <v>6</v>
      </c>
      <c r="T13" s="158">
        <v>0</v>
      </c>
      <c r="U13" s="158">
        <f t="shared" si="3"/>
        <v>6</v>
      </c>
      <c r="V13" s="158">
        <v>57</v>
      </c>
      <c r="W13" s="158">
        <v>0</v>
      </c>
      <c r="X13" s="158">
        <f t="shared" si="4"/>
        <v>57</v>
      </c>
      <c r="Y13" s="174">
        <f t="shared" si="9"/>
        <v>285</v>
      </c>
      <c r="Z13" s="174">
        <f t="shared" si="10"/>
        <v>0</v>
      </c>
      <c r="AA13" s="174">
        <f t="shared" si="11"/>
        <v>285</v>
      </c>
      <c r="AB13" s="175">
        <f t="shared" si="12"/>
        <v>47.5</v>
      </c>
      <c r="AC13" s="175">
        <f t="shared" si="13"/>
        <v>0</v>
      </c>
      <c r="AD13" s="175">
        <f t="shared" si="14"/>
        <v>47.5</v>
      </c>
      <c r="AE13" s="134">
        <v>5</v>
      </c>
      <c r="AF13" s="134">
        <v>0</v>
      </c>
      <c r="AG13" s="158">
        <f t="shared" si="5"/>
        <v>5</v>
      </c>
      <c r="AH13" s="134">
        <v>6</v>
      </c>
      <c r="AI13" s="134">
        <v>0</v>
      </c>
      <c r="AJ13" s="922">
        <f t="shared" si="6"/>
        <v>6</v>
      </c>
      <c r="AK13" s="134">
        <v>5</v>
      </c>
      <c r="AL13" s="134">
        <v>0</v>
      </c>
      <c r="AM13" s="922">
        <f t="shared" si="7"/>
        <v>5</v>
      </c>
      <c r="AN13" s="6">
        <f t="shared" si="15"/>
        <v>301</v>
      </c>
      <c r="AO13" s="6">
        <f t="shared" si="16"/>
        <v>0</v>
      </c>
      <c r="AP13" s="6">
        <f t="shared" si="17"/>
        <v>301</v>
      </c>
      <c r="AQ13" s="955">
        <f t="shared" si="18"/>
        <v>33.444444444444443</v>
      </c>
      <c r="AR13" s="955">
        <f t="shared" si="19"/>
        <v>0</v>
      </c>
      <c r="AS13" s="955">
        <f t="shared" si="20"/>
        <v>33.444444444444443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spans="1:60" ht="15.4">
      <c r="A14" s="136">
        <v>6</v>
      </c>
      <c r="B14" s="123" t="s">
        <v>1101</v>
      </c>
      <c r="C14" s="158" t="s">
        <v>1091</v>
      </c>
      <c r="D14" s="136" t="s">
        <v>1102</v>
      </c>
      <c r="E14" s="159" t="s">
        <v>15</v>
      </c>
      <c r="F14" s="160">
        <v>10</v>
      </c>
      <c r="G14" s="158">
        <v>10</v>
      </c>
      <c r="H14" s="158">
        <v>0</v>
      </c>
      <c r="I14" s="158">
        <f t="shared" si="0"/>
        <v>10</v>
      </c>
      <c r="J14" s="158">
        <v>10</v>
      </c>
      <c r="K14" s="158">
        <v>0</v>
      </c>
      <c r="L14" s="158">
        <f t="shared" si="1"/>
        <v>10</v>
      </c>
      <c r="M14" s="158">
        <v>60</v>
      </c>
      <c r="N14" s="158">
        <v>0</v>
      </c>
      <c r="O14" s="158">
        <f t="shared" si="2"/>
        <v>60</v>
      </c>
      <c r="P14" s="158">
        <v>10</v>
      </c>
      <c r="Q14" s="158">
        <v>0</v>
      </c>
      <c r="R14" s="158">
        <f t="shared" si="8"/>
        <v>10</v>
      </c>
      <c r="S14" s="158">
        <v>0</v>
      </c>
      <c r="T14" s="158">
        <v>0</v>
      </c>
      <c r="U14" s="158">
        <f t="shared" si="3"/>
        <v>0</v>
      </c>
      <c r="V14" s="158">
        <v>0</v>
      </c>
      <c r="W14" s="158">
        <v>0</v>
      </c>
      <c r="X14" s="158">
        <f t="shared" si="4"/>
        <v>0</v>
      </c>
      <c r="Y14" s="174">
        <f t="shared" si="9"/>
        <v>90</v>
      </c>
      <c r="Z14" s="174">
        <f t="shared" si="10"/>
        <v>0</v>
      </c>
      <c r="AA14" s="174">
        <f t="shared" si="11"/>
        <v>90</v>
      </c>
      <c r="AB14" s="175">
        <f t="shared" si="12"/>
        <v>15</v>
      </c>
      <c r="AC14" s="175">
        <f t="shared" si="13"/>
        <v>0</v>
      </c>
      <c r="AD14" s="175">
        <f t="shared" si="14"/>
        <v>15</v>
      </c>
      <c r="AE14" s="134">
        <v>10</v>
      </c>
      <c r="AF14" s="134">
        <v>0</v>
      </c>
      <c r="AG14" s="158">
        <f t="shared" si="5"/>
        <v>10</v>
      </c>
      <c r="AH14" s="134">
        <v>15</v>
      </c>
      <c r="AI14" s="134">
        <v>0</v>
      </c>
      <c r="AJ14" s="922">
        <f t="shared" si="6"/>
        <v>15</v>
      </c>
      <c r="AK14" s="134">
        <v>6</v>
      </c>
      <c r="AL14" s="134">
        <v>0</v>
      </c>
      <c r="AM14" s="922">
        <f t="shared" si="7"/>
        <v>6</v>
      </c>
      <c r="AN14" s="6">
        <f t="shared" si="15"/>
        <v>121</v>
      </c>
      <c r="AO14" s="6">
        <f t="shared" si="16"/>
        <v>0</v>
      </c>
      <c r="AP14" s="6">
        <f t="shared" si="17"/>
        <v>121</v>
      </c>
      <c r="AQ14" s="955">
        <f t="shared" si="18"/>
        <v>13.444444444444445</v>
      </c>
      <c r="AR14" s="955">
        <f t="shared" si="19"/>
        <v>0</v>
      </c>
      <c r="AS14" s="955">
        <f t="shared" si="20"/>
        <v>13.444444444444445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</row>
    <row r="15" spans="1:60" ht="15.4">
      <c r="A15" s="136">
        <v>7</v>
      </c>
      <c r="B15" s="123" t="s">
        <v>1103</v>
      </c>
      <c r="C15" s="158" t="s">
        <v>1091</v>
      </c>
      <c r="D15" s="136" t="s">
        <v>1104</v>
      </c>
      <c r="E15" s="159" t="s">
        <v>15</v>
      </c>
      <c r="F15" s="160">
        <v>6</v>
      </c>
      <c r="G15" s="158">
        <v>0</v>
      </c>
      <c r="H15" s="158">
        <v>0</v>
      </c>
      <c r="I15" s="158">
        <f t="shared" si="0"/>
        <v>0</v>
      </c>
      <c r="J15" s="158">
        <v>0</v>
      </c>
      <c r="K15" s="158">
        <v>0</v>
      </c>
      <c r="L15" s="158">
        <f t="shared" si="1"/>
        <v>0</v>
      </c>
      <c r="M15" s="158">
        <v>0</v>
      </c>
      <c r="N15" s="158">
        <v>0</v>
      </c>
      <c r="O15" s="158">
        <f t="shared" si="2"/>
        <v>0</v>
      </c>
      <c r="P15" s="158">
        <v>0</v>
      </c>
      <c r="Q15" s="158">
        <v>0</v>
      </c>
      <c r="R15" s="158">
        <f t="shared" si="8"/>
        <v>0</v>
      </c>
      <c r="S15" s="158">
        <v>21</v>
      </c>
      <c r="T15" s="158">
        <v>0</v>
      </c>
      <c r="U15" s="158">
        <f t="shared" si="3"/>
        <v>21</v>
      </c>
      <c r="V15" s="158">
        <v>58</v>
      </c>
      <c r="W15" s="158">
        <v>0</v>
      </c>
      <c r="X15" s="158">
        <f t="shared" si="4"/>
        <v>58</v>
      </c>
      <c r="Y15" s="174">
        <f t="shared" si="9"/>
        <v>79</v>
      </c>
      <c r="Z15" s="174">
        <f t="shared" si="10"/>
        <v>0</v>
      </c>
      <c r="AA15" s="174">
        <f t="shared" si="11"/>
        <v>79</v>
      </c>
      <c r="AB15" s="175">
        <f t="shared" si="12"/>
        <v>13.166666666666666</v>
      </c>
      <c r="AC15" s="175">
        <f t="shared" si="13"/>
        <v>0</v>
      </c>
      <c r="AD15" s="175">
        <f t="shared" si="14"/>
        <v>13.166666666666666</v>
      </c>
      <c r="AE15" s="134">
        <v>25</v>
      </c>
      <c r="AF15" s="134">
        <v>0</v>
      </c>
      <c r="AG15" s="158">
        <f t="shared" si="5"/>
        <v>25</v>
      </c>
      <c r="AH15" s="134">
        <v>6</v>
      </c>
      <c r="AI15" s="134">
        <v>0</v>
      </c>
      <c r="AJ15" s="922">
        <f t="shared" si="6"/>
        <v>6</v>
      </c>
      <c r="AK15" s="134">
        <v>15</v>
      </c>
      <c r="AL15" s="134">
        <v>0</v>
      </c>
      <c r="AM15" s="922">
        <f t="shared" si="7"/>
        <v>15</v>
      </c>
      <c r="AN15" s="6">
        <f t="shared" si="15"/>
        <v>125</v>
      </c>
      <c r="AO15" s="6">
        <f t="shared" si="16"/>
        <v>0</v>
      </c>
      <c r="AP15" s="6">
        <f t="shared" si="17"/>
        <v>125</v>
      </c>
      <c r="AQ15" s="955">
        <f t="shared" si="18"/>
        <v>13.888888888888889</v>
      </c>
      <c r="AR15" s="955">
        <f t="shared" si="19"/>
        <v>0</v>
      </c>
      <c r="AS15" s="955">
        <f t="shared" si="20"/>
        <v>13.888888888888889</v>
      </c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</row>
    <row r="16" spans="1:60" ht="15.4">
      <c r="A16" s="136">
        <v>8</v>
      </c>
      <c r="B16" s="123" t="s">
        <v>1105</v>
      </c>
      <c r="C16" s="158" t="s">
        <v>1091</v>
      </c>
      <c r="D16" s="136" t="s">
        <v>1106</v>
      </c>
      <c r="E16" s="159" t="s">
        <v>15</v>
      </c>
      <c r="F16" s="160">
        <v>10</v>
      </c>
      <c r="G16" s="158">
        <v>20</v>
      </c>
      <c r="H16" s="158">
        <v>0</v>
      </c>
      <c r="I16" s="158">
        <f t="shared" si="0"/>
        <v>20</v>
      </c>
      <c r="J16" s="158">
        <v>10</v>
      </c>
      <c r="K16" s="158">
        <v>0</v>
      </c>
      <c r="L16" s="158">
        <f t="shared" si="1"/>
        <v>10</v>
      </c>
      <c r="M16" s="158">
        <v>25</v>
      </c>
      <c r="N16" s="158">
        <v>0</v>
      </c>
      <c r="O16" s="158">
        <f t="shared" si="2"/>
        <v>25</v>
      </c>
      <c r="P16" s="158">
        <v>20</v>
      </c>
      <c r="Q16" s="158">
        <v>0</v>
      </c>
      <c r="R16" s="158">
        <f t="shared" si="8"/>
        <v>20</v>
      </c>
      <c r="S16" s="158">
        <v>6</v>
      </c>
      <c r="T16" s="158">
        <v>0</v>
      </c>
      <c r="U16" s="158">
        <f t="shared" si="3"/>
        <v>6</v>
      </c>
      <c r="V16" s="158">
        <v>135</v>
      </c>
      <c r="W16" s="158">
        <v>0</v>
      </c>
      <c r="X16" s="158">
        <f t="shared" si="4"/>
        <v>135</v>
      </c>
      <c r="Y16" s="174">
        <f t="shared" si="9"/>
        <v>216</v>
      </c>
      <c r="Z16" s="174">
        <f t="shared" si="10"/>
        <v>0</v>
      </c>
      <c r="AA16" s="174">
        <f t="shared" si="11"/>
        <v>216</v>
      </c>
      <c r="AB16" s="175">
        <f t="shared" si="12"/>
        <v>36</v>
      </c>
      <c r="AC16" s="175">
        <f t="shared" si="13"/>
        <v>0</v>
      </c>
      <c r="AD16" s="175">
        <f t="shared" si="14"/>
        <v>36</v>
      </c>
      <c r="AE16" s="134">
        <v>0</v>
      </c>
      <c r="AF16" s="134">
        <v>0</v>
      </c>
      <c r="AG16" s="158">
        <f t="shared" si="5"/>
        <v>0</v>
      </c>
      <c r="AH16" s="134">
        <v>111</v>
      </c>
      <c r="AI16" s="134">
        <v>0</v>
      </c>
      <c r="AJ16" s="922">
        <f t="shared" si="6"/>
        <v>111</v>
      </c>
      <c r="AK16" s="134">
        <v>0</v>
      </c>
      <c r="AL16" s="134">
        <v>0</v>
      </c>
      <c r="AM16" s="922">
        <f t="shared" si="7"/>
        <v>0</v>
      </c>
      <c r="AN16" s="6">
        <f t="shared" si="15"/>
        <v>327</v>
      </c>
      <c r="AO16" s="6">
        <f t="shared" si="16"/>
        <v>0</v>
      </c>
      <c r="AP16" s="6">
        <f t="shared" si="17"/>
        <v>327</v>
      </c>
      <c r="AQ16" s="955">
        <f t="shared" si="18"/>
        <v>36.333333333333336</v>
      </c>
      <c r="AR16" s="955">
        <f t="shared" si="19"/>
        <v>0</v>
      </c>
      <c r="AS16" s="955">
        <f t="shared" si="20"/>
        <v>36.333333333333336</v>
      </c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</row>
    <row r="17" spans="1:60" ht="15.4">
      <c r="A17" s="136">
        <v>9</v>
      </c>
      <c r="B17" s="123" t="s">
        <v>1107</v>
      </c>
      <c r="C17" s="158" t="s">
        <v>1091</v>
      </c>
      <c r="D17" s="136" t="s">
        <v>1108</v>
      </c>
      <c r="E17" s="159" t="s">
        <v>15</v>
      </c>
      <c r="F17" s="160">
        <v>16</v>
      </c>
      <c r="G17" s="158">
        <v>0</v>
      </c>
      <c r="H17" s="158">
        <v>0</v>
      </c>
      <c r="I17" s="158">
        <f t="shared" si="0"/>
        <v>0</v>
      </c>
      <c r="J17" s="158">
        <v>0</v>
      </c>
      <c r="K17" s="158">
        <v>0</v>
      </c>
      <c r="L17" s="158">
        <f t="shared" si="1"/>
        <v>0</v>
      </c>
      <c r="M17" s="158">
        <v>35</v>
      </c>
      <c r="N17" s="158">
        <v>0</v>
      </c>
      <c r="O17" s="158">
        <f t="shared" si="2"/>
        <v>35</v>
      </c>
      <c r="P17" s="158">
        <v>0</v>
      </c>
      <c r="Q17" s="158">
        <v>0</v>
      </c>
      <c r="R17" s="158">
        <f t="shared" si="8"/>
        <v>0</v>
      </c>
      <c r="S17" s="158">
        <v>0</v>
      </c>
      <c r="T17" s="158">
        <v>0</v>
      </c>
      <c r="U17" s="158">
        <f t="shared" si="3"/>
        <v>0</v>
      </c>
      <c r="V17" s="158">
        <v>0</v>
      </c>
      <c r="W17" s="158">
        <v>0</v>
      </c>
      <c r="X17" s="158">
        <f t="shared" si="4"/>
        <v>0</v>
      </c>
      <c r="Y17" s="174">
        <f t="shared" si="9"/>
        <v>35</v>
      </c>
      <c r="Z17" s="174">
        <f t="shared" si="10"/>
        <v>0</v>
      </c>
      <c r="AA17" s="174">
        <f t="shared" si="11"/>
        <v>35</v>
      </c>
      <c r="AB17" s="175">
        <f t="shared" si="12"/>
        <v>5.833333333333333</v>
      </c>
      <c r="AC17" s="175">
        <f t="shared" si="13"/>
        <v>0</v>
      </c>
      <c r="AD17" s="175">
        <f t="shared" si="14"/>
        <v>5.833333333333333</v>
      </c>
      <c r="AE17" s="134">
        <v>20</v>
      </c>
      <c r="AF17" s="134">
        <v>0</v>
      </c>
      <c r="AG17" s="158">
        <f t="shared" si="5"/>
        <v>20</v>
      </c>
      <c r="AH17" s="134">
        <v>0</v>
      </c>
      <c r="AI17" s="134">
        <v>0</v>
      </c>
      <c r="AJ17" s="922">
        <f t="shared" si="6"/>
        <v>0</v>
      </c>
      <c r="AK17" s="134">
        <v>10</v>
      </c>
      <c r="AL17" s="134">
        <v>0</v>
      </c>
      <c r="AM17" s="922">
        <f t="shared" si="7"/>
        <v>10</v>
      </c>
      <c r="AN17" s="6">
        <f t="shared" si="15"/>
        <v>65</v>
      </c>
      <c r="AO17" s="6">
        <f t="shared" si="16"/>
        <v>0</v>
      </c>
      <c r="AP17" s="6">
        <f t="shared" si="17"/>
        <v>65</v>
      </c>
      <c r="AQ17" s="955">
        <f t="shared" si="18"/>
        <v>7.2222222222222223</v>
      </c>
      <c r="AR17" s="955">
        <f t="shared" si="19"/>
        <v>0</v>
      </c>
      <c r="AS17" s="955">
        <f t="shared" si="20"/>
        <v>7.2222222222222223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</row>
    <row r="18" spans="1:60" ht="15.4">
      <c r="A18" s="136">
        <v>10</v>
      </c>
      <c r="B18" s="123" t="s">
        <v>51</v>
      </c>
      <c r="C18" s="158" t="s">
        <v>1091</v>
      </c>
      <c r="D18" s="136" t="s">
        <v>1109</v>
      </c>
      <c r="E18" s="159" t="s">
        <v>15</v>
      </c>
      <c r="F18" s="160">
        <v>13</v>
      </c>
      <c r="G18" s="158">
        <v>21</v>
      </c>
      <c r="H18" s="158">
        <v>0</v>
      </c>
      <c r="I18" s="158">
        <f t="shared" si="0"/>
        <v>21</v>
      </c>
      <c r="J18" s="158">
        <v>5</v>
      </c>
      <c r="K18" s="158">
        <v>0</v>
      </c>
      <c r="L18" s="158">
        <f t="shared" si="1"/>
        <v>5</v>
      </c>
      <c r="M18" s="158">
        <v>48</v>
      </c>
      <c r="N18" s="158">
        <v>0</v>
      </c>
      <c r="O18" s="158">
        <f t="shared" si="2"/>
        <v>48</v>
      </c>
      <c r="P18" s="158">
        <v>21</v>
      </c>
      <c r="Q18" s="158">
        <v>0</v>
      </c>
      <c r="R18" s="158">
        <f t="shared" si="8"/>
        <v>21</v>
      </c>
      <c r="S18" s="158">
        <v>8</v>
      </c>
      <c r="T18" s="158">
        <v>0</v>
      </c>
      <c r="U18" s="158">
        <f t="shared" si="3"/>
        <v>8</v>
      </c>
      <c r="V18" s="158">
        <v>160</v>
      </c>
      <c r="W18" s="158">
        <v>0</v>
      </c>
      <c r="X18" s="158">
        <f t="shared" si="4"/>
        <v>160</v>
      </c>
      <c r="Y18" s="174">
        <f t="shared" si="9"/>
        <v>263</v>
      </c>
      <c r="Z18" s="174">
        <f t="shared" si="10"/>
        <v>0</v>
      </c>
      <c r="AA18" s="174">
        <f t="shared" si="11"/>
        <v>263</v>
      </c>
      <c r="AB18" s="175">
        <f t="shared" si="12"/>
        <v>43.833333333333336</v>
      </c>
      <c r="AC18" s="175">
        <f t="shared" si="13"/>
        <v>0</v>
      </c>
      <c r="AD18" s="175">
        <f t="shared" si="14"/>
        <v>43.833333333333336</v>
      </c>
      <c r="AE18" s="134">
        <v>0</v>
      </c>
      <c r="AF18" s="134">
        <v>0</v>
      </c>
      <c r="AG18" s="158">
        <f t="shared" si="5"/>
        <v>0</v>
      </c>
      <c r="AH18" s="134">
        <v>50</v>
      </c>
      <c r="AI18" s="134">
        <v>0</v>
      </c>
      <c r="AJ18" s="922">
        <f t="shared" si="6"/>
        <v>50</v>
      </c>
      <c r="AK18" s="134">
        <v>0</v>
      </c>
      <c r="AL18" s="134">
        <v>0</v>
      </c>
      <c r="AM18" s="922">
        <f t="shared" si="7"/>
        <v>0</v>
      </c>
      <c r="AN18" s="6">
        <f t="shared" si="15"/>
        <v>313</v>
      </c>
      <c r="AO18" s="6">
        <f t="shared" si="16"/>
        <v>0</v>
      </c>
      <c r="AP18" s="6">
        <f t="shared" si="17"/>
        <v>313</v>
      </c>
      <c r="AQ18" s="955">
        <f t="shared" si="18"/>
        <v>34.777777777777779</v>
      </c>
      <c r="AR18" s="955">
        <f t="shared" si="19"/>
        <v>0</v>
      </c>
      <c r="AS18" s="955">
        <f t="shared" si="20"/>
        <v>34.777777777777779</v>
      </c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</row>
    <row r="19" spans="1:60" ht="15.4">
      <c r="A19" s="136">
        <v>11</v>
      </c>
      <c r="B19" s="123" t="s">
        <v>1110</v>
      </c>
      <c r="C19" s="158" t="s">
        <v>1091</v>
      </c>
      <c r="D19" s="136" t="s">
        <v>1111</v>
      </c>
      <c r="E19" s="159" t="s">
        <v>15</v>
      </c>
      <c r="F19" s="160">
        <v>6</v>
      </c>
      <c r="G19" s="158">
        <v>0</v>
      </c>
      <c r="H19" s="158">
        <v>0</v>
      </c>
      <c r="I19" s="158">
        <f t="shared" si="0"/>
        <v>0</v>
      </c>
      <c r="J19" s="158">
        <v>0</v>
      </c>
      <c r="K19" s="158">
        <v>0</v>
      </c>
      <c r="L19" s="158">
        <f t="shared" si="1"/>
        <v>0</v>
      </c>
      <c r="M19" s="158">
        <v>3</v>
      </c>
      <c r="N19" s="158">
        <v>0</v>
      </c>
      <c r="O19" s="158">
        <f t="shared" si="2"/>
        <v>3</v>
      </c>
      <c r="P19" s="158">
        <v>0</v>
      </c>
      <c r="Q19" s="158">
        <v>0</v>
      </c>
      <c r="R19" s="158">
        <f t="shared" si="8"/>
        <v>0</v>
      </c>
      <c r="S19" s="158">
        <v>16</v>
      </c>
      <c r="T19" s="158">
        <v>0</v>
      </c>
      <c r="U19" s="158">
        <f t="shared" si="3"/>
        <v>16</v>
      </c>
      <c r="V19" s="158">
        <v>150</v>
      </c>
      <c r="W19" s="158">
        <v>0</v>
      </c>
      <c r="X19" s="158">
        <f t="shared" si="4"/>
        <v>150</v>
      </c>
      <c r="Y19" s="174">
        <f t="shared" si="9"/>
        <v>169</v>
      </c>
      <c r="Z19" s="174">
        <f t="shared" si="10"/>
        <v>0</v>
      </c>
      <c r="AA19" s="174">
        <f t="shared" si="11"/>
        <v>169</v>
      </c>
      <c r="AB19" s="175">
        <f t="shared" si="12"/>
        <v>28.166666666666668</v>
      </c>
      <c r="AC19" s="175">
        <f t="shared" si="13"/>
        <v>0</v>
      </c>
      <c r="AD19" s="175">
        <f t="shared" si="14"/>
        <v>28.166666666666668</v>
      </c>
      <c r="AE19" s="134">
        <v>0</v>
      </c>
      <c r="AF19" s="134">
        <v>0</v>
      </c>
      <c r="AG19" s="158">
        <f t="shared" si="5"/>
        <v>0</v>
      </c>
      <c r="AH19" s="134">
        <v>85</v>
      </c>
      <c r="AI19" s="134">
        <v>0</v>
      </c>
      <c r="AJ19" s="922">
        <f t="shared" si="6"/>
        <v>85</v>
      </c>
      <c r="AK19" s="134">
        <v>0</v>
      </c>
      <c r="AL19" s="134">
        <v>0</v>
      </c>
      <c r="AM19" s="922">
        <f t="shared" si="7"/>
        <v>0</v>
      </c>
      <c r="AN19" s="6">
        <f t="shared" si="15"/>
        <v>254</v>
      </c>
      <c r="AO19" s="6">
        <f t="shared" si="16"/>
        <v>0</v>
      </c>
      <c r="AP19" s="6">
        <f t="shared" si="17"/>
        <v>254</v>
      </c>
      <c r="AQ19" s="955">
        <f t="shared" si="18"/>
        <v>28.222222222222221</v>
      </c>
      <c r="AR19" s="955">
        <f t="shared" si="19"/>
        <v>0</v>
      </c>
      <c r="AS19" s="955">
        <f t="shared" si="20"/>
        <v>28.222222222222221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</row>
    <row r="20" spans="1:60" ht="15.4">
      <c r="A20" s="136">
        <v>12</v>
      </c>
      <c r="B20" s="161" t="s">
        <v>1112</v>
      </c>
      <c r="C20" s="158" t="s">
        <v>1091</v>
      </c>
      <c r="D20" s="136" t="s">
        <v>1113</v>
      </c>
      <c r="E20" s="159" t="s">
        <v>15</v>
      </c>
      <c r="F20" s="160">
        <v>11</v>
      </c>
      <c r="G20" s="158">
        <v>25</v>
      </c>
      <c r="H20" s="158">
        <v>0</v>
      </c>
      <c r="I20" s="158">
        <f t="shared" si="0"/>
        <v>25</v>
      </c>
      <c r="J20" s="158">
        <v>6</v>
      </c>
      <c r="K20" s="158">
        <v>0</v>
      </c>
      <c r="L20" s="158">
        <f t="shared" si="1"/>
        <v>6</v>
      </c>
      <c r="M20" s="158">
        <v>36</v>
      </c>
      <c r="N20" s="158">
        <v>0</v>
      </c>
      <c r="O20" s="158">
        <f t="shared" si="2"/>
        <v>36</v>
      </c>
      <c r="P20" s="158">
        <v>16</v>
      </c>
      <c r="Q20" s="158">
        <v>0</v>
      </c>
      <c r="R20" s="158">
        <f t="shared" si="8"/>
        <v>16</v>
      </c>
      <c r="S20" s="158">
        <v>0</v>
      </c>
      <c r="T20" s="158">
        <v>0</v>
      </c>
      <c r="U20" s="158">
        <f t="shared" si="3"/>
        <v>0</v>
      </c>
      <c r="V20" s="158">
        <v>0</v>
      </c>
      <c r="W20" s="158">
        <v>0</v>
      </c>
      <c r="X20" s="158">
        <f t="shared" si="4"/>
        <v>0</v>
      </c>
      <c r="Y20" s="174">
        <f t="shared" si="9"/>
        <v>83</v>
      </c>
      <c r="Z20" s="174">
        <f t="shared" si="10"/>
        <v>0</v>
      </c>
      <c r="AA20" s="174">
        <f t="shared" si="11"/>
        <v>83</v>
      </c>
      <c r="AB20" s="175">
        <f t="shared" si="12"/>
        <v>13.833333333333334</v>
      </c>
      <c r="AC20" s="175">
        <f t="shared" si="13"/>
        <v>0</v>
      </c>
      <c r="AD20" s="175">
        <f t="shared" si="14"/>
        <v>13.833333333333334</v>
      </c>
      <c r="AE20" s="134">
        <v>15</v>
      </c>
      <c r="AF20" s="134">
        <v>0</v>
      </c>
      <c r="AG20" s="158">
        <f t="shared" si="5"/>
        <v>15</v>
      </c>
      <c r="AH20" s="134">
        <v>0</v>
      </c>
      <c r="AI20" s="134">
        <v>0</v>
      </c>
      <c r="AJ20" s="922">
        <f t="shared" si="6"/>
        <v>0</v>
      </c>
      <c r="AK20" s="134">
        <v>25</v>
      </c>
      <c r="AL20" s="134">
        <v>0</v>
      </c>
      <c r="AM20" s="922">
        <f t="shared" si="7"/>
        <v>25</v>
      </c>
      <c r="AN20" s="6">
        <f t="shared" si="15"/>
        <v>123</v>
      </c>
      <c r="AO20" s="6">
        <f t="shared" si="16"/>
        <v>0</v>
      </c>
      <c r="AP20" s="6">
        <f t="shared" si="17"/>
        <v>123</v>
      </c>
      <c r="AQ20" s="955">
        <f t="shared" si="18"/>
        <v>13.666666666666666</v>
      </c>
      <c r="AR20" s="955">
        <f t="shared" si="19"/>
        <v>0</v>
      </c>
      <c r="AS20" s="955">
        <f t="shared" si="20"/>
        <v>13.666666666666666</v>
      </c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</row>
    <row r="21" spans="1:60" ht="15.4">
      <c r="A21" s="136">
        <v>13</v>
      </c>
      <c r="B21" s="123" t="s">
        <v>1114</v>
      </c>
      <c r="C21" s="158" t="s">
        <v>1091</v>
      </c>
      <c r="D21" s="136" t="s">
        <v>1115</v>
      </c>
      <c r="E21" s="159" t="s">
        <v>15</v>
      </c>
      <c r="F21" s="160">
        <v>18</v>
      </c>
      <c r="G21" s="158">
        <v>53</v>
      </c>
      <c r="H21" s="158">
        <v>0</v>
      </c>
      <c r="I21" s="158">
        <f t="shared" si="0"/>
        <v>53</v>
      </c>
      <c r="J21" s="158">
        <v>10</v>
      </c>
      <c r="K21" s="158">
        <v>0</v>
      </c>
      <c r="L21" s="158">
        <f t="shared" si="1"/>
        <v>10</v>
      </c>
      <c r="M21" s="158">
        <v>12</v>
      </c>
      <c r="N21" s="158">
        <v>0</v>
      </c>
      <c r="O21" s="158">
        <f t="shared" si="2"/>
        <v>12</v>
      </c>
      <c r="P21" s="158">
        <v>13</v>
      </c>
      <c r="Q21" s="158">
        <v>0</v>
      </c>
      <c r="R21" s="158">
        <f t="shared" si="8"/>
        <v>13</v>
      </c>
      <c r="S21" s="158">
        <v>0</v>
      </c>
      <c r="T21" s="158">
        <v>0</v>
      </c>
      <c r="U21" s="158">
        <f t="shared" si="3"/>
        <v>0</v>
      </c>
      <c r="V21" s="158">
        <v>0</v>
      </c>
      <c r="W21" s="158">
        <v>0</v>
      </c>
      <c r="X21" s="158">
        <f t="shared" si="4"/>
        <v>0</v>
      </c>
      <c r="Y21" s="174">
        <f t="shared" si="9"/>
        <v>88</v>
      </c>
      <c r="Z21" s="174">
        <f t="shared" si="10"/>
        <v>0</v>
      </c>
      <c r="AA21" s="174">
        <f t="shared" si="11"/>
        <v>88</v>
      </c>
      <c r="AB21" s="175">
        <f t="shared" si="12"/>
        <v>14.666666666666666</v>
      </c>
      <c r="AC21" s="175">
        <f t="shared" si="13"/>
        <v>0</v>
      </c>
      <c r="AD21" s="175">
        <f t="shared" si="14"/>
        <v>14.666666666666666</v>
      </c>
      <c r="AE21" s="134">
        <v>6</v>
      </c>
      <c r="AF21" s="134">
        <v>0</v>
      </c>
      <c r="AG21" s="158">
        <f t="shared" si="5"/>
        <v>6</v>
      </c>
      <c r="AH21" s="134">
        <v>0</v>
      </c>
      <c r="AI21" s="134">
        <v>0</v>
      </c>
      <c r="AJ21" s="922">
        <f t="shared" si="6"/>
        <v>0</v>
      </c>
      <c r="AK21" s="134">
        <v>15</v>
      </c>
      <c r="AL21" s="134">
        <v>0</v>
      </c>
      <c r="AM21" s="922">
        <f t="shared" si="7"/>
        <v>15</v>
      </c>
      <c r="AN21" s="6">
        <f t="shared" si="15"/>
        <v>109</v>
      </c>
      <c r="AO21" s="6">
        <f t="shared" si="16"/>
        <v>0</v>
      </c>
      <c r="AP21" s="6">
        <f t="shared" si="17"/>
        <v>109</v>
      </c>
      <c r="AQ21" s="955">
        <f t="shared" si="18"/>
        <v>12.111111111111111</v>
      </c>
      <c r="AR21" s="955">
        <f t="shared" si="19"/>
        <v>0</v>
      </c>
      <c r="AS21" s="955">
        <f t="shared" si="20"/>
        <v>12.111111111111111</v>
      </c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</row>
    <row r="22" spans="1:60" ht="15.4">
      <c r="A22" s="136">
        <v>14</v>
      </c>
      <c r="B22" s="123" t="s">
        <v>1116</v>
      </c>
      <c r="C22" s="158" t="s">
        <v>1091</v>
      </c>
      <c r="D22" s="136" t="s">
        <v>1117</v>
      </c>
      <c r="E22" s="159" t="s">
        <v>15</v>
      </c>
      <c r="F22" s="160">
        <v>3</v>
      </c>
      <c r="G22" s="158">
        <v>6</v>
      </c>
      <c r="H22" s="158">
        <v>0</v>
      </c>
      <c r="I22" s="158">
        <f t="shared" si="0"/>
        <v>6</v>
      </c>
      <c r="J22" s="158">
        <v>6</v>
      </c>
      <c r="K22" s="158">
        <v>0</v>
      </c>
      <c r="L22" s="158">
        <f t="shared" si="1"/>
        <v>6</v>
      </c>
      <c r="M22" s="158">
        <v>50</v>
      </c>
      <c r="N22" s="158">
        <v>0</v>
      </c>
      <c r="O22" s="158">
        <f t="shared" si="2"/>
        <v>50</v>
      </c>
      <c r="P22" s="158">
        <v>4.5</v>
      </c>
      <c r="Q22" s="158">
        <v>0</v>
      </c>
      <c r="R22" s="158">
        <f t="shared" si="8"/>
        <v>4.5</v>
      </c>
      <c r="S22" s="158">
        <v>3</v>
      </c>
      <c r="T22" s="158">
        <v>0</v>
      </c>
      <c r="U22" s="158">
        <f t="shared" si="3"/>
        <v>3</v>
      </c>
      <c r="V22" s="158">
        <v>149</v>
      </c>
      <c r="W22" s="158">
        <v>0</v>
      </c>
      <c r="X22" s="158">
        <f t="shared" si="4"/>
        <v>149</v>
      </c>
      <c r="Y22" s="174">
        <f t="shared" si="9"/>
        <v>218.5</v>
      </c>
      <c r="Z22" s="174">
        <f t="shared" si="10"/>
        <v>0</v>
      </c>
      <c r="AA22" s="174">
        <f t="shared" si="11"/>
        <v>218.5</v>
      </c>
      <c r="AB22" s="175">
        <f t="shared" si="12"/>
        <v>36.416666666666664</v>
      </c>
      <c r="AC22" s="175">
        <f t="shared" si="13"/>
        <v>0</v>
      </c>
      <c r="AD22" s="175">
        <f t="shared" si="14"/>
        <v>36.416666666666664</v>
      </c>
      <c r="AE22" s="134">
        <v>0</v>
      </c>
      <c r="AF22" s="134">
        <v>0</v>
      </c>
      <c r="AG22" s="158">
        <f t="shared" si="5"/>
        <v>0</v>
      </c>
      <c r="AH22" s="134">
        <v>0</v>
      </c>
      <c r="AI22" s="134">
        <v>0</v>
      </c>
      <c r="AJ22" s="922">
        <f t="shared" si="6"/>
        <v>0</v>
      </c>
      <c r="AK22" s="134">
        <v>10</v>
      </c>
      <c r="AL22" s="134">
        <v>0</v>
      </c>
      <c r="AM22" s="922">
        <f t="shared" si="7"/>
        <v>10</v>
      </c>
      <c r="AN22" s="6">
        <f t="shared" si="15"/>
        <v>228.5</v>
      </c>
      <c r="AO22" s="6">
        <f t="shared" si="16"/>
        <v>0</v>
      </c>
      <c r="AP22" s="6">
        <f t="shared" si="17"/>
        <v>228.5</v>
      </c>
      <c r="AQ22" s="955">
        <f t="shared" si="18"/>
        <v>25.388888888888889</v>
      </c>
      <c r="AR22" s="955">
        <f t="shared" si="19"/>
        <v>0</v>
      </c>
      <c r="AS22" s="955">
        <f t="shared" si="20"/>
        <v>25.388888888888889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</row>
    <row r="23" spans="1:60" ht="15.4">
      <c r="A23" s="136">
        <v>15</v>
      </c>
      <c r="B23" s="125" t="s">
        <v>1118</v>
      </c>
      <c r="C23" s="162" t="s">
        <v>1119</v>
      </c>
      <c r="D23" s="163" t="s">
        <v>1120</v>
      </c>
      <c r="E23" s="164" t="s">
        <v>18</v>
      </c>
      <c r="F23" s="165">
        <v>1448</v>
      </c>
      <c r="G23" s="162">
        <v>0</v>
      </c>
      <c r="H23" s="162">
        <v>0</v>
      </c>
      <c r="I23" s="162">
        <f>H23+G23</f>
        <v>0</v>
      </c>
      <c r="J23" s="162">
        <v>2566</v>
      </c>
      <c r="K23" s="162">
        <v>280</v>
      </c>
      <c r="L23" s="162">
        <f>K23+J23</f>
        <v>2846</v>
      </c>
      <c r="M23" s="162">
        <v>1682</v>
      </c>
      <c r="N23" s="162">
        <v>0</v>
      </c>
      <c r="O23" s="162">
        <f>N23+M23</f>
        <v>1682</v>
      </c>
      <c r="P23" s="162">
        <v>1764</v>
      </c>
      <c r="Q23" s="162">
        <v>148</v>
      </c>
      <c r="R23" s="162">
        <f>Q23+P23</f>
        <v>1912</v>
      </c>
      <c r="S23" s="162">
        <v>950</v>
      </c>
      <c r="T23" s="162">
        <v>108</v>
      </c>
      <c r="U23" s="162">
        <f>T23+S23</f>
        <v>1058</v>
      </c>
      <c r="V23" s="162">
        <v>0</v>
      </c>
      <c r="W23" s="162">
        <v>0</v>
      </c>
      <c r="X23" s="162">
        <f t="shared" si="4"/>
        <v>0</v>
      </c>
      <c r="Y23" s="138">
        <f t="shared" si="9"/>
        <v>6962</v>
      </c>
      <c r="Z23" s="138">
        <f t="shared" si="10"/>
        <v>536</v>
      </c>
      <c r="AA23" s="138">
        <f t="shared" si="11"/>
        <v>7498</v>
      </c>
      <c r="AB23" s="139">
        <f t="shared" si="12"/>
        <v>1160.3333333333333</v>
      </c>
      <c r="AC23" s="139">
        <f t="shared" si="13"/>
        <v>89.333333333333329</v>
      </c>
      <c r="AD23" s="139">
        <f t="shared" si="14"/>
        <v>1249.6666666666667</v>
      </c>
      <c r="AE23" s="138">
        <v>2155</v>
      </c>
      <c r="AF23" s="138">
        <v>144</v>
      </c>
      <c r="AG23" s="162">
        <f t="shared" si="5"/>
        <v>2299</v>
      </c>
      <c r="AH23" s="138">
        <v>0</v>
      </c>
      <c r="AI23" s="138">
        <v>0</v>
      </c>
      <c r="AJ23" s="923">
        <f t="shared" si="6"/>
        <v>0</v>
      </c>
      <c r="AK23" s="138">
        <v>1600</v>
      </c>
      <c r="AL23" s="138">
        <v>256</v>
      </c>
      <c r="AM23" s="923">
        <f t="shared" si="7"/>
        <v>1856</v>
      </c>
      <c r="AN23" s="19">
        <f t="shared" si="15"/>
        <v>10717</v>
      </c>
      <c r="AO23" s="19">
        <f t="shared" si="16"/>
        <v>936</v>
      </c>
      <c r="AP23" s="19">
        <f t="shared" si="17"/>
        <v>11653</v>
      </c>
      <c r="AQ23" s="703">
        <f t="shared" si="18"/>
        <v>1190.7777777777778</v>
      </c>
      <c r="AR23" s="703">
        <f t="shared" si="19"/>
        <v>104</v>
      </c>
      <c r="AS23" s="703">
        <f t="shared" si="20"/>
        <v>1294.7777777777778</v>
      </c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</row>
    <row r="24" spans="1:60" ht="15.4">
      <c r="A24" s="136">
        <v>16</v>
      </c>
      <c r="B24" s="125" t="s">
        <v>1121</v>
      </c>
      <c r="C24" s="162" t="s">
        <v>1064</v>
      </c>
      <c r="D24" s="163" t="s">
        <v>1122</v>
      </c>
      <c r="E24" s="164" t="s">
        <v>18</v>
      </c>
      <c r="F24" s="165">
        <v>146</v>
      </c>
      <c r="G24" s="162">
        <v>390</v>
      </c>
      <c r="H24" s="162">
        <v>0</v>
      </c>
      <c r="I24" s="162">
        <f t="shared" ref="I24:I87" si="21">H24+G24</f>
        <v>390</v>
      </c>
      <c r="J24" s="162">
        <v>870</v>
      </c>
      <c r="K24" s="162">
        <v>36</v>
      </c>
      <c r="L24" s="162">
        <f t="shared" ref="L24:L87" si="22">K24+J24</f>
        <v>906</v>
      </c>
      <c r="M24" s="162">
        <v>0</v>
      </c>
      <c r="N24" s="162">
        <v>0</v>
      </c>
      <c r="O24" s="162">
        <f t="shared" ref="O24:O87" si="23">N24+M24</f>
        <v>0</v>
      </c>
      <c r="P24" s="162">
        <v>351</v>
      </c>
      <c r="Q24" s="162">
        <v>12</v>
      </c>
      <c r="R24" s="162">
        <f t="shared" ref="R24:R87" si="24">Q24+P24</f>
        <v>363</v>
      </c>
      <c r="S24" s="162">
        <v>248</v>
      </c>
      <c r="T24" s="162">
        <v>0</v>
      </c>
      <c r="U24" s="162">
        <f t="shared" ref="U24:U87" si="25">T24+S24</f>
        <v>248</v>
      </c>
      <c r="V24" s="162">
        <v>570</v>
      </c>
      <c r="W24" s="162">
        <v>54</v>
      </c>
      <c r="X24" s="162">
        <f t="shared" si="4"/>
        <v>624</v>
      </c>
      <c r="Y24" s="138">
        <f t="shared" si="9"/>
        <v>2429</v>
      </c>
      <c r="Z24" s="138">
        <f t="shared" si="10"/>
        <v>102</v>
      </c>
      <c r="AA24" s="138">
        <f t="shared" si="11"/>
        <v>2531</v>
      </c>
      <c r="AB24" s="139">
        <f t="shared" si="12"/>
        <v>404.83333333333331</v>
      </c>
      <c r="AC24" s="139">
        <f t="shared" si="13"/>
        <v>17</v>
      </c>
      <c r="AD24" s="139">
        <f t="shared" si="14"/>
        <v>421.83333333333331</v>
      </c>
      <c r="AE24" s="138">
        <v>0</v>
      </c>
      <c r="AF24" s="138">
        <v>0</v>
      </c>
      <c r="AG24" s="162">
        <f t="shared" si="5"/>
        <v>0</v>
      </c>
      <c r="AH24" s="138">
        <v>186</v>
      </c>
      <c r="AI24" s="138">
        <v>0</v>
      </c>
      <c r="AJ24" s="923">
        <f t="shared" si="6"/>
        <v>186</v>
      </c>
      <c r="AK24" s="138">
        <v>380</v>
      </c>
      <c r="AL24" s="138">
        <v>15</v>
      </c>
      <c r="AM24" s="923">
        <f t="shared" si="7"/>
        <v>395</v>
      </c>
      <c r="AN24" s="19">
        <f t="shared" si="15"/>
        <v>2995</v>
      </c>
      <c r="AO24" s="19">
        <f t="shared" si="16"/>
        <v>117</v>
      </c>
      <c r="AP24" s="19">
        <f t="shared" si="17"/>
        <v>3112</v>
      </c>
      <c r="AQ24" s="703">
        <f t="shared" si="18"/>
        <v>332.77777777777777</v>
      </c>
      <c r="AR24" s="703">
        <f t="shared" si="19"/>
        <v>13</v>
      </c>
      <c r="AS24" s="703">
        <f t="shared" si="20"/>
        <v>345.77777777777777</v>
      </c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</row>
    <row r="25" spans="1:60" ht="15.4">
      <c r="A25" s="136">
        <v>17</v>
      </c>
      <c r="B25" s="125" t="s">
        <v>1123</v>
      </c>
      <c r="C25" s="162" t="s">
        <v>1064</v>
      </c>
      <c r="D25" s="163" t="s">
        <v>1124</v>
      </c>
      <c r="E25" s="164" t="s">
        <v>15</v>
      </c>
      <c r="F25" s="165">
        <v>57</v>
      </c>
      <c r="G25" s="162">
        <v>98</v>
      </c>
      <c r="H25" s="162">
        <v>0</v>
      </c>
      <c r="I25" s="162">
        <f t="shared" si="21"/>
        <v>98</v>
      </c>
      <c r="J25" s="162">
        <v>129</v>
      </c>
      <c r="K25" s="162">
        <v>0</v>
      </c>
      <c r="L25" s="162">
        <f t="shared" si="22"/>
        <v>129</v>
      </c>
      <c r="M25" s="162">
        <v>0</v>
      </c>
      <c r="N25" s="162">
        <v>0</v>
      </c>
      <c r="O25" s="162">
        <f t="shared" si="23"/>
        <v>0</v>
      </c>
      <c r="P25" s="162">
        <v>100</v>
      </c>
      <c r="Q25" s="162">
        <v>0</v>
      </c>
      <c r="R25" s="162">
        <f t="shared" si="24"/>
        <v>100</v>
      </c>
      <c r="S25" s="162">
        <v>116</v>
      </c>
      <c r="T25" s="162">
        <v>0</v>
      </c>
      <c r="U25" s="162">
        <f t="shared" si="25"/>
        <v>116</v>
      </c>
      <c r="V25" s="162">
        <v>0</v>
      </c>
      <c r="W25" s="162">
        <v>0</v>
      </c>
      <c r="X25" s="162">
        <f t="shared" si="4"/>
        <v>0</v>
      </c>
      <c r="Y25" s="138">
        <f t="shared" si="9"/>
        <v>443</v>
      </c>
      <c r="Z25" s="138">
        <f t="shared" si="10"/>
        <v>0</v>
      </c>
      <c r="AA25" s="138">
        <f t="shared" si="11"/>
        <v>443</v>
      </c>
      <c r="AB25" s="139">
        <f t="shared" si="12"/>
        <v>73.833333333333329</v>
      </c>
      <c r="AC25" s="139">
        <f t="shared" si="13"/>
        <v>0</v>
      </c>
      <c r="AD25" s="139">
        <f t="shared" si="14"/>
        <v>73.833333333333329</v>
      </c>
      <c r="AE25" s="138">
        <v>76</v>
      </c>
      <c r="AF25" s="138">
        <v>0</v>
      </c>
      <c r="AG25" s="162">
        <f t="shared" si="5"/>
        <v>76</v>
      </c>
      <c r="AH25" s="138">
        <v>58</v>
      </c>
      <c r="AI25" s="138">
        <v>0</v>
      </c>
      <c r="AJ25" s="923">
        <f t="shared" si="6"/>
        <v>58</v>
      </c>
      <c r="AK25" s="138">
        <v>93</v>
      </c>
      <c r="AL25" s="138">
        <v>0</v>
      </c>
      <c r="AM25" s="923">
        <f t="shared" si="7"/>
        <v>93</v>
      </c>
      <c r="AN25" s="19">
        <f t="shared" si="15"/>
        <v>670</v>
      </c>
      <c r="AO25" s="19">
        <f t="shared" si="16"/>
        <v>0</v>
      </c>
      <c r="AP25" s="19">
        <f t="shared" si="17"/>
        <v>670</v>
      </c>
      <c r="AQ25" s="703">
        <f t="shared" si="18"/>
        <v>74.444444444444443</v>
      </c>
      <c r="AR25" s="703">
        <f t="shared" si="19"/>
        <v>0</v>
      </c>
      <c r="AS25" s="703">
        <f t="shared" si="20"/>
        <v>74.444444444444443</v>
      </c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</row>
    <row r="26" spans="1:60" ht="15.4">
      <c r="A26" s="136">
        <v>18</v>
      </c>
      <c r="B26" s="125" t="s">
        <v>1125</v>
      </c>
      <c r="C26" s="162" t="s">
        <v>1119</v>
      </c>
      <c r="D26" s="163" t="s">
        <v>1126</v>
      </c>
      <c r="E26" s="164" t="s">
        <v>15</v>
      </c>
      <c r="F26" s="165">
        <v>130</v>
      </c>
      <c r="G26" s="162">
        <v>0</v>
      </c>
      <c r="H26" s="162">
        <v>0</v>
      </c>
      <c r="I26" s="162">
        <f t="shared" si="21"/>
        <v>0</v>
      </c>
      <c r="J26" s="162">
        <v>118</v>
      </c>
      <c r="K26" s="162">
        <v>0</v>
      </c>
      <c r="L26" s="162">
        <f t="shared" si="22"/>
        <v>118</v>
      </c>
      <c r="M26" s="162">
        <v>0</v>
      </c>
      <c r="N26" s="162">
        <v>0</v>
      </c>
      <c r="O26" s="162">
        <f t="shared" si="23"/>
        <v>0</v>
      </c>
      <c r="P26" s="162">
        <v>0</v>
      </c>
      <c r="Q26" s="162">
        <v>0</v>
      </c>
      <c r="R26" s="162">
        <f t="shared" si="24"/>
        <v>0</v>
      </c>
      <c r="S26" s="162">
        <v>414</v>
      </c>
      <c r="T26" s="162">
        <v>0</v>
      </c>
      <c r="U26" s="162">
        <f t="shared" si="25"/>
        <v>414</v>
      </c>
      <c r="V26" s="162">
        <v>120</v>
      </c>
      <c r="W26" s="162">
        <v>0</v>
      </c>
      <c r="X26" s="162">
        <f t="shared" si="4"/>
        <v>120</v>
      </c>
      <c r="Y26" s="138">
        <f t="shared" si="9"/>
        <v>652</v>
      </c>
      <c r="Z26" s="138">
        <f t="shared" si="10"/>
        <v>0</v>
      </c>
      <c r="AA26" s="138">
        <f t="shared" si="11"/>
        <v>652</v>
      </c>
      <c r="AB26" s="139">
        <f t="shared" si="12"/>
        <v>108.66666666666667</v>
      </c>
      <c r="AC26" s="139">
        <f t="shared" si="13"/>
        <v>0</v>
      </c>
      <c r="AD26" s="139">
        <f t="shared" si="14"/>
        <v>108.66666666666667</v>
      </c>
      <c r="AE26" s="138">
        <v>0</v>
      </c>
      <c r="AF26" s="138">
        <v>0</v>
      </c>
      <c r="AG26" s="162">
        <f t="shared" si="5"/>
        <v>0</v>
      </c>
      <c r="AH26" s="138">
        <v>672</v>
      </c>
      <c r="AI26" s="138">
        <v>0</v>
      </c>
      <c r="AJ26" s="923">
        <f t="shared" si="6"/>
        <v>672</v>
      </c>
      <c r="AK26" s="138">
        <v>0</v>
      </c>
      <c r="AL26" s="138">
        <v>0</v>
      </c>
      <c r="AM26" s="923">
        <f t="shared" si="7"/>
        <v>0</v>
      </c>
      <c r="AN26" s="19">
        <f t="shared" si="15"/>
        <v>1324</v>
      </c>
      <c r="AO26" s="19">
        <f t="shared" si="16"/>
        <v>0</v>
      </c>
      <c r="AP26" s="19">
        <f t="shared" si="17"/>
        <v>1324</v>
      </c>
      <c r="AQ26" s="703">
        <f t="shared" si="18"/>
        <v>147.11111111111111</v>
      </c>
      <c r="AR26" s="703">
        <f t="shared" si="19"/>
        <v>0</v>
      </c>
      <c r="AS26" s="703">
        <f t="shared" si="20"/>
        <v>147.11111111111111</v>
      </c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</row>
    <row r="27" spans="1:60" ht="15.4">
      <c r="A27" s="136">
        <v>19</v>
      </c>
      <c r="B27" s="125" t="s">
        <v>1127</v>
      </c>
      <c r="C27" s="162" t="s">
        <v>960</v>
      </c>
      <c r="D27" s="163" t="s">
        <v>1128</v>
      </c>
      <c r="E27" s="164" t="s">
        <v>18</v>
      </c>
      <c r="F27" s="165">
        <v>615</v>
      </c>
      <c r="G27" s="162">
        <v>386</v>
      </c>
      <c r="H27" s="162">
        <v>60</v>
      </c>
      <c r="I27" s="162">
        <f t="shared" si="21"/>
        <v>446</v>
      </c>
      <c r="J27" s="162">
        <v>0</v>
      </c>
      <c r="K27" s="162">
        <v>0</v>
      </c>
      <c r="L27" s="162">
        <f t="shared" si="22"/>
        <v>0</v>
      </c>
      <c r="M27" s="162">
        <v>114</v>
      </c>
      <c r="N27" s="162">
        <v>0</v>
      </c>
      <c r="O27" s="162">
        <f t="shared" si="23"/>
        <v>114</v>
      </c>
      <c r="P27" s="162">
        <v>0</v>
      </c>
      <c r="Q27" s="162">
        <v>0</v>
      </c>
      <c r="R27" s="162">
        <f t="shared" si="24"/>
        <v>0</v>
      </c>
      <c r="S27" s="162">
        <v>414</v>
      </c>
      <c r="T27" s="162">
        <v>12</v>
      </c>
      <c r="U27" s="162">
        <f t="shared" si="25"/>
        <v>426</v>
      </c>
      <c r="V27" s="162">
        <v>0</v>
      </c>
      <c r="W27" s="162">
        <v>0</v>
      </c>
      <c r="X27" s="162">
        <f t="shared" si="4"/>
        <v>0</v>
      </c>
      <c r="Y27" s="138">
        <f t="shared" si="9"/>
        <v>914</v>
      </c>
      <c r="Z27" s="138">
        <f t="shared" si="10"/>
        <v>72</v>
      </c>
      <c r="AA27" s="138">
        <f t="shared" si="11"/>
        <v>986</v>
      </c>
      <c r="AB27" s="139">
        <f t="shared" si="12"/>
        <v>152.33333333333334</v>
      </c>
      <c r="AC27" s="139">
        <f t="shared" si="13"/>
        <v>12</v>
      </c>
      <c r="AD27" s="139">
        <f t="shared" si="14"/>
        <v>164.33333333333334</v>
      </c>
      <c r="AE27" s="138">
        <v>723</v>
      </c>
      <c r="AF27" s="138">
        <v>138</v>
      </c>
      <c r="AG27" s="162">
        <f t="shared" si="5"/>
        <v>861</v>
      </c>
      <c r="AH27" s="138">
        <v>764</v>
      </c>
      <c r="AI27" s="138">
        <v>188</v>
      </c>
      <c r="AJ27" s="923">
        <f t="shared" si="6"/>
        <v>952</v>
      </c>
      <c r="AK27" s="138">
        <v>600</v>
      </c>
      <c r="AL27" s="138">
        <v>0</v>
      </c>
      <c r="AM27" s="923">
        <f t="shared" si="7"/>
        <v>600</v>
      </c>
      <c r="AN27" s="19">
        <f t="shared" si="15"/>
        <v>3001</v>
      </c>
      <c r="AO27" s="19">
        <f t="shared" si="16"/>
        <v>398</v>
      </c>
      <c r="AP27" s="19">
        <f t="shared" si="17"/>
        <v>3399</v>
      </c>
      <c r="AQ27" s="703">
        <f t="shared" si="18"/>
        <v>333.44444444444446</v>
      </c>
      <c r="AR27" s="703">
        <f t="shared" si="19"/>
        <v>44.222222222222221</v>
      </c>
      <c r="AS27" s="703">
        <f t="shared" si="20"/>
        <v>377.66666666666669</v>
      </c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</row>
    <row r="28" spans="1:60" ht="15.75">
      <c r="A28" s="136">
        <v>20</v>
      </c>
      <c r="B28" s="161" t="s">
        <v>920</v>
      </c>
      <c r="C28" s="158" t="s">
        <v>1129</v>
      </c>
      <c r="D28" s="136" t="s">
        <v>1130</v>
      </c>
      <c r="E28" s="159" t="s">
        <v>15</v>
      </c>
      <c r="F28" s="160">
        <v>16</v>
      </c>
      <c r="G28" s="172">
        <v>158</v>
      </c>
      <c r="H28" s="158">
        <v>0</v>
      </c>
      <c r="I28" s="158">
        <f t="shared" si="21"/>
        <v>158</v>
      </c>
      <c r="J28" s="136">
        <v>5</v>
      </c>
      <c r="K28" s="158">
        <v>0</v>
      </c>
      <c r="L28" s="158">
        <f t="shared" si="22"/>
        <v>5</v>
      </c>
      <c r="M28" s="132">
        <v>15</v>
      </c>
      <c r="N28" s="158">
        <v>0</v>
      </c>
      <c r="O28" s="158">
        <f t="shared" si="23"/>
        <v>15</v>
      </c>
      <c r="P28" s="158">
        <v>18</v>
      </c>
      <c r="Q28" s="158">
        <v>0</v>
      </c>
      <c r="R28" s="158">
        <f t="shared" si="24"/>
        <v>18</v>
      </c>
      <c r="S28" s="158">
        <v>0</v>
      </c>
      <c r="T28" s="158">
        <v>0</v>
      </c>
      <c r="U28" s="158">
        <f t="shared" si="25"/>
        <v>0</v>
      </c>
      <c r="V28" s="158">
        <v>190</v>
      </c>
      <c r="W28" s="158">
        <v>0</v>
      </c>
      <c r="X28" s="158">
        <f t="shared" si="4"/>
        <v>190</v>
      </c>
      <c r="Y28" s="174">
        <f t="shared" si="9"/>
        <v>386</v>
      </c>
      <c r="Z28" s="174">
        <f t="shared" si="10"/>
        <v>0</v>
      </c>
      <c r="AA28" s="174">
        <f t="shared" si="11"/>
        <v>386</v>
      </c>
      <c r="AB28" s="175">
        <f t="shared" si="12"/>
        <v>64.333333333333329</v>
      </c>
      <c r="AC28" s="175">
        <f t="shared" si="13"/>
        <v>0</v>
      </c>
      <c r="AD28" s="175">
        <f t="shared" si="14"/>
        <v>64.333333333333329</v>
      </c>
      <c r="AE28" s="912">
        <v>0</v>
      </c>
      <c r="AF28" s="134">
        <v>0</v>
      </c>
      <c r="AG28" s="158">
        <f t="shared" si="5"/>
        <v>0</v>
      </c>
      <c r="AH28" s="134">
        <v>100</v>
      </c>
      <c r="AI28" s="134">
        <v>0</v>
      </c>
      <c r="AJ28" s="922">
        <f t="shared" si="6"/>
        <v>100</v>
      </c>
      <c r="AK28" s="921">
        <v>0</v>
      </c>
      <c r="AL28" s="134">
        <v>0</v>
      </c>
      <c r="AM28" s="922">
        <f t="shared" si="7"/>
        <v>0</v>
      </c>
      <c r="AN28" s="6">
        <f t="shared" si="15"/>
        <v>486</v>
      </c>
      <c r="AO28" s="6">
        <f t="shared" si="16"/>
        <v>0</v>
      </c>
      <c r="AP28" s="6">
        <f t="shared" si="17"/>
        <v>486</v>
      </c>
      <c r="AQ28" s="955">
        <f t="shared" si="18"/>
        <v>54</v>
      </c>
      <c r="AR28" s="955">
        <f t="shared" si="19"/>
        <v>0</v>
      </c>
      <c r="AS28" s="955">
        <f t="shared" si="20"/>
        <v>54</v>
      </c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</row>
    <row r="29" spans="1:60" ht="15.75">
      <c r="A29" s="136">
        <v>21</v>
      </c>
      <c r="B29" s="123" t="s">
        <v>1131</v>
      </c>
      <c r="C29" s="158" t="s">
        <v>1129</v>
      </c>
      <c r="D29" s="136" t="s">
        <v>1132</v>
      </c>
      <c r="E29" s="159" t="s">
        <v>18</v>
      </c>
      <c r="F29" s="160">
        <v>20</v>
      </c>
      <c r="G29" s="172">
        <v>20</v>
      </c>
      <c r="H29" s="158">
        <v>0</v>
      </c>
      <c r="I29" s="158">
        <f t="shared" si="21"/>
        <v>20</v>
      </c>
      <c r="J29" s="136">
        <v>150</v>
      </c>
      <c r="K29" s="158">
        <v>0</v>
      </c>
      <c r="L29" s="158">
        <f t="shared" si="22"/>
        <v>150</v>
      </c>
      <c r="M29" s="132">
        <v>560</v>
      </c>
      <c r="N29" s="158">
        <v>0</v>
      </c>
      <c r="O29" s="158">
        <f t="shared" si="23"/>
        <v>560</v>
      </c>
      <c r="P29" s="158">
        <v>25</v>
      </c>
      <c r="Q29" s="158">
        <v>0</v>
      </c>
      <c r="R29" s="158">
        <f t="shared" si="24"/>
        <v>25</v>
      </c>
      <c r="S29" s="158">
        <v>0</v>
      </c>
      <c r="T29" s="158">
        <v>0</v>
      </c>
      <c r="U29" s="158">
        <f t="shared" si="25"/>
        <v>0</v>
      </c>
      <c r="V29" s="158">
        <v>61</v>
      </c>
      <c r="W29" s="158">
        <v>25</v>
      </c>
      <c r="X29" s="158">
        <f t="shared" si="4"/>
        <v>86</v>
      </c>
      <c r="Y29" s="174">
        <f t="shared" si="9"/>
        <v>816</v>
      </c>
      <c r="Z29" s="174">
        <f t="shared" si="10"/>
        <v>25</v>
      </c>
      <c r="AA29" s="174">
        <f t="shared" si="11"/>
        <v>841</v>
      </c>
      <c r="AB29" s="175">
        <f t="shared" si="12"/>
        <v>136</v>
      </c>
      <c r="AC29" s="175">
        <f t="shared" si="13"/>
        <v>4.166666666666667</v>
      </c>
      <c r="AD29" s="175">
        <f t="shared" si="14"/>
        <v>140.16666666666666</v>
      </c>
      <c r="AE29" s="912">
        <v>25</v>
      </c>
      <c r="AF29" s="134">
        <v>0</v>
      </c>
      <c r="AG29" s="158">
        <f t="shared" si="5"/>
        <v>25</v>
      </c>
      <c r="AH29" s="134">
        <v>0</v>
      </c>
      <c r="AI29" s="134">
        <v>0</v>
      </c>
      <c r="AJ29" s="922">
        <f t="shared" si="6"/>
        <v>0</v>
      </c>
      <c r="AK29" s="921">
        <v>0</v>
      </c>
      <c r="AL29" s="134">
        <v>0</v>
      </c>
      <c r="AM29" s="922">
        <f t="shared" si="7"/>
        <v>0</v>
      </c>
      <c r="AN29" s="6">
        <f t="shared" si="15"/>
        <v>841</v>
      </c>
      <c r="AO29" s="6">
        <f t="shared" si="16"/>
        <v>25</v>
      </c>
      <c r="AP29" s="6">
        <f t="shared" si="17"/>
        <v>866</v>
      </c>
      <c r="AQ29" s="955">
        <f t="shared" si="18"/>
        <v>93.444444444444443</v>
      </c>
      <c r="AR29" s="955">
        <f t="shared" si="19"/>
        <v>2.7777777777777777</v>
      </c>
      <c r="AS29" s="955">
        <f t="shared" si="20"/>
        <v>96.222222222222229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</row>
    <row r="30" spans="1:60" ht="15.75">
      <c r="A30" s="136">
        <v>22</v>
      </c>
      <c r="B30" s="161" t="s">
        <v>1133</v>
      </c>
      <c r="C30" s="158" t="s">
        <v>1129</v>
      </c>
      <c r="D30" s="136" t="s">
        <v>1134</v>
      </c>
      <c r="E30" s="159" t="s">
        <v>15</v>
      </c>
      <c r="F30" s="160">
        <v>10</v>
      </c>
      <c r="G30" s="172">
        <v>10</v>
      </c>
      <c r="H30" s="158">
        <v>0</v>
      </c>
      <c r="I30" s="158">
        <f t="shared" si="21"/>
        <v>10</v>
      </c>
      <c r="J30" s="136">
        <v>0</v>
      </c>
      <c r="K30" s="158">
        <v>0</v>
      </c>
      <c r="L30" s="158">
        <f t="shared" si="22"/>
        <v>0</v>
      </c>
      <c r="M30" s="132">
        <v>6</v>
      </c>
      <c r="N30" s="158">
        <v>0</v>
      </c>
      <c r="O30" s="158">
        <f t="shared" si="23"/>
        <v>6</v>
      </c>
      <c r="P30" s="158">
        <v>0</v>
      </c>
      <c r="Q30" s="158">
        <v>0</v>
      </c>
      <c r="R30" s="158">
        <f t="shared" si="24"/>
        <v>0</v>
      </c>
      <c r="S30" s="158">
        <v>0</v>
      </c>
      <c r="T30" s="158">
        <v>0</v>
      </c>
      <c r="U30" s="158">
        <f t="shared" si="25"/>
        <v>0</v>
      </c>
      <c r="V30" s="158">
        <v>86</v>
      </c>
      <c r="W30" s="158">
        <v>0</v>
      </c>
      <c r="X30" s="158">
        <f t="shared" si="4"/>
        <v>86</v>
      </c>
      <c r="Y30" s="174">
        <f t="shared" si="9"/>
        <v>102</v>
      </c>
      <c r="Z30" s="174">
        <f t="shared" si="10"/>
        <v>0</v>
      </c>
      <c r="AA30" s="174">
        <f t="shared" si="11"/>
        <v>102</v>
      </c>
      <c r="AB30" s="175">
        <f t="shared" si="12"/>
        <v>17</v>
      </c>
      <c r="AC30" s="175">
        <f t="shared" si="13"/>
        <v>0</v>
      </c>
      <c r="AD30" s="175">
        <f t="shared" si="14"/>
        <v>17</v>
      </c>
      <c r="AE30" s="912">
        <v>0</v>
      </c>
      <c r="AF30" s="134">
        <v>0</v>
      </c>
      <c r="AG30" s="158">
        <f t="shared" si="5"/>
        <v>0</v>
      </c>
      <c r="AH30" s="134">
        <v>62</v>
      </c>
      <c r="AI30" s="134">
        <v>0</v>
      </c>
      <c r="AJ30" s="922">
        <f t="shared" si="6"/>
        <v>62</v>
      </c>
      <c r="AK30" s="921">
        <v>6</v>
      </c>
      <c r="AL30" s="134">
        <v>0</v>
      </c>
      <c r="AM30" s="922">
        <f t="shared" si="7"/>
        <v>6</v>
      </c>
      <c r="AN30" s="6">
        <f t="shared" si="15"/>
        <v>170</v>
      </c>
      <c r="AO30" s="6">
        <f t="shared" si="16"/>
        <v>0</v>
      </c>
      <c r="AP30" s="6">
        <f t="shared" si="17"/>
        <v>170</v>
      </c>
      <c r="AQ30" s="955">
        <f t="shared" si="18"/>
        <v>18.888888888888889</v>
      </c>
      <c r="AR30" s="955">
        <f t="shared" si="19"/>
        <v>0</v>
      </c>
      <c r="AS30" s="955">
        <f t="shared" si="20"/>
        <v>18.888888888888889</v>
      </c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</row>
    <row r="31" spans="1:60" ht="15.75">
      <c r="A31" s="136">
        <v>23</v>
      </c>
      <c r="B31" s="118" t="s">
        <v>994</v>
      </c>
      <c r="C31" s="158" t="s">
        <v>1129</v>
      </c>
      <c r="D31" s="136" t="s">
        <v>1135</v>
      </c>
      <c r="E31" s="159" t="s">
        <v>15</v>
      </c>
      <c r="F31" s="160">
        <v>6</v>
      </c>
      <c r="G31" s="172">
        <v>6</v>
      </c>
      <c r="H31" s="158">
        <v>0</v>
      </c>
      <c r="I31" s="158">
        <f t="shared" si="21"/>
        <v>6</v>
      </c>
      <c r="J31" s="136">
        <v>10</v>
      </c>
      <c r="K31" s="158">
        <v>0</v>
      </c>
      <c r="L31" s="158">
        <f t="shared" si="22"/>
        <v>10</v>
      </c>
      <c r="M31" s="132">
        <v>0</v>
      </c>
      <c r="N31" s="158">
        <v>0</v>
      </c>
      <c r="O31" s="158">
        <f t="shared" si="23"/>
        <v>0</v>
      </c>
      <c r="P31" s="158">
        <v>40</v>
      </c>
      <c r="Q31" s="158">
        <v>0</v>
      </c>
      <c r="R31" s="158">
        <f t="shared" si="24"/>
        <v>40</v>
      </c>
      <c r="S31" s="158">
        <v>5</v>
      </c>
      <c r="T31" s="158">
        <v>0</v>
      </c>
      <c r="U31" s="158">
        <f t="shared" si="25"/>
        <v>5</v>
      </c>
      <c r="V31" s="158">
        <v>55</v>
      </c>
      <c r="W31" s="158">
        <v>0</v>
      </c>
      <c r="X31" s="158">
        <f t="shared" si="4"/>
        <v>55</v>
      </c>
      <c r="Y31" s="174">
        <f t="shared" si="9"/>
        <v>116</v>
      </c>
      <c r="Z31" s="174">
        <f t="shared" si="10"/>
        <v>0</v>
      </c>
      <c r="AA31" s="174">
        <f t="shared" si="11"/>
        <v>116</v>
      </c>
      <c r="AB31" s="175">
        <f t="shared" si="12"/>
        <v>19.333333333333332</v>
      </c>
      <c r="AC31" s="175">
        <f t="shared" si="13"/>
        <v>0</v>
      </c>
      <c r="AD31" s="175">
        <f t="shared" si="14"/>
        <v>19.333333333333332</v>
      </c>
      <c r="AE31" s="912">
        <v>10</v>
      </c>
      <c r="AF31" s="134">
        <v>0</v>
      </c>
      <c r="AG31" s="158">
        <f t="shared" si="5"/>
        <v>10</v>
      </c>
      <c r="AH31" s="134">
        <v>0</v>
      </c>
      <c r="AI31" s="134">
        <v>0</v>
      </c>
      <c r="AJ31" s="922">
        <f t="shared" si="6"/>
        <v>0</v>
      </c>
      <c r="AK31" s="921">
        <v>0</v>
      </c>
      <c r="AL31" s="134">
        <v>0</v>
      </c>
      <c r="AM31" s="922">
        <f t="shared" si="7"/>
        <v>0</v>
      </c>
      <c r="AN31" s="6">
        <f t="shared" si="15"/>
        <v>126</v>
      </c>
      <c r="AO31" s="6">
        <f t="shared" si="16"/>
        <v>0</v>
      </c>
      <c r="AP31" s="6">
        <f t="shared" si="17"/>
        <v>126</v>
      </c>
      <c r="AQ31" s="955">
        <f t="shared" si="18"/>
        <v>14</v>
      </c>
      <c r="AR31" s="955">
        <f t="shared" si="19"/>
        <v>0</v>
      </c>
      <c r="AS31" s="955">
        <f t="shared" si="20"/>
        <v>14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</row>
    <row r="32" spans="1:60" ht="15.75">
      <c r="A32" s="136">
        <v>24</v>
      </c>
      <c r="B32" s="123" t="s">
        <v>1136</v>
      </c>
      <c r="C32" s="158" t="s">
        <v>1129</v>
      </c>
      <c r="D32" s="136" t="s">
        <v>1137</v>
      </c>
      <c r="E32" s="159" t="s">
        <v>15</v>
      </c>
      <c r="F32" s="160">
        <v>18</v>
      </c>
      <c r="G32" s="172">
        <v>180</v>
      </c>
      <c r="H32" s="158">
        <v>0</v>
      </c>
      <c r="I32" s="158">
        <f t="shared" si="21"/>
        <v>180</v>
      </c>
      <c r="J32" s="136">
        <v>0</v>
      </c>
      <c r="K32" s="158">
        <v>0</v>
      </c>
      <c r="L32" s="158">
        <f t="shared" si="22"/>
        <v>0</v>
      </c>
      <c r="M32" s="132">
        <v>50</v>
      </c>
      <c r="N32" s="158">
        <v>0</v>
      </c>
      <c r="O32" s="158">
        <f t="shared" si="23"/>
        <v>50</v>
      </c>
      <c r="P32" s="158">
        <v>10</v>
      </c>
      <c r="Q32" s="158">
        <v>0</v>
      </c>
      <c r="R32" s="158">
        <f t="shared" si="24"/>
        <v>10</v>
      </c>
      <c r="S32" s="158">
        <v>12</v>
      </c>
      <c r="T32" s="158">
        <v>0</v>
      </c>
      <c r="U32" s="158">
        <f t="shared" si="25"/>
        <v>12</v>
      </c>
      <c r="V32" s="158">
        <v>65</v>
      </c>
      <c r="W32" s="158">
        <v>0</v>
      </c>
      <c r="X32" s="158">
        <f t="shared" si="4"/>
        <v>65</v>
      </c>
      <c r="Y32" s="174">
        <f t="shared" si="9"/>
        <v>317</v>
      </c>
      <c r="Z32" s="174">
        <f t="shared" si="10"/>
        <v>0</v>
      </c>
      <c r="AA32" s="174">
        <f t="shared" si="11"/>
        <v>317</v>
      </c>
      <c r="AB32" s="175">
        <f t="shared" si="12"/>
        <v>52.833333333333336</v>
      </c>
      <c r="AC32" s="175">
        <f t="shared" si="13"/>
        <v>0</v>
      </c>
      <c r="AD32" s="175">
        <f t="shared" si="14"/>
        <v>52.833333333333336</v>
      </c>
      <c r="AE32" s="912">
        <v>20</v>
      </c>
      <c r="AF32" s="134">
        <v>0</v>
      </c>
      <c r="AG32" s="158">
        <f t="shared" si="5"/>
        <v>20</v>
      </c>
      <c r="AH32" s="134">
        <v>0</v>
      </c>
      <c r="AI32" s="134">
        <v>0</v>
      </c>
      <c r="AJ32" s="922">
        <f t="shared" si="6"/>
        <v>0</v>
      </c>
      <c r="AK32" s="921">
        <v>0</v>
      </c>
      <c r="AL32" s="134">
        <v>0</v>
      </c>
      <c r="AM32" s="922">
        <f t="shared" si="7"/>
        <v>0</v>
      </c>
      <c r="AN32" s="6">
        <f t="shared" si="15"/>
        <v>337</v>
      </c>
      <c r="AO32" s="6">
        <f t="shared" si="16"/>
        <v>0</v>
      </c>
      <c r="AP32" s="6">
        <f t="shared" si="17"/>
        <v>337</v>
      </c>
      <c r="AQ32" s="955">
        <f t="shared" si="18"/>
        <v>37.444444444444443</v>
      </c>
      <c r="AR32" s="955">
        <f t="shared" si="19"/>
        <v>0</v>
      </c>
      <c r="AS32" s="955">
        <f t="shared" si="20"/>
        <v>37.444444444444443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</row>
    <row r="33" spans="1:60" ht="15.75">
      <c r="A33" s="136">
        <v>25</v>
      </c>
      <c r="B33" s="166" t="s">
        <v>1138</v>
      </c>
      <c r="C33" s="158" t="s">
        <v>1129</v>
      </c>
      <c r="D33" s="136" t="s">
        <v>1139</v>
      </c>
      <c r="E33" s="159" t="s">
        <v>15</v>
      </c>
      <c r="F33" s="160">
        <v>3</v>
      </c>
      <c r="G33" s="172">
        <v>3</v>
      </c>
      <c r="H33" s="158">
        <v>0</v>
      </c>
      <c r="I33" s="158">
        <f t="shared" si="21"/>
        <v>3</v>
      </c>
      <c r="J33" s="136">
        <v>0</v>
      </c>
      <c r="K33" s="158">
        <v>0</v>
      </c>
      <c r="L33" s="158">
        <f t="shared" si="22"/>
        <v>0</v>
      </c>
      <c r="M33" s="132">
        <v>26</v>
      </c>
      <c r="N33" s="158">
        <v>0</v>
      </c>
      <c r="O33" s="158">
        <f t="shared" si="23"/>
        <v>26</v>
      </c>
      <c r="P33" s="158">
        <v>25</v>
      </c>
      <c r="Q33" s="158">
        <v>0</v>
      </c>
      <c r="R33" s="158">
        <f t="shared" si="24"/>
        <v>25</v>
      </c>
      <c r="S33" s="158">
        <v>13</v>
      </c>
      <c r="T33" s="158">
        <v>0</v>
      </c>
      <c r="U33" s="158">
        <f t="shared" si="25"/>
        <v>13</v>
      </c>
      <c r="V33" s="158">
        <v>85</v>
      </c>
      <c r="W33" s="158">
        <v>0</v>
      </c>
      <c r="X33" s="158">
        <f t="shared" si="4"/>
        <v>85</v>
      </c>
      <c r="Y33" s="174">
        <f t="shared" si="9"/>
        <v>152</v>
      </c>
      <c r="Z33" s="174">
        <f t="shared" si="10"/>
        <v>0</v>
      </c>
      <c r="AA33" s="174">
        <f t="shared" si="11"/>
        <v>152</v>
      </c>
      <c r="AB33" s="175">
        <f t="shared" si="12"/>
        <v>25.333333333333332</v>
      </c>
      <c r="AC33" s="175">
        <f t="shared" si="13"/>
        <v>0</v>
      </c>
      <c r="AD33" s="175">
        <f t="shared" si="14"/>
        <v>25.333333333333332</v>
      </c>
      <c r="AE33" s="912">
        <v>12</v>
      </c>
      <c r="AF33" s="134">
        <v>0</v>
      </c>
      <c r="AG33" s="158">
        <f t="shared" si="5"/>
        <v>12</v>
      </c>
      <c r="AH33" s="134">
        <v>0</v>
      </c>
      <c r="AI33" s="134">
        <v>0</v>
      </c>
      <c r="AJ33" s="922">
        <f t="shared" si="6"/>
        <v>0</v>
      </c>
      <c r="AK33" s="921">
        <v>0</v>
      </c>
      <c r="AL33" s="134">
        <v>0</v>
      </c>
      <c r="AM33" s="922">
        <f t="shared" si="7"/>
        <v>0</v>
      </c>
      <c r="AN33" s="6">
        <f t="shared" si="15"/>
        <v>164</v>
      </c>
      <c r="AO33" s="6">
        <f t="shared" si="16"/>
        <v>0</v>
      </c>
      <c r="AP33" s="6">
        <f t="shared" si="17"/>
        <v>164</v>
      </c>
      <c r="AQ33" s="955">
        <f t="shared" si="18"/>
        <v>18.222222222222221</v>
      </c>
      <c r="AR33" s="955">
        <f t="shared" si="19"/>
        <v>0</v>
      </c>
      <c r="AS33" s="955">
        <f t="shared" si="20"/>
        <v>18.222222222222221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</row>
    <row r="34" spans="1:60" ht="15.75">
      <c r="A34" s="136">
        <v>26</v>
      </c>
      <c r="B34" s="166" t="s">
        <v>1140</v>
      </c>
      <c r="C34" s="158" t="s">
        <v>1129</v>
      </c>
      <c r="D34" s="136" t="s">
        <v>1141</v>
      </c>
      <c r="E34" s="159" t="s">
        <v>15</v>
      </c>
      <c r="F34" s="160">
        <v>20</v>
      </c>
      <c r="G34" s="172">
        <v>20</v>
      </c>
      <c r="H34" s="158">
        <v>0</v>
      </c>
      <c r="I34" s="158">
        <f t="shared" si="21"/>
        <v>20</v>
      </c>
      <c r="J34" s="136">
        <v>10</v>
      </c>
      <c r="K34" s="158">
        <v>0</v>
      </c>
      <c r="L34" s="158">
        <f t="shared" si="22"/>
        <v>10</v>
      </c>
      <c r="M34" s="132">
        <v>3</v>
      </c>
      <c r="N34" s="158">
        <v>0</v>
      </c>
      <c r="O34" s="158">
        <f t="shared" si="23"/>
        <v>3</v>
      </c>
      <c r="P34" s="158">
        <v>6</v>
      </c>
      <c r="Q34" s="158">
        <v>0</v>
      </c>
      <c r="R34" s="158">
        <f t="shared" si="24"/>
        <v>6</v>
      </c>
      <c r="S34" s="158">
        <v>10</v>
      </c>
      <c r="T34" s="158">
        <v>0</v>
      </c>
      <c r="U34" s="158">
        <f t="shared" si="25"/>
        <v>10</v>
      </c>
      <c r="V34" s="158">
        <v>56</v>
      </c>
      <c r="W34" s="158">
        <v>0</v>
      </c>
      <c r="X34" s="158">
        <f t="shared" si="4"/>
        <v>56</v>
      </c>
      <c r="Y34" s="174">
        <f t="shared" si="9"/>
        <v>105</v>
      </c>
      <c r="Z34" s="174">
        <f t="shared" si="10"/>
        <v>0</v>
      </c>
      <c r="AA34" s="174">
        <f t="shared" si="11"/>
        <v>105</v>
      </c>
      <c r="AB34" s="175">
        <f t="shared" si="12"/>
        <v>17.5</v>
      </c>
      <c r="AC34" s="175">
        <f t="shared" si="13"/>
        <v>0</v>
      </c>
      <c r="AD34" s="175">
        <f t="shared" si="14"/>
        <v>17.5</v>
      </c>
      <c r="AE34" s="912">
        <v>10</v>
      </c>
      <c r="AF34" s="134">
        <v>0</v>
      </c>
      <c r="AG34" s="158">
        <f t="shared" si="5"/>
        <v>10</v>
      </c>
      <c r="AH34" s="134">
        <v>0</v>
      </c>
      <c r="AI34" s="134">
        <v>0</v>
      </c>
      <c r="AJ34" s="922">
        <f t="shared" si="6"/>
        <v>0</v>
      </c>
      <c r="AK34" s="921">
        <v>0</v>
      </c>
      <c r="AL34" s="134">
        <v>0</v>
      </c>
      <c r="AM34" s="922">
        <f t="shared" si="7"/>
        <v>0</v>
      </c>
      <c r="AN34" s="6">
        <f t="shared" si="15"/>
        <v>115</v>
      </c>
      <c r="AO34" s="6">
        <f t="shared" si="16"/>
        <v>0</v>
      </c>
      <c r="AP34" s="6">
        <f t="shared" si="17"/>
        <v>115</v>
      </c>
      <c r="AQ34" s="955">
        <f t="shared" si="18"/>
        <v>12.777777777777779</v>
      </c>
      <c r="AR34" s="955">
        <f t="shared" si="19"/>
        <v>0</v>
      </c>
      <c r="AS34" s="955">
        <f t="shared" si="20"/>
        <v>12.777777777777779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</row>
    <row r="35" spans="1:60" ht="15.75">
      <c r="A35" s="136">
        <v>27</v>
      </c>
      <c r="B35" s="166" t="s">
        <v>1142</v>
      </c>
      <c r="C35" s="158" t="s">
        <v>1129</v>
      </c>
      <c r="D35" s="136" t="s">
        <v>1143</v>
      </c>
      <c r="E35" s="159" t="s">
        <v>15</v>
      </c>
      <c r="F35" s="160">
        <v>11</v>
      </c>
      <c r="G35" s="172">
        <v>11</v>
      </c>
      <c r="H35" s="158">
        <v>0</v>
      </c>
      <c r="I35" s="158">
        <f t="shared" si="21"/>
        <v>11</v>
      </c>
      <c r="J35" s="136">
        <v>0</v>
      </c>
      <c r="K35" s="158">
        <v>0</v>
      </c>
      <c r="L35" s="158">
        <f t="shared" si="22"/>
        <v>0</v>
      </c>
      <c r="M35" s="132">
        <v>30</v>
      </c>
      <c r="N35" s="158">
        <v>0</v>
      </c>
      <c r="O35" s="158">
        <f t="shared" si="23"/>
        <v>30</v>
      </c>
      <c r="P35" s="158">
        <v>15</v>
      </c>
      <c r="Q35" s="158">
        <v>0</v>
      </c>
      <c r="R35" s="158">
        <f t="shared" si="24"/>
        <v>15</v>
      </c>
      <c r="S35" s="158">
        <v>10</v>
      </c>
      <c r="T35" s="158">
        <v>0</v>
      </c>
      <c r="U35" s="158">
        <f t="shared" si="25"/>
        <v>10</v>
      </c>
      <c r="V35" s="158">
        <v>80</v>
      </c>
      <c r="W35" s="158">
        <v>0</v>
      </c>
      <c r="X35" s="158">
        <f t="shared" si="4"/>
        <v>80</v>
      </c>
      <c r="Y35" s="174">
        <f t="shared" si="9"/>
        <v>146</v>
      </c>
      <c r="Z35" s="174">
        <f t="shared" si="10"/>
        <v>0</v>
      </c>
      <c r="AA35" s="174">
        <f t="shared" si="11"/>
        <v>146</v>
      </c>
      <c r="AB35" s="175">
        <f t="shared" si="12"/>
        <v>24.333333333333332</v>
      </c>
      <c r="AC35" s="175">
        <f t="shared" si="13"/>
        <v>0</v>
      </c>
      <c r="AD35" s="175">
        <f t="shared" si="14"/>
        <v>24.333333333333332</v>
      </c>
      <c r="AE35" s="912">
        <v>0</v>
      </c>
      <c r="AF35" s="134">
        <v>0</v>
      </c>
      <c r="AG35" s="158">
        <f t="shared" si="5"/>
        <v>0</v>
      </c>
      <c r="AH35" s="134">
        <v>25</v>
      </c>
      <c r="AI35" s="134">
        <v>0</v>
      </c>
      <c r="AJ35" s="922">
        <f t="shared" si="6"/>
        <v>25</v>
      </c>
      <c r="AK35" s="921">
        <v>0</v>
      </c>
      <c r="AL35" s="134">
        <v>0</v>
      </c>
      <c r="AM35" s="922">
        <f t="shared" si="7"/>
        <v>0</v>
      </c>
      <c r="AN35" s="6">
        <f t="shared" si="15"/>
        <v>171</v>
      </c>
      <c r="AO35" s="6">
        <f t="shared" si="16"/>
        <v>0</v>
      </c>
      <c r="AP35" s="6">
        <f t="shared" si="17"/>
        <v>171</v>
      </c>
      <c r="AQ35" s="955">
        <f t="shared" si="18"/>
        <v>19</v>
      </c>
      <c r="AR35" s="955">
        <f t="shared" si="19"/>
        <v>0</v>
      </c>
      <c r="AS35" s="955">
        <f t="shared" si="20"/>
        <v>19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</row>
    <row r="36" spans="1:60" ht="15.75">
      <c r="A36" s="136">
        <v>28</v>
      </c>
      <c r="B36" s="161" t="s">
        <v>943</v>
      </c>
      <c r="C36" s="158" t="s">
        <v>1129</v>
      </c>
      <c r="D36" s="136" t="s">
        <v>1144</v>
      </c>
      <c r="E36" s="159" t="s">
        <v>18</v>
      </c>
      <c r="F36" s="160">
        <v>9</v>
      </c>
      <c r="G36" s="172">
        <v>9</v>
      </c>
      <c r="H36" s="158">
        <v>0</v>
      </c>
      <c r="I36" s="158">
        <f t="shared" si="21"/>
        <v>9</v>
      </c>
      <c r="J36" s="136">
        <v>0</v>
      </c>
      <c r="K36" s="158">
        <v>0</v>
      </c>
      <c r="L36" s="158">
        <f t="shared" si="22"/>
        <v>0</v>
      </c>
      <c r="M36" s="132">
        <v>25</v>
      </c>
      <c r="N36" s="158">
        <v>0</v>
      </c>
      <c r="O36" s="158">
        <f t="shared" si="23"/>
        <v>25</v>
      </c>
      <c r="P36" s="158">
        <v>12</v>
      </c>
      <c r="Q36" s="158">
        <v>0</v>
      </c>
      <c r="R36" s="158">
        <f t="shared" si="24"/>
        <v>12</v>
      </c>
      <c r="S36" s="158">
        <v>15</v>
      </c>
      <c r="T36" s="158">
        <v>0</v>
      </c>
      <c r="U36" s="158">
        <f t="shared" si="25"/>
        <v>15</v>
      </c>
      <c r="V36" s="158">
        <v>54</v>
      </c>
      <c r="W36" s="158">
        <v>0</v>
      </c>
      <c r="X36" s="158">
        <f t="shared" si="4"/>
        <v>54</v>
      </c>
      <c r="Y36" s="174">
        <f t="shared" si="9"/>
        <v>115</v>
      </c>
      <c r="Z36" s="174">
        <f t="shared" si="10"/>
        <v>0</v>
      </c>
      <c r="AA36" s="174">
        <f t="shared" si="11"/>
        <v>115</v>
      </c>
      <c r="AB36" s="175">
        <f t="shared" si="12"/>
        <v>19.166666666666668</v>
      </c>
      <c r="AC36" s="175">
        <f t="shared" si="13"/>
        <v>0</v>
      </c>
      <c r="AD36" s="175">
        <f t="shared" si="14"/>
        <v>19.166666666666668</v>
      </c>
      <c r="AE36" s="912">
        <v>0</v>
      </c>
      <c r="AF36" s="134">
        <v>0</v>
      </c>
      <c r="AG36" s="158">
        <f t="shared" si="5"/>
        <v>0</v>
      </c>
      <c r="AH36" s="134">
        <v>15</v>
      </c>
      <c r="AI36" s="134">
        <v>0</v>
      </c>
      <c r="AJ36" s="922">
        <f t="shared" si="6"/>
        <v>15</v>
      </c>
      <c r="AK36" s="921">
        <v>5</v>
      </c>
      <c r="AL36" s="134">
        <v>0</v>
      </c>
      <c r="AM36" s="922">
        <f t="shared" si="7"/>
        <v>5</v>
      </c>
      <c r="AN36" s="6">
        <f t="shared" si="15"/>
        <v>135</v>
      </c>
      <c r="AO36" s="6">
        <f t="shared" si="16"/>
        <v>0</v>
      </c>
      <c r="AP36" s="6">
        <f t="shared" si="17"/>
        <v>135</v>
      </c>
      <c r="AQ36" s="955">
        <f t="shared" si="18"/>
        <v>15</v>
      </c>
      <c r="AR36" s="955">
        <f t="shared" si="19"/>
        <v>0</v>
      </c>
      <c r="AS36" s="955">
        <f t="shared" si="20"/>
        <v>15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</row>
    <row r="37" spans="1:60" ht="15.75">
      <c r="A37" s="136">
        <v>29</v>
      </c>
      <c r="B37" s="166" t="s">
        <v>1016</v>
      </c>
      <c r="C37" s="158" t="s">
        <v>1129</v>
      </c>
      <c r="D37" s="136" t="s">
        <v>1145</v>
      </c>
      <c r="E37" s="159" t="s">
        <v>18</v>
      </c>
      <c r="F37" s="160">
        <v>6</v>
      </c>
      <c r="G37" s="172">
        <v>6</v>
      </c>
      <c r="H37" s="158">
        <v>0</v>
      </c>
      <c r="I37" s="158">
        <f t="shared" si="21"/>
        <v>6</v>
      </c>
      <c r="J37" s="136">
        <v>15</v>
      </c>
      <c r="K37" s="158">
        <v>0</v>
      </c>
      <c r="L37" s="158">
        <f t="shared" si="22"/>
        <v>15</v>
      </c>
      <c r="M37" s="132">
        <v>12</v>
      </c>
      <c r="N37" s="158">
        <v>0</v>
      </c>
      <c r="O37" s="158">
        <f t="shared" si="23"/>
        <v>12</v>
      </c>
      <c r="P37" s="158">
        <v>0</v>
      </c>
      <c r="Q37" s="158">
        <v>0</v>
      </c>
      <c r="R37" s="158">
        <f t="shared" si="24"/>
        <v>0</v>
      </c>
      <c r="S37" s="158">
        <v>12</v>
      </c>
      <c r="T37" s="158">
        <v>0</v>
      </c>
      <c r="U37" s="158">
        <f t="shared" si="25"/>
        <v>12</v>
      </c>
      <c r="V37" s="158">
        <v>120</v>
      </c>
      <c r="W37" s="158">
        <v>0</v>
      </c>
      <c r="X37" s="158">
        <f t="shared" si="4"/>
        <v>120</v>
      </c>
      <c r="Y37" s="174">
        <f t="shared" si="9"/>
        <v>165</v>
      </c>
      <c r="Z37" s="174">
        <f t="shared" si="10"/>
        <v>0</v>
      </c>
      <c r="AA37" s="174">
        <f t="shared" si="11"/>
        <v>165</v>
      </c>
      <c r="AB37" s="175">
        <f t="shared" si="12"/>
        <v>27.5</v>
      </c>
      <c r="AC37" s="175">
        <f t="shared" si="13"/>
        <v>0</v>
      </c>
      <c r="AD37" s="175">
        <f t="shared" si="14"/>
        <v>27.5</v>
      </c>
      <c r="AE37" s="912">
        <v>85</v>
      </c>
      <c r="AF37" s="134">
        <v>0</v>
      </c>
      <c r="AG37" s="158">
        <f t="shared" si="5"/>
        <v>85</v>
      </c>
      <c r="AH37" s="134">
        <v>0</v>
      </c>
      <c r="AI37" s="134">
        <v>0</v>
      </c>
      <c r="AJ37" s="922">
        <f t="shared" si="6"/>
        <v>0</v>
      </c>
      <c r="AK37" s="921">
        <v>0</v>
      </c>
      <c r="AL37" s="134">
        <v>0</v>
      </c>
      <c r="AM37" s="922">
        <f t="shared" si="7"/>
        <v>0</v>
      </c>
      <c r="AN37" s="6">
        <f t="shared" si="15"/>
        <v>250</v>
      </c>
      <c r="AO37" s="6">
        <f t="shared" si="16"/>
        <v>0</v>
      </c>
      <c r="AP37" s="6">
        <f t="shared" si="17"/>
        <v>250</v>
      </c>
      <c r="AQ37" s="955">
        <f t="shared" si="18"/>
        <v>27.777777777777779</v>
      </c>
      <c r="AR37" s="955">
        <f t="shared" si="19"/>
        <v>0</v>
      </c>
      <c r="AS37" s="955">
        <f t="shared" si="20"/>
        <v>27.777777777777779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</row>
    <row r="38" spans="1:60" ht="15.75">
      <c r="A38" s="136">
        <v>30</v>
      </c>
      <c r="B38" s="118" t="s">
        <v>997</v>
      </c>
      <c r="C38" s="158" t="s">
        <v>1129</v>
      </c>
      <c r="D38" s="136" t="s">
        <v>1146</v>
      </c>
      <c r="E38" s="159" t="s">
        <v>18</v>
      </c>
      <c r="F38" s="160">
        <v>3</v>
      </c>
      <c r="G38" s="172">
        <v>3</v>
      </c>
      <c r="H38" s="158">
        <v>0</v>
      </c>
      <c r="I38" s="158">
        <f t="shared" si="21"/>
        <v>3</v>
      </c>
      <c r="J38" s="136">
        <v>6</v>
      </c>
      <c r="K38" s="158">
        <v>0</v>
      </c>
      <c r="L38" s="158">
        <f t="shared" si="22"/>
        <v>6</v>
      </c>
      <c r="M38" s="132">
        <v>26</v>
      </c>
      <c r="N38" s="158">
        <v>0</v>
      </c>
      <c r="O38" s="158">
        <f t="shared" si="23"/>
        <v>26</v>
      </c>
      <c r="P38" s="158">
        <v>55</v>
      </c>
      <c r="Q38" s="158">
        <v>0</v>
      </c>
      <c r="R38" s="158">
        <f t="shared" si="24"/>
        <v>55</v>
      </c>
      <c r="S38" s="158">
        <v>6</v>
      </c>
      <c r="T38" s="158">
        <v>0</v>
      </c>
      <c r="U38" s="158">
        <f t="shared" si="25"/>
        <v>6</v>
      </c>
      <c r="V38" s="158">
        <v>85</v>
      </c>
      <c r="W38" s="158">
        <v>0</v>
      </c>
      <c r="X38" s="158">
        <f t="shared" si="4"/>
        <v>85</v>
      </c>
      <c r="Y38" s="174">
        <f t="shared" si="9"/>
        <v>181</v>
      </c>
      <c r="Z38" s="174">
        <f t="shared" si="10"/>
        <v>0</v>
      </c>
      <c r="AA38" s="174">
        <f t="shared" si="11"/>
        <v>181</v>
      </c>
      <c r="AB38" s="175">
        <f t="shared" si="12"/>
        <v>30.166666666666668</v>
      </c>
      <c r="AC38" s="175">
        <f t="shared" si="13"/>
        <v>0</v>
      </c>
      <c r="AD38" s="175">
        <f t="shared" si="14"/>
        <v>30.166666666666668</v>
      </c>
      <c r="AE38" s="912">
        <v>6</v>
      </c>
      <c r="AF38" s="134">
        <v>0</v>
      </c>
      <c r="AG38" s="158">
        <f t="shared" si="5"/>
        <v>6</v>
      </c>
      <c r="AH38" s="134">
        <v>5</v>
      </c>
      <c r="AI38" s="134">
        <v>0</v>
      </c>
      <c r="AJ38" s="922">
        <f t="shared" si="6"/>
        <v>5</v>
      </c>
      <c r="AK38" s="921">
        <v>0</v>
      </c>
      <c r="AL38" s="134">
        <v>0</v>
      </c>
      <c r="AM38" s="922">
        <f t="shared" si="7"/>
        <v>0</v>
      </c>
      <c r="AN38" s="6">
        <f t="shared" si="15"/>
        <v>192</v>
      </c>
      <c r="AO38" s="6">
        <f t="shared" si="16"/>
        <v>0</v>
      </c>
      <c r="AP38" s="6">
        <f t="shared" si="17"/>
        <v>192</v>
      </c>
      <c r="AQ38" s="955">
        <f t="shared" si="18"/>
        <v>21.333333333333332</v>
      </c>
      <c r="AR38" s="955">
        <f t="shared" si="19"/>
        <v>0</v>
      </c>
      <c r="AS38" s="955">
        <f t="shared" si="20"/>
        <v>21.333333333333332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</row>
    <row r="39" spans="1:60" ht="15.75">
      <c r="A39" s="136">
        <v>31</v>
      </c>
      <c r="B39" s="118" t="s">
        <v>999</v>
      </c>
      <c r="C39" s="158" t="s">
        <v>1129</v>
      </c>
      <c r="D39" s="136" t="s">
        <v>1147</v>
      </c>
      <c r="E39" s="159" t="s">
        <v>15</v>
      </c>
      <c r="F39" s="160">
        <v>10</v>
      </c>
      <c r="G39" s="172">
        <v>10</v>
      </c>
      <c r="H39" s="158">
        <v>0</v>
      </c>
      <c r="I39" s="158">
        <f t="shared" si="21"/>
        <v>10</v>
      </c>
      <c r="J39" s="136">
        <v>10</v>
      </c>
      <c r="K39" s="158">
        <v>0</v>
      </c>
      <c r="L39" s="158">
        <f t="shared" si="22"/>
        <v>10</v>
      </c>
      <c r="M39" s="132">
        <v>40</v>
      </c>
      <c r="N39" s="158">
        <v>0</v>
      </c>
      <c r="O39" s="158">
        <f t="shared" si="23"/>
        <v>40</v>
      </c>
      <c r="P39" s="158">
        <v>10</v>
      </c>
      <c r="Q39" s="158">
        <v>0</v>
      </c>
      <c r="R39" s="158">
        <f t="shared" si="24"/>
        <v>10</v>
      </c>
      <c r="S39" s="158">
        <v>10</v>
      </c>
      <c r="T39" s="158">
        <v>0</v>
      </c>
      <c r="U39" s="158">
        <f t="shared" si="25"/>
        <v>10</v>
      </c>
      <c r="V39" s="158">
        <v>17</v>
      </c>
      <c r="W39" s="158">
        <v>0</v>
      </c>
      <c r="X39" s="158">
        <f t="shared" si="4"/>
        <v>17</v>
      </c>
      <c r="Y39" s="174">
        <f t="shared" si="9"/>
        <v>97</v>
      </c>
      <c r="Z39" s="174">
        <f t="shared" si="10"/>
        <v>0</v>
      </c>
      <c r="AA39" s="174">
        <f t="shared" si="11"/>
        <v>97</v>
      </c>
      <c r="AB39" s="175">
        <f t="shared" si="12"/>
        <v>16.166666666666668</v>
      </c>
      <c r="AC39" s="175">
        <f t="shared" si="13"/>
        <v>0</v>
      </c>
      <c r="AD39" s="175">
        <f t="shared" si="14"/>
        <v>16.166666666666668</v>
      </c>
      <c r="AE39" s="912">
        <v>10</v>
      </c>
      <c r="AF39" s="134">
        <v>0</v>
      </c>
      <c r="AG39" s="158">
        <f t="shared" si="5"/>
        <v>10</v>
      </c>
      <c r="AH39" s="134">
        <v>25</v>
      </c>
      <c r="AI39" s="134">
        <v>0</v>
      </c>
      <c r="AJ39" s="922">
        <f t="shared" si="6"/>
        <v>25</v>
      </c>
      <c r="AK39" s="921">
        <v>0</v>
      </c>
      <c r="AL39" s="134">
        <v>0</v>
      </c>
      <c r="AM39" s="922">
        <f t="shared" si="7"/>
        <v>0</v>
      </c>
      <c r="AN39" s="6">
        <f t="shared" si="15"/>
        <v>132</v>
      </c>
      <c r="AO39" s="6">
        <f t="shared" si="16"/>
        <v>0</v>
      </c>
      <c r="AP39" s="6">
        <f t="shared" si="17"/>
        <v>132</v>
      </c>
      <c r="AQ39" s="955">
        <f t="shared" si="18"/>
        <v>14.666666666666666</v>
      </c>
      <c r="AR39" s="955">
        <f t="shared" si="19"/>
        <v>0</v>
      </c>
      <c r="AS39" s="955">
        <f t="shared" si="20"/>
        <v>14.666666666666666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</row>
    <row r="40" spans="1:60" ht="15.75">
      <c r="A40" s="136">
        <v>32</v>
      </c>
      <c r="B40" s="118" t="s">
        <v>1148</v>
      </c>
      <c r="C40" s="158" t="s">
        <v>1129</v>
      </c>
      <c r="D40" s="136" t="s">
        <v>1149</v>
      </c>
      <c r="E40" s="159" t="s">
        <v>15</v>
      </c>
      <c r="F40" s="160">
        <v>6</v>
      </c>
      <c r="G40" s="172">
        <v>6</v>
      </c>
      <c r="H40" s="158">
        <v>0</v>
      </c>
      <c r="I40" s="158">
        <f t="shared" si="21"/>
        <v>6</v>
      </c>
      <c r="J40" s="136">
        <v>12</v>
      </c>
      <c r="K40" s="158">
        <v>0</v>
      </c>
      <c r="L40" s="158">
        <f t="shared" si="22"/>
        <v>12</v>
      </c>
      <c r="M40" s="132">
        <v>25</v>
      </c>
      <c r="N40" s="158">
        <v>0</v>
      </c>
      <c r="O40" s="158">
        <f t="shared" si="23"/>
        <v>25</v>
      </c>
      <c r="P40" s="158">
        <v>30</v>
      </c>
      <c r="Q40" s="158">
        <v>0</v>
      </c>
      <c r="R40" s="158">
        <f t="shared" si="24"/>
        <v>30</v>
      </c>
      <c r="S40" s="158">
        <v>13</v>
      </c>
      <c r="T40" s="158">
        <v>0</v>
      </c>
      <c r="U40" s="158">
        <f t="shared" si="25"/>
        <v>13</v>
      </c>
      <c r="V40" s="158">
        <v>15</v>
      </c>
      <c r="W40" s="158">
        <v>0</v>
      </c>
      <c r="X40" s="158">
        <f t="shared" si="4"/>
        <v>15</v>
      </c>
      <c r="Y40" s="174">
        <f t="shared" si="9"/>
        <v>101</v>
      </c>
      <c r="Z40" s="174">
        <f t="shared" si="10"/>
        <v>0</v>
      </c>
      <c r="AA40" s="174">
        <f t="shared" si="11"/>
        <v>101</v>
      </c>
      <c r="AB40" s="175">
        <f t="shared" si="12"/>
        <v>16.833333333333332</v>
      </c>
      <c r="AC40" s="175">
        <f t="shared" si="13"/>
        <v>0</v>
      </c>
      <c r="AD40" s="175">
        <f t="shared" si="14"/>
        <v>16.833333333333332</v>
      </c>
      <c r="AE40" s="912">
        <v>12</v>
      </c>
      <c r="AF40" s="134">
        <v>0</v>
      </c>
      <c r="AG40" s="158">
        <f t="shared" si="5"/>
        <v>12</v>
      </c>
      <c r="AH40" s="134">
        <v>0</v>
      </c>
      <c r="AI40" s="134">
        <v>0</v>
      </c>
      <c r="AJ40" s="922">
        <f t="shared" si="6"/>
        <v>0</v>
      </c>
      <c r="AK40" s="921">
        <v>0</v>
      </c>
      <c r="AL40" s="134">
        <v>0</v>
      </c>
      <c r="AM40" s="922">
        <f t="shared" si="7"/>
        <v>0</v>
      </c>
      <c r="AN40" s="6">
        <f t="shared" si="15"/>
        <v>113</v>
      </c>
      <c r="AO40" s="6">
        <f t="shared" si="16"/>
        <v>0</v>
      </c>
      <c r="AP40" s="6">
        <f t="shared" si="17"/>
        <v>113</v>
      </c>
      <c r="AQ40" s="955">
        <f t="shared" si="18"/>
        <v>12.555555555555555</v>
      </c>
      <c r="AR40" s="955">
        <f t="shared" si="19"/>
        <v>0</v>
      </c>
      <c r="AS40" s="955">
        <f t="shared" si="20"/>
        <v>12.555555555555555</v>
      </c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</row>
    <row r="41" spans="1:60" ht="15.75">
      <c r="A41" s="136">
        <v>33</v>
      </c>
      <c r="B41" s="167" t="s">
        <v>1150</v>
      </c>
      <c r="C41" s="158" t="s">
        <v>1129</v>
      </c>
      <c r="D41" s="136" t="s">
        <v>1151</v>
      </c>
      <c r="E41" s="159" t="s">
        <v>15</v>
      </c>
      <c r="F41" s="160">
        <v>10</v>
      </c>
      <c r="G41" s="172">
        <v>189</v>
      </c>
      <c r="H41" s="158">
        <v>0</v>
      </c>
      <c r="I41" s="158">
        <f t="shared" si="21"/>
        <v>189</v>
      </c>
      <c r="J41" s="136">
        <v>200</v>
      </c>
      <c r="K41" s="158">
        <v>0</v>
      </c>
      <c r="L41" s="158">
        <f t="shared" si="22"/>
        <v>200</v>
      </c>
      <c r="M41" s="132">
        <v>200</v>
      </c>
      <c r="N41" s="158">
        <v>0</v>
      </c>
      <c r="O41" s="158">
        <f t="shared" si="23"/>
        <v>200</v>
      </c>
      <c r="P41" s="158">
        <v>6</v>
      </c>
      <c r="Q41" s="158">
        <v>0</v>
      </c>
      <c r="R41" s="158">
        <f t="shared" si="24"/>
        <v>6</v>
      </c>
      <c r="S41" s="158">
        <v>6</v>
      </c>
      <c r="T41" s="158">
        <v>0</v>
      </c>
      <c r="U41" s="158">
        <f t="shared" si="25"/>
        <v>6</v>
      </c>
      <c r="V41" s="158">
        <v>29</v>
      </c>
      <c r="W41" s="158">
        <v>0</v>
      </c>
      <c r="X41" s="158">
        <f t="shared" si="4"/>
        <v>29</v>
      </c>
      <c r="Y41" s="174">
        <f t="shared" si="9"/>
        <v>630</v>
      </c>
      <c r="Z41" s="174">
        <f t="shared" si="10"/>
        <v>0</v>
      </c>
      <c r="AA41" s="174">
        <f t="shared" si="11"/>
        <v>630</v>
      </c>
      <c r="AB41" s="175">
        <f t="shared" si="12"/>
        <v>105</v>
      </c>
      <c r="AC41" s="175">
        <f t="shared" si="13"/>
        <v>0</v>
      </c>
      <c r="AD41" s="175">
        <f t="shared" si="14"/>
        <v>105</v>
      </c>
      <c r="AE41" s="912">
        <v>20</v>
      </c>
      <c r="AF41" s="134">
        <v>0</v>
      </c>
      <c r="AG41" s="158">
        <f t="shared" si="5"/>
        <v>20</v>
      </c>
      <c r="AH41" s="134">
        <v>24</v>
      </c>
      <c r="AI41" s="134">
        <v>0</v>
      </c>
      <c r="AJ41" s="922">
        <f t="shared" si="6"/>
        <v>24</v>
      </c>
      <c r="AK41" s="921">
        <v>3</v>
      </c>
      <c r="AL41" s="134">
        <v>0</v>
      </c>
      <c r="AM41" s="922">
        <f t="shared" si="7"/>
        <v>3</v>
      </c>
      <c r="AN41" s="6">
        <f t="shared" si="15"/>
        <v>677</v>
      </c>
      <c r="AO41" s="6">
        <f t="shared" si="16"/>
        <v>0</v>
      </c>
      <c r="AP41" s="6">
        <f t="shared" si="17"/>
        <v>677</v>
      </c>
      <c r="AQ41" s="955">
        <f t="shared" si="18"/>
        <v>75.222222222222229</v>
      </c>
      <c r="AR41" s="955">
        <f t="shared" si="19"/>
        <v>0</v>
      </c>
      <c r="AS41" s="955">
        <f t="shared" si="20"/>
        <v>75.222222222222229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</row>
    <row r="42" spans="1:60" ht="15.75">
      <c r="A42" s="136">
        <v>34</v>
      </c>
      <c r="B42" s="118" t="s">
        <v>1003</v>
      </c>
      <c r="C42" s="158" t="s">
        <v>1129</v>
      </c>
      <c r="D42" s="136" t="s">
        <v>1152</v>
      </c>
      <c r="E42" s="159" t="s">
        <v>15</v>
      </c>
      <c r="F42" s="160">
        <v>14</v>
      </c>
      <c r="G42" s="172">
        <v>168</v>
      </c>
      <c r="H42" s="158">
        <v>0</v>
      </c>
      <c r="I42" s="158">
        <f t="shared" si="21"/>
        <v>168</v>
      </c>
      <c r="J42" s="136">
        <v>250</v>
      </c>
      <c r="K42" s="158">
        <v>0</v>
      </c>
      <c r="L42" s="158">
        <f t="shared" si="22"/>
        <v>250</v>
      </c>
      <c r="M42" s="132">
        <v>140</v>
      </c>
      <c r="N42" s="158">
        <v>0</v>
      </c>
      <c r="O42" s="158">
        <f t="shared" si="23"/>
        <v>140</v>
      </c>
      <c r="P42" s="158">
        <v>10</v>
      </c>
      <c r="Q42" s="158">
        <v>0</v>
      </c>
      <c r="R42" s="158">
        <f t="shared" si="24"/>
        <v>10</v>
      </c>
      <c r="S42" s="158">
        <v>5</v>
      </c>
      <c r="T42" s="158">
        <v>0</v>
      </c>
      <c r="U42" s="158">
        <f t="shared" si="25"/>
        <v>5</v>
      </c>
      <c r="V42" s="158">
        <v>31</v>
      </c>
      <c r="W42" s="158">
        <v>0</v>
      </c>
      <c r="X42" s="158">
        <f t="shared" si="4"/>
        <v>31</v>
      </c>
      <c r="Y42" s="174">
        <f t="shared" si="9"/>
        <v>604</v>
      </c>
      <c r="Z42" s="174">
        <f t="shared" si="10"/>
        <v>0</v>
      </c>
      <c r="AA42" s="174">
        <f t="shared" si="11"/>
        <v>604</v>
      </c>
      <c r="AB42" s="175">
        <f t="shared" si="12"/>
        <v>100.66666666666667</v>
      </c>
      <c r="AC42" s="175">
        <f t="shared" si="13"/>
        <v>0</v>
      </c>
      <c r="AD42" s="175">
        <f t="shared" si="14"/>
        <v>100.66666666666667</v>
      </c>
      <c r="AE42" s="912">
        <v>15</v>
      </c>
      <c r="AF42" s="134">
        <v>0</v>
      </c>
      <c r="AG42" s="158">
        <f t="shared" si="5"/>
        <v>15</v>
      </c>
      <c r="AH42" s="134">
        <v>36</v>
      </c>
      <c r="AI42" s="134">
        <v>0</v>
      </c>
      <c r="AJ42" s="922">
        <f t="shared" si="6"/>
        <v>36</v>
      </c>
      <c r="AK42" s="921">
        <v>0</v>
      </c>
      <c r="AL42" s="134">
        <v>0</v>
      </c>
      <c r="AM42" s="922">
        <f t="shared" si="7"/>
        <v>0</v>
      </c>
      <c r="AN42" s="6">
        <f t="shared" si="15"/>
        <v>655</v>
      </c>
      <c r="AO42" s="6">
        <f t="shared" si="16"/>
        <v>0</v>
      </c>
      <c r="AP42" s="6">
        <f t="shared" si="17"/>
        <v>655</v>
      </c>
      <c r="AQ42" s="955">
        <f t="shared" si="18"/>
        <v>72.777777777777771</v>
      </c>
      <c r="AR42" s="955">
        <f t="shared" si="19"/>
        <v>0</v>
      </c>
      <c r="AS42" s="955">
        <f t="shared" si="20"/>
        <v>72.777777777777771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</row>
    <row r="43" spans="1:60" ht="15.75">
      <c r="A43" s="136">
        <v>35</v>
      </c>
      <c r="B43" s="118" t="s">
        <v>1005</v>
      </c>
      <c r="C43" s="158" t="s">
        <v>1129</v>
      </c>
      <c r="D43" s="136" t="s">
        <v>1153</v>
      </c>
      <c r="E43" s="159" t="s">
        <v>15</v>
      </c>
      <c r="F43" s="160">
        <v>3</v>
      </c>
      <c r="G43" s="172">
        <v>3</v>
      </c>
      <c r="H43" s="158">
        <v>0</v>
      </c>
      <c r="I43" s="158">
        <f t="shared" si="21"/>
        <v>3</v>
      </c>
      <c r="J43" s="136">
        <v>0</v>
      </c>
      <c r="K43" s="158">
        <v>0</v>
      </c>
      <c r="L43" s="158">
        <f t="shared" si="22"/>
        <v>0</v>
      </c>
      <c r="M43" s="132">
        <v>136</v>
      </c>
      <c r="N43" s="158">
        <v>0</v>
      </c>
      <c r="O43" s="158">
        <f t="shared" si="23"/>
        <v>136</v>
      </c>
      <c r="P43" s="158">
        <v>5</v>
      </c>
      <c r="Q43" s="158">
        <v>0</v>
      </c>
      <c r="R43" s="158">
        <f t="shared" si="24"/>
        <v>5</v>
      </c>
      <c r="S43" s="158">
        <v>10</v>
      </c>
      <c r="T43" s="158">
        <v>0</v>
      </c>
      <c r="U43" s="158">
        <f t="shared" si="25"/>
        <v>10</v>
      </c>
      <c r="V43" s="158">
        <v>18</v>
      </c>
      <c r="W43" s="158">
        <v>0</v>
      </c>
      <c r="X43" s="158">
        <f t="shared" si="4"/>
        <v>18</v>
      </c>
      <c r="Y43" s="174">
        <f t="shared" si="9"/>
        <v>172</v>
      </c>
      <c r="Z43" s="174">
        <f t="shared" si="10"/>
        <v>0</v>
      </c>
      <c r="AA43" s="174">
        <f t="shared" si="11"/>
        <v>172</v>
      </c>
      <c r="AB43" s="175">
        <f t="shared" si="12"/>
        <v>28.666666666666668</v>
      </c>
      <c r="AC43" s="175">
        <f t="shared" si="13"/>
        <v>0</v>
      </c>
      <c r="AD43" s="175">
        <f t="shared" si="14"/>
        <v>28.666666666666668</v>
      </c>
      <c r="AE43" s="912">
        <v>5</v>
      </c>
      <c r="AF43" s="134">
        <v>0</v>
      </c>
      <c r="AG43" s="158">
        <f t="shared" si="5"/>
        <v>5</v>
      </c>
      <c r="AH43" s="134">
        <v>10</v>
      </c>
      <c r="AI43" s="134">
        <v>0</v>
      </c>
      <c r="AJ43" s="922">
        <f t="shared" si="6"/>
        <v>10</v>
      </c>
      <c r="AK43" s="921">
        <v>0</v>
      </c>
      <c r="AL43" s="134">
        <v>0</v>
      </c>
      <c r="AM43" s="922">
        <f t="shared" si="7"/>
        <v>0</v>
      </c>
      <c r="AN43" s="6">
        <f t="shared" si="15"/>
        <v>187</v>
      </c>
      <c r="AO43" s="6">
        <f t="shared" si="16"/>
        <v>0</v>
      </c>
      <c r="AP43" s="6">
        <f t="shared" si="17"/>
        <v>187</v>
      </c>
      <c r="AQ43" s="955">
        <f t="shared" si="18"/>
        <v>20.777777777777779</v>
      </c>
      <c r="AR43" s="955">
        <f t="shared" si="19"/>
        <v>0</v>
      </c>
      <c r="AS43" s="955">
        <f t="shared" si="20"/>
        <v>20.777777777777779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</row>
    <row r="44" spans="1:60" ht="15.75">
      <c r="A44" s="136">
        <v>36</v>
      </c>
      <c r="B44" s="118" t="s">
        <v>51</v>
      </c>
      <c r="C44" s="158" t="s">
        <v>1129</v>
      </c>
      <c r="D44" s="136" t="s">
        <v>1154</v>
      </c>
      <c r="E44" s="159" t="s">
        <v>15</v>
      </c>
      <c r="F44" s="160">
        <v>5</v>
      </c>
      <c r="G44" s="172">
        <v>5</v>
      </c>
      <c r="H44" s="158">
        <v>0</v>
      </c>
      <c r="I44" s="158">
        <f t="shared" si="21"/>
        <v>5</v>
      </c>
      <c r="J44" s="136">
        <v>10</v>
      </c>
      <c r="K44" s="158">
        <v>0</v>
      </c>
      <c r="L44" s="158">
        <f t="shared" si="22"/>
        <v>10</v>
      </c>
      <c r="M44" s="132">
        <v>15</v>
      </c>
      <c r="N44" s="158">
        <v>0</v>
      </c>
      <c r="O44" s="158">
        <f t="shared" si="23"/>
        <v>15</v>
      </c>
      <c r="P44" s="158">
        <v>0</v>
      </c>
      <c r="Q44" s="158">
        <v>0</v>
      </c>
      <c r="R44" s="158">
        <f t="shared" si="24"/>
        <v>0</v>
      </c>
      <c r="S44" s="158">
        <v>10</v>
      </c>
      <c r="T44" s="158">
        <v>0</v>
      </c>
      <c r="U44" s="158">
        <f t="shared" si="25"/>
        <v>10</v>
      </c>
      <c r="V44" s="158">
        <v>85</v>
      </c>
      <c r="W44" s="158">
        <v>0</v>
      </c>
      <c r="X44" s="158">
        <f t="shared" si="4"/>
        <v>85</v>
      </c>
      <c r="Y44" s="174">
        <f t="shared" si="9"/>
        <v>125</v>
      </c>
      <c r="Z44" s="174">
        <f t="shared" si="10"/>
        <v>0</v>
      </c>
      <c r="AA44" s="174">
        <f t="shared" si="11"/>
        <v>125</v>
      </c>
      <c r="AB44" s="175">
        <f t="shared" si="12"/>
        <v>20.833333333333332</v>
      </c>
      <c r="AC44" s="175">
        <f t="shared" si="13"/>
        <v>0</v>
      </c>
      <c r="AD44" s="175">
        <f t="shared" si="14"/>
        <v>20.833333333333332</v>
      </c>
      <c r="AE44" s="912">
        <v>25</v>
      </c>
      <c r="AF44" s="134">
        <v>0</v>
      </c>
      <c r="AG44" s="158">
        <f t="shared" si="5"/>
        <v>25</v>
      </c>
      <c r="AH44" s="134">
        <v>16</v>
      </c>
      <c r="AI44" s="134">
        <v>0</v>
      </c>
      <c r="AJ44" s="922">
        <f t="shared" si="6"/>
        <v>16</v>
      </c>
      <c r="AK44" s="921">
        <v>0</v>
      </c>
      <c r="AL44" s="134">
        <v>0</v>
      </c>
      <c r="AM44" s="922">
        <f t="shared" si="7"/>
        <v>0</v>
      </c>
      <c r="AN44" s="6">
        <f t="shared" si="15"/>
        <v>166</v>
      </c>
      <c r="AO44" s="6">
        <f t="shared" si="16"/>
        <v>0</v>
      </c>
      <c r="AP44" s="6">
        <f t="shared" si="17"/>
        <v>166</v>
      </c>
      <c r="AQ44" s="955">
        <f t="shared" si="18"/>
        <v>18.444444444444443</v>
      </c>
      <c r="AR44" s="955">
        <f t="shared" si="19"/>
        <v>0</v>
      </c>
      <c r="AS44" s="955">
        <f t="shared" si="20"/>
        <v>18.444444444444443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</row>
    <row r="45" spans="1:60" ht="15.75">
      <c r="A45" s="136">
        <v>37</v>
      </c>
      <c r="B45" s="118" t="s">
        <v>1155</v>
      </c>
      <c r="C45" s="158" t="s">
        <v>1129</v>
      </c>
      <c r="D45" s="136" t="s">
        <v>1156</v>
      </c>
      <c r="E45" s="159" t="s">
        <v>18</v>
      </c>
      <c r="F45" s="160">
        <v>15</v>
      </c>
      <c r="G45" s="172">
        <v>15</v>
      </c>
      <c r="H45" s="158">
        <v>0</v>
      </c>
      <c r="I45" s="158">
        <f t="shared" si="21"/>
        <v>15</v>
      </c>
      <c r="J45" s="136">
        <v>6</v>
      </c>
      <c r="K45" s="158">
        <v>0</v>
      </c>
      <c r="L45" s="158">
        <f t="shared" si="22"/>
        <v>6</v>
      </c>
      <c r="M45" s="132">
        <v>0</v>
      </c>
      <c r="N45" s="158">
        <v>0</v>
      </c>
      <c r="O45" s="158">
        <f t="shared" si="23"/>
        <v>0</v>
      </c>
      <c r="P45" s="158">
        <v>25</v>
      </c>
      <c r="Q45" s="158">
        <v>0</v>
      </c>
      <c r="R45" s="158">
        <f t="shared" si="24"/>
        <v>25</v>
      </c>
      <c r="S45" s="158">
        <v>5</v>
      </c>
      <c r="T45" s="158">
        <v>0</v>
      </c>
      <c r="U45" s="158">
        <f t="shared" si="25"/>
        <v>5</v>
      </c>
      <c r="V45" s="158">
        <v>55</v>
      </c>
      <c r="W45" s="158">
        <v>0</v>
      </c>
      <c r="X45" s="158">
        <f t="shared" si="4"/>
        <v>55</v>
      </c>
      <c r="Y45" s="174">
        <f t="shared" si="9"/>
        <v>106</v>
      </c>
      <c r="Z45" s="174">
        <f t="shared" si="10"/>
        <v>0</v>
      </c>
      <c r="AA45" s="174">
        <f t="shared" si="11"/>
        <v>106</v>
      </c>
      <c r="AB45" s="175">
        <f t="shared" si="12"/>
        <v>17.666666666666668</v>
      </c>
      <c r="AC45" s="175">
        <f t="shared" si="13"/>
        <v>0</v>
      </c>
      <c r="AD45" s="175">
        <f t="shared" si="14"/>
        <v>17.666666666666668</v>
      </c>
      <c r="AE45" s="912">
        <v>36</v>
      </c>
      <c r="AF45" s="134">
        <v>0</v>
      </c>
      <c r="AG45" s="158">
        <f t="shared" si="5"/>
        <v>36</v>
      </c>
      <c r="AH45" s="134">
        <v>6</v>
      </c>
      <c r="AI45" s="134">
        <v>0</v>
      </c>
      <c r="AJ45" s="922">
        <f t="shared" si="6"/>
        <v>6</v>
      </c>
      <c r="AK45" s="921">
        <v>0</v>
      </c>
      <c r="AL45" s="134">
        <v>0</v>
      </c>
      <c r="AM45" s="922">
        <f t="shared" si="7"/>
        <v>0</v>
      </c>
      <c r="AN45" s="6">
        <f t="shared" si="15"/>
        <v>148</v>
      </c>
      <c r="AO45" s="6">
        <f t="shared" si="16"/>
        <v>0</v>
      </c>
      <c r="AP45" s="6">
        <f t="shared" si="17"/>
        <v>148</v>
      </c>
      <c r="AQ45" s="955">
        <f t="shared" si="18"/>
        <v>16.444444444444443</v>
      </c>
      <c r="AR45" s="955">
        <f t="shared" si="19"/>
        <v>0</v>
      </c>
      <c r="AS45" s="955">
        <f t="shared" si="20"/>
        <v>16.444444444444443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</row>
    <row r="46" spans="1:60" ht="15.75">
      <c r="A46" s="136">
        <v>38</v>
      </c>
      <c r="B46" s="118" t="s">
        <v>1010</v>
      </c>
      <c r="C46" s="158" t="s">
        <v>1129</v>
      </c>
      <c r="D46" s="136" t="s">
        <v>1157</v>
      </c>
      <c r="E46" s="159" t="s">
        <v>15</v>
      </c>
      <c r="F46" s="160">
        <v>10</v>
      </c>
      <c r="G46" s="172">
        <v>150</v>
      </c>
      <c r="H46" s="158">
        <v>0</v>
      </c>
      <c r="I46" s="158">
        <f t="shared" si="21"/>
        <v>150</v>
      </c>
      <c r="J46" s="136">
        <v>10</v>
      </c>
      <c r="K46" s="158">
        <v>0</v>
      </c>
      <c r="L46" s="158">
        <f t="shared" si="22"/>
        <v>10</v>
      </c>
      <c r="M46" s="132">
        <v>12</v>
      </c>
      <c r="N46" s="158">
        <v>0</v>
      </c>
      <c r="O46" s="158">
        <f t="shared" si="23"/>
        <v>12</v>
      </c>
      <c r="P46" s="158">
        <v>25</v>
      </c>
      <c r="Q46" s="158">
        <v>0</v>
      </c>
      <c r="R46" s="158">
        <f t="shared" si="24"/>
        <v>25</v>
      </c>
      <c r="S46" s="158">
        <v>18</v>
      </c>
      <c r="T46" s="158">
        <v>0</v>
      </c>
      <c r="U46" s="158">
        <f t="shared" si="25"/>
        <v>18</v>
      </c>
      <c r="V46" s="158">
        <v>16</v>
      </c>
      <c r="W46" s="158">
        <v>0</v>
      </c>
      <c r="X46" s="158">
        <f t="shared" si="4"/>
        <v>16</v>
      </c>
      <c r="Y46" s="174">
        <f t="shared" si="9"/>
        <v>231</v>
      </c>
      <c r="Z46" s="174">
        <f t="shared" si="10"/>
        <v>0</v>
      </c>
      <c r="AA46" s="174">
        <f t="shared" si="11"/>
        <v>231</v>
      </c>
      <c r="AB46" s="175">
        <f t="shared" si="12"/>
        <v>38.5</v>
      </c>
      <c r="AC46" s="175">
        <f t="shared" si="13"/>
        <v>0</v>
      </c>
      <c r="AD46" s="175">
        <f t="shared" si="14"/>
        <v>38.5</v>
      </c>
      <c r="AE46" s="912">
        <v>10</v>
      </c>
      <c r="AF46" s="134">
        <v>0</v>
      </c>
      <c r="AG46" s="158">
        <f t="shared" si="5"/>
        <v>10</v>
      </c>
      <c r="AH46" s="134">
        <v>12</v>
      </c>
      <c r="AI46" s="134">
        <v>0</v>
      </c>
      <c r="AJ46" s="922">
        <f t="shared" si="6"/>
        <v>12</v>
      </c>
      <c r="AK46" s="921">
        <v>5</v>
      </c>
      <c r="AL46" s="134">
        <v>0</v>
      </c>
      <c r="AM46" s="922">
        <f t="shared" si="7"/>
        <v>5</v>
      </c>
      <c r="AN46" s="6">
        <f t="shared" si="15"/>
        <v>258</v>
      </c>
      <c r="AO46" s="6">
        <f t="shared" si="16"/>
        <v>0</v>
      </c>
      <c r="AP46" s="6">
        <f t="shared" si="17"/>
        <v>258</v>
      </c>
      <c r="AQ46" s="955">
        <f t="shared" si="18"/>
        <v>28.666666666666668</v>
      </c>
      <c r="AR46" s="955">
        <f t="shared" si="19"/>
        <v>0</v>
      </c>
      <c r="AS46" s="955">
        <f t="shared" si="20"/>
        <v>28.666666666666668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</row>
    <row r="47" spans="1:60" ht="15.75">
      <c r="A47" s="136">
        <v>39</v>
      </c>
      <c r="B47" s="166" t="s">
        <v>1018</v>
      </c>
      <c r="C47" s="158" t="s">
        <v>1129</v>
      </c>
      <c r="D47" s="136" t="s">
        <v>1158</v>
      </c>
      <c r="E47" s="159" t="s">
        <v>18</v>
      </c>
      <c r="F47" s="160">
        <v>13</v>
      </c>
      <c r="G47" s="172">
        <v>13</v>
      </c>
      <c r="H47" s="158">
        <v>6</v>
      </c>
      <c r="I47" s="158">
        <f t="shared" si="21"/>
        <v>19</v>
      </c>
      <c r="J47" s="136">
        <v>0</v>
      </c>
      <c r="K47" s="158">
        <v>0</v>
      </c>
      <c r="L47" s="158">
        <f t="shared" si="22"/>
        <v>0</v>
      </c>
      <c r="M47" s="132">
        <v>30</v>
      </c>
      <c r="N47" s="158">
        <v>0</v>
      </c>
      <c r="O47" s="158">
        <f t="shared" si="23"/>
        <v>30</v>
      </c>
      <c r="P47" s="158">
        <v>30</v>
      </c>
      <c r="Q47" s="158">
        <v>0</v>
      </c>
      <c r="R47" s="158">
        <f t="shared" si="24"/>
        <v>30</v>
      </c>
      <c r="S47" s="158">
        <v>3</v>
      </c>
      <c r="T47" s="158">
        <v>0</v>
      </c>
      <c r="U47" s="158">
        <f t="shared" si="25"/>
        <v>3</v>
      </c>
      <c r="V47" s="158">
        <v>72</v>
      </c>
      <c r="W47" s="158">
        <v>0</v>
      </c>
      <c r="X47" s="158">
        <f t="shared" si="4"/>
        <v>72</v>
      </c>
      <c r="Y47" s="174">
        <f t="shared" si="9"/>
        <v>148</v>
      </c>
      <c r="Z47" s="174">
        <f t="shared" si="10"/>
        <v>6</v>
      </c>
      <c r="AA47" s="174">
        <f t="shared" si="11"/>
        <v>154</v>
      </c>
      <c r="AB47" s="175">
        <f t="shared" si="12"/>
        <v>24.666666666666668</v>
      </c>
      <c r="AC47" s="175">
        <f t="shared" si="13"/>
        <v>1</v>
      </c>
      <c r="AD47" s="175">
        <f t="shared" si="14"/>
        <v>25.666666666666668</v>
      </c>
      <c r="AE47" s="912">
        <v>0</v>
      </c>
      <c r="AF47" s="134">
        <v>0</v>
      </c>
      <c r="AG47" s="158">
        <f t="shared" si="5"/>
        <v>0</v>
      </c>
      <c r="AH47" s="134">
        <v>6</v>
      </c>
      <c r="AI47" s="134">
        <v>0</v>
      </c>
      <c r="AJ47" s="922">
        <f t="shared" si="6"/>
        <v>6</v>
      </c>
      <c r="AK47" s="921">
        <v>0</v>
      </c>
      <c r="AL47" s="134">
        <v>0</v>
      </c>
      <c r="AM47" s="922">
        <f t="shared" si="7"/>
        <v>0</v>
      </c>
      <c r="AN47" s="6">
        <f t="shared" si="15"/>
        <v>154</v>
      </c>
      <c r="AO47" s="6">
        <f t="shared" si="16"/>
        <v>6</v>
      </c>
      <c r="AP47" s="6">
        <f t="shared" si="17"/>
        <v>160</v>
      </c>
      <c r="AQ47" s="955">
        <f t="shared" si="18"/>
        <v>17.111111111111111</v>
      </c>
      <c r="AR47" s="955">
        <f t="shared" si="19"/>
        <v>0.66666666666666663</v>
      </c>
      <c r="AS47" s="955">
        <f t="shared" si="20"/>
        <v>17.777777777777779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</row>
    <row r="48" spans="1:60" ht="15.75">
      <c r="A48" s="136">
        <v>40</v>
      </c>
      <c r="B48" s="166" t="s">
        <v>1013</v>
      </c>
      <c r="C48" s="158" t="s">
        <v>1129</v>
      </c>
      <c r="D48" s="136" t="s">
        <v>1159</v>
      </c>
      <c r="E48" s="159" t="s">
        <v>15</v>
      </c>
      <c r="F48" s="160">
        <v>11</v>
      </c>
      <c r="G48" s="172">
        <v>11</v>
      </c>
      <c r="H48" s="158">
        <v>0</v>
      </c>
      <c r="I48" s="158">
        <f t="shared" si="21"/>
        <v>11</v>
      </c>
      <c r="J48" s="136">
        <v>6</v>
      </c>
      <c r="K48" s="158">
        <v>0</v>
      </c>
      <c r="L48" s="158">
        <f t="shared" si="22"/>
        <v>6</v>
      </c>
      <c r="M48" s="132">
        <v>12</v>
      </c>
      <c r="N48" s="158">
        <v>0</v>
      </c>
      <c r="O48" s="158">
        <f t="shared" si="23"/>
        <v>12</v>
      </c>
      <c r="P48" s="158">
        <v>10</v>
      </c>
      <c r="Q48" s="158">
        <v>0</v>
      </c>
      <c r="R48" s="158">
        <f t="shared" si="24"/>
        <v>10</v>
      </c>
      <c r="S48" s="158">
        <v>3</v>
      </c>
      <c r="T48" s="158">
        <v>0</v>
      </c>
      <c r="U48" s="158">
        <f t="shared" si="25"/>
        <v>3</v>
      </c>
      <c r="V48" s="158">
        <v>41</v>
      </c>
      <c r="W48" s="158">
        <v>0</v>
      </c>
      <c r="X48" s="158">
        <f t="shared" si="4"/>
        <v>41</v>
      </c>
      <c r="Y48" s="174">
        <f t="shared" si="9"/>
        <v>83</v>
      </c>
      <c r="Z48" s="174">
        <f t="shared" si="10"/>
        <v>0</v>
      </c>
      <c r="AA48" s="174">
        <f t="shared" si="11"/>
        <v>83</v>
      </c>
      <c r="AB48" s="175">
        <f t="shared" si="12"/>
        <v>13.833333333333334</v>
      </c>
      <c r="AC48" s="175">
        <f t="shared" si="13"/>
        <v>0</v>
      </c>
      <c r="AD48" s="175">
        <f t="shared" si="14"/>
        <v>13.833333333333334</v>
      </c>
      <c r="AE48" s="912">
        <v>19</v>
      </c>
      <c r="AF48" s="134">
        <v>0</v>
      </c>
      <c r="AG48" s="158">
        <f t="shared" si="5"/>
        <v>19</v>
      </c>
      <c r="AH48" s="134">
        <v>24</v>
      </c>
      <c r="AI48" s="134">
        <v>0</v>
      </c>
      <c r="AJ48" s="922">
        <f t="shared" si="6"/>
        <v>24</v>
      </c>
      <c r="AK48" s="921">
        <v>0</v>
      </c>
      <c r="AL48" s="134">
        <v>0</v>
      </c>
      <c r="AM48" s="922">
        <f t="shared" si="7"/>
        <v>0</v>
      </c>
      <c r="AN48" s="6">
        <f t="shared" si="15"/>
        <v>126</v>
      </c>
      <c r="AO48" s="6">
        <f t="shared" si="16"/>
        <v>0</v>
      </c>
      <c r="AP48" s="6">
        <f t="shared" si="17"/>
        <v>126</v>
      </c>
      <c r="AQ48" s="955">
        <f t="shared" si="18"/>
        <v>14</v>
      </c>
      <c r="AR48" s="955">
        <f t="shared" si="19"/>
        <v>0</v>
      </c>
      <c r="AS48" s="955">
        <f t="shared" si="20"/>
        <v>14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</row>
    <row r="49" spans="1:60" ht="15.75">
      <c r="A49" s="136">
        <v>41</v>
      </c>
      <c r="B49" s="166" t="s">
        <v>976</v>
      </c>
      <c r="C49" s="158" t="s">
        <v>1129</v>
      </c>
      <c r="D49" s="136" t="s">
        <v>1160</v>
      </c>
      <c r="E49" s="159" t="s">
        <v>15</v>
      </c>
      <c r="F49" s="160">
        <v>15</v>
      </c>
      <c r="G49" s="172">
        <v>15</v>
      </c>
      <c r="H49" s="158">
        <v>0</v>
      </c>
      <c r="I49" s="158">
        <f t="shared" si="21"/>
        <v>15</v>
      </c>
      <c r="J49" s="168">
        <v>0</v>
      </c>
      <c r="K49" s="158">
        <v>0</v>
      </c>
      <c r="L49" s="158">
        <f t="shared" si="22"/>
        <v>0</v>
      </c>
      <c r="M49" s="132">
        <v>15</v>
      </c>
      <c r="N49" s="158">
        <v>0</v>
      </c>
      <c r="O49" s="158">
        <f t="shared" si="23"/>
        <v>15</v>
      </c>
      <c r="P49" s="158">
        <v>25</v>
      </c>
      <c r="Q49" s="158">
        <v>0</v>
      </c>
      <c r="R49" s="158">
        <f t="shared" si="24"/>
        <v>25</v>
      </c>
      <c r="S49" s="158">
        <v>10</v>
      </c>
      <c r="T49" s="158">
        <v>0</v>
      </c>
      <c r="U49" s="158">
        <f t="shared" si="25"/>
        <v>10</v>
      </c>
      <c r="V49" s="158">
        <v>53</v>
      </c>
      <c r="W49" s="158">
        <v>0</v>
      </c>
      <c r="X49" s="158">
        <f t="shared" si="4"/>
        <v>53</v>
      </c>
      <c r="Y49" s="174">
        <f t="shared" si="9"/>
        <v>118</v>
      </c>
      <c r="Z49" s="174">
        <f t="shared" si="10"/>
        <v>0</v>
      </c>
      <c r="AA49" s="174">
        <f t="shared" si="11"/>
        <v>118</v>
      </c>
      <c r="AB49" s="175">
        <f t="shared" si="12"/>
        <v>19.666666666666668</v>
      </c>
      <c r="AC49" s="175">
        <f t="shared" si="13"/>
        <v>0</v>
      </c>
      <c r="AD49" s="175">
        <f t="shared" si="14"/>
        <v>19.666666666666668</v>
      </c>
      <c r="AE49" s="168">
        <v>42</v>
      </c>
      <c r="AF49" s="134">
        <v>0</v>
      </c>
      <c r="AG49" s="158">
        <f t="shared" si="5"/>
        <v>42</v>
      </c>
      <c r="AH49" s="134">
        <v>0</v>
      </c>
      <c r="AI49" s="134">
        <v>0</v>
      </c>
      <c r="AJ49" s="922">
        <f t="shared" si="6"/>
        <v>0</v>
      </c>
      <c r="AK49" s="921">
        <v>0</v>
      </c>
      <c r="AL49" s="134">
        <v>0</v>
      </c>
      <c r="AM49" s="922">
        <f t="shared" si="7"/>
        <v>0</v>
      </c>
      <c r="AN49" s="6">
        <f t="shared" si="15"/>
        <v>160</v>
      </c>
      <c r="AO49" s="6">
        <f t="shared" si="16"/>
        <v>0</v>
      </c>
      <c r="AP49" s="6">
        <f t="shared" si="17"/>
        <v>160</v>
      </c>
      <c r="AQ49" s="955">
        <f t="shared" si="18"/>
        <v>17.777777777777779</v>
      </c>
      <c r="AR49" s="955">
        <f t="shared" si="19"/>
        <v>0</v>
      </c>
      <c r="AS49" s="955">
        <f t="shared" si="20"/>
        <v>17.777777777777779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</row>
    <row r="50" spans="1:60" ht="15.75">
      <c r="A50" s="136">
        <v>42</v>
      </c>
      <c r="B50" s="118" t="s">
        <v>1005</v>
      </c>
      <c r="C50" s="158" t="s">
        <v>1161</v>
      </c>
      <c r="D50" s="136" t="s">
        <v>1162</v>
      </c>
      <c r="E50" s="159" t="s">
        <v>15</v>
      </c>
      <c r="F50" s="160">
        <v>10</v>
      </c>
      <c r="G50" s="172">
        <v>10</v>
      </c>
      <c r="H50" s="158">
        <v>0</v>
      </c>
      <c r="I50" s="158">
        <f t="shared" si="21"/>
        <v>10</v>
      </c>
      <c r="J50" s="168">
        <v>3</v>
      </c>
      <c r="K50" s="158">
        <v>0</v>
      </c>
      <c r="L50" s="158">
        <f t="shared" si="22"/>
        <v>3</v>
      </c>
      <c r="M50" s="132">
        <v>0</v>
      </c>
      <c r="N50" s="158">
        <v>0</v>
      </c>
      <c r="O50" s="158">
        <f t="shared" si="23"/>
        <v>0</v>
      </c>
      <c r="P50" s="158">
        <v>12</v>
      </c>
      <c r="Q50" s="158">
        <v>0</v>
      </c>
      <c r="R50" s="158">
        <f t="shared" si="24"/>
        <v>12</v>
      </c>
      <c r="S50" s="158">
        <v>6</v>
      </c>
      <c r="T50" s="158">
        <v>0</v>
      </c>
      <c r="U50" s="158">
        <f t="shared" si="25"/>
        <v>6</v>
      </c>
      <c r="V50" s="158">
        <v>21</v>
      </c>
      <c r="W50" s="158">
        <v>0</v>
      </c>
      <c r="X50" s="158">
        <f t="shared" si="4"/>
        <v>21</v>
      </c>
      <c r="Y50" s="174">
        <f t="shared" si="9"/>
        <v>52</v>
      </c>
      <c r="Z50" s="174">
        <f t="shared" si="10"/>
        <v>0</v>
      </c>
      <c r="AA50" s="174">
        <f t="shared" si="11"/>
        <v>52</v>
      </c>
      <c r="AB50" s="175">
        <f t="shared" si="12"/>
        <v>8.6666666666666661</v>
      </c>
      <c r="AC50" s="175">
        <f t="shared" si="13"/>
        <v>0</v>
      </c>
      <c r="AD50" s="175">
        <f t="shared" si="14"/>
        <v>8.6666666666666661</v>
      </c>
      <c r="AE50" s="168">
        <v>15</v>
      </c>
      <c r="AF50" s="134">
        <v>0</v>
      </c>
      <c r="AG50" s="158">
        <f t="shared" si="5"/>
        <v>15</v>
      </c>
      <c r="AH50" s="134">
        <v>20</v>
      </c>
      <c r="AI50" s="134">
        <v>0</v>
      </c>
      <c r="AJ50" s="922">
        <f t="shared" si="6"/>
        <v>20</v>
      </c>
      <c r="AK50" s="921">
        <v>0</v>
      </c>
      <c r="AL50" s="134">
        <v>0</v>
      </c>
      <c r="AM50" s="922">
        <f t="shared" si="7"/>
        <v>0</v>
      </c>
      <c r="AN50" s="6">
        <f t="shared" si="15"/>
        <v>87</v>
      </c>
      <c r="AO50" s="6">
        <f t="shared" si="16"/>
        <v>0</v>
      </c>
      <c r="AP50" s="6">
        <f t="shared" si="17"/>
        <v>87</v>
      </c>
      <c r="AQ50" s="955">
        <f t="shared" si="18"/>
        <v>9.6666666666666661</v>
      </c>
      <c r="AR50" s="955">
        <f t="shared" si="19"/>
        <v>0</v>
      </c>
      <c r="AS50" s="955">
        <f t="shared" si="20"/>
        <v>9.6666666666666661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</row>
    <row r="51" spans="1:60" ht="15.75">
      <c r="A51" s="136">
        <v>43</v>
      </c>
      <c r="B51" s="118" t="s">
        <v>51</v>
      </c>
      <c r="C51" s="158" t="s">
        <v>1161</v>
      </c>
      <c r="D51" s="136" t="s">
        <v>1163</v>
      </c>
      <c r="E51" s="159" t="s">
        <v>15</v>
      </c>
      <c r="F51" s="160">
        <v>5</v>
      </c>
      <c r="G51" s="172">
        <v>5</v>
      </c>
      <c r="H51" s="158">
        <v>0</v>
      </c>
      <c r="I51" s="158">
        <f t="shared" si="21"/>
        <v>5</v>
      </c>
      <c r="J51" s="136">
        <v>6</v>
      </c>
      <c r="K51" s="158">
        <v>0</v>
      </c>
      <c r="L51" s="158">
        <f t="shared" si="22"/>
        <v>6</v>
      </c>
      <c r="M51" s="132">
        <v>12</v>
      </c>
      <c r="N51" s="158">
        <v>0</v>
      </c>
      <c r="O51" s="158">
        <f t="shared" si="23"/>
        <v>12</v>
      </c>
      <c r="P51" s="158">
        <v>54</v>
      </c>
      <c r="Q51" s="158">
        <v>0</v>
      </c>
      <c r="R51" s="158">
        <f t="shared" si="24"/>
        <v>54</v>
      </c>
      <c r="S51" s="158">
        <v>3</v>
      </c>
      <c r="T51" s="158">
        <v>0</v>
      </c>
      <c r="U51" s="158">
        <f t="shared" si="25"/>
        <v>3</v>
      </c>
      <c r="V51" s="158">
        <v>10</v>
      </c>
      <c r="W51" s="158">
        <v>0</v>
      </c>
      <c r="X51" s="158">
        <f t="shared" si="4"/>
        <v>10</v>
      </c>
      <c r="Y51" s="174">
        <f t="shared" si="9"/>
        <v>90</v>
      </c>
      <c r="Z51" s="174">
        <f t="shared" si="10"/>
        <v>0</v>
      </c>
      <c r="AA51" s="174">
        <f t="shared" si="11"/>
        <v>90</v>
      </c>
      <c r="AB51" s="175">
        <f t="shared" si="12"/>
        <v>15</v>
      </c>
      <c r="AC51" s="175">
        <f t="shared" si="13"/>
        <v>0</v>
      </c>
      <c r="AD51" s="175">
        <f t="shared" si="14"/>
        <v>15</v>
      </c>
      <c r="AE51" s="912">
        <v>6</v>
      </c>
      <c r="AF51" s="134">
        <v>0</v>
      </c>
      <c r="AG51" s="158">
        <f t="shared" si="5"/>
        <v>6</v>
      </c>
      <c r="AH51" s="134">
        <v>10</v>
      </c>
      <c r="AI51" s="134">
        <v>0</v>
      </c>
      <c r="AJ51" s="922">
        <f t="shared" si="6"/>
        <v>10</v>
      </c>
      <c r="AK51" s="921">
        <v>3</v>
      </c>
      <c r="AL51" s="134">
        <v>0</v>
      </c>
      <c r="AM51" s="922">
        <f t="shared" si="7"/>
        <v>3</v>
      </c>
      <c r="AN51" s="6">
        <f t="shared" si="15"/>
        <v>109</v>
      </c>
      <c r="AO51" s="6">
        <f t="shared" si="16"/>
        <v>0</v>
      </c>
      <c r="AP51" s="6">
        <f t="shared" si="17"/>
        <v>109</v>
      </c>
      <c r="AQ51" s="955">
        <f t="shared" si="18"/>
        <v>12.111111111111111</v>
      </c>
      <c r="AR51" s="955">
        <f t="shared" si="19"/>
        <v>0</v>
      </c>
      <c r="AS51" s="955">
        <f t="shared" si="20"/>
        <v>12.111111111111111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</row>
    <row r="52" spans="1:60" ht="15.75">
      <c r="A52" s="136">
        <v>44</v>
      </c>
      <c r="B52" s="118" t="s">
        <v>1155</v>
      </c>
      <c r="C52" s="158" t="s">
        <v>1161</v>
      </c>
      <c r="D52" s="136" t="s">
        <v>1164</v>
      </c>
      <c r="E52" s="159" t="s">
        <v>18</v>
      </c>
      <c r="F52" s="160">
        <v>15</v>
      </c>
      <c r="G52" s="172">
        <v>65</v>
      </c>
      <c r="H52" s="158">
        <v>0</v>
      </c>
      <c r="I52" s="158">
        <f t="shared" si="21"/>
        <v>65</v>
      </c>
      <c r="J52" s="136">
        <v>12</v>
      </c>
      <c r="K52" s="158">
        <v>0</v>
      </c>
      <c r="L52" s="158">
        <f t="shared" si="22"/>
        <v>12</v>
      </c>
      <c r="M52" s="132">
        <v>120</v>
      </c>
      <c r="N52" s="158">
        <v>0</v>
      </c>
      <c r="O52" s="158">
        <f t="shared" si="23"/>
        <v>120</v>
      </c>
      <c r="P52" s="158">
        <v>15</v>
      </c>
      <c r="Q52" s="158">
        <v>0</v>
      </c>
      <c r="R52" s="158">
        <f t="shared" si="24"/>
        <v>15</v>
      </c>
      <c r="S52" s="158">
        <v>10</v>
      </c>
      <c r="T52" s="158">
        <v>0</v>
      </c>
      <c r="U52" s="158">
        <f t="shared" si="25"/>
        <v>10</v>
      </c>
      <c r="V52" s="158">
        <v>101</v>
      </c>
      <c r="W52" s="158">
        <v>0</v>
      </c>
      <c r="X52" s="158">
        <f t="shared" si="4"/>
        <v>101</v>
      </c>
      <c r="Y52" s="174">
        <f t="shared" si="9"/>
        <v>323</v>
      </c>
      <c r="Z52" s="174">
        <f t="shared" si="10"/>
        <v>0</v>
      </c>
      <c r="AA52" s="174">
        <f t="shared" si="11"/>
        <v>323</v>
      </c>
      <c r="AB52" s="175">
        <f t="shared" si="12"/>
        <v>53.833333333333336</v>
      </c>
      <c r="AC52" s="175">
        <f t="shared" si="13"/>
        <v>0</v>
      </c>
      <c r="AD52" s="175">
        <f t="shared" si="14"/>
        <v>53.833333333333336</v>
      </c>
      <c r="AE52" s="912">
        <v>0</v>
      </c>
      <c r="AF52" s="134">
        <v>0</v>
      </c>
      <c r="AG52" s="158">
        <f t="shared" si="5"/>
        <v>0</v>
      </c>
      <c r="AH52" s="134">
        <v>86</v>
      </c>
      <c r="AI52" s="134">
        <v>0</v>
      </c>
      <c r="AJ52" s="922">
        <f t="shared" si="6"/>
        <v>86</v>
      </c>
      <c r="AK52" s="921">
        <v>0</v>
      </c>
      <c r="AL52" s="134">
        <v>0</v>
      </c>
      <c r="AM52" s="922">
        <f t="shared" si="7"/>
        <v>0</v>
      </c>
      <c r="AN52" s="6">
        <f t="shared" si="15"/>
        <v>409</v>
      </c>
      <c r="AO52" s="6">
        <f t="shared" si="16"/>
        <v>0</v>
      </c>
      <c r="AP52" s="6">
        <f t="shared" si="17"/>
        <v>409</v>
      </c>
      <c r="AQ52" s="955">
        <f t="shared" si="18"/>
        <v>45.444444444444443</v>
      </c>
      <c r="AR52" s="955">
        <f t="shared" si="19"/>
        <v>0</v>
      </c>
      <c r="AS52" s="955">
        <f t="shared" si="20"/>
        <v>45.444444444444443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</row>
    <row r="53" spans="1:60" ht="15.75">
      <c r="A53" s="136">
        <v>45</v>
      </c>
      <c r="B53" s="118" t="s">
        <v>1010</v>
      </c>
      <c r="C53" s="158" t="s">
        <v>1161</v>
      </c>
      <c r="D53" s="136" t="s">
        <v>1165</v>
      </c>
      <c r="E53" s="159" t="s">
        <v>15</v>
      </c>
      <c r="F53" s="160">
        <v>11</v>
      </c>
      <c r="G53" s="172">
        <v>11</v>
      </c>
      <c r="H53" s="158">
        <v>0</v>
      </c>
      <c r="I53" s="158">
        <f t="shared" si="21"/>
        <v>11</v>
      </c>
      <c r="J53" s="136"/>
      <c r="K53" s="158">
        <v>0</v>
      </c>
      <c r="L53" s="158">
        <f t="shared" si="22"/>
        <v>0</v>
      </c>
      <c r="M53" s="132">
        <v>72</v>
      </c>
      <c r="N53" s="158">
        <v>0</v>
      </c>
      <c r="O53" s="158">
        <f t="shared" si="23"/>
        <v>72</v>
      </c>
      <c r="P53" s="158">
        <v>25</v>
      </c>
      <c r="Q53" s="158">
        <v>0</v>
      </c>
      <c r="R53" s="158">
        <f t="shared" si="24"/>
        <v>25</v>
      </c>
      <c r="S53" s="158">
        <v>12</v>
      </c>
      <c r="T53" s="158">
        <v>0</v>
      </c>
      <c r="U53" s="158">
        <f t="shared" si="25"/>
        <v>12</v>
      </c>
      <c r="V53" s="158">
        <v>98</v>
      </c>
      <c r="W53" s="158">
        <v>0</v>
      </c>
      <c r="X53" s="158">
        <f t="shared" si="4"/>
        <v>98</v>
      </c>
      <c r="Y53" s="174">
        <f t="shared" si="9"/>
        <v>218</v>
      </c>
      <c r="Z53" s="174">
        <f t="shared" si="10"/>
        <v>0</v>
      </c>
      <c r="AA53" s="174">
        <f t="shared" si="11"/>
        <v>218</v>
      </c>
      <c r="AB53" s="175">
        <f t="shared" si="12"/>
        <v>36.333333333333336</v>
      </c>
      <c r="AC53" s="175">
        <f t="shared" si="13"/>
        <v>0</v>
      </c>
      <c r="AD53" s="175">
        <f t="shared" si="14"/>
        <v>36.333333333333336</v>
      </c>
      <c r="AE53" s="912">
        <v>0</v>
      </c>
      <c r="AF53" s="134">
        <v>0</v>
      </c>
      <c r="AG53" s="158">
        <f t="shared" si="5"/>
        <v>0</v>
      </c>
      <c r="AH53" s="134">
        <v>76</v>
      </c>
      <c r="AI53" s="134">
        <v>0</v>
      </c>
      <c r="AJ53" s="922">
        <f t="shared" si="6"/>
        <v>76</v>
      </c>
      <c r="AK53" s="921">
        <v>0</v>
      </c>
      <c r="AL53" s="134">
        <v>0</v>
      </c>
      <c r="AM53" s="922">
        <f t="shared" si="7"/>
        <v>0</v>
      </c>
      <c r="AN53" s="6">
        <f t="shared" si="15"/>
        <v>294</v>
      </c>
      <c r="AO53" s="6">
        <f t="shared" si="16"/>
        <v>0</v>
      </c>
      <c r="AP53" s="6">
        <f t="shared" si="17"/>
        <v>294</v>
      </c>
      <c r="AQ53" s="955">
        <f t="shared" si="18"/>
        <v>32.666666666666664</v>
      </c>
      <c r="AR53" s="955">
        <f t="shared" si="19"/>
        <v>0</v>
      </c>
      <c r="AS53" s="955">
        <f t="shared" si="20"/>
        <v>32.666666666666664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</row>
    <row r="54" spans="1:60" ht="15.75">
      <c r="A54" s="136">
        <v>46</v>
      </c>
      <c r="B54" s="166" t="s">
        <v>972</v>
      </c>
      <c r="C54" s="158" t="s">
        <v>1161</v>
      </c>
      <c r="D54" s="136" t="s">
        <v>1166</v>
      </c>
      <c r="E54" s="159" t="s">
        <v>15</v>
      </c>
      <c r="F54" s="160">
        <v>14</v>
      </c>
      <c r="G54" s="172">
        <v>14</v>
      </c>
      <c r="H54" s="158">
        <v>0</v>
      </c>
      <c r="I54" s="158">
        <f t="shared" si="21"/>
        <v>14</v>
      </c>
      <c r="J54" s="136">
        <v>11</v>
      </c>
      <c r="K54" s="158">
        <v>0</v>
      </c>
      <c r="L54" s="158">
        <f t="shared" si="22"/>
        <v>11</v>
      </c>
      <c r="M54" s="132">
        <v>0</v>
      </c>
      <c r="N54" s="158">
        <v>0</v>
      </c>
      <c r="O54" s="158">
        <f t="shared" si="23"/>
        <v>0</v>
      </c>
      <c r="P54" s="158">
        <v>0</v>
      </c>
      <c r="Q54" s="158">
        <v>0</v>
      </c>
      <c r="R54" s="158">
        <f t="shared" si="24"/>
        <v>0</v>
      </c>
      <c r="S54" s="158">
        <v>10</v>
      </c>
      <c r="T54" s="158">
        <v>0</v>
      </c>
      <c r="U54" s="158">
        <f t="shared" si="25"/>
        <v>10</v>
      </c>
      <c r="V54" s="158">
        <v>0</v>
      </c>
      <c r="W54" s="158">
        <v>0</v>
      </c>
      <c r="X54" s="158">
        <f t="shared" si="4"/>
        <v>0</v>
      </c>
      <c r="Y54" s="174">
        <f t="shared" si="9"/>
        <v>35</v>
      </c>
      <c r="Z54" s="174">
        <f t="shared" si="10"/>
        <v>0</v>
      </c>
      <c r="AA54" s="174">
        <f t="shared" si="11"/>
        <v>35</v>
      </c>
      <c r="AB54" s="175">
        <f t="shared" si="12"/>
        <v>5.833333333333333</v>
      </c>
      <c r="AC54" s="175">
        <f t="shared" si="13"/>
        <v>0</v>
      </c>
      <c r="AD54" s="175">
        <f t="shared" si="14"/>
        <v>5.833333333333333</v>
      </c>
      <c r="AE54" s="912">
        <v>21</v>
      </c>
      <c r="AF54" s="134">
        <v>0</v>
      </c>
      <c r="AG54" s="158">
        <f t="shared" si="5"/>
        <v>21</v>
      </c>
      <c r="AH54" s="134">
        <v>30</v>
      </c>
      <c r="AI54" s="134">
        <v>0</v>
      </c>
      <c r="AJ54" s="922">
        <f t="shared" si="6"/>
        <v>30</v>
      </c>
      <c r="AK54" s="921">
        <v>6</v>
      </c>
      <c r="AL54" s="134">
        <v>0</v>
      </c>
      <c r="AM54" s="922">
        <f t="shared" si="7"/>
        <v>6</v>
      </c>
      <c r="AN54" s="6">
        <f t="shared" si="15"/>
        <v>92</v>
      </c>
      <c r="AO54" s="6">
        <f t="shared" si="16"/>
        <v>0</v>
      </c>
      <c r="AP54" s="6">
        <f t="shared" si="17"/>
        <v>92</v>
      </c>
      <c r="AQ54" s="955">
        <f t="shared" si="18"/>
        <v>10.222222222222221</v>
      </c>
      <c r="AR54" s="955">
        <f t="shared" si="19"/>
        <v>0</v>
      </c>
      <c r="AS54" s="955">
        <f t="shared" si="20"/>
        <v>10.222222222222221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</row>
    <row r="55" spans="1:60" ht="15.75">
      <c r="A55" s="136">
        <v>47</v>
      </c>
      <c r="B55" s="166" t="s">
        <v>1013</v>
      </c>
      <c r="C55" s="158" t="s">
        <v>1161</v>
      </c>
      <c r="D55" s="136" t="s">
        <v>1167</v>
      </c>
      <c r="E55" s="159" t="s">
        <v>15</v>
      </c>
      <c r="F55" s="160">
        <v>3</v>
      </c>
      <c r="G55" s="172">
        <v>35</v>
      </c>
      <c r="H55" s="158">
        <v>0</v>
      </c>
      <c r="I55" s="158">
        <f t="shared" si="21"/>
        <v>35</v>
      </c>
      <c r="J55" s="136">
        <v>0</v>
      </c>
      <c r="K55" s="158">
        <v>0</v>
      </c>
      <c r="L55" s="158">
        <f t="shared" si="22"/>
        <v>0</v>
      </c>
      <c r="M55" s="132">
        <v>25</v>
      </c>
      <c r="N55" s="158">
        <v>0</v>
      </c>
      <c r="O55" s="158">
        <f t="shared" si="23"/>
        <v>25</v>
      </c>
      <c r="P55" s="158">
        <v>20</v>
      </c>
      <c r="Q55" s="158">
        <v>0</v>
      </c>
      <c r="R55" s="158">
        <f t="shared" si="24"/>
        <v>20</v>
      </c>
      <c r="S55" s="158">
        <v>6</v>
      </c>
      <c r="T55" s="158">
        <v>0</v>
      </c>
      <c r="U55" s="158">
        <f t="shared" si="25"/>
        <v>6</v>
      </c>
      <c r="V55" s="158">
        <v>0</v>
      </c>
      <c r="W55" s="158">
        <v>0</v>
      </c>
      <c r="X55" s="158">
        <f t="shared" si="4"/>
        <v>0</v>
      </c>
      <c r="Y55" s="174">
        <f t="shared" si="9"/>
        <v>86</v>
      </c>
      <c r="Z55" s="174">
        <f t="shared" si="10"/>
        <v>0</v>
      </c>
      <c r="AA55" s="174">
        <f t="shared" si="11"/>
        <v>86</v>
      </c>
      <c r="AB55" s="175">
        <f t="shared" si="12"/>
        <v>14.333333333333334</v>
      </c>
      <c r="AC55" s="175">
        <f t="shared" si="13"/>
        <v>0</v>
      </c>
      <c r="AD55" s="175">
        <f t="shared" si="14"/>
        <v>14.333333333333334</v>
      </c>
      <c r="AE55" s="912">
        <v>0</v>
      </c>
      <c r="AF55" s="134">
        <v>0</v>
      </c>
      <c r="AG55" s="158">
        <f t="shared" si="5"/>
        <v>0</v>
      </c>
      <c r="AH55" s="134">
        <v>12</v>
      </c>
      <c r="AI55" s="134">
        <v>0</v>
      </c>
      <c r="AJ55" s="922">
        <f t="shared" si="6"/>
        <v>12</v>
      </c>
      <c r="AK55" s="921">
        <v>0</v>
      </c>
      <c r="AL55" s="134">
        <v>0</v>
      </c>
      <c r="AM55" s="922">
        <f t="shared" si="7"/>
        <v>0</v>
      </c>
      <c r="AN55" s="6">
        <f t="shared" si="15"/>
        <v>98</v>
      </c>
      <c r="AO55" s="6">
        <f t="shared" si="16"/>
        <v>0</v>
      </c>
      <c r="AP55" s="6">
        <f t="shared" si="17"/>
        <v>98</v>
      </c>
      <c r="AQ55" s="955">
        <f t="shared" si="18"/>
        <v>10.888888888888889</v>
      </c>
      <c r="AR55" s="955">
        <f t="shared" si="19"/>
        <v>0</v>
      </c>
      <c r="AS55" s="955">
        <f t="shared" si="20"/>
        <v>10.888888888888889</v>
      </c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</row>
    <row r="56" spans="1:60" ht="15.75">
      <c r="A56" s="136">
        <v>48</v>
      </c>
      <c r="B56" s="166" t="s">
        <v>976</v>
      </c>
      <c r="C56" s="158" t="s">
        <v>1161</v>
      </c>
      <c r="D56" s="136" t="s">
        <v>1168</v>
      </c>
      <c r="E56" s="159" t="s">
        <v>15</v>
      </c>
      <c r="F56" s="160">
        <v>10</v>
      </c>
      <c r="G56" s="172">
        <v>10</v>
      </c>
      <c r="H56" s="158">
        <v>0</v>
      </c>
      <c r="I56" s="158">
        <f t="shared" si="21"/>
        <v>10</v>
      </c>
      <c r="J56" s="136">
        <v>10</v>
      </c>
      <c r="K56" s="158">
        <v>0</v>
      </c>
      <c r="L56" s="158">
        <f t="shared" si="22"/>
        <v>10</v>
      </c>
      <c r="M56" s="132">
        <v>0</v>
      </c>
      <c r="N56" s="158">
        <v>0</v>
      </c>
      <c r="O56" s="158">
        <f t="shared" si="23"/>
        <v>0</v>
      </c>
      <c r="P56" s="158">
        <v>0</v>
      </c>
      <c r="Q56" s="158">
        <v>0</v>
      </c>
      <c r="R56" s="158">
        <f t="shared" si="24"/>
        <v>0</v>
      </c>
      <c r="S56" s="158">
        <v>6</v>
      </c>
      <c r="T56" s="158">
        <v>0</v>
      </c>
      <c r="U56" s="158">
        <f t="shared" si="25"/>
        <v>6</v>
      </c>
      <c r="V56" s="158">
        <v>51</v>
      </c>
      <c r="W56" s="158">
        <v>0</v>
      </c>
      <c r="X56" s="158">
        <f t="shared" si="4"/>
        <v>51</v>
      </c>
      <c r="Y56" s="174">
        <f t="shared" si="9"/>
        <v>77</v>
      </c>
      <c r="Z56" s="174">
        <f t="shared" si="10"/>
        <v>0</v>
      </c>
      <c r="AA56" s="174">
        <f t="shared" si="11"/>
        <v>77</v>
      </c>
      <c r="AB56" s="175">
        <f t="shared" si="12"/>
        <v>12.833333333333334</v>
      </c>
      <c r="AC56" s="175">
        <f t="shared" si="13"/>
        <v>0</v>
      </c>
      <c r="AD56" s="175">
        <f t="shared" si="14"/>
        <v>12.833333333333334</v>
      </c>
      <c r="AE56" s="912">
        <v>10</v>
      </c>
      <c r="AF56" s="134">
        <v>0</v>
      </c>
      <c r="AG56" s="158">
        <f t="shared" si="5"/>
        <v>10</v>
      </c>
      <c r="AH56" s="134">
        <v>10</v>
      </c>
      <c r="AI56" s="134">
        <v>0</v>
      </c>
      <c r="AJ56" s="922">
        <f t="shared" si="6"/>
        <v>10</v>
      </c>
      <c r="AK56" s="921">
        <v>0</v>
      </c>
      <c r="AL56" s="134">
        <v>0</v>
      </c>
      <c r="AM56" s="922">
        <f t="shared" si="7"/>
        <v>0</v>
      </c>
      <c r="AN56" s="6">
        <f t="shared" si="15"/>
        <v>97</v>
      </c>
      <c r="AO56" s="6">
        <f t="shared" si="16"/>
        <v>0</v>
      </c>
      <c r="AP56" s="6">
        <f t="shared" si="17"/>
        <v>97</v>
      </c>
      <c r="AQ56" s="955">
        <f t="shared" si="18"/>
        <v>10.777777777777779</v>
      </c>
      <c r="AR56" s="955">
        <f t="shared" si="19"/>
        <v>0</v>
      </c>
      <c r="AS56" s="955">
        <f t="shared" si="20"/>
        <v>10.777777777777779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</row>
    <row r="57" spans="1:60" ht="15.75">
      <c r="A57" s="136">
        <v>49</v>
      </c>
      <c r="B57" s="166" t="s">
        <v>1016</v>
      </c>
      <c r="C57" s="158" t="s">
        <v>1161</v>
      </c>
      <c r="D57" s="136" t="s">
        <v>1169</v>
      </c>
      <c r="E57" s="159" t="s">
        <v>15</v>
      </c>
      <c r="F57" s="160">
        <v>20</v>
      </c>
      <c r="G57" s="172">
        <v>20</v>
      </c>
      <c r="H57" s="158">
        <v>0</v>
      </c>
      <c r="I57" s="158">
        <f t="shared" si="21"/>
        <v>20</v>
      </c>
      <c r="J57" s="136">
        <v>15</v>
      </c>
      <c r="K57" s="158">
        <v>0</v>
      </c>
      <c r="L57" s="158">
        <f t="shared" si="22"/>
        <v>15</v>
      </c>
      <c r="M57" s="132">
        <v>36</v>
      </c>
      <c r="N57" s="158">
        <v>0</v>
      </c>
      <c r="O57" s="158">
        <f t="shared" si="23"/>
        <v>36</v>
      </c>
      <c r="P57" s="158">
        <v>6</v>
      </c>
      <c r="Q57" s="158">
        <v>0</v>
      </c>
      <c r="R57" s="158">
        <f t="shared" si="24"/>
        <v>6</v>
      </c>
      <c r="S57" s="158">
        <v>3</v>
      </c>
      <c r="T57" s="158">
        <v>0</v>
      </c>
      <c r="U57" s="158">
        <f t="shared" si="25"/>
        <v>3</v>
      </c>
      <c r="V57" s="158">
        <v>29</v>
      </c>
      <c r="W57" s="158">
        <v>0</v>
      </c>
      <c r="X57" s="158">
        <f t="shared" si="4"/>
        <v>29</v>
      </c>
      <c r="Y57" s="174">
        <f t="shared" si="9"/>
        <v>109</v>
      </c>
      <c r="Z57" s="174">
        <f t="shared" si="10"/>
        <v>0</v>
      </c>
      <c r="AA57" s="174">
        <f t="shared" si="11"/>
        <v>109</v>
      </c>
      <c r="AB57" s="175">
        <f t="shared" si="12"/>
        <v>18.166666666666668</v>
      </c>
      <c r="AC57" s="175">
        <f t="shared" si="13"/>
        <v>0</v>
      </c>
      <c r="AD57" s="175">
        <f t="shared" si="14"/>
        <v>18.166666666666668</v>
      </c>
      <c r="AE57" s="912">
        <v>15</v>
      </c>
      <c r="AF57" s="134">
        <v>0</v>
      </c>
      <c r="AG57" s="158">
        <f t="shared" si="5"/>
        <v>15</v>
      </c>
      <c r="AH57" s="134">
        <v>18</v>
      </c>
      <c r="AI57" s="134">
        <v>0</v>
      </c>
      <c r="AJ57" s="922">
        <f t="shared" si="6"/>
        <v>18</v>
      </c>
      <c r="AK57" s="921">
        <v>0</v>
      </c>
      <c r="AL57" s="134">
        <v>0</v>
      </c>
      <c r="AM57" s="922">
        <f t="shared" si="7"/>
        <v>0</v>
      </c>
      <c r="AN57" s="6">
        <f t="shared" si="15"/>
        <v>142</v>
      </c>
      <c r="AO57" s="6">
        <f t="shared" si="16"/>
        <v>0</v>
      </c>
      <c r="AP57" s="6">
        <f t="shared" si="17"/>
        <v>142</v>
      </c>
      <c r="AQ57" s="955">
        <f t="shared" si="18"/>
        <v>15.777777777777779</v>
      </c>
      <c r="AR57" s="955">
        <f t="shared" si="19"/>
        <v>0</v>
      </c>
      <c r="AS57" s="955">
        <f t="shared" si="20"/>
        <v>15.777777777777779</v>
      </c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</row>
    <row r="58" spans="1:60" ht="15.75">
      <c r="A58" s="136">
        <v>50</v>
      </c>
      <c r="B58" s="166" t="s">
        <v>920</v>
      </c>
      <c r="C58" s="158" t="s">
        <v>1161</v>
      </c>
      <c r="D58" s="136" t="s">
        <v>1170</v>
      </c>
      <c r="E58" s="159" t="s">
        <v>15</v>
      </c>
      <c r="F58" s="160">
        <v>6</v>
      </c>
      <c r="G58" s="172">
        <v>6</v>
      </c>
      <c r="H58" s="158">
        <v>0</v>
      </c>
      <c r="I58" s="158">
        <f t="shared" si="21"/>
        <v>6</v>
      </c>
      <c r="J58" s="136">
        <v>0</v>
      </c>
      <c r="K58" s="158">
        <v>0</v>
      </c>
      <c r="L58" s="158">
        <f t="shared" si="22"/>
        <v>0</v>
      </c>
      <c r="M58" s="132">
        <v>0</v>
      </c>
      <c r="N58" s="158">
        <v>0</v>
      </c>
      <c r="O58" s="158">
        <f t="shared" si="23"/>
        <v>0</v>
      </c>
      <c r="P58" s="158">
        <v>40</v>
      </c>
      <c r="Q58" s="158">
        <v>0</v>
      </c>
      <c r="R58" s="158">
        <f t="shared" si="24"/>
        <v>40</v>
      </c>
      <c r="S58" s="158">
        <v>13</v>
      </c>
      <c r="T58" s="158">
        <v>0</v>
      </c>
      <c r="U58" s="158">
        <f t="shared" si="25"/>
        <v>13</v>
      </c>
      <c r="V58" s="158">
        <v>0</v>
      </c>
      <c r="W58" s="158">
        <v>0</v>
      </c>
      <c r="X58" s="158">
        <f t="shared" si="4"/>
        <v>0</v>
      </c>
      <c r="Y58" s="174">
        <f t="shared" si="9"/>
        <v>59</v>
      </c>
      <c r="Z58" s="174">
        <f t="shared" si="10"/>
        <v>0</v>
      </c>
      <c r="AA58" s="174">
        <f t="shared" si="11"/>
        <v>59</v>
      </c>
      <c r="AB58" s="175">
        <f t="shared" si="12"/>
        <v>9.8333333333333339</v>
      </c>
      <c r="AC58" s="175">
        <f t="shared" si="13"/>
        <v>0</v>
      </c>
      <c r="AD58" s="175">
        <f t="shared" si="14"/>
        <v>9.8333333333333339</v>
      </c>
      <c r="AE58" s="912">
        <v>15</v>
      </c>
      <c r="AF58" s="134">
        <v>0</v>
      </c>
      <c r="AG58" s="158">
        <f t="shared" si="5"/>
        <v>15</v>
      </c>
      <c r="AH58" s="134">
        <v>20</v>
      </c>
      <c r="AI58" s="134">
        <v>0</v>
      </c>
      <c r="AJ58" s="922">
        <f t="shared" si="6"/>
        <v>20</v>
      </c>
      <c r="AK58" s="921">
        <v>5</v>
      </c>
      <c r="AL58" s="134">
        <v>0</v>
      </c>
      <c r="AM58" s="922">
        <f t="shared" si="7"/>
        <v>5</v>
      </c>
      <c r="AN58" s="6">
        <f t="shared" si="15"/>
        <v>99</v>
      </c>
      <c r="AO58" s="6">
        <f t="shared" si="16"/>
        <v>0</v>
      </c>
      <c r="AP58" s="6">
        <f t="shared" si="17"/>
        <v>99</v>
      </c>
      <c r="AQ58" s="955">
        <f t="shared" si="18"/>
        <v>11</v>
      </c>
      <c r="AR58" s="955">
        <f t="shared" si="19"/>
        <v>0</v>
      </c>
      <c r="AS58" s="955">
        <f t="shared" si="20"/>
        <v>11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</row>
    <row r="59" spans="1:60" ht="15.75">
      <c r="A59" s="136">
        <v>51</v>
      </c>
      <c r="B59" s="166" t="s">
        <v>1171</v>
      </c>
      <c r="C59" s="158" t="s">
        <v>1161</v>
      </c>
      <c r="D59" s="136" t="s">
        <v>1172</v>
      </c>
      <c r="E59" s="159" t="s">
        <v>15</v>
      </c>
      <c r="F59" s="160">
        <v>15</v>
      </c>
      <c r="G59" s="172">
        <v>15</v>
      </c>
      <c r="H59" s="158">
        <v>0</v>
      </c>
      <c r="I59" s="158">
        <f t="shared" si="21"/>
        <v>15</v>
      </c>
      <c r="J59" s="136">
        <v>12</v>
      </c>
      <c r="K59" s="158">
        <v>0</v>
      </c>
      <c r="L59" s="158">
        <f t="shared" si="22"/>
        <v>12</v>
      </c>
      <c r="M59" s="132">
        <v>32</v>
      </c>
      <c r="N59" s="158">
        <v>0</v>
      </c>
      <c r="O59" s="158">
        <f t="shared" si="23"/>
        <v>32</v>
      </c>
      <c r="P59" s="158">
        <v>8</v>
      </c>
      <c r="Q59" s="158">
        <v>0</v>
      </c>
      <c r="R59" s="158">
        <f t="shared" si="24"/>
        <v>8</v>
      </c>
      <c r="S59" s="158">
        <v>10</v>
      </c>
      <c r="T59" s="158">
        <v>0</v>
      </c>
      <c r="U59" s="158">
        <f t="shared" si="25"/>
        <v>10</v>
      </c>
      <c r="V59" s="158">
        <v>35</v>
      </c>
      <c r="W59" s="158">
        <v>0</v>
      </c>
      <c r="X59" s="158">
        <f t="shared" si="4"/>
        <v>35</v>
      </c>
      <c r="Y59" s="174">
        <f t="shared" si="9"/>
        <v>112</v>
      </c>
      <c r="Z59" s="174">
        <f t="shared" si="10"/>
        <v>0</v>
      </c>
      <c r="AA59" s="174">
        <f t="shared" si="11"/>
        <v>112</v>
      </c>
      <c r="AB59" s="175">
        <f t="shared" si="12"/>
        <v>18.666666666666668</v>
      </c>
      <c r="AC59" s="175">
        <f t="shared" si="13"/>
        <v>0</v>
      </c>
      <c r="AD59" s="175">
        <f t="shared" si="14"/>
        <v>18.666666666666668</v>
      </c>
      <c r="AE59" s="912">
        <v>12</v>
      </c>
      <c r="AF59" s="134">
        <v>0</v>
      </c>
      <c r="AG59" s="158">
        <f t="shared" si="5"/>
        <v>12</v>
      </c>
      <c r="AH59" s="134">
        <v>48</v>
      </c>
      <c r="AI59" s="134">
        <v>0</v>
      </c>
      <c r="AJ59" s="922">
        <f t="shared" si="6"/>
        <v>48</v>
      </c>
      <c r="AK59" s="921">
        <v>0</v>
      </c>
      <c r="AL59" s="134">
        <v>0</v>
      </c>
      <c r="AM59" s="922">
        <f t="shared" si="7"/>
        <v>0</v>
      </c>
      <c r="AN59" s="6">
        <f t="shared" si="15"/>
        <v>172</v>
      </c>
      <c r="AO59" s="6">
        <f t="shared" si="16"/>
        <v>0</v>
      </c>
      <c r="AP59" s="6">
        <f t="shared" si="17"/>
        <v>172</v>
      </c>
      <c r="AQ59" s="955">
        <f t="shared" si="18"/>
        <v>19.111111111111111</v>
      </c>
      <c r="AR59" s="955">
        <f t="shared" si="19"/>
        <v>0</v>
      </c>
      <c r="AS59" s="955">
        <f t="shared" si="20"/>
        <v>19.111111111111111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</row>
    <row r="60" spans="1:60" ht="15.75">
      <c r="A60" s="136">
        <v>52</v>
      </c>
      <c r="B60" s="166" t="s">
        <v>1020</v>
      </c>
      <c r="C60" s="158" t="s">
        <v>1161</v>
      </c>
      <c r="D60" s="136" t="s">
        <v>1173</v>
      </c>
      <c r="E60" s="159" t="s">
        <v>15</v>
      </c>
      <c r="F60" s="160">
        <v>5</v>
      </c>
      <c r="G60" s="172">
        <v>5</v>
      </c>
      <c r="H60" s="158">
        <v>0</v>
      </c>
      <c r="I60" s="158">
        <f t="shared" si="21"/>
        <v>5</v>
      </c>
      <c r="J60" s="136">
        <v>3</v>
      </c>
      <c r="K60" s="158">
        <v>0</v>
      </c>
      <c r="L60" s="158">
        <f t="shared" si="22"/>
        <v>3</v>
      </c>
      <c r="M60" s="132">
        <v>20</v>
      </c>
      <c r="N60" s="158">
        <v>0</v>
      </c>
      <c r="O60" s="158">
        <f t="shared" si="23"/>
        <v>20</v>
      </c>
      <c r="P60" s="158">
        <v>35</v>
      </c>
      <c r="Q60" s="158">
        <v>0</v>
      </c>
      <c r="R60" s="158">
        <f t="shared" si="24"/>
        <v>35</v>
      </c>
      <c r="S60" s="158">
        <v>5</v>
      </c>
      <c r="T60" s="158">
        <v>0</v>
      </c>
      <c r="U60" s="158">
        <f t="shared" si="25"/>
        <v>5</v>
      </c>
      <c r="V60" s="158">
        <v>0</v>
      </c>
      <c r="W60" s="158">
        <v>0</v>
      </c>
      <c r="X60" s="158">
        <f t="shared" si="4"/>
        <v>0</v>
      </c>
      <c r="Y60" s="174">
        <f t="shared" si="9"/>
        <v>68</v>
      </c>
      <c r="Z60" s="174">
        <f t="shared" si="10"/>
        <v>0</v>
      </c>
      <c r="AA60" s="174">
        <f t="shared" si="11"/>
        <v>68</v>
      </c>
      <c r="AB60" s="175">
        <f t="shared" si="12"/>
        <v>11.333333333333334</v>
      </c>
      <c r="AC60" s="175">
        <f t="shared" si="13"/>
        <v>0</v>
      </c>
      <c r="AD60" s="175">
        <f t="shared" si="14"/>
        <v>11.333333333333334</v>
      </c>
      <c r="AE60" s="912">
        <v>3</v>
      </c>
      <c r="AF60" s="134">
        <v>0</v>
      </c>
      <c r="AG60" s="158">
        <f t="shared" si="5"/>
        <v>3</v>
      </c>
      <c r="AH60" s="134">
        <v>10</v>
      </c>
      <c r="AI60" s="134">
        <v>0</v>
      </c>
      <c r="AJ60" s="922">
        <f t="shared" si="6"/>
        <v>10</v>
      </c>
      <c r="AK60" s="921">
        <v>0</v>
      </c>
      <c r="AL60" s="134">
        <v>0</v>
      </c>
      <c r="AM60" s="922">
        <f t="shared" si="7"/>
        <v>0</v>
      </c>
      <c r="AN60" s="6">
        <f t="shared" si="15"/>
        <v>81</v>
      </c>
      <c r="AO60" s="6">
        <f t="shared" si="16"/>
        <v>0</v>
      </c>
      <c r="AP60" s="6">
        <f t="shared" si="17"/>
        <v>81</v>
      </c>
      <c r="AQ60" s="955">
        <f t="shared" si="18"/>
        <v>9</v>
      </c>
      <c r="AR60" s="955">
        <f t="shared" si="19"/>
        <v>0</v>
      </c>
      <c r="AS60" s="955">
        <f t="shared" si="20"/>
        <v>9</v>
      </c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</row>
    <row r="61" spans="1:60" ht="15.75">
      <c r="A61" s="136">
        <v>53</v>
      </c>
      <c r="B61" s="166" t="s">
        <v>1174</v>
      </c>
      <c r="C61" s="158" t="s">
        <v>1161</v>
      </c>
      <c r="D61" s="136" t="s">
        <v>1175</v>
      </c>
      <c r="E61" s="159" t="s">
        <v>15</v>
      </c>
      <c r="F61" s="160">
        <v>25</v>
      </c>
      <c r="G61" s="172">
        <v>25</v>
      </c>
      <c r="H61" s="158">
        <v>0</v>
      </c>
      <c r="I61" s="158">
        <f t="shared" si="21"/>
        <v>25</v>
      </c>
      <c r="J61" s="136">
        <v>10</v>
      </c>
      <c r="K61" s="158">
        <v>0</v>
      </c>
      <c r="L61" s="158">
        <f t="shared" si="22"/>
        <v>10</v>
      </c>
      <c r="M61" s="132">
        <v>25</v>
      </c>
      <c r="N61" s="158">
        <v>0</v>
      </c>
      <c r="O61" s="158">
        <f t="shared" si="23"/>
        <v>25</v>
      </c>
      <c r="P61" s="158">
        <v>20</v>
      </c>
      <c r="Q61" s="158">
        <v>0</v>
      </c>
      <c r="R61" s="158">
        <f t="shared" si="24"/>
        <v>20</v>
      </c>
      <c r="S61" s="158">
        <v>3</v>
      </c>
      <c r="T61" s="158">
        <v>0</v>
      </c>
      <c r="U61" s="158">
        <f t="shared" si="25"/>
        <v>3</v>
      </c>
      <c r="V61" s="158">
        <v>90</v>
      </c>
      <c r="W61" s="158">
        <v>0</v>
      </c>
      <c r="X61" s="158">
        <f t="shared" si="4"/>
        <v>90</v>
      </c>
      <c r="Y61" s="174">
        <f t="shared" si="9"/>
        <v>173</v>
      </c>
      <c r="Z61" s="174">
        <f t="shared" si="10"/>
        <v>0</v>
      </c>
      <c r="AA61" s="174">
        <f t="shared" si="11"/>
        <v>173</v>
      </c>
      <c r="AB61" s="175">
        <f t="shared" si="12"/>
        <v>28.833333333333332</v>
      </c>
      <c r="AC61" s="175">
        <f t="shared" si="13"/>
        <v>0</v>
      </c>
      <c r="AD61" s="175">
        <f t="shared" si="14"/>
        <v>28.833333333333332</v>
      </c>
      <c r="AE61" s="912">
        <v>10</v>
      </c>
      <c r="AF61" s="134">
        <v>0</v>
      </c>
      <c r="AG61" s="158">
        <f t="shared" si="5"/>
        <v>10</v>
      </c>
      <c r="AH61" s="134">
        <v>50</v>
      </c>
      <c r="AI61" s="134">
        <v>0</v>
      </c>
      <c r="AJ61" s="922">
        <f t="shared" si="6"/>
        <v>50</v>
      </c>
      <c r="AK61" s="921">
        <v>0</v>
      </c>
      <c r="AL61" s="134">
        <v>0</v>
      </c>
      <c r="AM61" s="922">
        <f t="shared" si="7"/>
        <v>0</v>
      </c>
      <c r="AN61" s="6">
        <f t="shared" si="15"/>
        <v>233</v>
      </c>
      <c r="AO61" s="6">
        <f t="shared" si="16"/>
        <v>0</v>
      </c>
      <c r="AP61" s="6">
        <f t="shared" si="17"/>
        <v>233</v>
      </c>
      <c r="AQ61" s="955">
        <f t="shared" si="18"/>
        <v>25.888888888888889</v>
      </c>
      <c r="AR61" s="955">
        <f t="shared" si="19"/>
        <v>0</v>
      </c>
      <c r="AS61" s="955">
        <f t="shared" si="20"/>
        <v>25.888888888888889</v>
      </c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</row>
    <row r="62" spans="1:60" ht="15.75">
      <c r="A62" s="136">
        <v>54</v>
      </c>
      <c r="B62" s="166" t="s">
        <v>947</v>
      </c>
      <c r="C62" s="158" t="s">
        <v>1161</v>
      </c>
      <c r="D62" s="136" t="s">
        <v>1176</v>
      </c>
      <c r="E62" s="159" t="s">
        <v>15</v>
      </c>
      <c r="F62" s="160">
        <v>10</v>
      </c>
      <c r="G62" s="172">
        <v>10</v>
      </c>
      <c r="H62" s="158">
        <v>0</v>
      </c>
      <c r="I62" s="158">
        <f t="shared" si="21"/>
        <v>10</v>
      </c>
      <c r="J62" s="136">
        <v>6</v>
      </c>
      <c r="K62" s="158">
        <v>0</v>
      </c>
      <c r="L62" s="158">
        <f t="shared" si="22"/>
        <v>6</v>
      </c>
      <c r="M62" s="132">
        <v>35</v>
      </c>
      <c r="N62" s="158">
        <v>0</v>
      </c>
      <c r="O62" s="158">
        <f t="shared" si="23"/>
        <v>35</v>
      </c>
      <c r="P62" s="158">
        <v>5</v>
      </c>
      <c r="Q62" s="158">
        <v>0</v>
      </c>
      <c r="R62" s="158">
        <f t="shared" si="24"/>
        <v>5</v>
      </c>
      <c r="S62" s="158">
        <v>10</v>
      </c>
      <c r="T62" s="158">
        <v>0</v>
      </c>
      <c r="U62" s="158">
        <f t="shared" si="25"/>
        <v>10</v>
      </c>
      <c r="V62" s="158">
        <v>28</v>
      </c>
      <c r="W62" s="158">
        <v>0</v>
      </c>
      <c r="X62" s="158">
        <f t="shared" si="4"/>
        <v>28</v>
      </c>
      <c r="Y62" s="174">
        <f t="shared" si="9"/>
        <v>94</v>
      </c>
      <c r="Z62" s="174">
        <f t="shared" si="10"/>
        <v>0</v>
      </c>
      <c r="AA62" s="174">
        <f t="shared" si="11"/>
        <v>94</v>
      </c>
      <c r="AB62" s="175">
        <f t="shared" si="12"/>
        <v>15.666666666666666</v>
      </c>
      <c r="AC62" s="175">
        <f t="shared" si="13"/>
        <v>0</v>
      </c>
      <c r="AD62" s="175">
        <f t="shared" si="14"/>
        <v>15.666666666666666</v>
      </c>
      <c r="AE62" s="912">
        <v>6</v>
      </c>
      <c r="AF62" s="134">
        <v>0</v>
      </c>
      <c r="AG62" s="158">
        <f t="shared" si="5"/>
        <v>6</v>
      </c>
      <c r="AH62" s="134">
        <v>0</v>
      </c>
      <c r="AI62" s="134">
        <v>0</v>
      </c>
      <c r="AJ62" s="922">
        <f t="shared" si="6"/>
        <v>0</v>
      </c>
      <c r="AK62" s="921">
        <v>6</v>
      </c>
      <c r="AL62" s="134">
        <v>0</v>
      </c>
      <c r="AM62" s="922">
        <f t="shared" si="7"/>
        <v>6</v>
      </c>
      <c r="AN62" s="6">
        <f t="shared" si="15"/>
        <v>106</v>
      </c>
      <c r="AO62" s="6">
        <f t="shared" si="16"/>
        <v>0</v>
      </c>
      <c r="AP62" s="6">
        <f t="shared" si="17"/>
        <v>106</v>
      </c>
      <c r="AQ62" s="955">
        <f t="shared" si="18"/>
        <v>11.777777777777779</v>
      </c>
      <c r="AR62" s="955">
        <f t="shared" si="19"/>
        <v>0</v>
      </c>
      <c r="AS62" s="955">
        <f t="shared" si="20"/>
        <v>11.777777777777779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</row>
    <row r="63" spans="1:60" ht="15.75">
      <c r="A63" s="136">
        <v>55</v>
      </c>
      <c r="B63" s="166" t="s">
        <v>1177</v>
      </c>
      <c r="C63" s="158" t="s">
        <v>1161</v>
      </c>
      <c r="D63" s="136" t="s">
        <v>1178</v>
      </c>
      <c r="E63" s="159" t="s">
        <v>15</v>
      </c>
      <c r="F63" s="160">
        <v>25</v>
      </c>
      <c r="G63" s="172">
        <v>100</v>
      </c>
      <c r="H63" s="158">
        <v>0</v>
      </c>
      <c r="I63" s="158">
        <f t="shared" si="21"/>
        <v>100</v>
      </c>
      <c r="J63" s="136">
        <v>10</v>
      </c>
      <c r="K63" s="158">
        <v>0</v>
      </c>
      <c r="L63" s="158">
        <f t="shared" si="22"/>
        <v>10</v>
      </c>
      <c r="M63" s="132">
        <v>0</v>
      </c>
      <c r="N63" s="158">
        <v>0</v>
      </c>
      <c r="O63" s="158">
        <f t="shared" si="23"/>
        <v>0</v>
      </c>
      <c r="P63" s="158">
        <v>100</v>
      </c>
      <c r="Q63" s="158">
        <v>0</v>
      </c>
      <c r="R63" s="158">
        <f t="shared" si="24"/>
        <v>100</v>
      </c>
      <c r="S63" s="158">
        <v>5</v>
      </c>
      <c r="T63" s="158">
        <v>0</v>
      </c>
      <c r="U63" s="158">
        <f t="shared" si="25"/>
        <v>5</v>
      </c>
      <c r="V63" s="158">
        <v>0</v>
      </c>
      <c r="W63" s="158">
        <v>0</v>
      </c>
      <c r="X63" s="158">
        <f t="shared" si="4"/>
        <v>0</v>
      </c>
      <c r="Y63" s="174">
        <f t="shared" si="9"/>
        <v>215</v>
      </c>
      <c r="Z63" s="174">
        <f t="shared" si="10"/>
        <v>0</v>
      </c>
      <c r="AA63" s="174">
        <f t="shared" si="11"/>
        <v>215</v>
      </c>
      <c r="AB63" s="175">
        <f t="shared" si="12"/>
        <v>35.833333333333336</v>
      </c>
      <c r="AC63" s="175">
        <f t="shared" si="13"/>
        <v>0</v>
      </c>
      <c r="AD63" s="175">
        <f t="shared" si="14"/>
        <v>35.833333333333336</v>
      </c>
      <c r="AE63" s="912">
        <v>25</v>
      </c>
      <c r="AF63" s="134">
        <v>0</v>
      </c>
      <c r="AG63" s="158">
        <f t="shared" si="5"/>
        <v>25</v>
      </c>
      <c r="AH63" s="134">
        <v>33</v>
      </c>
      <c r="AI63" s="134">
        <v>0</v>
      </c>
      <c r="AJ63" s="922">
        <f t="shared" si="6"/>
        <v>33</v>
      </c>
      <c r="AK63" s="921">
        <v>0</v>
      </c>
      <c r="AL63" s="134">
        <v>0</v>
      </c>
      <c r="AM63" s="922">
        <f t="shared" si="7"/>
        <v>0</v>
      </c>
      <c r="AN63" s="6">
        <f t="shared" si="15"/>
        <v>273</v>
      </c>
      <c r="AO63" s="6">
        <f t="shared" si="16"/>
        <v>0</v>
      </c>
      <c r="AP63" s="6">
        <f t="shared" si="17"/>
        <v>273</v>
      </c>
      <c r="AQ63" s="955">
        <f t="shared" si="18"/>
        <v>30.333333333333332</v>
      </c>
      <c r="AR63" s="955">
        <f t="shared" si="19"/>
        <v>0</v>
      </c>
      <c r="AS63" s="955">
        <f t="shared" si="20"/>
        <v>30.333333333333332</v>
      </c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</row>
    <row r="64" spans="1:60" ht="15.75">
      <c r="A64" s="136">
        <v>56</v>
      </c>
      <c r="B64" s="166" t="s">
        <v>1179</v>
      </c>
      <c r="C64" s="158" t="s">
        <v>1161</v>
      </c>
      <c r="D64" s="136" t="s">
        <v>1180</v>
      </c>
      <c r="E64" s="159" t="s">
        <v>15</v>
      </c>
      <c r="F64" s="160">
        <v>15</v>
      </c>
      <c r="G64" s="172">
        <v>15</v>
      </c>
      <c r="H64" s="158">
        <v>0</v>
      </c>
      <c r="I64" s="158">
        <f t="shared" si="21"/>
        <v>15</v>
      </c>
      <c r="J64" s="136">
        <v>6</v>
      </c>
      <c r="K64" s="158">
        <v>0</v>
      </c>
      <c r="L64" s="158">
        <f t="shared" si="22"/>
        <v>6</v>
      </c>
      <c r="M64" s="132">
        <v>26</v>
      </c>
      <c r="N64" s="158">
        <v>0</v>
      </c>
      <c r="O64" s="158">
        <f t="shared" si="23"/>
        <v>26</v>
      </c>
      <c r="P64" s="158">
        <v>10</v>
      </c>
      <c r="Q64" s="158">
        <v>0</v>
      </c>
      <c r="R64" s="158">
        <f t="shared" si="24"/>
        <v>10</v>
      </c>
      <c r="S64" s="158">
        <v>15</v>
      </c>
      <c r="T64" s="158">
        <v>0</v>
      </c>
      <c r="U64" s="158">
        <f t="shared" si="25"/>
        <v>15</v>
      </c>
      <c r="V64" s="158">
        <v>18</v>
      </c>
      <c r="W64" s="158">
        <v>0</v>
      </c>
      <c r="X64" s="158">
        <f t="shared" si="4"/>
        <v>18</v>
      </c>
      <c r="Y64" s="174">
        <f t="shared" si="9"/>
        <v>90</v>
      </c>
      <c r="Z64" s="174">
        <f t="shared" si="10"/>
        <v>0</v>
      </c>
      <c r="AA64" s="174">
        <f t="shared" si="11"/>
        <v>90</v>
      </c>
      <c r="AB64" s="175">
        <f t="shared" si="12"/>
        <v>15</v>
      </c>
      <c r="AC64" s="175">
        <f t="shared" si="13"/>
        <v>0</v>
      </c>
      <c r="AD64" s="175">
        <f t="shared" si="14"/>
        <v>15</v>
      </c>
      <c r="AE64" s="912">
        <v>10</v>
      </c>
      <c r="AF64" s="134">
        <v>0</v>
      </c>
      <c r="AG64" s="158">
        <f t="shared" si="5"/>
        <v>10</v>
      </c>
      <c r="AH64" s="134">
        <v>19</v>
      </c>
      <c r="AI64" s="134">
        <v>0</v>
      </c>
      <c r="AJ64" s="922">
        <f t="shared" si="6"/>
        <v>19</v>
      </c>
      <c r="AK64" s="921">
        <v>0</v>
      </c>
      <c r="AL64" s="134">
        <v>0</v>
      </c>
      <c r="AM64" s="922">
        <f t="shared" si="7"/>
        <v>0</v>
      </c>
      <c r="AN64" s="6">
        <f t="shared" si="15"/>
        <v>119</v>
      </c>
      <c r="AO64" s="6">
        <f t="shared" si="16"/>
        <v>0</v>
      </c>
      <c r="AP64" s="6">
        <f t="shared" si="17"/>
        <v>119</v>
      </c>
      <c r="AQ64" s="955">
        <f t="shared" si="18"/>
        <v>13.222222222222221</v>
      </c>
      <c r="AR64" s="955">
        <f t="shared" si="19"/>
        <v>0</v>
      </c>
      <c r="AS64" s="955">
        <f t="shared" si="20"/>
        <v>13.222222222222221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</row>
    <row r="65" spans="1:60" ht="15.75">
      <c r="A65" s="136">
        <v>57</v>
      </c>
      <c r="B65" s="166" t="s">
        <v>1181</v>
      </c>
      <c r="C65" s="158" t="s">
        <v>1161</v>
      </c>
      <c r="D65" s="136" t="s">
        <v>1182</v>
      </c>
      <c r="E65" s="159" t="s">
        <v>15</v>
      </c>
      <c r="F65" s="160">
        <v>10</v>
      </c>
      <c r="G65" s="172">
        <v>10</v>
      </c>
      <c r="H65" s="158">
        <v>0</v>
      </c>
      <c r="I65" s="158">
        <f t="shared" si="21"/>
        <v>10</v>
      </c>
      <c r="J65" s="136">
        <v>0</v>
      </c>
      <c r="K65" s="158">
        <v>0</v>
      </c>
      <c r="L65" s="158">
        <f t="shared" si="22"/>
        <v>0</v>
      </c>
      <c r="M65" s="132">
        <v>33</v>
      </c>
      <c r="N65" s="158">
        <v>0</v>
      </c>
      <c r="O65" s="158">
        <f t="shared" si="23"/>
        <v>33</v>
      </c>
      <c r="P65" s="158">
        <v>16</v>
      </c>
      <c r="Q65" s="158">
        <v>0</v>
      </c>
      <c r="R65" s="158">
        <f t="shared" si="24"/>
        <v>16</v>
      </c>
      <c r="S65" s="158">
        <v>11</v>
      </c>
      <c r="T65" s="158">
        <v>0</v>
      </c>
      <c r="U65" s="158">
        <f t="shared" si="25"/>
        <v>11</v>
      </c>
      <c r="V65" s="158">
        <v>19</v>
      </c>
      <c r="W65" s="158">
        <v>0</v>
      </c>
      <c r="X65" s="158">
        <f t="shared" si="4"/>
        <v>19</v>
      </c>
      <c r="Y65" s="174">
        <f t="shared" si="9"/>
        <v>89</v>
      </c>
      <c r="Z65" s="174">
        <f t="shared" si="10"/>
        <v>0</v>
      </c>
      <c r="AA65" s="174">
        <f t="shared" si="11"/>
        <v>89</v>
      </c>
      <c r="AB65" s="175">
        <f t="shared" si="12"/>
        <v>14.833333333333334</v>
      </c>
      <c r="AC65" s="175">
        <f t="shared" si="13"/>
        <v>0</v>
      </c>
      <c r="AD65" s="175">
        <f t="shared" si="14"/>
        <v>14.833333333333334</v>
      </c>
      <c r="AE65" s="912">
        <v>0</v>
      </c>
      <c r="AF65" s="134">
        <v>0</v>
      </c>
      <c r="AG65" s="158">
        <f t="shared" si="5"/>
        <v>0</v>
      </c>
      <c r="AH65" s="134">
        <v>20</v>
      </c>
      <c r="AI65" s="134">
        <v>0</v>
      </c>
      <c r="AJ65" s="922">
        <f t="shared" si="6"/>
        <v>20</v>
      </c>
      <c r="AK65" s="921">
        <v>0</v>
      </c>
      <c r="AL65" s="134">
        <v>0</v>
      </c>
      <c r="AM65" s="922">
        <f t="shared" si="7"/>
        <v>0</v>
      </c>
      <c r="AN65" s="6">
        <f t="shared" si="15"/>
        <v>109</v>
      </c>
      <c r="AO65" s="6">
        <f t="shared" si="16"/>
        <v>0</v>
      </c>
      <c r="AP65" s="6">
        <f t="shared" si="17"/>
        <v>109</v>
      </c>
      <c r="AQ65" s="955">
        <f t="shared" si="18"/>
        <v>12.111111111111111</v>
      </c>
      <c r="AR65" s="955">
        <f t="shared" si="19"/>
        <v>0</v>
      </c>
      <c r="AS65" s="955">
        <f t="shared" si="20"/>
        <v>12.111111111111111</v>
      </c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</row>
    <row r="66" spans="1:60" ht="15.75">
      <c r="A66" s="136">
        <v>58</v>
      </c>
      <c r="B66" s="166" t="s">
        <v>1183</v>
      </c>
      <c r="C66" s="158" t="s">
        <v>1161</v>
      </c>
      <c r="D66" s="136" t="s">
        <v>1184</v>
      </c>
      <c r="E66" s="159" t="s">
        <v>15</v>
      </c>
      <c r="F66" s="160">
        <v>18</v>
      </c>
      <c r="G66" s="172">
        <v>18</v>
      </c>
      <c r="H66" s="158">
        <v>0</v>
      </c>
      <c r="I66" s="158">
        <f t="shared" si="21"/>
        <v>18</v>
      </c>
      <c r="J66" s="136">
        <v>0</v>
      </c>
      <c r="K66" s="158">
        <v>0</v>
      </c>
      <c r="L66" s="158">
        <f t="shared" si="22"/>
        <v>0</v>
      </c>
      <c r="M66" s="132">
        <v>56</v>
      </c>
      <c r="N66" s="158">
        <v>0</v>
      </c>
      <c r="O66" s="158">
        <f t="shared" si="23"/>
        <v>56</v>
      </c>
      <c r="P66" s="158">
        <v>0</v>
      </c>
      <c r="Q66" s="158">
        <v>0</v>
      </c>
      <c r="R66" s="158">
        <f t="shared" si="24"/>
        <v>0</v>
      </c>
      <c r="S66" s="158">
        <v>3</v>
      </c>
      <c r="T66" s="158">
        <v>0</v>
      </c>
      <c r="U66" s="158">
        <f t="shared" si="25"/>
        <v>3</v>
      </c>
      <c r="V66" s="158">
        <v>52</v>
      </c>
      <c r="W66" s="158">
        <v>0</v>
      </c>
      <c r="X66" s="158">
        <f t="shared" si="4"/>
        <v>52</v>
      </c>
      <c r="Y66" s="174">
        <f t="shared" si="9"/>
        <v>129</v>
      </c>
      <c r="Z66" s="174">
        <f t="shared" si="10"/>
        <v>0</v>
      </c>
      <c r="AA66" s="174">
        <f t="shared" si="11"/>
        <v>129</v>
      </c>
      <c r="AB66" s="175">
        <f t="shared" si="12"/>
        <v>21.5</v>
      </c>
      <c r="AC66" s="175">
        <f t="shared" si="13"/>
        <v>0</v>
      </c>
      <c r="AD66" s="175">
        <f t="shared" si="14"/>
        <v>21.5</v>
      </c>
      <c r="AE66" s="912">
        <v>0</v>
      </c>
      <c r="AF66" s="134">
        <v>0</v>
      </c>
      <c r="AG66" s="158">
        <f t="shared" si="5"/>
        <v>0</v>
      </c>
      <c r="AH66" s="134">
        <v>67</v>
      </c>
      <c r="AI66" s="134">
        <v>0</v>
      </c>
      <c r="AJ66" s="922">
        <f t="shared" si="6"/>
        <v>67</v>
      </c>
      <c r="AK66" s="921">
        <v>0</v>
      </c>
      <c r="AL66" s="134">
        <v>0</v>
      </c>
      <c r="AM66" s="922">
        <f t="shared" si="7"/>
        <v>0</v>
      </c>
      <c r="AN66" s="6">
        <f t="shared" si="15"/>
        <v>196</v>
      </c>
      <c r="AO66" s="6">
        <f t="shared" si="16"/>
        <v>0</v>
      </c>
      <c r="AP66" s="6">
        <f t="shared" si="17"/>
        <v>196</v>
      </c>
      <c r="AQ66" s="955">
        <f t="shared" si="18"/>
        <v>21.777777777777779</v>
      </c>
      <c r="AR66" s="955">
        <f t="shared" si="19"/>
        <v>0</v>
      </c>
      <c r="AS66" s="955">
        <f t="shared" si="20"/>
        <v>21.777777777777779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</row>
    <row r="67" spans="1:60" ht="15.75">
      <c r="A67" s="136">
        <v>59</v>
      </c>
      <c r="B67" s="166" t="s">
        <v>1185</v>
      </c>
      <c r="C67" s="158" t="s">
        <v>1161</v>
      </c>
      <c r="D67" s="136" t="s">
        <v>1186</v>
      </c>
      <c r="E67" s="159" t="s">
        <v>15</v>
      </c>
      <c r="F67" s="160">
        <v>10</v>
      </c>
      <c r="G67" s="172">
        <v>10</v>
      </c>
      <c r="H67" s="158">
        <v>0</v>
      </c>
      <c r="I67" s="158">
        <f t="shared" si="21"/>
        <v>10</v>
      </c>
      <c r="J67" s="136">
        <v>3</v>
      </c>
      <c r="K67" s="158">
        <v>0</v>
      </c>
      <c r="L67" s="158">
        <f t="shared" si="22"/>
        <v>3</v>
      </c>
      <c r="M67" s="132">
        <v>0</v>
      </c>
      <c r="N67" s="158">
        <v>0</v>
      </c>
      <c r="O67" s="158">
        <f t="shared" si="23"/>
        <v>0</v>
      </c>
      <c r="P67" s="158">
        <v>80</v>
      </c>
      <c r="Q67" s="158">
        <v>0</v>
      </c>
      <c r="R67" s="158">
        <f t="shared" si="24"/>
        <v>80</v>
      </c>
      <c r="S67" s="158">
        <v>6</v>
      </c>
      <c r="T67" s="158">
        <v>0</v>
      </c>
      <c r="U67" s="158">
        <f t="shared" si="25"/>
        <v>6</v>
      </c>
      <c r="V67" s="158">
        <v>56</v>
      </c>
      <c r="W67" s="158">
        <v>0</v>
      </c>
      <c r="X67" s="158">
        <f t="shared" si="4"/>
        <v>56</v>
      </c>
      <c r="Y67" s="174">
        <f t="shared" si="9"/>
        <v>155</v>
      </c>
      <c r="Z67" s="174">
        <f t="shared" si="10"/>
        <v>0</v>
      </c>
      <c r="AA67" s="174">
        <f t="shared" si="11"/>
        <v>155</v>
      </c>
      <c r="AB67" s="175">
        <f t="shared" si="12"/>
        <v>25.833333333333332</v>
      </c>
      <c r="AC67" s="175">
        <f t="shared" si="13"/>
        <v>0</v>
      </c>
      <c r="AD67" s="175">
        <f t="shared" si="14"/>
        <v>25.833333333333332</v>
      </c>
      <c r="AE67" s="912">
        <v>12</v>
      </c>
      <c r="AF67" s="134">
        <v>0</v>
      </c>
      <c r="AG67" s="158">
        <f t="shared" si="5"/>
        <v>12</v>
      </c>
      <c r="AH67" s="134">
        <v>75</v>
      </c>
      <c r="AI67" s="134">
        <v>0</v>
      </c>
      <c r="AJ67" s="922">
        <f t="shared" si="6"/>
        <v>75</v>
      </c>
      <c r="AK67" s="921">
        <v>0</v>
      </c>
      <c r="AL67" s="134">
        <v>0</v>
      </c>
      <c r="AM67" s="922">
        <f t="shared" si="7"/>
        <v>0</v>
      </c>
      <c r="AN67" s="6">
        <f t="shared" si="15"/>
        <v>242</v>
      </c>
      <c r="AO67" s="6">
        <f t="shared" si="16"/>
        <v>0</v>
      </c>
      <c r="AP67" s="6">
        <f t="shared" si="17"/>
        <v>242</v>
      </c>
      <c r="AQ67" s="955">
        <f t="shared" si="18"/>
        <v>26.888888888888889</v>
      </c>
      <c r="AR67" s="955">
        <f t="shared" si="19"/>
        <v>0</v>
      </c>
      <c r="AS67" s="955">
        <f t="shared" si="20"/>
        <v>26.888888888888889</v>
      </c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</row>
    <row r="68" spans="1:60" ht="15.75">
      <c r="A68" s="136">
        <v>60</v>
      </c>
      <c r="B68" s="166" t="s">
        <v>1187</v>
      </c>
      <c r="C68" s="158" t="s">
        <v>1161</v>
      </c>
      <c r="D68" s="136" t="s">
        <v>1188</v>
      </c>
      <c r="E68" s="159" t="s">
        <v>15</v>
      </c>
      <c r="F68" s="160">
        <v>3</v>
      </c>
      <c r="G68" s="172">
        <v>3</v>
      </c>
      <c r="H68" s="158">
        <v>0</v>
      </c>
      <c r="I68" s="158">
        <f t="shared" si="21"/>
        <v>3</v>
      </c>
      <c r="J68" s="136">
        <v>0</v>
      </c>
      <c r="K68" s="158">
        <v>0</v>
      </c>
      <c r="L68" s="158">
        <f t="shared" si="22"/>
        <v>0</v>
      </c>
      <c r="M68" s="132">
        <v>15</v>
      </c>
      <c r="N68" s="158">
        <v>0</v>
      </c>
      <c r="O68" s="158">
        <f t="shared" si="23"/>
        <v>15</v>
      </c>
      <c r="P68" s="158">
        <v>88</v>
      </c>
      <c r="Q68" s="158">
        <v>0</v>
      </c>
      <c r="R68" s="158">
        <f t="shared" si="24"/>
        <v>88</v>
      </c>
      <c r="S68" s="158">
        <v>5</v>
      </c>
      <c r="T68" s="158">
        <v>0</v>
      </c>
      <c r="U68" s="158">
        <f t="shared" si="25"/>
        <v>5</v>
      </c>
      <c r="V68" s="158">
        <v>16</v>
      </c>
      <c r="W68" s="158">
        <v>0</v>
      </c>
      <c r="X68" s="158">
        <f t="shared" si="4"/>
        <v>16</v>
      </c>
      <c r="Y68" s="174">
        <f t="shared" si="9"/>
        <v>127</v>
      </c>
      <c r="Z68" s="174">
        <f t="shared" si="10"/>
        <v>0</v>
      </c>
      <c r="AA68" s="174">
        <f t="shared" si="11"/>
        <v>127</v>
      </c>
      <c r="AB68" s="175">
        <f t="shared" si="12"/>
        <v>21.166666666666668</v>
      </c>
      <c r="AC68" s="175">
        <f t="shared" si="13"/>
        <v>0</v>
      </c>
      <c r="AD68" s="175">
        <f t="shared" si="14"/>
        <v>21.166666666666668</v>
      </c>
      <c r="AE68" s="912">
        <v>0</v>
      </c>
      <c r="AF68" s="134">
        <v>0</v>
      </c>
      <c r="AG68" s="158">
        <f t="shared" si="5"/>
        <v>0</v>
      </c>
      <c r="AH68" s="134">
        <v>0</v>
      </c>
      <c r="AI68" s="134">
        <v>0</v>
      </c>
      <c r="AJ68" s="922">
        <f t="shared" si="6"/>
        <v>0</v>
      </c>
      <c r="AK68" s="921">
        <v>6</v>
      </c>
      <c r="AL68" s="134">
        <v>0</v>
      </c>
      <c r="AM68" s="922">
        <f t="shared" si="7"/>
        <v>6</v>
      </c>
      <c r="AN68" s="6">
        <f t="shared" si="15"/>
        <v>133</v>
      </c>
      <c r="AO68" s="6">
        <f t="shared" si="16"/>
        <v>0</v>
      </c>
      <c r="AP68" s="6">
        <f t="shared" si="17"/>
        <v>133</v>
      </c>
      <c r="AQ68" s="955">
        <f t="shared" si="18"/>
        <v>14.777777777777779</v>
      </c>
      <c r="AR68" s="955">
        <f t="shared" si="19"/>
        <v>0</v>
      </c>
      <c r="AS68" s="955">
        <f t="shared" si="20"/>
        <v>14.777777777777779</v>
      </c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</row>
    <row r="69" spans="1:60" ht="15.75">
      <c r="A69" s="136">
        <v>61</v>
      </c>
      <c r="B69" s="166" t="s">
        <v>1177</v>
      </c>
      <c r="C69" s="158" t="s">
        <v>1161</v>
      </c>
      <c r="D69" s="136" t="s">
        <v>1189</v>
      </c>
      <c r="E69" s="159" t="s">
        <v>15</v>
      </c>
      <c r="F69" s="160">
        <v>20</v>
      </c>
      <c r="G69" s="172">
        <v>20</v>
      </c>
      <c r="H69" s="158">
        <v>0</v>
      </c>
      <c r="I69" s="158">
        <f t="shared" si="21"/>
        <v>20</v>
      </c>
      <c r="J69" s="136">
        <v>16</v>
      </c>
      <c r="K69" s="158">
        <v>0</v>
      </c>
      <c r="L69" s="158">
        <f t="shared" si="22"/>
        <v>16</v>
      </c>
      <c r="M69" s="132">
        <v>50</v>
      </c>
      <c r="N69" s="158">
        <v>0</v>
      </c>
      <c r="O69" s="158">
        <f t="shared" si="23"/>
        <v>50</v>
      </c>
      <c r="P69" s="158">
        <v>18</v>
      </c>
      <c r="Q69" s="158">
        <v>0</v>
      </c>
      <c r="R69" s="158">
        <f t="shared" si="24"/>
        <v>18</v>
      </c>
      <c r="S69" s="158">
        <v>5</v>
      </c>
      <c r="T69" s="158">
        <v>0</v>
      </c>
      <c r="U69" s="158">
        <f t="shared" si="25"/>
        <v>5</v>
      </c>
      <c r="V69" s="158">
        <v>0</v>
      </c>
      <c r="W69" s="158">
        <v>0</v>
      </c>
      <c r="X69" s="158">
        <f t="shared" si="4"/>
        <v>0</v>
      </c>
      <c r="Y69" s="174">
        <f t="shared" si="9"/>
        <v>109</v>
      </c>
      <c r="Z69" s="174">
        <f t="shared" si="10"/>
        <v>0</v>
      </c>
      <c r="AA69" s="174">
        <f t="shared" si="11"/>
        <v>109</v>
      </c>
      <c r="AB69" s="175">
        <f t="shared" si="12"/>
        <v>18.166666666666668</v>
      </c>
      <c r="AC69" s="175">
        <f t="shared" si="13"/>
        <v>0</v>
      </c>
      <c r="AD69" s="175">
        <f t="shared" si="14"/>
        <v>18.166666666666668</v>
      </c>
      <c r="AE69" s="912">
        <v>10</v>
      </c>
      <c r="AF69" s="134">
        <v>0</v>
      </c>
      <c r="AG69" s="158">
        <f t="shared" si="5"/>
        <v>10</v>
      </c>
      <c r="AH69" s="134">
        <v>0</v>
      </c>
      <c r="AI69" s="134">
        <v>0</v>
      </c>
      <c r="AJ69" s="922">
        <f t="shared" si="6"/>
        <v>0</v>
      </c>
      <c r="AK69" s="921">
        <v>0</v>
      </c>
      <c r="AL69" s="134">
        <v>0</v>
      </c>
      <c r="AM69" s="922">
        <f t="shared" si="7"/>
        <v>0</v>
      </c>
      <c r="AN69" s="6">
        <f t="shared" si="15"/>
        <v>119</v>
      </c>
      <c r="AO69" s="6">
        <f t="shared" si="16"/>
        <v>0</v>
      </c>
      <c r="AP69" s="6">
        <f t="shared" si="17"/>
        <v>119</v>
      </c>
      <c r="AQ69" s="955">
        <f t="shared" si="18"/>
        <v>13.222222222222221</v>
      </c>
      <c r="AR69" s="955">
        <f t="shared" si="19"/>
        <v>0</v>
      </c>
      <c r="AS69" s="955">
        <f t="shared" si="20"/>
        <v>13.222222222222221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</row>
    <row r="70" spans="1:60" ht="15.75">
      <c r="A70" s="136">
        <v>62</v>
      </c>
      <c r="B70" s="166" t="s">
        <v>1190</v>
      </c>
      <c r="C70" s="158" t="s">
        <v>1191</v>
      </c>
      <c r="D70" s="136" t="s">
        <v>1192</v>
      </c>
      <c r="E70" s="159" t="s">
        <v>15</v>
      </c>
      <c r="F70" s="160">
        <v>13</v>
      </c>
      <c r="G70" s="172">
        <v>13</v>
      </c>
      <c r="H70" s="158">
        <v>0</v>
      </c>
      <c r="I70" s="158">
        <f t="shared" si="21"/>
        <v>13</v>
      </c>
      <c r="J70" s="136">
        <v>0</v>
      </c>
      <c r="K70" s="158">
        <v>0</v>
      </c>
      <c r="L70" s="158">
        <f t="shared" si="22"/>
        <v>0</v>
      </c>
      <c r="M70" s="132">
        <v>120</v>
      </c>
      <c r="N70" s="158">
        <v>0</v>
      </c>
      <c r="O70" s="158">
        <f t="shared" si="23"/>
        <v>120</v>
      </c>
      <c r="P70" s="158">
        <v>20</v>
      </c>
      <c r="Q70" s="158">
        <v>0</v>
      </c>
      <c r="R70" s="158">
        <f t="shared" si="24"/>
        <v>20</v>
      </c>
      <c r="S70" s="158">
        <v>3</v>
      </c>
      <c r="T70" s="158">
        <v>0</v>
      </c>
      <c r="U70" s="158">
        <f t="shared" si="25"/>
        <v>3</v>
      </c>
      <c r="V70" s="158">
        <v>61</v>
      </c>
      <c r="W70" s="158">
        <v>0</v>
      </c>
      <c r="X70" s="158">
        <f t="shared" si="4"/>
        <v>61</v>
      </c>
      <c r="Y70" s="174">
        <f t="shared" si="9"/>
        <v>217</v>
      </c>
      <c r="Z70" s="174">
        <f t="shared" si="10"/>
        <v>0</v>
      </c>
      <c r="AA70" s="174">
        <f t="shared" si="11"/>
        <v>217</v>
      </c>
      <c r="AB70" s="175">
        <f t="shared" si="12"/>
        <v>36.166666666666664</v>
      </c>
      <c r="AC70" s="175">
        <f t="shared" si="13"/>
        <v>0</v>
      </c>
      <c r="AD70" s="175">
        <f t="shared" si="14"/>
        <v>36.166666666666664</v>
      </c>
      <c r="AE70" s="912">
        <v>18</v>
      </c>
      <c r="AF70" s="134">
        <v>0</v>
      </c>
      <c r="AG70" s="158">
        <f t="shared" si="5"/>
        <v>18</v>
      </c>
      <c r="AH70" s="134">
        <v>54</v>
      </c>
      <c r="AI70" s="134">
        <v>0</v>
      </c>
      <c r="AJ70" s="922">
        <f t="shared" si="6"/>
        <v>54</v>
      </c>
      <c r="AK70" s="921">
        <v>0</v>
      </c>
      <c r="AL70" s="134">
        <v>0</v>
      </c>
      <c r="AM70" s="922">
        <f t="shared" si="7"/>
        <v>0</v>
      </c>
      <c r="AN70" s="6">
        <f t="shared" si="15"/>
        <v>289</v>
      </c>
      <c r="AO70" s="6">
        <f t="shared" si="16"/>
        <v>0</v>
      </c>
      <c r="AP70" s="6">
        <f t="shared" si="17"/>
        <v>289</v>
      </c>
      <c r="AQ70" s="955">
        <f t="shared" si="18"/>
        <v>32.111111111111114</v>
      </c>
      <c r="AR70" s="955">
        <f t="shared" si="19"/>
        <v>0</v>
      </c>
      <c r="AS70" s="955">
        <f t="shared" si="20"/>
        <v>32.111111111111114</v>
      </c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</row>
    <row r="71" spans="1:60" ht="15.75">
      <c r="A71" s="136">
        <v>63</v>
      </c>
      <c r="B71" s="166" t="s">
        <v>207</v>
      </c>
      <c r="C71" s="158" t="s">
        <v>1191</v>
      </c>
      <c r="D71" s="136" t="s">
        <v>1193</v>
      </c>
      <c r="E71" s="159" t="s">
        <v>15</v>
      </c>
      <c r="F71" s="160">
        <v>15</v>
      </c>
      <c r="G71" s="172">
        <v>15</v>
      </c>
      <c r="H71" s="158">
        <v>0</v>
      </c>
      <c r="I71" s="158">
        <f t="shared" si="21"/>
        <v>15</v>
      </c>
      <c r="J71" s="136">
        <v>12</v>
      </c>
      <c r="K71" s="158">
        <v>0</v>
      </c>
      <c r="L71" s="158">
        <f t="shared" si="22"/>
        <v>12</v>
      </c>
      <c r="M71" s="132">
        <v>0</v>
      </c>
      <c r="N71" s="158">
        <v>0</v>
      </c>
      <c r="O71" s="158">
        <f t="shared" si="23"/>
        <v>0</v>
      </c>
      <c r="P71" s="158">
        <v>50</v>
      </c>
      <c r="Q71" s="158">
        <v>0</v>
      </c>
      <c r="R71" s="158">
        <f t="shared" si="24"/>
        <v>50</v>
      </c>
      <c r="S71" s="158">
        <v>5</v>
      </c>
      <c r="T71" s="158">
        <v>0</v>
      </c>
      <c r="U71" s="158">
        <f t="shared" si="25"/>
        <v>5</v>
      </c>
      <c r="V71" s="158">
        <v>34</v>
      </c>
      <c r="W71" s="158">
        <v>0</v>
      </c>
      <c r="X71" s="158">
        <f t="shared" si="4"/>
        <v>34</v>
      </c>
      <c r="Y71" s="174">
        <f t="shared" si="9"/>
        <v>116</v>
      </c>
      <c r="Z71" s="174">
        <f t="shared" si="10"/>
        <v>0</v>
      </c>
      <c r="AA71" s="174">
        <f t="shared" si="11"/>
        <v>116</v>
      </c>
      <c r="AB71" s="175">
        <f t="shared" si="12"/>
        <v>19.333333333333332</v>
      </c>
      <c r="AC71" s="175">
        <f t="shared" si="13"/>
        <v>0</v>
      </c>
      <c r="AD71" s="175">
        <f t="shared" si="14"/>
        <v>19.333333333333332</v>
      </c>
      <c r="AE71" s="912">
        <v>26</v>
      </c>
      <c r="AF71" s="134">
        <v>0</v>
      </c>
      <c r="AG71" s="158">
        <f t="shared" si="5"/>
        <v>26</v>
      </c>
      <c r="AH71" s="134">
        <v>0</v>
      </c>
      <c r="AI71" s="134">
        <v>0</v>
      </c>
      <c r="AJ71" s="922">
        <f t="shared" si="6"/>
        <v>0</v>
      </c>
      <c r="AK71" s="921">
        <v>3</v>
      </c>
      <c r="AL71" s="134">
        <v>0</v>
      </c>
      <c r="AM71" s="922">
        <f t="shared" si="7"/>
        <v>3</v>
      </c>
      <c r="AN71" s="6">
        <f t="shared" si="15"/>
        <v>145</v>
      </c>
      <c r="AO71" s="6">
        <f t="shared" si="16"/>
        <v>0</v>
      </c>
      <c r="AP71" s="6">
        <f t="shared" si="17"/>
        <v>145</v>
      </c>
      <c r="AQ71" s="955">
        <f t="shared" si="18"/>
        <v>16.111111111111111</v>
      </c>
      <c r="AR71" s="955">
        <f t="shared" si="19"/>
        <v>0</v>
      </c>
      <c r="AS71" s="955">
        <f t="shared" si="20"/>
        <v>16.111111111111111</v>
      </c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</row>
    <row r="72" spans="1:60" ht="15.75">
      <c r="A72" s="136">
        <v>64</v>
      </c>
      <c r="B72" s="166" t="s">
        <v>1194</v>
      </c>
      <c r="C72" s="158" t="s">
        <v>1191</v>
      </c>
      <c r="D72" s="136" t="s">
        <v>1195</v>
      </c>
      <c r="E72" s="159" t="s">
        <v>15</v>
      </c>
      <c r="F72" s="160">
        <v>10</v>
      </c>
      <c r="G72" s="172">
        <v>10</v>
      </c>
      <c r="H72" s="158">
        <v>0</v>
      </c>
      <c r="I72" s="158">
        <f t="shared" si="21"/>
        <v>10</v>
      </c>
      <c r="J72" s="136">
        <v>10</v>
      </c>
      <c r="K72" s="158">
        <v>0</v>
      </c>
      <c r="L72" s="158">
        <f t="shared" si="22"/>
        <v>10</v>
      </c>
      <c r="M72" s="132">
        <v>0</v>
      </c>
      <c r="N72" s="158">
        <v>0</v>
      </c>
      <c r="O72" s="158">
        <f t="shared" si="23"/>
        <v>0</v>
      </c>
      <c r="P72" s="158">
        <v>111</v>
      </c>
      <c r="Q72" s="158">
        <v>0</v>
      </c>
      <c r="R72" s="158">
        <f t="shared" si="24"/>
        <v>111</v>
      </c>
      <c r="S72" s="158">
        <v>8</v>
      </c>
      <c r="T72" s="158">
        <v>0</v>
      </c>
      <c r="U72" s="158">
        <f t="shared" si="25"/>
        <v>8</v>
      </c>
      <c r="V72" s="158">
        <v>85</v>
      </c>
      <c r="W72" s="158">
        <v>0</v>
      </c>
      <c r="X72" s="158">
        <f t="shared" si="4"/>
        <v>85</v>
      </c>
      <c r="Y72" s="174">
        <f t="shared" si="9"/>
        <v>224</v>
      </c>
      <c r="Z72" s="174">
        <f t="shared" si="10"/>
        <v>0</v>
      </c>
      <c r="AA72" s="174">
        <f t="shared" si="11"/>
        <v>224</v>
      </c>
      <c r="AB72" s="175">
        <f t="shared" si="12"/>
        <v>37.333333333333336</v>
      </c>
      <c r="AC72" s="175">
        <f t="shared" si="13"/>
        <v>0</v>
      </c>
      <c r="AD72" s="175">
        <f t="shared" si="14"/>
        <v>37.333333333333336</v>
      </c>
      <c r="AE72" s="912">
        <v>25</v>
      </c>
      <c r="AF72" s="134">
        <v>0</v>
      </c>
      <c r="AG72" s="158">
        <f t="shared" si="5"/>
        <v>25</v>
      </c>
      <c r="AH72" s="134">
        <v>0</v>
      </c>
      <c r="AI72" s="134">
        <v>0</v>
      </c>
      <c r="AJ72" s="922">
        <f t="shared" si="6"/>
        <v>0</v>
      </c>
      <c r="AK72" s="921">
        <v>0</v>
      </c>
      <c r="AL72" s="134">
        <v>0</v>
      </c>
      <c r="AM72" s="922">
        <f t="shared" si="7"/>
        <v>0</v>
      </c>
      <c r="AN72" s="6">
        <f t="shared" si="15"/>
        <v>249</v>
      </c>
      <c r="AO72" s="6">
        <f t="shared" si="16"/>
        <v>0</v>
      </c>
      <c r="AP72" s="6">
        <f t="shared" si="17"/>
        <v>249</v>
      </c>
      <c r="AQ72" s="955">
        <f t="shared" si="18"/>
        <v>27.666666666666668</v>
      </c>
      <c r="AR72" s="955">
        <f t="shared" si="19"/>
        <v>0</v>
      </c>
      <c r="AS72" s="955">
        <f t="shared" si="20"/>
        <v>27.666666666666668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</row>
    <row r="73" spans="1:60" ht="15.75">
      <c r="A73" s="136">
        <v>65</v>
      </c>
      <c r="B73" s="166" t="s">
        <v>1196</v>
      </c>
      <c r="C73" s="158" t="s">
        <v>1191</v>
      </c>
      <c r="D73" s="136" t="s">
        <v>1197</v>
      </c>
      <c r="E73" s="159" t="s">
        <v>15</v>
      </c>
      <c r="F73" s="160">
        <v>5</v>
      </c>
      <c r="G73" s="172">
        <v>5</v>
      </c>
      <c r="H73" s="158">
        <v>0</v>
      </c>
      <c r="I73" s="158">
        <f t="shared" si="21"/>
        <v>5</v>
      </c>
      <c r="J73" s="136">
        <v>16</v>
      </c>
      <c r="K73" s="158">
        <v>0</v>
      </c>
      <c r="L73" s="158">
        <f t="shared" si="22"/>
        <v>16</v>
      </c>
      <c r="M73" s="132">
        <v>40</v>
      </c>
      <c r="N73" s="158">
        <v>0</v>
      </c>
      <c r="O73" s="158">
        <f t="shared" si="23"/>
        <v>40</v>
      </c>
      <c r="P73" s="158">
        <v>5</v>
      </c>
      <c r="Q73" s="158">
        <v>0</v>
      </c>
      <c r="R73" s="158">
        <f t="shared" si="24"/>
        <v>5</v>
      </c>
      <c r="S73" s="158">
        <v>6</v>
      </c>
      <c r="T73" s="158">
        <v>0</v>
      </c>
      <c r="U73" s="158">
        <f t="shared" si="25"/>
        <v>6</v>
      </c>
      <c r="V73" s="158">
        <v>38</v>
      </c>
      <c r="W73" s="158">
        <v>0</v>
      </c>
      <c r="X73" s="158">
        <f t="shared" ref="X73:X127" si="26">W73+V73</f>
        <v>38</v>
      </c>
      <c r="Y73" s="174">
        <f t="shared" si="9"/>
        <v>110</v>
      </c>
      <c r="Z73" s="174">
        <f t="shared" si="10"/>
        <v>0</v>
      </c>
      <c r="AA73" s="174">
        <f t="shared" si="11"/>
        <v>110</v>
      </c>
      <c r="AB73" s="175">
        <f t="shared" si="12"/>
        <v>18.333333333333332</v>
      </c>
      <c r="AC73" s="175">
        <f t="shared" si="13"/>
        <v>0</v>
      </c>
      <c r="AD73" s="175">
        <f t="shared" si="14"/>
        <v>18.333333333333332</v>
      </c>
      <c r="AE73" s="912">
        <v>18</v>
      </c>
      <c r="AF73" s="134">
        <v>0</v>
      </c>
      <c r="AG73" s="158">
        <f t="shared" ref="AG73:AG129" si="27">AF73+AE73</f>
        <v>18</v>
      </c>
      <c r="AH73" s="134">
        <v>10</v>
      </c>
      <c r="AI73" s="134">
        <v>0</v>
      </c>
      <c r="AJ73" s="922">
        <f t="shared" ref="AJ73:AJ129" si="28">AI73+AH73</f>
        <v>10</v>
      </c>
      <c r="AK73" s="921">
        <v>3</v>
      </c>
      <c r="AL73" s="134">
        <v>0</v>
      </c>
      <c r="AM73" s="922">
        <f t="shared" ref="AM73:AM129" si="29">AL73+AK73</f>
        <v>3</v>
      </c>
      <c r="AN73" s="6">
        <f t="shared" si="15"/>
        <v>141</v>
      </c>
      <c r="AO73" s="6">
        <f t="shared" si="16"/>
        <v>0</v>
      </c>
      <c r="AP73" s="6">
        <f t="shared" si="17"/>
        <v>141</v>
      </c>
      <c r="AQ73" s="955">
        <f t="shared" si="18"/>
        <v>15.666666666666666</v>
      </c>
      <c r="AR73" s="955">
        <f t="shared" si="19"/>
        <v>0</v>
      </c>
      <c r="AS73" s="955">
        <f t="shared" si="20"/>
        <v>15.666666666666666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</row>
    <row r="74" spans="1:60" ht="15.75">
      <c r="A74" s="136">
        <v>66</v>
      </c>
      <c r="B74" s="166" t="s">
        <v>41</v>
      </c>
      <c r="C74" s="158" t="s">
        <v>1191</v>
      </c>
      <c r="D74" s="136" t="s">
        <v>1198</v>
      </c>
      <c r="E74" s="159" t="s">
        <v>15</v>
      </c>
      <c r="F74" s="160">
        <v>9</v>
      </c>
      <c r="G74" s="172">
        <v>9</v>
      </c>
      <c r="H74" s="158">
        <v>0</v>
      </c>
      <c r="I74" s="158">
        <f t="shared" si="21"/>
        <v>9</v>
      </c>
      <c r="J74" s="136">
        <v>25</v>
      </c>
      <c r="K74" s="158">
        <v>0</v>
      </c>
      <c r="L74" s="158">
        <f t="shared" si="22"/>
        <v>25</v>
      </c>
      <c r="M74" s="132">
        <v>0</v>
      </c>
      <c r="N74" s="158">
        <v>0</v>
      </c>
      <c r="O74" s="158">
        <f t="shared" si="23"/>
        <v>0</v>
      </c>
      <c r="P74" s="158">
        <v>12</v>
      </c>
      <c r="Q74" s="158">
        <v>0</v>
      </c>
      <c r="R74" s="158">
        <f t="shared" si="24"/>
        <v>12</v>
      </c>
      <c r="S74" s="158">
        <v>3</v>
      </c>
      <c r="T74" s="158">
        <v>0</v>
      </c>
      <c r="U74" s="158">
        <f t="shared" si="25"/>
        <v>3</v>
      </c>
      <c r="V74" s="158">
        <v>22</v>
      </c>
      <c r="W74" s="158">
        <v>0</v>
      </c>
      <c r="X74" s="158">
        <f t="shared" si="26"/>
        <v>22</v>
      </c>
      <c r="Y74" s="174">
        <f t="shared" ref="Y74:Y131" si="30">G74+J74+M74+P74+S74+V74</f>
        <v>71</v>
      </c>
      <c r="Z74" s="174">
        <f t="shared" ref="Z74:Z131" si="31">H74+K74+N74+Q74+T74+W74</f>
        <v>0</v>
      </c>
      <c r="AA74" s="174">
        <f t="shared" ref="AA74:AA131" si="32">I74+L74+O74+R74+U74+X74</f>
        <v>71</v>
      </c>
      <c r="AB74" s="175">
        <f t="shared" ref="AB74:AB131" si="33">Y74/6</f>
        <v>11.833333333333334</v>
      </c>
      <c r="AC74" s="175">
        <f t="shared" ref="AC74:AC131" si="34">Z74/6</f>
        <v>0</v>
      </c>
      <c r="AD74" s="175">
        <f t="shared" ref="AD74:AD131" si="35">AA74/6</f>
        <v>11.833333333333334</v>
      </c>
      <c r="AE74" s="912">
        <v>11</v>
      </c>
      <c r="AF74" s="134">
        <v>0</v>
      </c>
      <c r="AG74" s="158">
        <f t="shared" si="27"/>
        <v>11</v>
      </c>
      <c r="AH74" s="134">
        <v>15</v>
      </c>
      <c r="AI74" s="134">
        <v>0</v>
      </c>
      <c r="AJ74" s="922">
        <f t="shared" si="28"/>
        <v>15</v>
      </c>
      <c r="AK74" s="921">
        <v>0</v>
      </c>
      <c r="AL74" s="134">
        <v>0</v>
      </c>
      <c r="AM74" s="922">
        <f t="shared" si="29"/>
        <v>0</v>
      </c>
      <c r="AN74" s="6">
        <f t="shared" ref="AN74:AN129" si="36">Y74+AE74+AH74+AK74</f>
        <v>97</v>
      </c>
      <c r="AO74" s="6">
        <f t="shared" ref="AO74:AO129" si="37">Z74+AF74+AI74+AL74</f>
        <v>0</v>
      </c>
      <c r="AP74" s="6">
        <f t="shared" ref="AP74:AP129" si="38">AA74+AG74+AJ74+AM74</f>
        <v>97</v>
      </c>
      <c r="AQ74" s="955">
        <f t="shared" ref="AQ74:AQ129" si="39">AN74/9</f>
        <v>10.777777777777779</v>
      </c>
      <c r="AR74" s="955">
        <f t="shared" ref="AR74:AR129" si="40">AO74/9</f>
        <v>0</v>
      </c>
      <c r="AS74" s="955">
        <f t="shared" ref="AS74:AS129" si="41">AP74/9</f>
        <v>10.777777777777779</v>
      </c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</row>
    <row r="75" spans="1:60" ht="15.75">
      <c r="A75" s="136">
        <v>67</v>
      </c>
      <c r="B75" s="166" t="s">
        <v>1199</v>
      </c>
      <c r="C75" s="158" t="s">
        <v>1191</v>
      </c>
      <c r="D75" s="136" t="s">
        <v>1200</v>
      </c>
      <c r="E75" s="159" t="s">
        <v>15</v>
      </c>
      <c r="F75" s="160">
        <v>3</v>
      </c>
      <c r="G75" s="172">
        <v>3</v>
      </c>
      <c r="H75" s="158">
        <v>0</v>
      </c>
      <c r="I75" s="158">
        <f t="shared" si="21"/>
        <v>3</v>
      </c>
      <c r="J75" s="136">
        <v>0</v>
      </c>
      <c r="K75" s="158">
        <v>0</v>
      </c>
      <c r="L75" s="158">
        <f t="shared" si="22"/>
        <v>0</v>
      </c>
      <c r="M75" s="132">
        <v>25</v>
      </c>
      <c r="N75" s="158">
        <v>0</v>
      </c>
      <c r="O75" s="158">
        <f t="shared" si="23"/>
        <v>25</v>
      </c>
      <c r="P75" s="158">
        <v>30</v>
      </c>
      <c r="Q75" s="158">
        <v>0</v>
      </c>
      <c r="R75" s="158">
        <f t="shared" si="24"/>
        <v>30</v>
      </c>
      <c r="S75" s="158">
        <v>10</v>
      </c>
      <c r="T75" s="158">
        <v>0</v>
      </c>
      <c r="U75" s="158">
        <f t="shared" si="25"/>
        <v>10</v>
      </c>
      <c r="V75" s="158">
        <v>0</v>
      </c>
      <c r="W75" s="158">
        <v>0</v>
      </c>
      <c r="X75" s="158">
        <f t="shared" si="26"/>
        <v>0</v>
      </c>
      <c r="Y75" s="174">
        <f t="shared" si="30"/>
        <v>68</v>
      </c>
      <c r="Z75" s="174">
        <f t="shared" si="31"/>
        <v>0</v>
      </c>
      <c r="AA75" s="174">
        <f t="shared" si="32"/>
        <v>68</v>
      </c>
      <c r="AB75" s="175">
        <f t="shared" si="33"/>
        <v>11.333333333333334</v>
      </c>
      <c r="AC75" s="175">
        <f t="shared" si="34"/>
        <v>0</v>
      </c>
      <c r="AD75" s="175">
        <f t="shared" si="35"/>
        <v>11.333333333333334</v>
      </c>
      <c r="AE75" s="912">
        <v>6</v>
      </c>
      <c r="AF75" s="134">
        <v>0</v>
      </c>
      <c r="AG75" s="158">
        <f t="shared" si="27"/>
        <v>6</v>
      </c>
      <c r="AH75" s="134">
        <v>5</v>
      </c>
      <c r="AI75" s="134">
        <v>0</v>
      </c>
      <c r="AJ75" s="922">
        <f t="shared" si="28"/>
        <v>5</v>
      </c>
      <c r="AK75" s="921">
        <v>0</v>
      </c>
      <c r="AL75" s="134">
        <v>0</v>
      </c>
      <c r="AM75" s="922">
        <f t="shared" si="29"/>
        <v>0</v>
      </c>
      <c r="AN75" s="6">
        <f t="shared" si="36"/>
        <v>79</v>
      </c>
      <c r="AO75" s="6">
        <f t="shared" si="37"/>
        <v>0</v>
      </c>
      <c r="AP75" s="6">
        <f t="shared" si="38"/>
        <v>79</v>
      </c>
      <c r="AQ75" s="955">
        <f t="shared" si="39"/>
        <v>8.7777777777777786</v>
      </c>
      <c r="AR75" s="955">
        <f t="shared" si="40"/>
        <v>0</v>
      </c>
      <c r="AS75" s="955">
        <f t="shared" si="41"/>
        <v>8.7777777777777786</v>
      </c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</row>
    <row r="76" spans="1:60" ht="15.75">
      <c r="A76" s="136">
        <v>68</v>
      </c>
      <c r="B76" s="166" t="s">
        <v>1201</v>
      </c>
      <c r="C76" s="158" t="s">
        <v>1191</v>
      </c>
      <c r="D76" s="136" t="s">
        <v>1202</v>
      </c>
      <c r="E76" s="159" t="s">
        <v>15</v>
      </c>
      <c r="F76" s="160">
        <v>5</v>
      </c>
      <c r="G76" s="172">
        <v>5</v>
      </c>
      <c r="H76" s="158">
        <v>0</v>
      </c>
      <c r="I76" s="158">
        <f t="shared" si="21"/>
        <v>5</v>
      </c>
      <c r="J76" s="136">
        <v>0</v>
      </c>
      <c r="K76" s="158">
        <v>0</v>
      </c>
      <c r="L76" s="158">
        <f t="shared" si="22"/>
        <v>0</v>
      </c>
      <c r="M76" s="132">
        <v>28</v>
      </c>
      <c r="N76" s="158">
        <v>0</v>
      </c>
      <c r="O76" s="158">
        <f t="shared" si="23"/>
        <v>28</v>
      </c>
      <c r="P76" s="158">
        <v>30</v>
      </c>
      <c r="Q76" s="158">
        <v>0</v>
      </c>
      <c r="R76" s="158">
        <f t="shared" si="24"/>
        <v>30</v>
      </c>
      <c r="S76" s="158">
        <v>6</v>
      </c>
      <c r="T76" s="158">
        <v>0</v>
      </c>
      <c r="U76" s="158">
        <f t="shared" si="25"/>
        <v>6</v>
      </c>
      <c r="V76" s="158">
        <v>45</v>
      </c>
      <c r="W76" s="158">
        <v>0</v>
      </c>
      <c r="X76" s="158">
        <f t="shared" si="26"/>
        <v>45</v>
      </c>
      <c r="Y76" s="174">
        <f t="shared" si="30"/>
        <v>114</v>
      </c>
      <c r="Z76" s="174">
        <f t="shared" si="31"/>
        <v>0</v>
      </c>
      <c r="AA76" s="174">
        <f t="shared" si="32"/>
        <v>114</v>
      </c>
      <c r="AB76" s="175">
        <f t="shared" si="33"/>
        <v>19</v>
      </c>
      <c r="AC76" s="175">
        <f t="shared" si="34"/>
        <v>0</v>
      </c>
      <c r="AD76" s="175">
        <f t="shared" si="35"/>
        <v>19</v>
      </c>
      <c r="AE76" s="912">
        <v>0</v>
      </c>
      <c r="AF76" s="134">
        <v>0</v>
      </c>
      <c r="AG76" s="158">
        <f t="shared" si="27"/>
        <v>0</v>
      </c>
      <c r="AH76" s="134">
        <v>6</v>
      </c>
      <c r="AI76" s="134">
        <v>0</v>
      </c>
      <c r="AJ76" s="922">
        <f t="shared" si="28"/>
        <v>6</v>
      </c>
      <c r="AK76" s="921">
        <v>0</v>
      </c>
      <c r="AL76" s="134">
        <v>0</v>
      </c>
      <c r="AM76" s="922">
        <f t="shared" si="29"/>
        <v>0</v>
      </c>
      <c r="AN76" s="6">
        <f t="shared" si="36"/>
        <v>120</v>
      </c>
      <c r="AO76" s="6">
        <f t="shared" si="37"/>
        <v>0</v>
      </c>
      <c r="AP76" s="6">
        <f t="shared" si="38"/>
        <v>120</v>
      </c>
      <c r="AQ76" s="955">
        <f t="shared" si="39"/>
        <v>13.333333333333334</v>
      </c>
      <c r="AR76" s="955">
        <f t="shared" si="40"/>
        <v>0</v>
      </c>
      <c r="AS76" s="955">
        <f t="shared" si="41"/>
        <v>13.333333333333334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</row>
    <row r="77" spans="1:60" ht="15.75">
      <c r="A77" s="136">
        <v>69</v>
      </c>
      <c r="B77" s="166" t="s">
        <v>1203</v>
      </c>
      <c r="C77" s="158" t="s">
        <v>1191</v>
      </c>
      <c r="D77" s="136" t="s">
        <v>1204</v>
      </c>
      <c r="E77" s="159" t="s">
        <v>15</v>
      </c>
      <c r="F77" s="160">
        <v>11</v>
      </c>
      <c r="G77" s="172">
        <v>11</v>
      </c>
      <c r="H77" s="158">
        <v>0</v>
      </c>
      <c r="I77" s="158">
        <f t="shared" si="21"/>
        <v>11</v>
      </c>
      <c r="J77" s="136">
        <v>13</v>
      </c>
      <c r="K77" s="158">
        <v>0</v>
      </c>
      <c r="L77" s="158">
        <f t="shared" si="22"/>
        <v>13</v>
      </c>
      <c r="M77" s="132">
        <v>35</v>
      </c>
      <c r="N77" s="158">
        <v>0</v>
      </c>
      <c r="O77" s="158">
        <f t="shared" si="23"/>
        <v>35</v>
      </c>
      <c r="P77" s="158">
        <v>40</v>
      </c>
      <c r="Q77" s="158">
        <v>0</v>
      </c>
      <c r="R77" s="158">
        <f t="shared" si="24"/>
        <v>40</v>
      </c>
      <c r="S77" s="158">
        <v>3</v>
      </c>
      <c r="T77" s="158">
        <v>0</v>
      </c>
      <c r="U77" s="158">
        <f t="shared" si="25"/>
        <v>3</v>
      </c>
      <c r="V77" s="158">
        <v>0</v>
      </c>
      <c r="W77" s="158">
        <v>0</v>
      </c>
      <c r="X77" s="158">
        <f t="shared" si="26"/>
        <v>0</v>
      </c>
      <c r="Y77" s="174">
        <f t="shared" si="30"/>
        <v>102</v>
      </c>
      <c r="Z77" s="174">
        <f t="shared" si="31"/>
        <v>0</v>
      </c>
      <c r="AA77" s="174">
        <f t="shared" si="32"/>
        <v>102</v>
      </c>
      <c r="AB77" s="175">
        <f t="shared" si="33"/>
        <v>17</v>
      </c>
      <c r="AC77" s="175">
        <f t="shared" si="34"/>
        <v>0</v>
      </c>
      <c r="AD77" s="175">
        <f t="shared" si="35"/>
        <v>17</v>
      </c>
      <c r="AE77" s="912">
        <v>5</v>
      </c>
      <c r="AF77" s="134">
        <v>0</v>
      </c>
      <c r="AG77" s="158">
        <f t="shared" si="27"/>
        <v>5</v>
      </c>
      <c r="AH77" s="134">
        <v>5</v>
      </c>
      <c r="AI77" s="134">
        <v>0</v>
      </c>
      <c r="AJ77" s="922">
        <f t="shared" si="28"/>
        <v>5</v>
      </c>
      <c r="AK77" s="921">
        <v>0</v>
      </c>
      <c r="AL77" s="134">
        <v>0</v>
      </c>
      <c r="AM77" s="922">
        <f t="shared" si="29"/>
        <v>0</v>
      </c>
      <c r="AN77" s="6">
        <f t="shared" si="36"/>
        <v>112</v>
      </c>
      <c r="AO77" s="6">
        <f t="shared" si="37"/>
        <v>0</v>
      </c>
      <c r="AP77" s="6">
        <f t="shared" si="38"/>
        <v>112</v>
      </c>
      <c r="AQ77" s="955">
        <f t="shared" si="39"/>
        <v>12.444444444444445</v>
      </c>
      <c r="AR77" s="955">
        <f t="shared" si="40"/>
        <v>0</v>
      </c>
      <c r="AS77" s="955">
        <f t="shared" si="41"/>
        <v>12.444444444444445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</row>
    <row r="78" spans="1:60" ht="15.75">
      <c r="A78" s="136">
        <v>70</v>
      </c>
      <c r="B78" s="166" t="s">
        <v>1205</v>
      </c>
      <c r="C78" s="158" t="s">
        <v>1191</v>
      </c>
      <c r="D78" s="136" t="s">
        <v>1206</v>
      </c>
      <c r="E78" s="159" t="s">
        <v>15</v>
      </c>
      <c r="F78" s="160">
        <v>3</v>
      </c>
      <c r="G78" s="172">
        <v>3</v>
      </c>
      <c r="H78" s="158">
        <v>0</v>
      </c>
      <c r="I78" s="158">
        <f t="shared" si="21"/>
        <v>3</v>
      </c>
      <c r="J78" s="136">
        <v>15</v>
      </c>
      <c r="K78" s="158">
        <v>0</v>
      </c>
      <c r="L78" s="158">
        <f t="shared" si="22"/>
        <v>15</v>
      </c>
      <c r="M78" s="132">
        <v>130</v>
      </c>
      <c r="N78" s="158">
        <v>0</v>
      </c>
      <c r="O78" s="158">
        <f t="shared" si="23"/>
        <v>130</v>
      </c>
      <c r="P78" s="158">
        <v>0</v>
      </c>
      <c r="Q78" s="158">
        <v>0</v>
      </c>
      <c r="R78" s="158">
        <f t="shared" si="24"/>
        <v>0</v>
      </c>
      <c r="S78" s="158">
        <v>5</v>
      </c>
      <c r="T78" s="158">
        <v>0</v>
      </c>
      <c r="U78" s="158">
        <f t="shared" si="25"/>
        <v>5</v>
      </c>
      <c r="V78" s="158">
        <v>0</v>
      </c>
      <c r="W78" s="158">
        <v>0</v>
      </c>
      <c r="X78" s="158">
        <f t="shared" si="26"/>
        <v>0</v>
      </c>
      <c r="Y78" s="174">
        <f t="shared" si="30"/>
        <v>153</v>
      </c>
      <c r="Z78" s="174">
        <f t="shared" si="31"/>
        <v>0</v>
      </c>
      <c r="AA78" s="174">
        <f t="shared" si="32"/>
        <v>153</v>
      </c>
      <c r="AB78" s="175">
        <f t="shared" si="33"/>
        <v>25.5</v>
      </c>
      <c r="AC78" s="175">
        <f t="shared" si="34"/>
        <v>0</v>
      </c>
      <c r="AD78" s="175">
        <f t="shared" si="35"/>
        <v>25.5</v>
      </c>
      <c r="AE78" s="912">
        <v>12</v>
      </c>
      <c r="AF78" s="134">
        <v>0</v>
      </c>
      <c r="AG78" s="158">
        <f t="shared" si="27"/>
        <v>12</v>
      </c>
      <c r="AH78" s="134">
        <v>10</v>
      </c>
      <c r="AI78" s="134">
        <v>0</v>
      </c>
      <c r="AJ78" s="922">
        <f t="shared" si="28"/>
        <v>10</v>
      </c>
      <c r="AK78" s="921">
        <v>5</v>
      </c>
      <c r="AL78" s="134">
        <v>0</v>
      </c>
      <c r="AM78" s="922">
        <f t="shared" si="29"/>
        <v>5</v>
      </c>
      <c r="AN78" s="6">
        <f t="shared" si="36"/>
        <v>180</v>
      </c>
      <c r="AO78" s="6">
        <f t="shared" si="37"/>
        <v>0</v>
      </c>
      <c r="AP78" s="6">
        <f t="shared" si="38"/>
        <v>180</v>
      </c>
      <c r="AQ78" s="955">
        <f t="shared" si="39"/>
        <v>20</v>
      </c>
      <c r="AR78" s="955">
        <f t="shared" si="40"/>
        <v>0</v>
      </c>
      <c r="AS78" s="955">
        <f t="shared" si="41"/>
        <v>20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</row>
    <row r="79" spans="1:60" ht="15.75">
      <c r="A79" s="136">
        <v>71</v>
      </c>
      <c r="B79" s="166" t="s">
        <v>1207</v>
      </c>
      <c r="C79" s="158" t="s">
        <v>1191</v>
      </c>
      <c r="D79" s="136" t="s">
        <v>1208</v>
      </c>
      <c r="E79" s="159" t="s">
        <v>15</v>
      </c>
      <c r="F79" s="160">
        <v>10</v>
      </c>
      <c r="G79" s="172">
        <v>10</v>
      </c>
      <c r="H79" s="158">
        <v>0</v>
      </c>
      <c r="I79" s="158">
        <f t="shared" si="21"/>
        <v>10</v>
      </c>
      <c r="J79" s="136">
        <v>6</v>
      </c>
      <c r="K79" s="158">
        <v>0</v>
      </c>
      <c r="L79" s="158">
        <f t="shared" si="22"/>
        <v>6</v>
      </c>
      <c r="M79" s="132">
        <v>0</v>
      </c>
      <c r="N79" s="158">
        <v>0</v>
      </c>
      <c r="O79" s="158">
        <f t="shared" si="23"/>
        <v>0</v>
      </c>
      <c r="P79" s="158">
        <v>25</v>
      </c>
      <c r="Q79" s="158">
        <v>0</v>
      </c>
      <c r="R79" s="158">
        <f t="shared" si="24"/>
        <v>25</v>
      </c>
      <c r="S79" s="158">
        <v>0</v>
      </c>
      <c r="T79" s="158">
        <v>0</v>
      </c>
      <c r="U79" s="158">
        <f t="shared" si="25"/>
        <v>0</v>
      </c>
      <c r="V79" s="158">
        <v>0</v>
      </c>
      <c r="W79" s="158">
        <v>0</v>
      </c>
      <c r="X79" s="158">
        <f t="shared" si="26"/>
        <v>0</v>
      </c>
      <c r="Y79" s="174">
        <f t="shared" si="30"/>
        <v>41</v>
      </c>
      <c r="Z79" s="174">
        <f t="shared" si="31"/>
        <v>0</v>
      </c>
      <c r="AA79" s="174">
        <f t="shared" si="32"/>
        <v>41</v>
      </c>
      <c r="AB79" s="175">
        <f t="shared" si="33"/>
        <v>6.833333333333333</v>
      </c>
      <c r="AC79" s="175">
        <f t="shared" si="34"/>
        <v>0</v>
      </c>
      <c r="AD79" s="175">
        <f t="shared" si="35"/>
        <v>6.833333333333333</v>
      </c>
      <c r="AE79" s="912">
        <v>6</v>
      </c>
      <c r="AF79" s="134">
        <v>0</v>
      </c>
      <c r="AG79" s="158">
        <f t="shared" si="27"/>
        <v>6</v>
      </c>
      <c r="AH79" s="134">
        <v>10</v>
      </c>
      <c r="AI79" s="134">
        <v>0</v>
      </c>
      <c r="AJ79" s="922">
        <f t="shared" si="28"/>
        <v>10</v>
      </c>
      <c r="AK79" s="921">
        <v>0</v>
      </c>
      <c r="AL79" s="134">
        <v>0</v>
      </c>
      <c r="AM79" s="922">
        <f t="shared" si="29"/>
        <v>0</v>
      </c>
      <c r="AN79" s="6">
        <f t="shared" si="36"/>
        <v>57</v>
      </c>
      <c r="AO79" s="6">
        <f t="shared" si="37"/>
        <v>0</v>
      </c>
      <c r="AP79" s="6">
        <f t="shared" si="38"/>
        <v>57</v>
      </c>
      <c r="AQ79" s="955">
        <f t="shared" si="39"/>
        <v>6.333333333333333</v>
      </c>
      <c r="AR79" s="955">
        <f t="shared" si="40"/>
        <v>0</v>
      </c>
      <c r="AS79" s="955">
        <f t="shared" si="41"/>
        <v>6.333333333333333</v>
      </c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</row>
    <row r="80" spans="1:60" ht="15.75">
      <c r="A80" s="136">
        <v>72</v>
      </c>
      <c r="B80" s="166" t="s">
        <v>1209</v>
      </c>
      <c r="C80" s="158" t="s">
        <v>1191</v>
      </c>
      <c r="D80" s="136" t="s">
        <v>1210</v>
      </c>
      <c r="E80" s="159" t="s">
        <v>15</v>
      </c>
      <c r="F80" s="160">
        <v>16</v>
      </c>
      <c r="G80" s="172">
        <v>16</v>
      </c>
      <c r="H80" s="158">
        <v>0</v>
      </c>
      <c r="I80" s="158">
        <f t="shared" si="21"/>
        <v>16</v>
      </c>
      <c r="J80" s="136">
        <v>0</v>
      </c>
      <c r="K80" s="158">
        <v>0</v>
      </c>
      <c r="L80" s="158">
        <f t="shared" si="22"/>
        <v>0</v>
      </c>
      <c r="M80" s="132">
        <v>5</v>
      </c>
      <c r="N80" s="158">
        <v>0</v>
      </c>
      <c r="O80" s="158">
        <f t="shared" si="23"/>
        <v>5</v>
      </c>
      <c r="P80" s="158">
        <v>6</v>
      </c>
      <c r="Q80" s="158">
        <v>0</v>
      </c>
      <c r="R80" s="158">
        <f t="shared" si="24"/>
        <v>6</v>
      </c>
      <c r="S80" s="158">
        <v>5</v>
      </c>
      <c r="T80" s="158">
        <v>0</v>
      </c>
      <c r="U80" s="158">
        <f t="shared" si="25"/>
        <v>5</v>
      </c>
      <c r="V80" s="158">
        <v>54</v>
      </c>
      <c r="W80" s="158">
        <v>0</v>
      </c>
      <c r="X80" s="158">
        <f t="shared" si="26"/>
        <v>54</v>
      </c>
      <c r="Y80" s="174">
        <f t="shared" si="30"/>
        <v>86</v>
      </c>
      <c r="Z80" s="174">
        <f t="shared" si="31"/>
        <v>0</v>
      </c>
      <c r="AA80" s="174">
        <f t="shared" si="32"/>
        <v>86</v>
      </c>
      <c r="AB80" s="175">
        <f t="shared" si="33"/>
        <v>14.333333333333334</v>
      </c>
      <c r="AC80" s="175">
        <f t="shared" si="34"/>
        <v>0</v>
      </c>
      <c r="AD80" s="175">
        <f t="shared" si="35"/>
        <v>14.333333333333334</v>
      </c>
      <c r="AE80" s="912">
        <v>18</v>
      </c>
      <c r="AF80" s="134">
        <v>0</v>
      </c>
      <c r="AG80" s="158">
        <f t="shared" si="27"/>
        <v>18</v>
      </c>
      <c r="AH80" s="134">
        <v>28</v>
      </c>
      <c r="AI80" s="134">
        <v>0</v>
      </c>
      <c r="AJ80" s="922">
        <f t="shared" si="28"/>
        <v>28</v>
      </c>
      <c r="AK80" s="921">
        <v>0</v>
      </c>
      <c r="AL80" s="134">
        <v>0</v>
      </c>
      <c r="AM80" s="922">
        <f t="shared" si="29"/>
        <v>0</v>
      </c>
      <c r="AN80" s="6">
        <f t="shared" si="36"/>
        <v>132</v>
      </c>
      <c r="AO80" s="6">
        <f t="shared" si="37"/>
        <v>0</v>
      </c>
      <c r="AP80" s="6">
        <f t="shared" si="38"/>
        <v>132</v>
      </c>
      <c r="AQ80" s="955">
        <f t="shared" si="39"/>
        <v>14.666666666666666</v>
      </c>
      <c r="AR80" s="955">
        <f t="shared" si="40"/>
        <v>0</v>
      </c>
      <c r="AS80" s="955">
        <f t="shared" si="41"/>
        <v>14.666666666666666</v>
      </c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</row>
    <row r="81" spans="1:60" ht="15.75">
      <c r="A81" s="136">
        <v>73</v>
      </c>
      <c r="B81" s="166" t="s">
        <v>41</v>
      </c>
      <c r="C81" s="158" t="s">
        <v>1191</v>
      </c>
      <c r="D81" s="136" t="s">
        <v>1211</v>
      </c>
      <c r="E81" s="159" t="s">
        <v>15</v>
      </c>
      <c r="F81" s="160">
        <v>10</v>
      </c>
      <c r="G81" s="172">
        <v>10</v>
      </c>
      <c r="H81" s="158">
        <v>0</v>
      </c>
      <c r="I81" s="158">
        <f t="shared" si="21"/>
        <v>10</v>
      </c>
      <c r="J81" s="136">
        <v>0</v>
      </c>
      <c r="K81" s="158">
        <v>0</v>
      </c>
      <c r="L81" s="158">
        <f t="shared" si="22"/>
        <v>0</v>
      </c>
      <c r="M81" s="132">
        <v>120</v>
      </c>
      <c r="N81" s="158">
        <v>0</v>
      </c>
      <c r="O81" s="158">
        <f t="shared" si="23"/>
        <v>120</v>
      </c>
      <c r="P81" s="158">
        <v>3</v>
      </c>
      <c r="Q81" s="158">
        <v>0</v>
      </c>
      <c r="R81" s="158">
        <f t="shared" si="24"/>
        <v>3</v>
      </c>
      <c r="S81" s="158">
        <v>6</v>
      </c>
      <c r="T81" s="158">
        <v>0</v>
      </c>
      <c r="U81" s="158">
        <f t="shared" si="25"/>
        <v>6</v>
      </c>
      <c r="V81" s="158">
        <v>27</v>
      </c>
      <c r="W81" s="158">
        <v>0</v>
      </c>
      <c r="X81" s="158">
        <f t="shared" si="26"/>
        <v>27</v>
      </c>
      <c r="Y81" s="174">
        <f t="shared" si="30"/>
        <v>166</v>
      </c>
      <c r="Z81" s="174">
        <f t="shared" si="31"/>
        <v>0</v>
      </c>
      <c r="AA81" s="174">
        <f t="shared" si="32"/>
        <v>166</v>
      </c>
      <c r="AB81" s="175">
        <f t="shared" si="33"/>
        <v>27.666666666666668</v>
      </c>
      <c r="AC81" s="175">
        <f t="shared" si="34"/>
        <v>0</v>
      </c>
      <c r="AD81" s="175">
        <f t="shared" si="35"/>
        <v>27.666666666666668</v>
      </c>
      <c r="AE81" s="912">
        <v>20</v>
      </c>
      <c r="AF81" s="134">
        <v>0</v>
      </c>
      <c r="AG81" s="158">
        <f t="shared" si="27"/>
        <v>20</v>
      </c>
      <c r="AH81" s="134">
        <v>15</v>
      </c>
      <c r="AI81" s="134">
        <v>0</v>
      </c>
      <c r="AJ81" s="922">
        <f t="shared" si="28"/>
        <v>15</v>
      </c>
      <c r="AK81" s="921">
        <v>5</v>
      </c>
      <c r="AL81" s="134">
        <v>0</v>
      </c>
      <c r="AM81" s="922">
        <f t="shared" si="29"/>
        <v>5</v>
      </c>
      <c r="AN81" s="6">
        <f t="shared" si="36"/>
        <v>206</v>
      </c>
      <c r="AO81" s="6">
        <f t="shared" si="37"/>
        <v>0</v>
      </c>
      <c r="AP81" s="6">
        <f t="shared" si="38"/>
        <v>206</v>
      </c>
      <c r="AQ81" s="955">
        <f t="shared" si="39"/>
        <v>22.888888888888889</v>
      </c>
      <c r="AR81" s="955">
        <f t="shared" si="40"/>
        <v>0</v>
      </c>
      <c r="AS81" s="955">
        <f t="shared" si="41"/>
        <v>22.888888888888889</v>
      </c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</row>
    <row r="82" spans="1:60" ht="15.75">
      <c r="A82" s="136">
        <v>74</v>
      </c>
      <c r="B82" s="166" t="s">
        <v>1212</v>
      </c>
      <c r="C82" s="158" t="s">
        <v>1191</v>
      </c>
      <c r="D82" s="136" t="s">
        <v>1213</v>
      </c>
      <c r="E82" s="159" t="s">
        <v>15</v>
      </c>
      <c r="F82" s="160">
        <v>10</v>
      </c>
      <c r="G82" s="172">
        <v>10</v>
      </c>
      <c r="H82" s="158">
        <v>0</v>
      </c>
      <c r="I82" s="158">
        <f t="shared" si="21"/>
        <v>10</v>
      </c>
      <c r="J82" s="136">
        <v>0</v>
      </c>
      <c r="K82" s="158">
        <v>0</v>
      </c>
      <c r="L82" s="158">
        <f t="shared" si="22"/>
        <v>0</v>
      </c>
      <c r="M82" s="132">
        <v>15</v>
      </c>
      <c r="N82" s="158">
        <v>0</v>
      </c>
      <c r="O82" s="158">
        <f t="shared" si="23"/>
        <v>15</v>
      </c>
      <c r="P82" s="158">
        <v>5</v>
      </c>
      <c r="Q82" s="158">
        <v>0</v>
      </c>
      <c r="R82" s="158">
        <f t="shared" si="24"/>
        <v>5</v>
      </c>
      <c r="S82" s="158">
        <v>4.5</v>
      </c>
      <c r="T82" s="158">
        <v>0</v>
      </c>
      <c r="U82" s="158">
        <f t="shared" si="25"/>
        <v>4.5</v>
      </c>
      <c r="V82" s="158">
        <v>47</v>
      </c>
      <c r="W82" s="158">
        <v>0</v>
      </c>
      <c r="X82" s="158">
        <f t="shared" si="26"/>
        <v>47</v>
      </c>
      <c r="Y82" s="174">
        <f t="shared" si="30"/>
        <v>81.5</v>
      </c>
      <c r="Z82" s="174">
        <f t="shared" si="31"/>
        <v>0</v>
      </c>
      <c r="AA82" s="174">
        <f t="shared" si="32"/>
        <v>81.5</v>
      </c>
      <c r="AB82" s="175">
        <f t="shared" si="33"/>
        <v>13.583333333333334</v>
      </c>
      <c r="AC82" s="175">
        <f t="shared" si="34"/>
        <v>0</v>
      </c>
      <c r="AD82" s="175">
        <f t="shared" si="35"/>
        <v>13.583333333333334</v>
      </c>
      <c r="AE82" s="912">
        <v>15</v>
      </c>
      <c r="AF82" s="134">
        <v>0</v>
      </c>
      <c r="AG82" s="158">
        <f t="shared" si="27"/>
        <v>15</v>
      </c>
      <c r="AH82" s="134">
        <v>20</v>
      </c>
      <c r="AI82" s="134">
        <v>0</v>
      </c>
      <c r="AJ82" s="922">
        <f t="shared" si="28"/>
        <v>20</v>
      </c>
      <c r="AK82" s="921">
        <v>0</v>
      </c>
      <c r="AL82" s="134">
        <v>0</v>
      </c>
      <c r="AM82" s="922">
        <f t="shared" si="29"/>
        <v>0</v>
      </c>
      <c r="AN82" s="6">
        <f t="shared" si="36"/>
        <v>116.5</v>
      </c>
      <c r="AO82" s="6">
        <f t="shared" si="37"/>
        <v>0</v>
      </c>
      <c r="AP82" s="6">
        <f t="shared" si="38"/>
        <v>116.5</v>
      </c>
      <c r="AQ82" s="955">
        <f t="shared" si="39"/>
        <v>12.944444444444445</v>
      </c>
      <c r="AR82" s="955">
        <f t="shared" si="40"/>
        <v>0</v>
      </c>
      <c r="AS82" s="955">
        <f t="shared" si="41"/>
        <v>12.944444444444445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</row>
    <row r="83" spans="1:60" ht="15.75">
      <c r="A83" s="136">
        <v>75</v>
      </c>
      <c r="B83" s="166" t="s">
        <v>1214</v>
      </c>
      <c r="C83" s="158" t="s">
        <v>1191</v>
      </c>
      <c r="D83" s="136" t="s">
        <v>1215</v>
      </c>
      <c r="E83" s="159" t="s">
        <v>15</v>
      </c>
      <c r="F83" s="160">
        <v>15</v>
      </c>
      <c r="G83" s="172">
        <v>15</v>
      </c>
      <c r="H83" s="158">
        <v>0</v>
      </c>
      <c r="I83" s="158">
        <f t="shared" si="21"/>
        <v>15</v>
      </c>
      <c r="J83" s="136">
        <v>0</v>
      </c>
      <c r="K83" s="158">
        <v>0</v>
      </c>
      <c r="L83" s="158">
        <f t="shared" si="22"/>
        <v>0</v>
      </c>
      <c r="M83" s="132">
        <v>0</v>
      </c>
      <c r="N83" s="158">
        <v>0</v>
      </c>
      <c r="O83" s="158">
        <f t="shared" si="23"/>
        <v>0</v>
      </c>
      <c r="P83" s="158">
        <v>55</v>
      </c>
      <c r="Q83" s="158">
        <v>0</v>
      </c>
      <c r="R83" s="158">
        <f t="shared" si="24"/>
        <v>55</v>
      </c>
      <c r="S83" s="158">
        <v>6</v>
      </c>
      <c r="T83" s="158">
        <v>0</v>
      </c>
      <c r="U83" s="158">
        <f t="shared" si="25"/>
        <v>6</v>
      </c>
      <c r="V83" s="158">
        <v>27</v>
      </c>
      <c r="W83" s="158">
        <v>0</v>
      </c>
      <c r="X83" s="158">
        <f t="shared" si="26"/>
        <v>27</v>
      </c>
      <c r="Y83" s="174">
        <f t="shared" si="30"/>
        <v>103</v>
      </c>
      <c r="Z83" s="174">
        <f t="shared" si="31"/>
        <v>0</v>
      </c>
      <c r="AA83" s="174">
        <f t="shared" si="32"/>
        <v>103</v>
      </c>
      <c r="AB83" s="175">
        <f t="shared" si="33"/>
        <v>17.166666666666668</v>
      </c>
      <c r="AC83" s="175">
        <f t="shared" si="34"/>
        <v>0</v>
      </c>
      <c r="AD83" s="175">
        <f t="shared" si="35"/>
        <v>17.166666666666668</v>
      </c>
      <c r="AE83" s="912">
        <v>16</v>
      </c>
      <c r="AF83" s="134">
        <v>0</v>
      </c>
      <c r="AG83" s="158">
        <f t="shared" si="27"/>
        <v>16</v>
      </c>
      <c r="AH83" s="134">
        <v>21</v>
      </c>
      <c r="AI83" s="134">
        <v>0</v>
      </c>
      <c r="AJ83" s="922">
        <f t="shared" si="28"/>
        <v>21</v>
      </c>
      <c r="AK83" s="921">
        <v>0</v>
      </c>
      <c r="AL83" s="134">
        <v>0</v>
      </c>
      <c r="AM83" s="922">
        <f t="shared" si="29"/>
        <v>0</v>
      </c>
      <c r="AN83" s="6">
        <f t="shared" si="36"/>
        <v>140</v>
      </c>
      <c r="AO83" s="6">
        <f t="shared" si="37"/>
        <v>0</v>
      </c>
      <c r="AP83" s="6">
        <f t="shared" si="38"/>
        <v>140</v>
      </c>
      <c r="AQ83" s="955">
        <f t="shared" si="39"/>
        <v>15.555555555555555</v>
      </c>
      <c r="AR83" s="955">
        <f t="shared" si="40"/>
        <v>0</v>
      </c>
      <c r="AS83" s="955">
        <f t="shared" si="41"/>
        <v>15.555555555555555</v>
      </c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</row>
    <row r="84" spans="1:60" ht="15.75">
      <c r="A84" s="136">
        <v>76</v>
      </c>
      <c r="B84" s="169" t="s">
        <v>1216</v>
      </c>
      <c r="C84" s="158" t="s">
        <v>1191</v>
      </c>
      <c r="D84" s="136" t="s">
        <v>1217</v>
      </c>
      <c r="E84" s="159" t="s">
        <v>18</v>
      </c>
      <c r="F84" s="160">
        <v>3</v>
      </c>
      <c r="G84" s="172">
        <v>3</v>
      </c>
      <c r="H84" s="158">
        <v>0</v>
      </c>
      <c r="I84" s="158">
        <f t="shared" si="21"/>
        <v>3</v>
      </c>
      <c r="J84" s="136">
        <v>0</v>
      </c>
      <c r="K84" s="158">
        <v>0</v>
      </c>
      <c r="L84" s="158">
        <f t="shared" si="22"/>
        <v>0</v>
      </c>
      <c r="M84" s="132">
        <v>55</v>
      </c>
      <c r="N84" s="158">
        <v>0</v>
      </c>
      <c r="O84" s="158">
        <f t="shared" si="23"/>
        <v>55</v>
      </c>
      <c r="P84" s="158">
        <v>20</v>
      </c>
      <c r="Q84" s="158">
        <v>0</v>
      </c>
      <c r="R84" s="158">
        <f t="shared" si="24"/>
        <v>20</v>
      </c>
      <c r="S84" s="158">
        <v>10</v>
      </c>
      <c r="T84" s="158">
        <v>0</v>
      </c>
      <c r="U84" s="158">
        <f t="shared" si="25"/>
        <v>10</v>
      </c>
      <c r="V84" s="158">
        <v>42</v>
      </c>
      <c r="W84" s="158">
        <v>0</v>
      </c>
      <c r="X84" s="158">
        <f t="shared" si="26"/>
        <v>42</v>
      </c>
      <c r="Y84" s="174">
        <f t="shared" si="30"/>
        <v>130</v>
      </c>
      <c r="Z84" s="174">
        <f t="shared" si="31"/>
        <v>0</v>
      </c>
      <c r="AA84" s="174">
        <f t="shared" si="32"/>
        <v>130</v>
      </c>
      <c r="AB84" s="175">
        <f t="shared" si="33"/>
        <v>21.666666666666668</v>
      </c>
      <c r="AC84" s="175">
        <f t="shared" si="34"/>
        <v>0</v>
      </c>
      <c r="AD84" s="175">
        <f t="shared" si="35"/>
        <v>21.666666666666668</v>
      </c>
      <c r="AE84" s="912">
        <v>0</v>
      </c>
      <c r="AF84" s="134">
        <v>0</v>
      </c>
      <c r="AG84" s="158">
        <f t="shared" si="27"/>
        <v>0</v>
      </c>
      <c r="AH84" s="134">
        <v>85</v>
      </c>
      <c r="AI84" s="134">
        <v>0</v>
      </c>
      <c r="AJ84" s="922">
        <f t="shared" si="28"/>
        <v>85</v>
      </c>
      <c r="AK84" s="921">
        <v>5</v>
      </c>
      <c r="AL84" s="134">
        <v>0</v>
      </c>
      <c r="AM84" s="922">
        <f t="shared" si="29"/>
        <v>5</v>
      </c>
      <c r="AN84" s="6">
        <f t="shared" si="36"/>
        <v>220</v>
      </c>
      <c r="AO84" s="6">
        <f t="shared" si="37"/>
        <v>0</v>
      </c>
      <c r="AP84" s="6">
        <f t="shared" si="38"/>
        <v>220</v>
      </c>
      <c r="AQ84" s="955">
        <f t="shared" si="39"/>
        <v>24.444444444444443</v>
      </c>
      <c r="AR84" s="955">
        <f t="shared" si="40"/>
        <v>0</v>
      </c>
      <c r="AS84" s="955">
        <f t="shared" si="41"/>
        <v>24.444444444444443</v>
      </c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</row>
    <row r="85" spans="1:60" ht="15.75">
      <c r="A85" s="136">
        <v>77</v>
      </c>
      <c r="B85" s="166" t="s">
        <v>1218</v>
      </c>
      <c r="C85" s="158" t="s">
        <v>1191</v>
      </c>
      <c r="D85" s="136" t="s">
        <v>1219</v>
      </c>
      <c r="E85" s="159" t="s">
        <v>15</v>
      </c>
      <c r="F85" s="160">
        <v>3</v>
      </c>
      <c r="G85" s="172">
        <v>3</v>
      </c>
      <c r="H85" s="158">
        <v>0</v>
      </c>
      <c r="I85" s="158">
        <f t="shared" si="21"/>
        <v>3</v>
      </c>
      <c r="J85" s="136">
        <v>0</v>
      </c>
      <c r="K85" s="158">
        <v>0</v>
      </c>
      <c r="L85" s="158">
        <f t="shared" si="22"/>
        <v>0</v>
      </c>
      <c r="M85" s="132">
        <v>0</v>
      </c>
      <c r="N85" s="158">
        <v>0</v>
      </c>
      <c r="O85" s="158">
        <f t="shared" si="23"/>
        <v>0</v>
      </c>
      <c r="P85" s="158">
        <v>90</v>
      </c>
      <c r="Q85" s="158">
        <v>0</v>
      </c>
      <c r="R85" s="158">
        <f t="shared" si="24"/>
        <v>90</v>
      </c>
      <c r="S85" s="158">
        <v>3</v>
      </c>
      <c r="T85" s="158">
        <v>0</v>
      </c>
      <c r="U85" s="158">
        <f t="shared" si="25"/>
        <v>3</v>
      </c>
      <c r="V85" s="158">
        <v>0</v>
      </c>
      <c r="W85" s="158">
        <v>0</v>
      </c>
      <c r="X85" s="158">
        <f t="shared" si="26"/>
        <v>0</v>
      </c>
      <c r="Y85" s="174">
        <f t="shared" si="30"/>
        <v>96</v>
      </c>
      <c r="Z85" s="174">
        <f t="shared" si="31"/>
        <v>0</v>
      </c>
      <c r="AA85" s="174">
        <f t="shared" si="32"/>
        <v>96</v>
      </c>
      <c r="AB85" s="175">
        <f t="shared" si="33"/>
        <v>16</v>
      </c>
      <c r="AC85" s="175">
        <f t="shared" si="34"/>
        <v>0</v>
      </c>
      <c r="AD85" s="175">
        <f t="shared" si="35"/>
        <v>16</v>
      </c>
      <c r="AE85" s="912">
        <v>6</v>
      </c>
      <c r="AF85" s="134">
        <v>0</v>
      </c>
      <c r="AG85" s="158">
        <f t="shared" si="27"/>
        <v>6</v>
      </c>
      <c r="AH85" s="134">
        <v>0</v>
      </c>
      <c r="AI85" s="134">
        <v>0</v>
      </c>
      <c r="AJ85" s="922">
        <f t="shared" si="28"/>
        <v>0</v>
      </c>
      <c r="AK85" s="921">
        <v>0</v>
      </c>
      <c r="AL85" s="134">
        <v>0</v>
      </c>
      <c r="AM85" s="922">
        <f t="shared" si="29"/>
        <v>0</v>
      </c>
      <c r="AN85" s="6">
        <f t="shared" si="36"/>
        <v>102</v>
      </c>
      <c r="AO85" s="6">
        <f t="shared" si="37"/>
        <v>0</v>
      </c>
      <c r="AP85" s="6">
        <f t="shared" si="38"/>
        <v>102</v>
      </c>
      <c r="AQ85" s="955">
        <f t="shared" si="39"/>
        <v>11.333333333333334</v>
      </c>
      <c r="AR85" s="955">
        <f t="shared" si="40"/>
        <v>0</v>
      </c>
      <c r="AS85" s="955">
        <f t="shared" si="41"/>
        <v>11.333333333333334</v>
      </c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</row>
    <row r="86" spans="1:60" ht="15.75">
      <c r="A86" s="136">
        <v>78</v>
      </c>
      <c r="B86" s="166" t="s">
        <v>1220</v>
      </c>
      <c r="C86" s="158" t="s">
        <v>1191</v>
      </c>
      <c r="D86" s="136" t="s">
        <v>1221</v>
      </c>
      <c r="E86" s="159" t="s">
        <v>15</v>
      </c>
      <c r="F86" s="160">
        <v>10</v>
      </c>
      <c r="G86" s="172">
        <v>10</v>
      </c>
      <c r="H86" s="158">
        <v>0</v>
      </c>
      <c r="I86" s="158">
        <f t="shared" si="21"/>
        <v>10</v>
      </c>
      <c r="J86" s="136">
        <v>10</v>
      </c>
      <c r="K86" s="158">
        <v>0</v>
      </c>
      <c r="L86" s="158">
        <f t="shared" si="22"/>
        <v>10</v>
      </c>
      <c r="M86" s="132">
        <v>0</v>
      </c>
      <c r="N86" s="158">
        <v>0</v>
      </c>
      <c r="O86" s="158">
        <f t="shared" si="23"/>
        <v>0</v>
      </c>
      <c r="P86" s="158">
        <v>12</v>
      </c>
      <c r="Q86" s="158">
        <v>0</v>
      </c>
      <c r="R86" s="158">
        <f t="shared" si="24"/>
        <v>12</v>
      </c>
      <c r="S86" s="158">
        <v>15</v>
      </c>
      <c r="T86" s="158">
        <v>0</v>
      </c>
      <c r="U86" s="158">
        <f t="shared" si="25"/>
        <v>15</v>
      </c>
      <c r="V86" s="158">
        <v>25</v>
      </c>
      <c r="W86" s="158">
        <v>0</v>
      </c>
      <c r="X86" s="158">
        <f t="shared" si="26"/>
        <v>25</v>
      </c>
      <c r="Y86" s="174">
        <f t="shared" si="30"/>
        <v>72</v>
      </c>
      <c r="Z86" s="174">
        <f t="shared" si="31"/>
        <v>0</v>
      </c>
      <c r="AA86" s="174">
        <f t="shared" si="32"/>
        <v>72</v>
      </c>
      <c r="AB86" s="175">
        <f t="shared" si="33"/>
        <v>12</v>
      </c>
      <c r="AC86" s="175">
        <f t="shared" si="34"/>
        <v>0</v>
      </c>
      <c r="AD86" s="175">
        <f t="shared" si="35"/>
        <v>12</v>
      </c>
      <c r="AE86" s="912">
        <v>15</v>
      </c>
      <c r="AF86" s="134">
        <v>0</v>
      </c>
      <c r="AG86" s="158">
        <f t="shared" si="27"/>
        <v>15</v>
      </c>
      <c r="AH86" s="134">
        <v>0</v>
      </c>
      <c r="AI86" s="134">
        <v>0</v>
      </c>
      <c r="AJ86" s="922">
        <f t="shared" si="28"/>
        <v>0</v>
      </c>
      <c r="AK86" s="921">
        <v>0</v>
      </c>
      <c r="AL86" s="134">
        <v>0</v>
      </c>
      <c r="AM86" s="922">
        <f t="shared" si="29"/>
        <v>0</v>
      </c>
      <c r="AN86" s="6">
        <f t="shared" si="36"/>
        <v>87</v>
      </c>
      <c r="AO86" s="6">
        <f t="shared" si="37"/>
        <v>0</v>
      </c>
      <c r="AP86" s="6">
        <f t="shared" si="38"/>
        <v>87</v>
      </c>
      <c r="AQ86" s="955">
        <f t="shared" si="39"/>
        <v>9.6666666666666661</v>
      </c>
      <c r="AR86" s="955">
        <f t="shared" si="40"/>
        <v>0</v>
      </c>
      <c r="AS86" s="955">
        <f t="shared" si="41"/>
        <v>9.6666666666666661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</row>
    <row r="87" spans="1:60" ht="15.75">
      <c r="A87" s="136">
        <v>79</v>
      </c>
      <c r="B87" s="166" t="s">
        <v>1222</v>
      </c>
      <c r="C87" s="158" t="s">
        <v>1191</v>
      </c>
      <c r="D87" s="136" t="s">
        <v>1223</v>
      </c>
      <c r="E87" s="159" t="s">
        <v>15</v>
      </c>
      <c r="F87" s="160">
        <v>5</v>
      </c>
      <c r="G87" s="172">
        <v>10</v>
      </c>
      <c r="H87" s="158">
        <v>0</v>
      </c>
      <c r="I87" s="158">
        <f t="shared" si="21"/>
        <v>10</v>
      </c>
      <c r="J87" s="136">
        <v>3</v>
      </c>
      <c r="K87" s="158">
        <v>0</v>
      </c>
      <c r="L87" s="158">
        <f t="shared" si="22"/>
        <v>3</v>
      </c>
      <c r="M87" s="132">
        <v>15</v>
      </c>
      <c r="N87" s="158">
        <v>0</v>
      </c>
      <c r="O87" s="158">
        <f t="shared" si="23"/>
        <v>15</v>
      </c>
      <c r="P87" s="158">
        <v>15</v>
      </c>
      <c r="Q87" s="158">
        <v>0</v>
      </c>
      <c r="R87" s="158">
        <f t="shared" si="24"/>
        <v>15</v>
      </c>
      <c r="S87" s="158">
        <v>10</v>
      </c>
      <c r="T87" s="158">
        <v>0</v>
      </c>
      <c r="U87" s="158">
        <f t="shared" si="25"/>
        <v>10</v>
      </c>
      <c r="V87" s="158">
        <v>0</v>
      </c>
      <c r="W87" s="158">
        <v>0</v>
      </c>
      <c r="X87" s="158">
        <f t="shared" si="26"/>
        <v>0</v>
      </c>
      <c r="Y87" s="174">
        <f t="shared" si="30"/>
        <v>53</v>
      </c>
      <c r="Z87" s="174">
        <f t="shared" si="31"/>
        <v>0</v>
      </c>
      <c r="AA87" s="174">
        <f t="shared" si="32"/>
        <v>53</v>
      </c>
      <c r="AB87" s="175">
        <f t="shared" si="33"/>
        <v>8.8333333333333339</v>
      </c>
      <c r="AC87" s="175">
        <f t="shared" si="34"/>
        <v>0</v>
      </c>
      <c r="AD87" s="175">
        <f t="shared" si="35"/>
        <v>8.8333333333333339</v>
      </c>
      <c r="AE87" s="912">
        <v>11</v>
      </c>
      <c r="AF87" s="134">
        <v>0</v>
      </c>
      <c r="AG87" s="158">
        <f t="shared" si="27"/>
        <v>11</v>
      </c>
      <c r="AH87" s="134">
        <v>45</v>
      </c>
      <c r="AI87" s="134">
        <v>0</v>
      </c>
      <c r="AJ87" s="922">
        <f t="shared" si="28"/>
        <v>45</v>
      </c>
      <c r="AK87" s="921">
        <v>0</v>
      </c>
      <c r="AL87" s="134">
        <v>0</v>
      </c>
      <c r="AM87" s="922">
        <f t="shared" si="29"/>
        <v>0</v>
      </c>
      <c r="AN87" s="6">
        <f t="shared" si="36"/>
        <v>109</v>
      </c>
      <c r="AO87" s="6">
        <f t="shared" si="37"/>
        <v>0</v>
      </c>
      <c r="AP87" s="6">
        <f t="shared" si="38"/>
        <v>109</v>
      </c>
      <c r="AQ87" s="955">
        <f t="shared" si="39"/>
        <v>12.111111111111111</v>
      </c>
      <c r="AR87" s="955">
        <f t="shared" si="40"/>
        <v>0</v>
      </c>
      <c r="AS87" s="955">
        <f t="shared" si="41"/>
        <v>12.111111111111111</v>
      </c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</row>
    <row r="88" spans="1:60" ht="15.75">
      <c r="A88" s="136">
        <v>80</v>
      </c>
      <c r="B88" s="166" t="s">
        <v>1224</v>
      </c>
      <c r="C88" s="158" t="s">
        <v>1191</v>
      </c>
      <c r="D88" s="136" t="s">
        <v>1225</v>
      </c>
      <c r="E88" s="159" t="s">
        <v>15</v>
      </c>
      <c r="F88" s="160">
        <v>15</v>
      </c>
      <c r="G88" s="172">
        <v>35</v>
      </c>
      <c r="H88" s="158">
        <v>0</v>
      </c>
      <c r="I88" s="158">
        <f t="shared" ref="I88:I127" si="42">H88+G88</f>
        <v>35</v>
      </c>
      <c r="J88" s="136">
        <v>0</v>
      </c>
      <c r="K88" s="158">
        <v>0</v>
      </c>
      <c r="L88" s="158">
        <f t="shared" ref="L88:L127" si="43">K88+J88</f>
        <v>0</v>
      </c>
      <c r="M88" s="132">
        <v>140</v>
      </c>
      <c r="N88" s="158">
        <v>0</v>
      </c>
      <c r="O88" s="158">
        <f t="shared" ref="O88:O127" si="44">N88+M88</f>
        <v>140</v>
      </c>
      <c r="P88" s="158">
        <v>3</v>
      </c>
      <c r="Q88" s="158">
        <v>0</v>
      </c>
      <c r="R88" s="158">
        <f t="shared" ref="R88:R127" si="45">Q88+P88</f>
        <v>3</v>
      </c>
      <c r="S88" s="158">
        <v>6</v>
      </c>
      <c r="T88" s="158">
        <v>0</v>
      </c>
      <c r="U88" s="158">
        <f t="shared" ref="U88:U127" si="46">T88+S88</f>
        <v>6</v>
      </c>
      <c r="V88" s="158">
        <v>0</v>
      </c>
      <c r="W88" s="158">
        <v>0</v>
      </c>
      <c r="X88" s="158">
        <f t="shared" si="26"/>
        <v>0</v>
      </c>
      <c r="Y88" s="174">
        <f t="shared" si="30"/>
        <v>184</v>
      </c>
      <c r="Z88" s="174">
        <f t="shared" si="31"/>
        <v>0</v>
      </c>
      <c r="AA88" s="174">
        <f t="shared" si="32"/>
        <v>184</v>
      </c>
      <c r="AB88" s="175">
        <f t="shared" si="33"/>
        <v>30.666666666666668</v>
      </c>
      <c r="AC88" s="175">
        <f t="shared" si="34"/>
        <v>0</v>
      </c>
      <c r="AD88" s="175">
        <f t="shared" si="35"/>
        <v>30.666666666666668</v>
      </c>
      <c r="AE88" s="912">
        <v>12</v>
      </c>
      <c r="AF88" s="134">
        <v>0</v>
      </c>
      <c r="AG88" s="158">
        <f t="shared" si="27"/>
        <v>12</v>
      </c>
      <c r="AH88" s="134">
        <v>18</v>
      </c>
      <c r="AI88" s="134">
        <v>0</v>
      </c>
      <c r="AJ88" s="922">
        <f t="shared" si="28"/>
        <v>18</v>
      </c>
      <c r="AK88" s="921">
        <v>0</v>
      </c>
      <c r="AL88" s="134">
        <v>0</v>
      </c>
      <c r="AM88" s="922">
        <f t="shared" si="29"/>
        <v>0</v>
      </c>
      <c r="AN88" s="6">
        <f t="shared" si="36"/>
        <v>214</v>
      </c>
      <c r="AO88" s="6">
        <f t="shared" si="37"/>
        <v>0</v>
      </c>
      <c r="AP88" s="6">
        <f t="shared" si="38"/>
        <v>214</v>
      </c>
      <c r="AQ88" s="955">
        <f t="shared" si="39"/>
        <v>23.777777777777779</v>
      </c>
      <c r="AR88" s="955">
        <f t="shared" si="40"/>
        <v>0</v>
      </c>
      <c r="AS88" s="955">
        <f t="shared" si="41"/>
        <v>23.777777777777779</v>
      </c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</row>
    <row r="89" spans="1:60" ht="15.75">
      <c r="A89" s="136">
        <v>81</v>
      </c>
      <c r="B89" s="166" t="s">
        <v>1226</v>
      </c>
      <c r="C89" s="158" t="s">
        <v>1191</v>
      </c>
      <c r="D89" s="136" t="s">
        <v>1227</v>
      </c>
      <c r="E89" s="159" t="s">
        <v>15</v>
      </c>
      <c r="F89" s="160">
        <v>10</v>
      </c>
      <c r="G89" s="172">
        <v>25</v>
      </c>
      <c r="H89" s="158">
        <v>0</v>
      </c>
      <c r="I89" s="158">
        <f t="shared" si="42"/>
        <v>25</v>
      </c>
      <c r="J89" s="136">
        <v>5</v>
      </c>
      <c r="K89" s="158">
        <v>0</v>
      </c>
      <c r="L89" s="158">
        <f t="shared" si="43"/>
        <v>5</v>
      </c>
      <c r="M89" s="132">
        <v>0</v>
      </c>
      <c r="N89" s="158">
        <v>0</v>
      </c>
      <c r="O89" s="158">
        <f t="shared" si="44"/>
        <v>0</v>
      </c>
      <c r="P89" s="158">
        <v>70</v>
      </c>
      <c r="Q89" s="158">
        <v>0</v>
      </c>
      <c r="R89" s="158">
        <f t="shared" si="45"/>
        <v>70</v>
      </c>
      <c r="S89" s="158">
        <v>15</v>
      </c>
      <c r="T89" s="158">
        <v>0</v>
      </c>
      <c r="U89" s="158">
        <f t="shared" si="46"/>
        <v>15</v>
      </c>
      <c r="V89" s="158">
        <v>28</v>
      </c>
      <c r="W89" s="158">
        <v>0</v>
      </c>
      <c r="X89" s="158">
        <f t="shared" si="26"/>
        <v>28</v>
      </c>
      <c r="Y89" s="174">
        <f t="shared" si="30"/>
        <v>143</v>
      </c>
      <c r="Z89" s="174">
        <f t="shared" si="31"/>
        <v>0</v>
      </c>
      <c r="AA89" s="174">
        <f t="shared" si="32"/>
        <v>143</v>
      </c>
      <c r="AB89" s="175">
        <f t="shared" si="33"/>
        <v>23.833333333333332</v>
      </c>
      <c r="AC89" s="175">
        <f t="shared" si="34"/>
        <v>0</v>
      </c>
      <c r="AD89" s="175">
        <f t="shared" si="35"/>
        <v>23.833333333333332</v>
      </c>
      <c r="AE89" s="912">
        <v>21</v>
      </c>
      <c r="AF89" s="134">
        <v>0</v>
      </c>
      <c r="AG89" s="158">
        <f t="shared" si="27"/>
        <v>21</v>
      </c>
      <c r="AH89" s="134">
        <v>18</v>
      </c>
      <c r="AI89" s="134">
        <v>0</v>
      </c>
      <c r="AJ89" s="922">
        <f t="shared" si="28"/>
        <v>18</v>
      </c>
      <c r="AK89" s="921">
        <v>0</v>
      </c>
      <c r="AL89" s="134">
        <v>0</v>
      </c>
      <c r="AM89" s="922">
        <f t="shared" si="29"/>
        <v>0</v>
      </c>
      <c r="AN89" s="6">
        <f t="shared" si="36"/>
        <v>182</v>
      </c>
      <c r="AO89" s="6">
        <f t="shared" si="37"/>
        <v>0</v>
      </c>
      <c r="AP89" s="6">
        <f t="shared" si="38"/>
        <v>182</v>
      </c>
      <c r="AQ89" s="955">
        <f t="shared" si="39"/>
        <v>20.222222222222221</v>
      </c>
      <c r="AR89" s="955">
        <f t="shared" si="40"/>
        <v>0</v>
      </c>
      <c r="AS89" s="955">
        <f t="shared" si="41"/>
        <v>20.222222222222221</v>
      </c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</row>
    <row r="90" spans="1:60" ht="15.75">
      <c r="A90" s="136">
        <v>82</v>
      </c>
      <c r="B90" s="166" t="s">
        <v>1194</v>
      </c>
      <c r="C90" s="158" t="s">
        <v>1191</v>
      </c>
      <c r="D90" s="136" t="s">
        <v>1228</v>
      </c>
      <c r="E90" s="159" t="s">
        <v>15</v>
      </c>
      <c r="F90" s="160">
        <v>13</v>
      </c>
      <c r="G90" s="172">
        <v>13</v>
      </c>
      <c r="H90" s="158">
        <v>0</v>
      </c>
      <c r="I90" s="158">
        <f t="shared" si="42"/>
        <v>13</v>
      </c>
      <c r="J90" s="136">
        <v>0</v>
      </c>
      <c r="K90" s="158">
        <v>0</v>
      </c>
      <c r="L90" s="158">
        <f t="shared" si="43"/>
        <v>0</v>
      </c>
      <c r="M90" s="132">
        <v>0</v>
      </c>
      <c r="N90" s="158">
        <v>0</v>
      </c>
      <c r="O90" s="158">
        <f t="shared" si="44"/>
        <v>0</v>
      </c>
      <c r="P90" s="158">
        <v>55</v>
      </c>
      <c r="Q90" s="158">
        <v>0</v>
      </c>
      <c r="R90" s="158">
        <f t="shared" si="45"/>
        <v>55</v>
      </c>
      <c r="S90" s="158">
        <v>5</v>
      </c>
      <c r="T90" s="158">
        <v>0</v>
      </c>
      <c r="U90" s="158">
        <f t="shared" si="46"/>
        <v>5</v>
      </c>
      <c r="V90" s="158">
        <v>38</v>
      </c>
      <c r="W90" s="158">
        <v>0</v>
      </c>
      <c r="X90" s="158">
        <f t="shared" si="26"/>
        <v>38</v>
      </c>
      <c r="Y90" s="174">
        <f t="shared" si="30"/>
        <v>111</v>
      </c>
      <c r="Z90" s="174">
        <f t="shared" si="31"/>
        <v>0</v>
      </c>
      <c r="AA90" s="174">
        <f t="shared" si="32"/>
        <v>111</v>
      </c>
      <c r="AB90" s="175">
        <f t="shared" si="33"/>
        <v>18.5</v>
      </c>
      <c r="AC90" s="175">
        <f t="shared" si="34"/>
        <v>0</v>
      </c>
      <c r="AD90" s="175">
        <f t="shared" si="35"/>
        <v>18.5</v>
      </c>
      <c r="AE90" s="912">
        <v>5</v>
      </c>
      <c r="AF90" s="134">
        <v>0</v>
      </c>
      <c r="AG90" s="158">
        <f t="shared" si="27"/>
        <v>5</v>
      </c>
      <c r="AH90" s="134">
        <v>10</v>
      </c>
      <c r="AI90" s="134">
        <v>0</v>
      </c>
      <c r="AJ90" s="922">
        <f t="shared" si="28"/>
        <v>10</v>
      </c>
      <c r="AK90" s="921">
        <v>5</v>
      </c>
      <c r="AL90" s="134">
        <v>0</v>
      </c>
      <c r="AM90" s="922">
        <f t="shared" si="29"/>
        <v>5</v>
      </c>
      <c r="AN90" s="6">
        <f t="shared" si="36"/>
        <v>131</v>
      </c>
      <c r="AO90" s="6">
        <f t="shared" si="37"/>
        <v>0</v>
      </c>
      <c r="AP90" s="6">
        <f t="shared" si="38"/>
        <v>131</v>
      </c>
      <c r="AQ90" s="955">
        <f t="shared" si="39"/>
        <v>14.555555555555555</v>
      </c>
      <c r="AR90" s="955">
        <f t="shared" si="40"/>
        <v>0</v>
      </c>
      <c r="AS90" s="955">
        <f t="shared" si="41"/>
        <v>14.555555555555555</v>
      </c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</row>
    <row r="91" spans="1:60" ht="15.75">
      <c r="A91" s="136">
        <v>83</v>
      </c>
      <c r="B91" s="166" t="s">
        <v>1229</v>
      </c>
      <c r="C91" s="158" t="s">
        <v>1230</v>
      </c>
      <c r="D91" s="136" t="s">
        <v>1231</v>
      </c>
      <c r="E91" s="159" t="s">
        <v>15</v>
      </c>
      <c r="F91" s="160">
        <v>3</v>
      </c>
      <c r="G91" s="172">
        <v>3</v>
      </c>
      <c r="H91" s="158">
        <v>0</v>
      </c>
      <c r="I91" s="158">
        <f t="shared" si="42"/>
        <v>3</v>
      </c>
      <c r="J91" s="136">
        <v>0</v>
      </c>
      <c r="K91" s="158">
        <v>0</v>
      </c>
      <c r="L91" s="158">
        <f t="shared" si="43"/>
        <v>0</v>
      </c>
      <c r="M91" s="132">
        <v>55</v>
      </c>
      <c r="N91" s="158">
        <v>0</v>
      </c>
      <c r="O91" s="158">
        <f t="shared" si="44"/>
        <v>55</v>
      </c>
      <c r="P91" s="158">
        <v>6</v>
      </c>
      <c r="Q91" s="158">
        <v>0</v>
      </c>
      <c r="R91" s="158">
        <f t="shared" si="45"/>
        <v>6</v>
      </c>
      <c r="S91" s="158">
        <v>0</v>
      </c>
      <c r="T91" s="158">
        <v>0</v>
      </c>
      <c r="U91" s="158">
        <f t="shared" si="46"/>
        <v>0</v>
      </c>
      <c r="V91" s="158">
        <v>82</v>
      </c>
      <c r="W91" s="158">
        <v>0</v>
      </c>
      <c r="X91" s="158">
        <f t="shared" si="26"/>
        <v>82</v>
      </c>
      <c r="Y91" s="174">
        <f t="shared" si="30"/>
        <v>146</v>
      </c>
      <c r="Z91" s="174">
        <f t="shared" si="31"/>
        <v>0</v>
      </c>
      <c r="AA91" s="174">
        <f t="shared" si="32"/>
        <v>146</v>
      </c>
      <c r="AB91" s="175">
        <f t="shared" si="33"/>
        <v>24.333333333333332</v>
      </c>
      <c r="AC91" s="175">
        <f t="shared" si="34"/>
        <v>0</v>
      </c>
      <c r="AD91" s="175">
        <f t="shared" si="35"/>
        <v>24.333333333333332</v>
      </c>
      <c r="AE91" s="912">
        <v>10</v>
      </c>
      <c r="AF91" s="134">
        <v>0</v>
      </c>
      <c r="AG91" s="158">
        <f t="shared" si="27"/>
        <v>10</v>
      </c>
      <c r="AH91" s="134">
        <v>0</v>
      </c>
      <c r="AI91" s="134">
        <v>0</v>
      </c>
      <c r="AJ91" s="922">
        <f t="shared" si="28"/>
        <v>0</v>
      </c>
      <c r="AK91" s="921">
        <v>0</v>
      </c>
      <c r="AL91" s="134">
        <v>0</v>
      </c>
      <c r="AM91" s="922">
        <f t="shared" si="29"/>
        <v>0</v>
      </c>
      <c r="AN91" s="6">
        <f t="shared" si="36"/>
        <v>156</v>
      </c>
      <c r="AO91" s="6">
        <f t="shared" si="37"/>
        <v>0</v>
      </c>
      <c r="AP91" s="6">
        <f t="shared" si="38"/>
        <v>156</v>
      </c>
      <c r="AQ91" s="955">
        <f t="shared" si="39"/>
        <v>17.333333333333332</v>
      </c>
      <c r="AR91" s="955">
        <f t="shared" si="40"/>
        <v>0</v>
      </c>
      <c r="AS91" s="955">
        <f t="shared" si="41"/>
        <v>17.333333333333332</v>
      </c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</row>
    <row r="92" spans="1:60" ht="15.75">
      <c r="A92" s="136">
        <v>84</v>
      </c>
      <c r="B92" s="166" t="s">
        <v>1232</v>
      </c>
      <c r="C92" s="158" t="s">
        <v>1230</v>
      </c>
      <c r="D92" s="136" t="s">
        <v>1233</v>
      </c>
      <c r="E92" s="159" t="s">
        <v>18</v>
      </c>
      <c r="F92" s="160">
        <v>15</v>
      </c>
      <c r="G92" s="172">
        <v>15</v>
      </c>
      <c r="H92" s="158">
        <v>0</v>
      </c>
      <c r="I92" s="158">
        <f t="shared" si="42"/>
        <v>15</v>
      </c>
      <c r="J92" s="136">
        <v>0</v>
      </c>
      <c r="K92" s="158">
        <v>0</v>
      </c>
      <c r="L92" s="158">
        <f t="shared" si="43"/>
        <v>0</v>
      </c>
      <c r="M92" s="132">
        <v>15</v>
      </c>
      <c r="N92" s="158">
        <v>0</v>
      </c>
      <c r="O92" s="158">
        <f t="shared" si="44"/>
        <v>15</v>
      </c>
      <c r="P92" s="158">
        <v>90</v>
      </c>
      <c r="Q92" s="158">
        <v>0</v>
      </c>
      <c r="R92" s="158">
        <f t="shared" si="45"/>
        <v>90</v>
      </c>
      <c r="S92" s="158">
        <v>6</v>
      </c>
      <c r="T92" s="158">
        <v>0</v>
      </c>
      <c r="U92" s="158">
        <f t="shared" si="46"/>
        <v>6</v>
      </c>
      <c r="V92" s="158">
        <v>5</v>
      </c>
      <c r="W92" s="158">
        <v>0</v>
      </c>
      <c r="X92" s="158">
        <f t="shared" si="26"/>
        <v>5</v>
      </c>
      <c r="Y92" s="174">
        <f t="shared" si="30"/>
        <v>131</v>
      </c>
      <c r="Z92" s="174">
        <f t="shared" si="31"/>
        <v>0</v>
      </c>
      <c r="AA92" s="174">
        <f t="shared" si="32"/>
        <v>131</v>
      </c>
      <c r="AB92" s="175">
        <f t="shared" si="33"/>
        <v>21.833333333333332</v>
      </c>
      <c r="AC92" s="175">
        <f t="shared" si="34"/>
        <v>0</v>
      </c>
      <c r="AD92" s="175">
        <f t="shared" si="35"/>
        <v>21.833333333333332</v>
      </c>
      <c r="AE92" s="912">
        <v>3</v>
      </c>
      <c r="AF92" s="134">
        <v>0</v>
      </c>
      <c r="AG92" s="158">
        <f t="shared" si="27"/>
        <v>3</v>
      </c>
      <c r="AH92" s="134">
        <v>55</v>
      </c>
      <c r="AI92" s="134">
        <v>0</v>
      </c>
      <c r="AJ92" s="922">
        <f t="shared" si="28"/>
        <v>55</v>
      </c>
      <c r="AK92" s="921">
        <v>5</v>
      </c>
      <c r="AL92" s="134">
        <v>0</v>
      </c>
      <c r="AM92" s="922">
        <f t="shared" si="29"/>
        <v>5</v>
      </c>
      <c r="AN92" s="6">
        <f t="shared" si="36"/>
        <v>194</v>
      </c>
      <c r="AO92" s="6">
        <f t="shared" si="37"/>
        <v>0</v>
      </c>
      <c r="AP92" s="6">
        <f t="shared" si="38"/>
        <v>194</v>
      </c>
      <c r="AQ92" s="955">
        <f t="shared" si="39"/>
        <v>21.555555555555557</v>
      </c>
      <c r="AR92" s="955">
        <f t="shared" si="40"/>
        <v>0</v>
      </c>
      <c r="AS92" s="955">
        <f t="shared" si="41"/>
        <v>21.555555555555557</v>
      </c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</row>
    <row r="93" spans="1:60" ht="15.75">
      <c r="A93" s="136">
        <v>85</v>
      </c>
      <c r="B93" s="166" t="s">
        <v>1234</v>
      </c>
      <c r="C93" s="158" t="s">
        <v>1230</v>
      </c>
      <c r="D93" s="136" t="s">
        <v>1235</v>
      </c>
      <c r="E93" s="159" t="s">
        <v>15</v>
      </c>
      <c r="F93" s="160">
        <v>3</v>
      </c>
      <c r="G93" s="172">
        <v>3</v>
      </c>
      <c r="H93" s="158">
        <v>0</v>
      </c>
      <c r="I93" s="158">
        <f t="shared" si="42"/>
        <v>3</v>
      </c>
      <c r="J93" s="136">
        <v>0</v>
      </c>
      <c r="K93" s="158">
        <v>0</v>
      </c>
      <c r="L93" s="158">
        <f t="shared" si="43"/>
        <v>0</v>
      </c>
      <c r="M93" s="132">
        <v>18</v>
      </c>
      <c r="N93" s="158">
        <v>0</v>
      </c>
      <c r="O93" s="158">
        <f t="shared" si="44"/>
        <v>18</v>
      </c>
      <c r="P93" s="158">
        <v>25</v>
      </c>
      <c r="Q93" s="158">
        <v>0</v>
      </c>
      <c r="R93" s="158">
        <f t="shared" si="45"/>
        <v>25</v>
      </c>
      <c r="S93" s="158">
        <v>15</v>
      </c>
      <c r="T93" s="158">
        <v>0</v>
      </c>
      <c r="U93" s="158">
        <f t="shared" si="46"/>
        <v>15</v>
      </c>
      <c r="V93" s="158">
        <v>10</v>
      </c>
      <c r="W93" s="158">
        <v>0</v>
      </c>
      <c r="X93" s="158">
        <f t="shared" si="26"/>
        <v>10</v>
      </c>
      <c r="Y93" s="174">
        <f t="shared" si="30"/>
        <v>71</v>
      </c>
      <c r="Z93" s="174">
        <f t="shared" si="31"/>
        <v>0</v>
      </c>
      <c r="AA93" s="174">
        <f t="shared" si="32"/>
        <v>71</v>
      </c>
      <c r="AB93" s="175">
        <f t="shared" si="33"/>
        <v>11.833333333333334</v>
      </c>
      <c r="AC93" s="175">
        <f t="shared" si="34"/>
        <v>0</v>
      </c>
      <c r="AD93" s="175">
        <f t="shared" si="35"/>
        <v>11.833333333333334</v>
      </c>
      <c r="AE93" s="912">
        <v>0</v>
      </c>
      <c r="AF93" s="134">
        <v>0</v>
      </c>
      <c r="AG93" s="158">
        <f t="shared" si="27"/>
        <v>0</v>
      </c>
      <c r="AH93" s="134">
        <v>0</v>
      </c>
      <c r="AI93" s="134">
        <v>0</v>
      </c>
      <c r="AJ93" s="922">
        <f t="shared" si="28"/>
        <v>0</v>
      </c>
      <c r="AK93" s="921">
        <v>0</v>
      </c>
      <c r="AL93" s="134">
        <v>0</v>
      </c>
      <c r="AM93" s="922">
        <f t="shared" si="29"/>
        <v>0</v>
      </c>
      <c r="AN93" s="6">
        <f t="shared" si="36"/>
        <v>71</v>
      </c>
      <c r="AO93" s="6">
        <f t="shared" si="37"/>
        <v>0</v>
      </c>
      <c r="AP93" s="6">
        <f t="shared" si="38"/>
        <v>71</v>
      </c>
      <c r="AQ93" s="955">
        <f t="shared" si="39"/>
        <v>7.8888888888888893</v>
      </c>
      <c r="AR93" s="955">
        <f t="shared" si="40"/>
        <v>0</v>
      </c>
      <c r="AS93" s="955">
        <f t="shared" si="41"/>
        <v>7.8888888888888893</v>
      </c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</row>
    <row r="94" spans="1:60" ht="15.75">
      <c r="A94" s="136">
        <v>86</v>
      </c>
      <c r="B94" s="166" t="s">
        <v>1236</v>
      </c>
      <c r="C94" s="158" t="s">
        <v>1230</v>
      </c>
      <c r="D94" s="136" t="s">
        <v>1237</v>
      </c>
      <c r="E94" s="159" t="s">
        <v>15</v>
      </c>
      <c r="F94" s="160">
        <v>15</v>
      </c>
      <c r="G94" s="172">
        <v>15</v>
      </c>
      <c r="H94" s="158">
        <v>0</v>
      </c>
      <c r="I94" s="158">
        <f t="shared" si="42"/>
        <v>15</v>
      </c>
      <c r="J94" s="136">
        <v>10</v>
      </c>
      <c r="K94" s="158">
        <v>0</v>
      </c>
      <c r="L94" s="158">
        <f t="shared" si="43"/>
        <v>10</v>
      </c>
      <c r="M94" s="132">
        <v>20</v>
      </c>
      <c r="N94" s="158">
        <v>0</v>
      </c>
      <c r="O94" s="158">
        <f t="shared" si="44"/>
        <v>20</v>
      </c>
      <c r="P94" s="158">
        <v>110</v>
      </c>
      <c r="Q94" s="158">
        <v>0</v>
      </c>
      <c r="R94" s="158">
        <f t="shared" si="45"/>
        <v>110</v>
      </c>
      <c r="S94" s="158">
        <v>5</v>
      </c>
      <c r="T94" s="158">
        <v>0</v>
      </c>
      <c r="U94" s="158">
        <f t="shared" si="46"/>
        <v>5</v>
      </c>
      <c r="V94" s="158">
        <v>15</v>
      </c>
      <c r="W94" s="158">
        <v>0</v>
      </c>
      <c r="X94" s="158">
        <f t="shared" si="26"/>
        <v>15</v>
      </c>
      <c r="Y94" s="174">
        <f t="shared" si="30"/>
        <v>175</v>
      </c>
      <c r="Z94" s="174">
        <f t="shared" si="31"/>
        <v>0</v>
      </c>
      <c r="AA94" s="174">
        <f t="shared" si="32"/>
        <v>175</v>
      </c>
      <c r="AB94" s="175">
        <f t="shared" si="33"/>
        <v>29.166666666666668</v>
      </c>
      <c r="AC94" s="175">
        <f t="shared" si="34"/>
        <v>0</v>
      </c>
      <c r="AD94" s="175">
        <f t="shared" si="35"/>
        <v>29.166666666666668</v>
      </c>
      <c r="AE94" s="912">
        <v>12</v>
      </c>
      <c r="AF94" s="134">
        <v>0</v>
      </c>
      <c r="AG94" s="158">
        <f t="shared" si="27"/>
        <v>12</v>
      </c>
      <c r="AH94" s="134">
        <v>22</v>
      </c>
      <c r="AI94" s="134">
        <v>0</v>
      </c>
      <c r="AJ94" s="922">
        <f t="shared" si="28"/>
        <v>22</v>
      </c>
      <c r="AK94" s="921">
        <v>0</v>
      </c>
      <c r="AL94" s="134">
        <v>0</v>
      </c>
      <c r="AM94" s="922">
        <f t="shared" si="29"/>
        <v>0</v>
      </c>
      <c r="AN94" s="6">
        <f t="shared" si="36"/>
        <v>209</v>
      </c>
      <c r="AO94" s="6">
        <f t="shared" si="37"/>
        <v>0</v>
      </c>
      <c r="AP94" s="6">
        <f t="shared" si="38"/>
        <v>209</v>
      </c>
      <c r="AQ94" s="955">
        <f t="shared" si="39"/>
        <v>23.222222222222221</v>
      </c>
      <c r="AR94" s="955">
        <f t="shared" si="40"/>
        <v>0</v>
      </c>
      <c r="AS94" s="955">
        <f t="shared" si="41"/>
        <v>23.222222222222221</v>
      </c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</row>
    <row r="95" spans="1:60" ht="15.75">
      <c r="A95" s="136">
        <v>87</v>
      </c>
      <c r="B95" s="166" t="s">
        <v>1238</v>
      </c>
      <c r="C95" s="158" t="s">
        <v>1230</v>
      </c>
      <c r="D95" s="136" t="s">
        <v>1239</v>
      </c>
      <c r="E95" s="159" t="s">
        <v>15</v>
      </c>
      <c r="F95" s="160">
        <v>10</v>
      </c>
      <c r="G95" s="172">
        <v>10</v>
      </c>
      <c r="H95" s="158">
        <v>0</v>
      </c>
      <c r="I95" s="158">
        <f t="shared" si="42"/>
        <v>10</v>
      </c>
      <c r="J95" s="136">
        <v>15</v>
      </c>
      <c r="K95" s="158">
        <v>0</v>
      </c>
      <c r="L95" s="158">
        <f t="shared" si="43"/>
        <v>15</v>
      </c>
      <c r="M95" s="132">
        <v>3</v>
      </c>
      <c r="N95" s="158">
        <v>0</v>
      </c>
      <c r="O95" s="158">
        <f t="shared" si="44"/>
        <v>3</v>
      </c>
      <c r="P95" s="158">
        <v>15</v>
      </c>
      <c r="Q95" s="158">
        <v>0</v>
      </c>
      <c r="R95" s="158">
        <f t="shared" si="45"/>
        <v>15</v>
      </c>
      <c r="S95" s="158">
        <v>6</v>
      </c>
      <c r="T95" s="158">
        <v>0</v>
      </c>
      <c r="U95" s="158">
        <f t="shared" si="46"/>
        <v>6</v>
      </c>
      <c r="V95" s="158">
        <v>25</v>
      </c>
      <c r="W95" s="158">
        <v>0</v>
      </c>
      <c r="X95" s="158">
        <f t="shared" si="26"/>
        <v>25</v>
      </c>
      <c r="Y95" s="174">
        <f t="shared" si="30"/>
        <v>74</v>
      </c>
      <c r="Z95" s="174">
        <f t="shared" si="31"/>
        <v>0</v>
      </c>
      <c r="AA95" s="174">
        <f t="shared" si="32"/>
        <v>74</v>
      </c>
      <c r="AB95" s="175">
        <f t="shared" si="33"/>
        <v>12.333333333333334</v>
      </c>
      <c r="AC95" s="175">
        <f t="shared" si="34"/>
        <v>0</v>
      </c>
      <c r="AD95" s="175">
        <f t="shared" si="35"/>
        <v>12.333333333333334</v>
      </c>
      <c r="AE95" s="912">
        <v>10</v>
      </c>
      <c r="AF95" s="134">
        <v>0</v>
      </c>
      <c r="AG95" s="158">
        <f t="shared" si="27"/>
        <v>10</v>
      </c>
      <c r="AH95" s="134">
        <v>5</v>
      </c>
      <c r="AI95" s="134">
        <v>0</v>
      </c>
      <c r="AJ95" s="922">
        <f t="shared" si="28"/>
        <v>5</v>
      </c>
      <c r="AK95" s="921">
        <v>0</v>
      </c>
      <c r="AL95" s="134">
        <v>0</v>
      </c>
      <c r="AM95" s="922">
        <f t="shared" si="29"/>
        <v>0</v>
      </c>
      <c r="AN95" s="6">
        <f t="shared" si="36"/>
        <v>89</v>
      </c>
      <c r="AO95" s="6">
        <f t="shared" si="37"/>
        <v>0</v>
      </c>
      <c r="AP95" s="6">
        <f t="shared" si="38"/>
        <v>89</v>
      </c>
      <c r="AQ95" s="955">
        <f t="shared" si="39"/>
        <v>9.8888888888888893</v>
      </c>
      <c r="AR95" s="955">
        <f t="shared" si="40"/>
        <v>0</v>
      </c>
      <c r="AS95" s="955">
        <f t="shared" si="41"/>
        <v>9.8888888888888893</v>
      </c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</row>
    <row r="96" spans="1:60" ht="15.75">
      <c r="A96" s="136">
        <v>88</v>
      </c>
      <c r="B96" s="166" t="s">
        <v>1240</v>
      </c>
      <c r="C96" s="158" t="s">
        <v>1230</v>
      </c>
      <c r="D96" s="136" t="s">
        <v>1241</v>
      </c>
      <c r="E96" s="159" t="s">
        <v>15</v>
      </c>
      <c r="F96" s="160">
        <v>3</v>
      </c>
      <c r="G96" s="172">
        <v>113</v>
      </c>
      <c r="H96" s="158">
        <v>0</v>
      </c>
      <c r="I96" s="158">
        <f t="shared" si="42"/>
        <v>113</v>
      </c>
      <c r="J96" s="136">
        <v>180</v>
      </c>
      <c r="K96" s="158">
        <v>0</v>
      </c>
      <c r="L96" s="158">
        <f t="shared" si="43"/>
        <v>180</v>
      </c>
      <c r="M96" s="132">
        <v>280</v>
      </c>
      <c r="N96" s="158">
        <v>0</v>
      </c>
      <c r="O96" s="158">
        <f t="shared" si="44"/>
        <v>280</v>
      </c>
      <c r="P96" s="158">
        <v>20</v>
      </c>
      <c r="Q96" s="158">
        <v>0</v>
      </c>
      <c r="R96" s="158">
        <f t="shared" si="45"/>
        <v>20</v>
      </c>
      <c r="S96" s="158">
        <v>3</v>
      </c>
      <c r="T96" s="158">
        <v>0</v>
      </c>
      <c r="U96" s="158">
        <f t="shared" si="46"/>
        <v>3</v>
      </c>
      <c r="V96" s="158">
        <v>19</v>
      </c>
      <c r="W96" s="158">
        <v>0</v>
      </c>
      <c r="X96" s="158">
        <f t="shared" si="26"/>
        <v>19</v>
      </c>
      <c r="Y96" s="174">
        <f t="shared" si="30"/>
        <v>615</v>
      </c>
      <c r="Z96" s="174">
        <f t="shared" si="31"/>
        <v>0</v>
      </c>
      <c r="AA96" s="174">
        <f t="shared" si="32"/>
        <v>615</v>
      </c>
      <c r="AB96" s="175">
        <f t="shared" si="33"/>
        <v>102.5</v>
      </c>
      <c r="AC96" s="175">
        <f t="shared" si="34"/>
        <v>0</v>
      </c>
      <c r="AD96" s="175">
        <f t="shared" si="35"/>
        <v>102.5</v>
      </c>
      <c r="AE96" s="912">
        <v>13</v>
      </c>
      <c r="AF96" s="134">
        <v>0</v>
      </c>
      <c r="AG96" s="158">
        <f t="shared" si="27"/>
        <v>13</v>
      </c>
      <c r="AH96" s="134">
        <v>10</v>
      </c>
      <c r="AI96" s="134">
        <v>0</v>
      </c>
      <c r="AJ96" s="922">
        <f t="shared" si="28"/>
        <v>10</v>
      </c>
      <c r="AK96" s="921">
        <v>0</v>
      </c>
      <c r="AL96" s="134">
        <v>0</v>
      </c>
      <c r="AM96" s="922">
        <f t="shared" si="29"/>
        <v>0</v>
      </c>
      <c r="AN96" s="6">
        <f t="shared" si="36"/>
        <v>638</v>
      </c>
      <c r="AO96" s="6">
        <f t="shared" si="37"/>
        <v>0</v>
      </c>
      <c r="AP96" s="6">
        <f t="shared" si="38"/>
        <v>638</v>
      </c>
      <c r="AQ96" s="955">
        <f t="shared" si="39"/>
        <v>70.888888888888886</v>
      </c>
      <c r="AR96" s="955">
        <f t="shared" si="40"/>
        <v>0</v>
      </c>
      <c r="AS96" s="955">
        <f t="shared" si="41"/>
        <v>70.888888888888886</v>
      </c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</row>
    <row r="97" spans="1:60" ht="15.75">
      <c r="A97" s="136">
        <v>89</v>
      </c>
      <c r="B97" s="166" t="s">
        <v>1242</v>
      </c>
      <c r="C97" s="158" t="s">
        <v>1230</v>
      </c>
      <c r="D97" s="136" t="s">
        <v>1243</v>
      </c>
      <c r="E97" s="159" t="s">
        <v>15</v>
      </c>
      <c r="F97" s="160">
        <v>20</v>
      </c>
      <c r="G97" s="172">
        <v>20</v>
      </c>
      <c r="H97" s="158">
        <v>0</v>
      </c>
      <c r="I97" s="158">
        <f t="shared" si="42"/>
        <v>20</v>
      </c>
      <c r="J97" s="136">
        <v>3</v>
      </c>
      <c r="K97" s="158">
        <v>0</v>
      </c>
      <c r="L97" s="158">
        <f t="shared" si="43"/>
        <v>3</v>
      </c>
      <c r="M97" s="132">
        <v>25</v>
      </c>
      <c r="N97" s="158">
        <v>0</v>
      </c>
      <c r="O97" s="158">
        <f t="shared" si="44"/>
        <v>25</v>
      </c>
      <c r="P97" s="158">
        <v>15</v>
      </c>
      <c r="Q97" s="158">
        <v>0</v>
      </c>
      <c r="R97" s="158">
        <f t="shared" si="45"/>
        <v>15</v>
      </c>
      <c r="S97" s="158">
        <v>5</v>
      </c>
      <c r="T97" s="158">
        <v>0</v>
      </c>
      <c r="U97" s="158">
        <f t="shared" si="46"/>
        <v>5</v>
      </c>
      <c r="V97" s="158">
        <v>10</v>
      </c>
      <c r="W97" s="158">
        <v>0</v>
      </c>
      <c r="X97" s="158">
        <f t="shared" si="26"/>
        <v>10</v>
      </c>
      <c r="Y97" s="174">
        <f t="shared" si="30"/>
        <v>78</v>
      </c>
      <c r="Z97" s="174">
        <f t="shared" si="31"/>
        <v>0</v>
      </c>
      <c r="AA97" s="174">
        <f t="shared" si="32"/>
        <v>78</v>
      </c>
      <c r="AB97" s="175">
        <f t="shared" si="33"/>
        <v>13</v>
      </c>
      <c r="AC97" s="175">
        <f t="shared" si="34"/>
        <v>0</v>
      </c>
      <c r="AD97" s="175">
        <f t="shared" si="35"/>
        <v>13</v>
      </c>
      <c r="AE97" s="912">
        <v>5</v>
      </c>
      <c r="AF97" s="134">
        <v>0</v>
      </c>
      <c r="AG97" s="158">
        <f t="shared" si="27"/>
        <v>5</v>
      </c>
      <c r="AH97" s="134">
        <v>10</v>
      </c>
      <c r="AI97" s="134">
        <v>0</v>
      </c>
      <c r="AJ97" s="922">
        <f t="shared" si="28"/>
        <v>10</v>
      </c>
      <c r="AK97" s="921">
        <v>5</v>
      </c>
      <c r="AL97" s="134">
        <v>0</v>
      </c>
      <c r="AM97" s="922">
        <f t="shared" si="29"/>
        <v>5</v>
      </c>
      <c r="AN97" s="6">
        <f t="shared" si="36"/>
        <v>98</v>
      </c>
      <c r="AO97" s="6">
        <f t="shared" si="37"/>
        <v>0</v>
      </c>
      <c r="AP97" s="6">
        <f t="shared" si="38"/>
        <v>98</v>
      </c>
      <c r="AQ97" s="955">
        <f t="shared" si="39"/>
        <v>10.888888888888889</v>
      </c>
      <c r="AR97" s="955">
        <f t="shared" si="40"/>
        <v>0</v>
      </c>
      <c r="AS97" s="955">
        <f t="shared" si="41"/>
        <v>10.888888888888889</v>
      </c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</row>
    <row r="98" spans="1:60" ht="15.75">
      <c r="A98" s="136">
        <v>90</v>
      </c>
      <c r="B98" s="166" t="s">
        <v>1244</v>
      </c>
      <c r="C98" s="158" t="s">
        <v>1230</v>
      </c>
      <c r="D98" s="136" t="s">
        <v>1245</v>
      </c>
      <c r="E98" s="159" t="s">
        <v>15</v>
      </c>
      <c r="F98" s="160">
        <v>15</v>
      </c>
      <c r="G98" s="172">
        <v>483</v>
      </c>
      <c r="H98" s="158">
        <v>0</v>
      </c>
      <c r="I98" s="158">
        <f t="shared" si="42"/>
        <v>483</v>
      </c>
      <c r="J98" s="136">
        <v>120</v>
      </c>
      <c r="K98" s="158">
        <v>0</v>
      </c>
      <c r="L98" s="158">
        <f t="shared" si="43"/>
        <v>120</v>
      </c>
      <c r="M98" s="132">
        <v>220</v>
      </c>
      <c r="N98" s="158">
        <v>0</v>
      </c>
      <c r="O98" s="158">
        <f t="shared" si="44"/>
        <v>220</v>
      </c>
      <c r="P98" s="158">
        <v>38</v>
      </c>
      <c r="Q98" s="158">
        <v>0</v>
      </c>
      <c r="R98" s="158">
        <f t="shared" si="45"/>
        <v>38</v>
      </c>
      <c r="S98" s="158">
        <v>20</v>
      </c>
      <c r="T98" s="158">
        <v>0</v>
      </c>
      <c r="U98" s="158">
        <f t="shared" si="46"/>
        <v>20</v>
      </c>
      <c r="V98" s="158">
        <v>5</v>
      </c>
      <c r="W98" s="158">
        <v>0</v>
      </c>
      <c r="X98" s="158">
        <f t="shared" si="26"/>
        <v>5</v>
      </c>
      <c r="Y98" s="174">
        <f t="shared" si="30"/>
        <v>886</v>
      </c>
      <c r="Z98" s="174">
        <f t="shared" si="31"/>
        <v>0</v>
      </c>
      <c r="AA98" s="174">
        <f t="shared" si="32"/>
        <v>886</v>
      </c>
      <c r="AB98" s="175">
        <f t="shared" si="33"/>
        <v>147.66666666666666</v>
      </c>
      <c r="AC98" s="175">
        <f t="shared" si="34"/>
        <v>0</v>
      </c>
      <c r="AD98" s="175">
        <f t="shared" si="35"/>
        <v>147.66666666666666</v>
      </c>
      <c r="AE98" s="912">
        <v>12</v>
      </c>
      <c r="AF98" s="134">
        <v>0</v>
      </c>
      <c r="AG98" s="158">
        <f t="shared" si="27"/>
        <v>12</v>
      </c>
      <c r="AH98" s="134">
        <v>12</v>
      </c>
      <c r="AI98" s="134">
        <v>0</v>
      </c>
      <c r="AJ98" s="922">
        <f t="shared" si="28"/>
        <v>12</v>
      </c>
      <c r="AK98" s="921">
        <v>0</v>
      </c>
      <c r="AL98" s="134">
        <v>0</v>
      </c>
      <c r="AM98" s="922">
        <f t="shared" si="29"/>
        <v>0</v>
      </c>
      <c r="AN98" s="6">
        <f t="shared" si="36"/>
        <v>910</v>
      </c>
      <c r="AO98" s="6">
        <f t="shared" si="37"/>
        <v>0</v>
      </c>
      <c r="AP98" s="6">
        <f t="shared" si="38"/>
        <v>910</v>
      </c>
      <c r="AQ98" s="955">
        <f t="shared" si="39"/>
        <v>101.11111111111111</v>
      </c>
      <c r="AR98" s="955">
        <f t="shared" si="40"/>
        <v>0</v>
      </c>
      <c r="AS98" s="955">
        <f t="shared" si="41"/>
        <v>101.11111111111111</v>
      </c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</row>
    <row r="99" spans="1:60" ht="15.75">
      <c r="A99" s="136">
        <v>91</v>
      </c>
      <c r="B99" s="167" t="s">
        <v>1246</v>
      </c>
      <c r="C99" s="158" t="s">
        <v>1230</v>
      </c>
      <c r="D99" s="136" t="s">
        <v>1247</v>
      </c>
      <c r="E99" s="159" t="s">
        <v>15</v>
      </c>
      <c r="F99" s="160">
        <v>11</v>
      </c>
      <c r="G99" s="172">
        <v>11</v>
      </c>
      <c r="H99" s="158">
        <v>0</v>
      </c>
      <c r="I99" s="158">
        <f t="shared" si="42"/>
        <v>11</v>
      </c>
      <c r="J99" s="136">
        <v>0</v>
      </c>
      <c r="K99" s="158">
        <v>0</v>
      </c>
      <c r="L99" s="158">
        <f t="shared" si="43"/>
        <v>0</v>
      </c>
      <c r="M99" s="132">
        <v>0</v>
      </c>
      <c r="N99" s="158">
        <v>0</v>
      </c>
      <c r="O99" s="158">
        <f t="shared" si="44"/>
        <v>0</v>
      </c>
      <c r="P99" s="158">
        <v>80</v>
      </c>
      <c r="Q99" s="158">
        <v>0</v>
      </c>
      <c r="R99" s="158">
        <f t="shared" si="45"/>
        <v>80</v>
      </c>
      <c r="S99" s="158">
        <v>3</v>
      </c>
      <c r="T99" s="158">
        <v>0</v>
      </c>
      <c r="U99" s="158">
        <f t="shared" si="46"/>
        <v>3</v>
      </c>
      <c r="V99" s="158">
        <v>10</v>
      </c>
      <c r="W99" s="158">
        <v>0</v>
      </c>
      <c r="X99" s="158">
        <f t="shared" si="26"/>
        <v>10</v>
      </c>
      <c r="Y99" s="174">
        <f t="shared" si="30"/>
        <v>104</v>
      </c>
      <c r="Z99" s="174">
        <f t="shared" si="31"/>
        <v>0</v>
      </c>
      <c r="AA99" s="174">
        <f t="shared" si="32"/>
        <v>104</v>
      </c>
      <c r="AB99" s="175">
        <f t="shared" si="33"/>
        <v>17.333333333333332</v>
      </c>
      <c r="AC99" s="175">
        <f t="shared" si="34"/>
        <v>0</v>
      </c>
      <c r="AD99" s="175">
        <f t="shared" si="35"/>
        <v>17.333333333333332</v>
      </c>
      <c r="AE99" s="912">
        <v>0</v>
      </c>
      <c r="AF99" s="134">
        <v>0</v>
      </c>
      <c r="AG99" s="158">
        <f t="shared" si="27"/>
        <v>0</v>
      </c>
      <c r="AH99" s="134">
        <v>16</v>
      </c>
      <c r="AI99" s="134">
        <v>0</v>
      </c>
      <c r="AJ99" s="922">
        <f t="shared" si="28"/>
        <v>16</v>
      </c>
      <c r="AK99" s="921">
        <v>0</v>
      </c>
      <c r="AL99" s="134">
        <v>0</v>
      </c>
      <c r="AM99" s="922">
        <f t="shared" si="29"/>
        <v>0</v>
      </c>
      <c r="AN99" s="6">
        <f t="shared" si="36"/>
        <v>120</v>
      </c>
      <c r="AO99" s="6">
        <f t="shared" si="37"/>
        <v>0</v>
      </c>
      <c r="AP99" s="6">
        <f t="shared" si="38"/>
        <v>120</v>
      </c>
      <c r="AQ99" s="955">
        <f t="shared" si="39"/>
        <v>13.333333333333334</v>
      </c>
      <c r="AR99" s="955">
        <f t="shared" si="40"/>
        <v>0</v>
      </c>
      <c r="AS99" s="955">
        <f t="shared" si="41"/>
        <v>13.333333333333334</v>
      </c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</row>
    <row r="100" spans="1:60" ht="15.75">
      <c r="A100" s="136">
        <v>92</v>
      </c>
      <c r="B100" s="166" t="s">
        <v>947</v>
      </c>
      <c r="C100" s="158" t="s">
        <v>1230</v>
      </c>
      <c r="D100" s="136" t="s">
        <v>1248</v>
      </c>
      <c r="E100" s="159" t="s">
        <v>15</v>
      </c>
      <c r="F100" s="160">
        <v>5</v>
      </c>
      <c r="G100" s="172">
        <v>5</v>
      </c>
      <c r="H100" s="158">
        <v>0</v>
      </c>
      <c r="I100" s="158">
        <f t="shared" si="42"/>
        <v>5</v>
      </c>
      <c r="J100" s="136">
        <v>12</v>
      </c>
      <c r="K100" s="158">
        <v>0</v>
      </c>
      <c r="L100" s="158">
        <f t="shared" si="43"/>
        <v>12</v>
      </c>
      <c r="M100" s="132">
        <v>55</v>
      </c>
      <c r="N100" s="158">
        <v>0</v>
      </c>
      <c r="O100" s="158">
        <f t="shared" si="44"/>
        <v>55</v>
      </c>
      <c r="P100" s="158">
        <v>0</v>
      </c>
      <c r="Q100" s="158">
        <v>0</v>
      </c>
      <c r="R100" s="158">
        <f t="shared" si="45"/>
        <v>0</v>
      </c>
      <c r="S100" s="158">
        <v>3</v>
      </c>
      <c r="T100" s="158">
        <v>0</v>
      </c>
      <c r="U100" s="158">
        <f t="shared" si="46"/>
        <v>3</v>
      </c>
      <c r="V100" s="158">
        <v>6</v>
      </c>
      <c r="W100" s="158">
        <v>0</v>
      </c>
      <c r="X100" s="158">
        <f t="shared" si="26"/>
        <v>6</v>
      </c>
      <c r="Y100" s="174">
        <f t="shared" si="30"/>
        <v>81</v>
      </c>
      <c r="Z100" s="174">
        <f t="shared" si="31"/>
        <v>0</v>
      </c>
      <c r="AA100" s="174">
        <f t="shared" si="32"/>
        <v>81</v>
      </c>
      <c r="AB100" s="175">
        <f t="shared" si="33"/>
        <v>13.5</v>
      </c>
      <c r="AC100" s="175">
        <f t="shared" si="34"/>
        <v>0</v>
      </c>
      <c r="AD100" s="175">
        <f t="shared" si="35"/>
        <v>13.5</v>
      </c>
      <c r="AE100" s="912">
        <v>5</v>
      </c>
      <c r="AF100" s="134">
        <v>0</v>
      </c>
      <c r="AG100" s="158">
        <f t="shared" si="27"/>
        <v>5</v>
      </c>
      <c r="AH100" s="134">
        <v>5</v>
      </c>
      <c r="AI100" s="134">
        <v>0</v>
      </c>
      <c r="AJ100" s="922">
        <f t="shared" si="28"/>
        <v>5</v>
      </c>
      <c r="AK100" s="921">
        <v>5</v>
      </c>
      <c r="AL100" s="134">
        <v>0</v>
      </c>
      <c r="AM100" s="922">
        <f t="shared" si="29"/>
        <v>5</v>
      </c>
      <c r="AN100" s="6">
        <f t="shared" si="36"/>
        <v>96</v>
      </c>
      <c r="AO100" s="6">
        <f t="shared" si="37"/>
        <v>0</v>
      </c>
      <c r="AP100" s="6">
        <f t="shared" si="38"/>
        <v>96</v>
      </c>
      <c r="AQ100" s="955">
        <f t="shared" si="39"/>
        <v>10.666666666666666</v>
      </c>
      <c r="AR100" s="955">
        <f t="shared" si="40"/>
        <v>0</v>
      </c>
      <c r="AS100" s="955">
        <f t="shared" si="41"/>
        <v>10.666666666666666</v>
      </c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</row>
    <row r="101" spans="1:60" ht="15.75">
      <c r="A101" s="136">
        <v>93</v>
      </c>
      <c r="B101" s="166" t="s">
        <v>1249</v>
      </c>
      <c r="C101" s="158" t="s">
        <v>1230</v>
      </c>
      <c r="D101" s="136" t="s">
        <v>1250</v>
      </c>
      <c r="E101" s="159" t="s">
        <v>15</v>
      </c>
      <c r="F101" s="160">
        <v>15</v>
      </c>
      <c r="G101" s="172">
        <v>15</v>
      </c>
      <c r="H101" s="158">
        <v>0</v>
      </c>
      <c r="I101" s="158">
        <f t="shared" si="42"/>
        <v>15</v>
      </c>
      <c r="J101" s="136">
        <v>16</v>
      </c>
      <c r="K101" s="158">
        <v>0</v>
      </c>
      <c r="L101" s="158">
        <f t="shared" si="43"/>
        <v>16</v>
      </c>
      <c r="M101" s="132">
        <v>10</v>
      </c>
      <c r="N101" s="158">
        <v>0</v>
      </c>
      <c r="O101" s="158">
        <f t="shared" si="44"/>
        <v>10</v>
      </c>
      <c r="P101" s="158">
        <v>0</v>
      </c>
      <c r="Q101" s="158">
        <v>0</v>
      </c>
      <c r="R101" s="158">
        <f t="shared" si="45"/>
        <v>0</v>
      </c>
      <c r="S101" s="158">
        <v>5</v>
      </c>
      <c r="T101" s="158">
        <v>0</v>
      </c>
      <c r="U101" s="158">
        <f t="shared" si="46"/>
        <v>5</v>
      </c>
      <c r="V101" s="158">
        <v>10</v>
      </c>
      <c r="W101" s="158">
        <v>0</v>
      </c>
      <c r="X101" s="158">
        <f t="shared" si="26"/>
        <v>10</v>
      </c>
      <c r="Y101" s="174">
        <f t="shared" si="30"/>
        <v>56</v>
      </c>
      <c r="Z101" s="174">
        <f t="shared" si="31"/>
        <v>0</v>
      </c>
      <c r="AA101" s="174">
        <f t="shared" si="32"/>
        <v>56</v>
      </c>
      <c r="AB101" s="175">
        <f t="shared" si="33"/>
        <v>9.3333333333333339</v>
      </c>
      <c r="AC101" s="175">
        <f t="shared" si="34"/>
        <v>0</v>
      </c>
      <c r="AD101" s="175">
        <f t="shared" si="35"/>
        <v>9.3333333333333339</v>
      </c>
      <c r="AE101" s="912">
        <v>4.5</v>
      </c>
      <c r="AF101" s="134">
        <v>0</v>
      </c>
      <c r="AG101" s="158">
        <f t="shared" si="27"/>
        <v>4.5</v>
      </c>
      <c r="AH101" s="134">
        <v>10</v>
      </c>
      <c r="AI101" s="134">
        <v>0</v>
      </c>
      <c r="AJ101" s="922">
        <f t="shared" si="28"/>
        <v>10</v>
      </c>
      <c r="AK101" s="921">
        <v>0</v>
      </c>
      <c r="AL101" s="134">
        <v>0</v>
      </c>
      <c r="AM101" s="922">
        <f t="shared" si="29"/>
        <v>0</v>
      </c>
      <c r="AN101" s="6">
        <f t="shared" si="36"/>
        <v>70.5</v>
      </c>
      <c r="AO101" s="6">
        <f t="shared" si="37"/>
        <v>0</v>
      </c>
      <c r="AP101" s="6">
        <f t="shared" si="38"/>
        <v>70.5</v>
      </c>
      <c r="AQ101" s="955">
        <f t="shared" si="39"/>
        <v>7.833333333333333</v>
      </c>
      <c r="AR101" s="955">
        <f t="shared" si="40"/>
        <v>0</v>
      </c>
      <c r="AS101" s="955">
        <f t="shared" si="41"/>
        <v>7.833333333333333</v>
      </c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</row>
    <row r="102" spans="1:60" ht="15.75">
      <c r="A102" s="136">
        <v>94</v>
      </c>
      <c r="B102" s="166" t="s">
        <v>1251</v>
      </c>
      <c r="C102" s="158" t="s">
        <v>1230</v>
      </c>
      <c r="D102" s="136" t="s">
        <v>1252</v>
      </c>
      <c r="E102" s="159" t="s">
        <v>15</v>
      </c>
      <c r="F102" s="160">
        <v>20</v>
      </c>
      <c r="G102" s="172">
        <v>20</v>
      </c>
      <c r="H102" s="158">
        <v>0</v>
      </c>
      <c r="I102" s="158">
        <f t="shared" si="42"/>
        <v>20</v>
      </c>
      <c r="J102" s="136">
        <v>55</v>
      </c>
      <c r="K102" s="158">
        <v>0</v>
      </c>
      <c r="L102" s="158">
        <f t="shared" si="43"/>
        <v>55</v>
      </c>
      <c r="M102" s="132">
        <v>120</v>
      </c>
      <c r="N102" s="158">
        <v>0</v>
      </c>
      <c r="O102" s="158">
        <f t="shared" si="44"/>
        <v>120</v>
      </c>
      <c r="P102" s="158">
        <v>0</v>
      </c>
      <c r="Q102" s="158">
        <v>0</v>
      </c>
      <c r="R102" s="158">
        <f t="shared" si="45"/>
        <v>0</v>
      </c>
      <c r="S102" s="158">
        <v>5</v>
      </c>
      <c r="T102" s="158">
        <v>0</v>
      </c>
      <c r="U102" s="158">
        <f t="shared" si="46"/>
        <v>5</v>
      </c>
      <c r="V102" s="158">
        <v>5</v>
      </c>
      <c r="W102" s="158">
        <v>0</v>
      </c>
      <c r="X102" s="158">
        <f t="shared" si="26"/>
        <v>5</v>
      </c>
      <c r="Y102" s="174">
        <f t="shared" si="30"/>
        <v>205</v>
      </c>
      <c r="Z102" s="174">
        <f t="shared" si="31"/>
        <v>0</v>
      </c>
      <c r="AA102" s="174">
        <f t="shared" si="32"/>
        <v>205</v>
      </c>
      <c r="AB102" s="175">
        <f t="shared" si="33"/>
        <v>34.166666666666664</v>
      </c>
      <c r="AC102" s="175">
        <f t="shared" si="34"/>
        <v>0</v>
      </c>
      <c r="AD102" s="175">
        <f t="shared" si="35"/>
        <v>34.166666666666664</v>
      </c>
      <c r="AE102" s="912">
        <v>13</v>
      </c>
      <c r="AF102" s="134">
        <v>0</v>
      </c>
      <c r="AG102" s="158">
        <f t="shared" si="27"/>
        <v>13</v>
      </c>
      <c r="AH102" s="134">
        <v>15</v>
      </c>
      <c r="AI102" s="134">
        <v>0</v>
      </c>
      <c r="AJ102" s="922">
        <f t="shared" si="28"/>
        <v>15</v>
      </c>
      <c r="AK102" s="921">
        <v>0</v>
      </c>
      <c r="AL102" s="134">
        <v>0</v>
      </c>
      <c r="AM102" s="922">
        <f t="shared" si="29"/>
        <v>0</v>
      </c>
      <c r="AN102" s="6">
        <f t="shared" si="36"/>
        <v>233</v>
      </c>
      <c r="AO102" s="6">
        <f t="shared" si="37"/>
        <v>0</v>
      </c>
      <c r="AP102" s="6">
        <f t="shared" si="38"/>
        <v>233</v>
      </c>
      <c r="AQ102" s="955">
        <f t="shared" si="39"/>
        <v>25.888888888888889</v>
      </c>
      <c r="AR102" s="955">
        <f t="shared" si="40"/>
        <v>0</v>
      </c>
      <c r="AS102" s="955">
        <f t="shared" si="41"/>
        <v>25.888888888888889</v>
      </c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</row>
    <row r="103" spans="1:60" ht="15.75">
      <c r="A103" s="136">
        <v>95</v>
      </c>
      <c r="B103" s="166" t="s">
        <v>1253</v>
      </c>
      <c r="C103" s="158" t="s">
        <v>1230</v>
      </c>
      <c r="D103" s="136" t="s">
        <v>1254</v>
      </c>
      <c r="E103" s="159" t="s">
        <v>15</v>
      </c>
      <c r="F103" s="160">
        <v>9</v>
      </c>
      <c r="G103" s="172">
        <v>9</v>
      </c>
      <c r="H103" s="158">
        <v>0</v>
      </c>
      <c r="I103" s="158">
        <f t="shared" si="42"/>
        <v>9</v>
      </c>
      <c r="J103" s="136">
        <v>6</v>
      </c>
      <c r="K103" s="158">
        <v>0</v>
      </c>
      <c r="L103" s="158">
        <f t="shared" si="43"/>
        <v>6</v>
      </c>
      <c r="M103" s="136">
        <v>0</v>
      </c>
      <c r="N103" s="158">
        <v>0</v>
      </c>
      <c r="O103" s="158">
        <f t="shared" si="44"/>
        <v>0</v>
      </c>
      <c r="P103" s="158">
        <v>60</v>
      </c>
      <c r="Q103" s="158">
        <v>0</v>
      </c>
      <c r="R103" s="158">
        <f t="shared" si="45"/>
        <v>60</v>
      </c>
      <c r="S103" s="158">
        <v>0</v>
      </c>
      <c r="T103" s="158">
        <v>0</v>
      </c>
      <c r="U103" s="158">
        <f t="shared" si="46"/>
        <v>0</v>
      </c>
      <c r="V103" s="158">
        <v>6</v>
      </c>
      <c r="W103" s="158">
        <v>0</v>
      </c>
      <c r="X103" s="158">
        <f t="shared" si="26"/>
        <v>6</v>
      </c>
      <c r="Y103" s="174">
        <f t="shared" si="30"/>
        <v>81</v>
      </c>
      <c r="Z103" s="174">
        <f t="shared" si="31"/>
        <v>0</v>
      </c>
      <c r="AA103" s="174">
        <f t="shared" si="32"/>
        <v>81</v>
      </c>
      <c r="AB103" s="175">
        <f t="shared" si="33"/>
        <v>13.5</v>
      </c>
      <c r="AC103" s="175">
        <f t="shared" si="34"/>
        <v>0</v>
      </c>
      <c r="AD103" s="175">
        <f t="shared" si="35"/>
        <v>13.5</v>
      </c>
      <c r="AE103" s="912">
        <v>15</v>
      </c>
      <c r="AF103" s="134">
        <v>0</v>
      </c>
      <c r="AG103" s="158">
        <f t="shared" si="27"/>
        <v>15</v>
      </c>
      <c r="AH103" s="134">
        <v>10</v>
      </c>
      <c r="AI103" s="134">
        <v>0</v>
      </c>
      <c r="AJ103" s="922">
        <f t="shared" si="28"/>
        <v>10</v>
      </c>
      <c r="AK103" s="921">
        <v>0</v>
      </c>
      <c r="AL103" s="134">
        <v>0</v>
      </c>
      <c r="AM103" s="922">
        <f t="shared" si="29"/>
        <v>0</v>
      </c>
      <c r="AN103" s="6">
        <f t="shared" si="36"/>
        <v>106</v>
      </c>
      <c r="AO103" s="6">
        <f t="shared" si="37"/>
        <v>0</v>
      </c>
      <c r="AP103" s="6">
        <f t="shared" si="38"/>
        <v>106</v>
      </c>
      <c r="AQ103" s="955">
        <f t="shared" si="39"/>
        <v>11.777777777777779</v>
      </c>
      <c r="AR103" s="955">
        <f t="shared" si="40"/>
        <v>0</v>
      </c>
      <c r="AS103" s="955">
        <f t="shared" si="41"/>
        <v>11.777777777777779</v>
      </c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</row>
    <row r="104" spans="1:60" ht="15.75">
      <c r="A104" s="136">
        <v>96</v>
      </c>
      <c r="B104" s="166" t="s">
        <v>1255</v>
      </c>
      <c r="C104" s="158" t="s">
        <v>1230</v>
      </c>
      <c r="D104" s="136" t="s">
        <v>1256</v>
      </c>
      <c r="E104" s="159" t="s">
        <v>15</v>
      </c>
      <c r="F104" s="160">
        <v>10</v>
      </c>
      <c r="G104" s="172">
        <v>35</v>
      </c>
      <c r="H104" s="158">
        <v>0</v>
      </c>
      <c r="I104" s="158">
        <f t="shared" si="42"/>
        <v>35</v>
      </c>
      <c r="J104" s="136">
        <v>0</v>
      </c>
      <c r="K104" s="158">
        <v>0</v>
      </c>
      <c r="L104" s="158">
        <f t="shared" si="43"/>
        <v>0</v>
      </c>
      <c r="M104" s="136">
        <v>0</v>
      </c>
      <c r="N104" s="158">
        <v>0</v>
      </c>
      <c r="O104" s="158">
        <f t="shared" si="44"/>
        <v>0</v>
      </c>
      <c r="P104" s="158">
        <v>80</v>
      </c>
      <c r="Q104" s="158">
        <v>0</v>
      </c>
      <c r="R104" s="158">
        <f t="shared" si="45"/>
        <v>80</v>
      </c>
      <c r="S104" s="158">
        <v>12</v>
      </c>
      <c r="T104" s="158">
        <v>0</v>
      </c>
      <c r="U104" s="158">
        <f t="shared" si="46"/>
        <v>12</v>
      </c>
      <c r="V104" s="158">
        <v>5</v>
      </c>
      <c r="W104" s="158">
        <v>0</v>
      </c>
      <c r="X104" s="158">
        <f t="shared" si="26"/>
        <v>5</v>
      </c>
      <c r="Y104" s="174">
        <f t="shared" si="30"/>
        <v>132</v>
      </c>
      <c r="Z104" s="174">
        <f t="shared" si="31"/>
        <v>0</v>
      </c>
      <c r="AA104" s="174">
        <f t="shared" si="32"/>
        <v>132</v>
      </c>
      <c r="AB104" s="175">
        <f t="shared" si="33"/>
        <v>22</v>
      </c>
      <c r="AC104" s="175">
        <f t="shared" si="34"/>
        <v>0</v>
      </c>
      <c r="AD104" s="175">
        <f t="shared" si="35"/>
        <v>22</v>
      </c>
      <c r="AE104" s="912">
        <v>3</v>
      </c>
      <c r="AF104" s="134">
        <v>0</v>
      </c>
      <c r="AG104" s="158">
        <f t="shared" si="27"/>
        <v>3</v>
      </c>
      <c r="AH104" s="134">
        <v>5</v>
      </c>
      <c r="AI104" s="134">
        <v>0</v>
      </c>
      <c r="AJ104" s="922">
        <f t="shared" si="28"/>
        <v>5</v>
      </c>
      <c r="AK104" s="921">
        <v>3</v>
      </c>
      <c r="AL104" s="134">
        <v>0</v>
      </c>
      <c r="AM104" s="922">
        <f t="shared" si="29"/>
        <v>3</v>
      </c>
      <c r="AN104" s="6">
        <f t="shared" si="36"/>
        <v>143</v>
      </c>
      <c r="AO104" s="6">
        <f t="shared" si="37"/>
        <v>0</v>
      </c>
      <c r="AP104" s="6">
        <f t="shared" si="38"/>
        <v>143</v>
      </c>
      <c r="AQ104" s="955">
        <f t="shared" si="39"/>
        <v>15.888888888888889</v>
      </c>
      <c r="AR104" s="955">
        <f t="shared" si="40"/>
        <v>0</v>
      </c>
      <c r="AS104" s="955">
        <f t="shared" si="41"/>
        <v>15.888888888888889</v>
      </c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</row>
    <row r="105" spans="1:60" ht="15.75">
      <c r="A105" s="136">
        <v>97</v>
      </c>
      <c r="B105" s="118" t="s">
        <v>1257</v>
      </c>
      <c r="C105" s="158" t="s">
        <v>1230</v>
      </c>
      <c r="D105" s="136" t="s">
        <v>1258</v>
      </c>
      <c r="E105" s="159" t="s">
        <v>15</v>
      </c>
      <c r="F105" s="160">
        <v>5</v>
      </c>
      <c r="G105" s="172">
        <v>5</v>
      </c>
      <c r="H105" s="158">
        <v>0</v>
      </c>
      <c r="I105" s="158">
        <f t="shared" si="42"/>
        <v>5</v>
      </c>
      <c r="J105" s="136">
        <v>21</v>
      </c>
      <c r="K105" s="158">
        <v>0</v>
      </c>
      <c r="L105" s="158">
        <f t="shared" si="43"/>
        <v>21</v>
      </c>
      <c r="M105" s="136">
        <v>223</v>
      </c>
      <c r="N105" s="158">
        <v>0</v>
      </c>
      <c r="O105" s="158">
        <f t="shared" si="44"/>
        <v>223</v>
      </c>
      <c r="P105" s="158">
        <v>10</v>
      </c>
      <c r="Q105" s="158">
        <v>0</v>
      </c>
      <c r="R105" s="158">
        <f t="shared" si="45"/>
        <v>10</v>
      </c>
      <c r="S105" s="158">
        <v>0</v>
      </c>
      <c r="T105" s="158">
        <v>0</v>
      </c>
      <c r="U105" s="158">
        <f t="shared" si="46"/>
        <v>0</v>
      </c>
      <c r="V105" s="158">
        <v>0</v>
      </c>
      <c r="W105" s="158">
        <v>0</v>
      </c>
      <c r="X105" s="158">
        <f t="shared" si="26"/>
        <v>0</v>
      </c>
      <c r="Y105" s="174">
        <f t="shared" si="30"/>
        <v>259</v>
      </c>
      <c r="Z105" s="174">
        <f t="shared" si="31"/>
        <v>0</v>
      </c>
      <c r="AA105" s="174">
        <f t="shared" si="32"/>
        <v>259</v>
      </c>
      <c r="AB105" s="175">
        <f t="shared" si="33"/>
        <v>43.166666666666664</v>
      </c>
      <c r="AC105" s="175">
        <f t="shared" si="34"/>
        <v>0</v>
      </c>
      <c r="AD105" s="175">
        <f t="shared" si="35"/>
        <v>43.166666666666664</v>
      </c>
      <c r="AE105" s="912">
        <v>4.5</v>
      </c>
      <c r="AF105" s="134">
        <v>0</v>
      </c>
      <c r="AG105" s="158">
        <f t="shared" si="27"/>
        <v>4.5</v>
      </c>
      <c r="AH105" s="134">
        <v>6</v>
      </c>
      <c r="AI105" s="134">
        <v>0</v>
      </c>
      <c r="AJ105" s="922">
        <f t="shared" si="28"/>
        <v>6</v>
      </c>
      <c r="AK105" s="921">
        <v>0</v>
      </c>
      <c r="AL105" s="134">
        <v>0</v>
      </c>
      <c r="AM105" s="922">
        <f t="shared" si="29"/>
        <v>0</v>
      </c>
      <c r="AN105" s="6">
        <f t="shared" si="36"/>
        <v>269.5</v>
      </c>
      <c r="AO105" s="6">
        <f t="shared" si="37"/>
        <v>0</v>
      </c>
      <c r="AP105" s="6">
        <f t="shared" si="38"/>
        <v>269.5</v>
      </c>
      <c r="AQ105" s="955">
        <f t="shared" si="39"/>
        <v>29.944444444444443</v>
      </c>
      <c r="AR105" s="955">
        <f t="shared" si="40"/>
        <v>0</v>
      </c>
      <c r="AS105" s="955">
        <f t="shared" si="41"/>
        <v>29.944444444444443</v>
      </c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</row>
    <row r="106" spans="1:60" ht="15.75">
      <c r="A106" s="136">
        <v>98</v>
      </c>
      <c r="B106" s="118" t="s">
        <v>1116</v>
      </c>
      <c r="C106" s="158" t="s">
        <v>1230</v>
      </c>
      <c r="D106" s="136" t="s">
        <v>1259</v>
      </c>
      <c r="E106" s="159" t="s">
        <v>15</v>
      </c>
      <c r="F106" s="160">
        <v>15</v>
      </c>
      <c r="G106" s="172">
        <v>15</v>
      </c>
      <c r="H106" s="158">
        <v>0</v>
      </c>
      <c r="I106" s="158">
        <f t="shared" si="42"/>
        <v>15</v>
      </c>
      <c r="J106" s="136">
        <v>10</v>
      </c>
      <c r="K106" s="158">
        <v>0</v>
      </c>
      <c r="L106" s="158">
        <f t="shared" si="43"/>
        <v>10</v>
      </c>
      <c r="M106" s="136">
        <v>10</v>
      </c>
      <c r="N106" s="158">
        <v>0</v>
      </c>
      <c r="O106" s="158">
        <f t="shared" si="44"/>
        <v>10</v>
      </c>
      <c r="P106" s="158">
        <v>15</v>
      </c>
      <c r="Q106" s="158">
        <v>0</v>
      </c>
      <c r="R106" s="158">
        <f t="shared" si="45"/>
        <v>15</v>
      </c>
      <c r="S106" s="158">
        <v>3</v>
      </c>
      <c r="T106" s="158">
        <v>0</v>
      </c>
      <c r="U106" s="158">
        <f t="shared" si="46"/>
        <v>3</v>
      </c>
      <c r="V106" s="158">
        <v>10</v>
      </c>
      <c r="W106" s="158">
        <v>0</v>
      </c>
      <c r="X106" s="158">
        <f t="shared" si="26"/>
        <v>10</v>
      </c>
      <c r="Y106" s="174">
        <f t="shared" si="30"/>
        <v>63</v>
      </c>
      <c r="Z106" s="174">
        <f t="shared" si="31"/>
        <v>0</v>
      </c>
      <c r="AA106" s="174">
        <f t="shared" si="32"/>
        <v>63</v>
      </c>
      <c r="AB106" s="175">
        <f t="shared" si="33"/>
        <v>10.5</v>
      </c>
      <c r="AC106" s="175">
        <f t="shared" si="34"/>
        <v>0</v>
      </c>
      <c r="AD106" s="175">
        <f t="shared" si="35"/>
        <v>10.5</v>
      </c>
      <c r="AE106" s="912">
        <v>18</v>
      </c>
      <c r="AF106" s="134">
        <v>0</v>
      </c>
      <c r="AG106" s="158">
        <f t="shared" si="27"/>
        <v>18</v>
      </c>
      <c r="AH106" s="134">
        <v>10</v>
      </c>
      <c r="AI106" s="134">
        <v>0</v>
      </c>
      <c r="AJ106" s="922">
        <f t="shared" si="28"/>
        <v>10</v>
      </c>
      <c r="AK106" s="921">
        <v>0</v>
      </c>
      <c r="AL106" s="134">
        <v>0</v>
      </c>
      <c r="AM106" s="922">
        <f t="shared" si="29"/>
        <v>0</v>
      </c>
      <c r="AN106" s="6">
        <f t="shared" si="36"/>
        <v>91</v>
      </c>
      <c r="AO106" s="6">
        <f t="shared" si="37"/>
        <v>0</v>
      </c>
      <c r="AP106" s="6">
        <f t="shared" si="38"/>
        <v>91</v>
      </c>
      <c r="AQ106" s="955">
        <f t="shared" si="39"/>
        <v>10.111111111111111</v>
      </c>
      <c r="AR106" s="955">
        <f t="shared" si="40"/>
        <v>0</v>
      </c>
      <c r="AS106" s="955">
        <f t="shared" si="41"/>
        <v>10.111111111111111</v>
      </c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</row>
    <row r="107" spans="1:60" ht="15.75">
      <c r="A107" s="136">
        <v>99</v>
      </c>
      <c r="B107" s="118" t="s">
        <v>1260</v>
      </c>
      <c r="C107" s="158" t="s">
        <v>1230</v>
      </c>
      <c r="D107" s="136" t="s">
        <v>1261</v>
      </c>
      <c r="E107" s="159" t="s">
        <v>15</v>
      </c>
      <c r="F107" s="160">
        <v>16</v>
      </c>
      <c r="G107" s="172">
        <v>16</v>
      </c>
      <c r="H107" s="158">
        <v>0</v>
      </c>
      <c r="I107" s="158">
        <f t="shared" si="42"/>
        <v>16</v>
      </c>
      <c r="J107" s="136">
        <v>12</v>
      </c>
      <c r="K107" s="158">
        <v>0</v>
      </c>
      <c r="L107" s="158">
        <f t="shared" si="43"/>
        <v>12</v>
      </c>
      <c r="M107" s="136">
        <v>6</v>
      </c>
      <c r="N107" s="158">
        <v>0</v>
      </c>
      <c r="O107" s="158">
        <f t="shared" si="44"/>
        <v>6</v>
      </c>
      <c r="P107" s="158">
        <v>10</v>
      </c>
      <c r="Q107" s="158">
        <v>0</v>
      </c>
      <c r="R107" s="158">
        <f t="shared" si="45"/>
        <v>10</v>
      </c>
      <c r="S107" s="158">
        <v>5</v>
      </c>
      <c r="T107" s="158">
        <v>0</v>
      </c>
      <c r="U107" s="158">
        <f t="shared" si="46"/>
        <v>5</v>
      </c>
      <c r="V107" s="158">
        <v>12</v>
      </c>
      <c r="W107" s="158">
        <v>0</v>
      </c>
      <c r="X107" s="158">
        <f t="shared" si="26"/>
        <v>12</v>
      </c>
      <c r="Y107" s="174">
        <f t="shared" si="30"/>
        <v>61</v>
      </c>
      <c r="Z107" s="174">
        <f t="shared" si="31"/>
        <v>0</v>
      </c>
      <c r="AA107" s="174">
        <f t="shared" si="32"/>
        <v>61</v>
      </c>
      <c r="AB107" s="175">
        <f t="shared" si="33"/>
        <v>10.166666666666666</v>
      </c>
      <c r="AC107" s="175">
        <f t="shared" si="34"/>
        <v>0</v>
      </c>
      <c r="AD107" s="175">
        <f t="shared" si="35"/>
        <v>10.166666666666666</v>
      </c>
      <c r="AE107" s="912">
        <v>3</v>
      </c>
      <c r="AF107" s="134">
        <v>0</v>
      </c>
      <c r="AG107" s="158">
        <f t="shared" si="27"/>
        <v>3</v>
      </c>
      <c r="AH107" s="134">
        <v>0</v>
      </c>
      <c r="AI107" s="134">
        <v>0</v>
      </c>
      <c r="AJ107" s="922">
        <f t="shared" si="28"/>
        <v>0</v>
      </c>
      <c r="AK107" s="921">
        <v>0</v>
      </c>
      <c r="AL107" s="134">
        <v>0</v>
      </c>
      <c r="AM107" s="922">
        <f t="shared" si="29"/>
        <v>0</v>
      </c>
      <c r="AN107" s="6">
        <f t="shared" si="36"/>
        <v>64</v>
      </c>
      <c r="AO107" s="6">
        <f t="shared" si="37"/>
        <v>0</v>
      </c>
      <c r="AP107" s="6">
        <f t="shared" si="38"/>
        <v>64</v>
      </c>
      <c r="AQ107" s="955">
        <f t="shared" si="39"/>
        <v>7.1111111111111107</v>
      </c>
      <c r="AR107" s="955">
        <f t="shared" si="40"/>
        <v>0</v>
      </c>
      <c r="AS107" s="955">
        <f t="shared" si="41"/>
        <v>7.1111111111111107</v>
      </c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</row>
    <row r="108" spans="1:60" ht="15.75">
      <c r="A108" s="136">
        <v>100</v>
      </c>
      <c r="B108" s="118" t="s">
        <v>1262</v>
      </c>
      <c r="C108" s="158" t="s">
        <v>1230</v>
      </c>
      <c r="D108" s="136" t="s">
        <v>1263</v>
      </c>
      <c r="E108" s="159" t="s">
        <v>15</v>
      </c>
      <c r="F108" s="160">
        <v>13</v>
      </c>
      <c r="G108" s="172">
        <v>13</v>
      </c>
      <c r="H108" s="158">
        <v>0</v>
      </c>
      <c r="I108" s="158">
        <f t="shared" si="42"/>
        <v>13</v>
      </c>
      <c r="J108" s="136">
        <v>0</v>
      </c>
      <c r="K108" s="158">
        <v>0</v>
      </c>
      <c r="L108" s="158">
        <f t="shared" si="43"/>
        <v>0</v>
      </c>
      <c r="M108" s="136">
        <v>55</v>
      </c>
      <c r="N108" s="158">
        <v>0</v>
      </c>
      <c r="O108" s="158">
        <f t="shared" si="44"/>
        <v>55</v>
      </c>
      <c r="P108" s="158">
        <v>8</v>
      </c>
      <c r="Q108" s="158">
        <v>0</v>
      </c>
      <c r="R108" s="158">
        <f t="shared" si="45"/>
        <v>8</v>
      </c>
      <c r="S108" s="158">
        <v>0</v>
      </c>
      <c r="T108" s="158">
        <v>0</v>
      </c>
      <c r="U108" s="158">
        <f t="shared" si="46"/>
        <v>0</v>
      </c>
      <c r="V108" s="158">
        <v>3</v>
      </c>
      <c r="W108" s="158">
        <v>0</v>
      </c>
      <c r="X108" s="158">
        <f t="shared" si="26"/>
        <v>3</v>
      </c>
      <c r="Y108" s="174">
        <f t="shared" si="30"/>
        <v>79</v>
      </c>
      <c r="Z108" s="174">
        <f t="shared" si="31"/>
        <v>0</v>
      </c>
      <c r="AA108" s="174">
        <f t="shared" si="32"/>
        <v>79</v>
      </c>
      <c r="AB108" s="175">
        <f t="shared" si="33"/>
        <v>13.166666666666666</v>
      </c>
      <c r="AC108" s="175">
        <f t="shared" si="34"/>
        <v>0</v>
      </c>
      <c r="AD108" s="175">
        <f t="shared" si="35"/>
        <v>13.166666666666666</v>
      </c>
      <c r="AE108" s="912">
        <v>0</v>
      </c>
      <c r="AF108" s="134">
        <v>0</v>
      </c>
      <c r="AG108" s="158">
        <f t="shared" si="27"/>
        <v>0</v>
      </c>
      <c r="AH108" s="134">
        <v>15</v>
      </c>
      <c r="AI108" s="134">
        <v>0</v>
      </c>
      <c r="AJ108" s="922">
        <f t="shared" si="28"/>
        <v>15</v>
      </c>
      <c r="AK108" s="921">
        <v>0</v>
      </c>
      <c r="AL108" s="134">
        <v>0</v>
      </c>
      <c r="AM108" s="922">
        <f t="shared" si="29"/>
        <v>0</v>
      </c>
      <c r="AN108" s="6">
        <f t="shared" si="36"/>
        <v>94</v>
      </c>
      <c r="AO108" s="6">
        <f t="shared" si="37"/>
        <v>0</v>
      </c>
      <c r="AP108" s="6">
        <f t="shared" si="38"/>
        <v>94</v>
      </c>
      <c r="AQ108" s="955">
        <f t="shared" si="39"/>
        <v>10.444444444444445</v>
      </c>
      <c r="AR108" s="955">
        <f t="shared" si="40"/>
        <v>0</v>
      </c>
      <c r="AS108" s="955">
        <f t="shared" si="41"/>
        <v>10.444444444444445</v>
      </c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</row>
    <row r="109" spans="1:60" ht="15.75">
      <c r="A109" s="136">
        <v>101</v>
      </c>
      <c r="B109" s="118" t="s">
        <v>45</v>
      </c>
      <c r="C109" s="158" t="s">
        <v>1230</v>
      </c>
      <c r="D109" s="136" t="s">
        <v>1264</v>
      </c>
      <c r="E109" s="159" t="s">
        <v>15</v>
      </c>
      <c r="F109" s="160">
        <v>20</v>
      </c>
      <c r="G109" s="172">
        <v>20</v>
      </c>
      <c r="H109" s="158">
        <v>0</v>
      </c>
      <c r="I109" s="158">
        <f t="shared" si="42"/>
        <v>20</v>
      </c>
      <c r="J109" s="136">
        <v>0</v>
      </c>
      <c r="K109" s="158">
        <v>0</v>
      </c>
      <c r="L109" s="158">
        <f t="shared" si="43"/>
        <v>0</v>
      </c>
      <c r="M109" s="136">
        <v>5</v>
      </c>
      <c r="N109" s="158">
        <v>0</v>
      </c>
      <c r="O109" s="158">
        <f t="shared" si="44"/>
        <v>5</v>
      </c>
      <c r="P109" s="158">
        <v>35</v>
      </c>
      <c r="Q109" s="158">
        <v>0</v>
      </c>
      <c r="R109" s="158">
        <f t="shared" si="45"/>
        <v>35</v>
      </c>
      <c r="S109" s="158">
        <v>3</v>
      </c>
      <c r="T109" s="158">
        <v>0</v>
      </c>
      <c r="U109" s="158">
        <f t="shared" si="46"/>
        <v>3</v>
      </c>
      <c r="V109" s="158">
        <v>6</v>
      </c>
      <c r="W109" s="158">
        <v>0</v>
      </c>
      <c r="X109" s="158">
        <f t="shared" si="26"/>
        <v>6</v>
      </c>
      <c r="Y109" s="174">
        <f t="shared" si="30"/>
        <v>69</v>
      </c>
      <c r="Z109" s="174">
        <f t="shared" si="31"/>
        <v>0</v>
      </c>
      <c r="AA109" s="174">
        <f t="shared" si="32"/>
        <v>69</v>
      </c>
      <c r="AB109" s="175">
        <f t="shared" si="33"/>
        <v>11.5</v>
      </c>
      <c r="AC109" s="175">
        <f t="shared" si="34"/>
        <v>0</v>
      </c>
      <c r="AD109" s="175">
        <f t="shared" si="35"/>
        <v>11.5</v>
      </c>
      <c r="AE109" s="912">
        <v>0</v>
      </c>
      <c r="AF109" s="134">
        <v>0</v>
      </c>
      <c r="AG109" s="158">
        <f t="shared" si="27"/>
        <v>0</v>
      </c>
      <c r="AH109" s="134">
        <v>10</v>
      </c>
      <c r="AI109" s="134">
        <v>0</v>
      </c>
      <c r="AJ109" s="922">
        <f t="shared" si="28"/>
        <v>10</v>
      </c>
      <c r="AK109" s="921">
        <v>6</v>
      </c>
      <c r="AL109" s="134">
        <v>0</v>
      </c>
      <c r="AM109" s="922">
        <f t="shared" si="29"/>
        <v>6</v>
      </c>
      <c r="AN109" s="6">
        <f t="shared" si="36"/>
        <v>85</v>
      </c>
      <c r="AO109" s="6">
        <f t="shared" si="37"/>
        <v>0</v>
      </c>
      <c r="AP109" s="6">
        <f t="shared" si="38"/>
        <v>85</v>
      </c>
      <c r="AQ109" s="955">
        <f t="shared" si="39"/>
        <v>9.4444444444444446</v>
      </c>
      <c r="AR109" s="955">
        <f t="shared" si="40"/>
        <v>0</v>
      </c>
      <c r="AS109" s="955">
        <f t="shared" si="41"/>
        <v>9.4444444444444446</v>
      </c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</row>
    <row r="110" spans="1:60" ht="15.75">
      <c r="A110" s="136">
        <v>102</v>
      </c>
      <c r="B110" s="118" t="s">
        <v>1265</v>
      </c>
      <c r="C110" s="158" t="s">
        <v>1266</v>
      </c>
      <c r="D110" s="136" t="s">
        <v>1267</v>
      </c>
      <c r="E110" s="159" t="s">
        <v>15</v>
      </c>
      <c r="F110" s="160">
        <v>5</v>
      </c>
      <c r="G110" s="172">
        <v>74</v>
      </c>
      <c r="H110" s="158">
        <v>0</v>
      </c>
      <c r="I110" s="158">
        <f t="shared" si="42"/>
        <v>74</v>
      </c>
      <c r="J110" s="136">
        <v>60</v>
      </c>
      <c r="K110" s="158">
        <v>0</v>
      </c>
      <c r="L110" s="158">
        <f t="shared" si="43"/>
        <v>60</v>
      </c>
      <c r="M110" s="136">
        <v>180</v>
      </c>
      <c r="N110" s="158">
        <v>0</v>
      </c>
      <c r="O110" s="158">
        <f t="shared" si="44"/>
        <v>180</v>
      </c>
      <c r="P110" s="158">
        <v>5</v>
      </c>
      <c r="Q110" s="158">
        <v>0</v>
      </c>
      <c r="R110" s="158">
        <f t="shared" si="45"/>
        <v>5</v>
      </c>
      <c r="S110" s="158">
        <v>6</v>
      </c>
      <c r="T110" s="158">
        <v>0</v>
      </c>
      <c r="U110" s="158">
        <f t="shared" si="46"/>
        <v>6</v>
      </c>
      <c r="V110" s="158">
        <v>6</v>
      </c>
      <c r="W110" s="158">
        <v>0</v>
      </c>
      <c r="X110" s="158">
        <f t="shared" si="26"/>
        <v>6</v>
      </c>
      <c r="Y110" s="174">
        <f t="shared" si="30"/>
        <v>331</v>
      </c>
      <c r="Z110" s="174">
        <f t="shared" si="31"/>
        <v>0</v>
      </c>
      <c r="AA110" s="174">
        <f t="shared" si="32"/>
        <v>331</v>
      </c>
      <c r="AB110" s="175">
        <f t="shared" si="33"/>
        <v>55.166666666666664</v>
      </c>
      <c r="AC110" s="175">
        <f t="shared" si="34"/>
        <v>0</v>
      </c>
      <c r="AD110" s="175">
        <f t="shared" si="35"/>
        <v>55.166666666666664</v>
      </c>
      <c r="AE110" s="912">
        <v>12</v>
      </c>
      <c r="AF110" s="134">
        <v>0</v>
      </c>
      <c r="AG110" s="158">
        <f t="shared" si="27"/>
        <v>12</v>
      </c>
      <c r="AH110" s="134">
        <v>18</v>
      </c>
      <c r="AI110" s="134">
        <v>0</v>
      </c>
      <c r="AJ110" s="922">
        <f t="shared" si="28"/>
        <v>18</v>
      </c>
      <c r="AK110" s="921">
        <v>0</v>
      </c>
      <c r="AL110" s="134">
        <v>0</v>
      </c>
      <c r="AM110" s="922">
        <f t="shared" si="29"/>
        <v>0</v>
      </c>
      <c r="AN110" s="6">
        <f t="shared" si="36"/>
        <v>361</v>
      </c>
      <c r="AO110" s="6">
        <f t="shared" si="37"/>
        <v>0</v>
      </c>
      <c r="AP110" s="6">
        <f t="shared" si="38"/>
        <v>361</v>
      </c>
      <c r="AQ110" s="955">
        <f t="shared" si="39"/>
        <v>40.111111111111114</v>
      </c>
      <c r="AR110" s="955">
        <f t="shared" si="40"/>
        <v>0</v>
      </c>
      <c r="AS110" s="955">
        <f t="shared" si="41"/>
        <v>40.111111111111114</v>
      </c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</row>
    <row r="111" spans="1:60" ht="15.75">
      <c r="A111" s="136">
        <v>103</v>
      </c>
      <c r="B111" s="118" t="s">
        <v>1268</v>
      </c>
      <c r="C111" s="158" t="s">
        <v>1266</v>
      </c>
      <c r="D111" s="136" t="s">
        <v>1269</v>
      </c>
      <c r="E111" s="159" t="s">
        <v>15</v>
      </c>
      <c r="F111" s="160">
        <v>16</v>
      </c>
      <c r="G111" s="172">
        <v>16</v>
      </c>
      <c r="H111" s="158">
        <v>0</v>
      </c>
      <c r="I111" s="158">
        <f t="shared" si="42"/>
        <v>16</v>
      </c>
      <c r="J111" s="136">
        <v>20</v>
      </c>
      <c r="K111" s="158">
        <v>0</v>
      </c>
      <c r="L111" s="158">
        <f t="shared" si="43"/>
        <v>20</v>
      </c>
      <c r="M111" s="136">
        <v>3</v>
      </c>
      <c r="N111" s="158">
        <v>0</v>
      </c>
      <c r="O111" s="158">
        <f t="shared" si="44"/>
        <v>3</v>
      </c>
      <c r="P111" s="158">
        <v>6</v>
      </c>
      <c r="Q111" s="158">
        <v>0</v>
      </c>
      <c r="R111" s="158">
        <f t="shared" si="45"/>
        <v>6</v>
      </c>
      <c r="S111" s="158">
        <v>5</v>
      </c>
      <c r="T111" s="158">
        <v>0</v>
      </c>
      <c r="U111" s="158">
        <f t="shared" si="46"/>
        <v>5</v>
      </c>
      <c r="V111" s="158">
        <v>12</v>
      </c>
      <c r="W111" s="158">
        <v>0</v>
      </c>
      <c r="X111" s="158">
        <f t="shared" si="26"/>
        <v>12</v>
      </c>
      <c r="Y111" s="174">
        <f t="shared" si="30"/>
        <v>62</v>
      </c>
      <c r="Z111" s="174">
        <f t="shared" si="31"/>
        <v>0</v>
      </c>
      <c r="AA111" s="174">
        <f t="shared" si="32"/>
        <v>62</v>
      </c>
      <c r="AB111" s="175">
        <f t="shared" si="33"/>
        <v>10.333333333333334</v>
      </c>
      <c r="AC111" s="175">
        <f t="shared" si="34"/>
        <v>0</v>
      </c>
      <c r="AD111" s="175">
        <f t="shared" si="35"/>
        <v>10.333333333333334</v>
      </c>
      <c r="AE111" s="912">
        <v>10</v>
      </c>
      <c r="AF111" s="134">
        <v>0</v>
      </c>
      <c r="AG111" s="158">
        <f t="shared" si="27"/>
        <v>10</v>
      </c>
      <c r="AH111" s="134">
        <v>0</v>
      </c>
      <c r="AI111" s="134">
        <v>0</v>
      </c>
      <c r="AJ111" s="922">
        <f t="shared" si="28"/>
        <v>0</v>
      </c>
      <c r="AK111" s="921">
        <v>5</v>
      </c>
      <c r="AL111" s="134">
        <v>0</v>
      </c>
      <c r="AM111" s="922">
        <f t="shared" si="29"/>
        <v>5</v>
      </c>
      <c r="AN111" s="6">
        <f t="shared" si="36"/>
        <v>77</v>
      </c>
      <c r="AO111" s="6">
        <f t="shared" si="37"/>
        <v>0</v>
      </c>
      <c r="AP111" s="6">
        <f t="shared" si="38"/>
        <v>77</v>
      </c>
      <c r="AQ111" s="955">
        <f t="shared" si="39"/>
        <v>8.5555555555555554</v>
      </c>
      <c r="AR111" s="955">
        <f t="shared" si="40"/>
        <v>0</v>
      </c>
      <c r="AS111" s="955">
        <f t="shared" si="41"/>
        <v>8.5555555555555554</v>
      </c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</row>
    <row r="112" spans="1:60" ht="15.75">
      <c r="A112" s="136">
        <v>104</v>
      </c>
      <c r="B112" s="167" t="s">
        <v>1270</v>
      </c>
      <c r="C112" s="158" t="s">
        <v>1266</v>
      </c>
      <c r="D112" s="136" t="s">
        <v>1271</v>
      </c>
      <c r="E112" s="159" t="s">
        <v>18</v>
      </c>
      <c r="F112" s="160">
        <v>20</v>
      </c>
      <c r="G112" s="172">
        <v>20</v>
      </c>
      <c r="H112" s="158">
        <v>0</v>
      </c>
      <c r="I112" s="158">
        <f t="shared" si="42"/>
        <v>20</v>
      </c>
      <c r="J112" s="136">
        <v>0</v>
      </c>
      <c r="K112" s="158">
        <v>0</v>
      </c>
      <c r="L112" s="158">
        <f t="shared" si="43"/>
        <v>0</v>
      </c>
      <c r="M112" s="136">
        <v>24</v>
      </c>
      <c r="N112" s="158">
        <v>0</v>
      </c>
      <c r="O112" s="158">
        <f t="shared" si="44"/>
        <v>24</v>
      </c>
      <c r="P112" s="158">
        <v>50</v>
      </c>
      <c r="Q112" s="158">
        <v>0</v>
      </c>
      <c r="R112" s="158">
        <f t="shared" si="45"/>
        <v>50</v>
      </c>
      <c r="S112" s="158">
        <v>5</v>
      </c>
      <c r="T112" s="158">
        <v>0</v>
      </c>
      <c r="U112" s="158">
        <f t="shared" si="46"/>
        <v>5</v>
      </c>
      <c r="V112" s="158">
        <v>5</v>
      </c>
      <c r="W112" s="158">
        <v>0</v>
      </c>
      <c r="X112" s="158">
        <f t="shared" si="26"/>
        <v>5</v>
      </c>
      <c r="Y112" s="174">
        <f t="shared" si="30"/>
        <v>104</v>
      </c>
      <c r="Z112" s="174">
        <f t="shared" si="31"/>
        <v>0</v>
      </c>
      <c r="AA112" s="174">
        <f t="shared" si="32"/>
        <v>104</v>
      </c>
      <c r="AB112" s="175">
        <f t="shared" si="33"/>
        <v>17.333333333333332</v>
      </c>
      <c r="AC112" s="175">
        <f t="shared" si="34"/>
        <v>0</v>
      </c>
      <c r="AD112" s="175">
        <f t="shared" si="35"/>
        <v>17.333333333333332</v>
      </c>
      <c r="AE112" s="912">
        <v>0</v>
      </c>
      <c r="AF112" s="134">
        <v>0</v>
      </c>
      <c r="AG112" s="158">
        <f t="shared" si="27"/>
        <v>0</v>
      </c>
      <c r="AH112" s="134">
        <v>10</v>
      </c>
      <c r="AI112" s="134">
        <v>0</v>
      </c>
      <c r="AJ112" s="922">
        <f t="shared" si="28"/>
        <v>10</v>
      </c>
      <c r="AK112" s="921">
        <v>0</v>
      </c>
      <c r="AL112" s="134">
        <v>0</v>
      </c>
      <c r="AM112" s="922">
        <f t="shared" si="29"/>
        <v>0</v>
      </c>
      <c r="AN112" s="6">
        <f t="shared" si="36"/>
        <v>114</v>
      </c>
      <c r="AO112" s="6">
        <f t="shared" si="37"/>
        <v>0</v>
      </c>
      <c r="AP112" s="6">
        <f t="shared" si="38"/>
        <v>114</v>
      </c>
      <c r="AQ112" s="955">
        <f t="shared" si="39"/>
        <v>12.666666666666666</v>
      </c>
      <c r="AR112" s="955">
        <f t="shared" si="40"/>
        <v>0</v>
      </c>
      <c r="AS112" s="955">
        <f t="shared" si="41"/>
        <v>12.666666666666666</v>
      </c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</row>
    <row r="113" spans="1:60" ht="15.75">
      <c r="A113" s="136">
        <v>105</v>
      </c>
      <c r="B113" s="167" t="s">
        <v>1272</v>
      </c>
      <c r="C113" s="158" t="s">
        <v>1266</v>
      </c>
      <c r="D113" s="136" t="s">
        <v>1273</v>
      </c>
      <c r="E113" s="159" t="s">
        <v>18</v>
      </c>
      <c r="F113" s="160">
        <v>15</v>
      </c>
      <c r="G113" s="172">
        <v>15</v>
      </c>
      <c r="H113" s="158">
        <v>0</v>
      </c>
      <c r="I113" s="158">
        <f t="shared" si="42"/>
        <v>15</v>
      </c>
      <c r="J113" s="136">
        <v>15</v>
      </c>
      <c r="K113" s="158">
        <v>0</v>
      </c>
      <c r="L113" s="158">
        <f t="shared" si="43"/>
        <v>15</v>
      </c>
      <c r="M113" s="136">
        <v>0</v>
      </c>
      <c r="N113" s="158">
        <v>0</v>
      </c>
      <c r="O113" s="158">
        <f t="shared" si="44"/>
        <v>0</v>
      </c>
      <c r="P113" s="158">
        <v>6</v>
      </c>
      <c r="Q113" s="158">
        <v>0</v>
      </c>
      <c r="R113" s="158">
        <f t="shared" si="45"/>
        <v>6</v>
      </c>
      <c r="S113" s="158">
        <v>0</v>
      </c>
      <c r="T113" s="158">
        <v>0</v>
      </c>
      <c r="U113" s="158">
        <f t="shared" si="46"/>
        <v>0</v>
      </c>
      <c r="V113" s="158">
        <v>5</v>
      </c>
      <c r="W113" s="158">
        <v>53</v>
      </c>
      <c r="X113" s="158">
        <f t="shared" si="26"/>
        <v>58</v>
      </c>
      <c r="Y113" s="174">
        <f t="shared" si="30"/>
        <v>41</v>
      </c>
      <c r="Z113" s="174">
        <f t="shared" si="31"/>
        <v>53</v>
      </c>
      <c r="AA113" s="174">
        <f t="shared" si="32"/>
        <v>94</v>
      </c>
      <c r="AB113" s="175">
        <f t="shared" si="33"/>
        <v>6.833333333333333</v>
      </c>
      <c r="AC113" s="175">
        <f t="shared" si="34"/>
        <v>8.8333333333333339</v>
      </c>
      <c r="AD113" s="175">
        <f t="shared" si="35"/>
        <v>15.666666666666666</v>
      </c>
      <c r="AE113" s="912">
        <v>15</v>
      </c>
      <c r="AF113" s="134">
        <v>0</v>
      </c>
      <c r="AG113" s="158">
        <f t="shared" si="27"/>
        <v>15</v>
      </c>
      <c r="AH113" s="134">
        <v>20</v>
      </c>
      <c r="AI113" s="134">
        <v>0</v>
      </c>
      <c r="AJ113" s="922">
        <f t="shared" si="28"/>
        <v>20</v>
      </c>
      <c r="AK113" s="921">
        <v>0</v>
      </c>
      <c r="AL113" s="134">
        <v>0</v>
      </c>
      <c r="AM113" s="922">
        <f t="shared" si="29"/>
        <v>0</v>
      </c>
      <c r="AN113" s="6">
        <f t="shared" si="36"/>
        <v>76</v>
      </c>
      <c r="AO113" s="6">
        <f t="shared" si="37"/>
        <v>53</v>
      </c>
      <c r="AP113" s="6">
        <f t="shared" si="38"/>
        <v>129</v>
      </c>
      <c r="AQ113" s="955">
        <f t="shared" si="39"/>
        <v>8.4444444444444446</v>
      </c>
      <c r="AR113" s="955">
        <f t="shared" si="40"/>
        <v>5.8888888888888893</v>
      </c>
      <c r="AS113" s="955">
        <f t="shared" si="41"/>
        <v>14.333333333333334</v>
      </c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</row>
    <row r="114" spans="1:60" ht="15.75">
      <c r="A114" s="136">
        <v>106</v>
      </c>
      <c r="B114" s="170" t="s">
        <v>1274</v>
      </c>
      <c r="C114" s="158" t="s">
        <v>1266</v>
      </c>
      <c r="D114" s="136" t="s">
        <v>1275</v>
      </c>
      <c r="E114" s="159" t="s">
        <v>15</v>
      </c>
      <c r="F114" s="160">
        <v>10</v>
      </c>
      <c r="G114" s="172">
        <v>10</v>
      </c>
      <c r="H114" s="158">
        <v>0</v>
      </c>
      <c r="I114" s="158">
        <f t="shared" si="42"/>
        <v>10</v>
      </c>
      <c r="J114" s="136">
        <v>16</v>
      </c>
      <c r="K114" s="158">
        <v>0</v>
      </c>
      <c r="L114" s="158">
        <f t="shared" si="43"/>
        <v>16</v>
      </c>
      <c r="M114" s="136">
        <v>142</v>
      </c>
      <c r="N114" s="158">
        <v>0</v>
      </c>
      <c r="O114" s="158">
        <f t="shared" si="44"/>
        <v>142</v>
      </c>
      <c r="P114" s="158">
        <v>5</v>
      </c>
      <c r="Q114" s="158">
        <v>0</v>
      </c>
      <c r="R114" s="158">
        <f t="shared" si="45"/>
        <v>5</v>
      </c>
      <c r="S114" s="158">
        <v>3</v>
      </c>
      <c r="T114" s="158">
        <v>0</v>
      </c>
      <c r="U114" s="158">
        <f t="shared" si="46"/>
        <v>3</v>
      </c>
      <c r="V114" s="158">
        <v>3</v>
      </c>
      <c r="W114" s="158">
        <v>0</v>
      </c>
      <c r="X114" s="158">
        <f t="shared" si="26"/>
        <v>3</v>
      </c>
      <c r="Y114" s="174">
        <f t="shared" si="30"/>
        <v>179</v>
      </c>
      <c r="Z114" s="174">
        <f t="shared" si="31"/>
        <v>0</v>
      </c>
      <c r="AA114" s="174">
        <f t="shared" si="32"/>
        <v>179</v>
      </c>
      <c r="AB114" s="175">
        <f t="shared" si="33"/>
        <v>29.833333333333332</v>
      </c>
      <c r="AC114" s="175">
        <f t="shared" si="34"/>
        <v>0</v>
      </c>
      <c r="AD114" s="175">
        <f t="shared" si="35"/>
        <v>29.833333333333332</v>
      </c>
      <c r="AE114" s="912">
        <v>16</v>
      </c>
      <c r="AF114" s="134">
        <v>0</v>
      </c>
      <c r="AG114" s="158">
        <f t="shared" si="27"/>
        <v>16</v>
      </c>
      <c r="AH114" s="134">
        <v>15</v>
      </c>
      <c r="AI114" s="134">
        <v>0</v>
      </c>
      <c r="AJ114" s="922">
        <f t="shared" si="28"/>
        <v>15</v>
      </c>
      <c r="AK114" s="921">
        <v>0</v>
      </c>
      <c r="AL114" s="134">
        <v>0</v>
      </c>
      <c r="AM114" s="922">
        <f t="shared" si="29"/>
        <v>0</v>
      </c>
      <c r="AN114" s="6">
        <f t="shared" si="36"/>
        <v>210</v>
      </c>
      <c r="AO114" s="6">
        <f t="shared" si="37"/>
        <v>0</v>
      </c>
      <c r="AP114" s="6">
        <f t="shared" si="38"/>
        <v>210</v>
      </c>
      <c r="AQ114" s="955">
        <f t="shared" si="39"/>
        <v>23.333333333333332</v>
      </c>
      <c r="AR114" s="955">
        <f t="shared" si="40"/>
        <v>0</v>
      </c>
      <c r="AS114" s="955">
        <f t="shared" si="41"/>
        <v>23.333333333333332</v>
      </c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</row>
    <row r="115" spans="1:60" ht="15.75">
      <c r="A115" s="136">
        <v>107</v>
      </c>
      <c r="B115" s="118" t="s">
        <v>1276</v>
      </c>
      <c r="C115" s="158" t="s">
        <v>1266</v>
      </c>
      <c r="D115" s="136" t="s">
        <v>1277</v>
      </c>
      <c r="E115" s="159" t="s">
        <v>15</v>
      </c>
      <c r="F115" s="160">
        <v>21</v>
      </c>
      <c r="G115" s="172">
        <v>21</v>
      </c>
      <c r="H115" s="158">
        <v>0</v>
      </c>
      <c r="I115" s="158">
        <f t="shared" si="42"/>
        <v>21</v>
      </c>
      <c r="J115" s="136">
        <v>5</v>
      </c>
      <c r="K115" s="158">
        <v>0</v>
      </c>
      <c r="L115" s="158">
        <f t="shared" si="43"/>
        <v>5</v>
      </c>
      <c r="M115" s="136">
        <v>5</v>
      </c>
      <c r="N115" s="158">
        <v>0</v>
      </c>
      <c r="O115" s="158">
        <f t="shared" si="44"/>
        <v>5</v>
      </c>
      <c r="P115" s="158">
        <v>15</v>
      </c>
      <c r="Q115" s="158">
        <v>0</v>
      </c>
      <c r="R115" s="158">
        <f t="shared" si="45"/>
        <v>15</v>
      </c>
      <c r="S115" s="158">
        <v>5</v>
      </c>
      <c r="T115" s="158">
        <v>0</v>
      </c>
      <c r="U115" s="158">
        <f t="shared" si="46"/>
        <v>5</v>
      </c>
      <c r="V115" s="158">
        <v>5</v>
      </c>
      <c r="W115" s="158">
        <v>0</v>
      </c>
      <c r="X115" s="158">
        <f t="shared" si="26"/>
        <v>5</v>
      </c>
      <c r="Y115" s="174">
        <f t="shared" si="30"/>
        <v>56</v>
      </c>
      <c r="Z115" s="174">
        <f t="shared" si="31"/>
        <v>0</v>
      </c>
      <c r="AA115" s="174">
        <f t="shared" si="32"/>
        <v>56</v>
      </c>
      <c r="AB115" s="175">
        <f t="shared" si="33"/>
        <v>9.3333333333333339</v>
      </c>
      <c r="AC115" s="175">
        <f t="shared" si="34"/>
        <v>0</v>
      </c>
      <c r="AD115" s="175">
        <f t="shared" si="35"/>
        <v>9.3333333333333339</v>
      </c>
      <c r="AE115" s="912">
        <v>5</v>
      </c>
      <c r="AF115" s="134">
        <v>0</v>
      </c>
      <c r="AG115" s="158">
        <f t="shared" si="27"/>
        <v>5</v>
      </c>
      <c r="AH115" s="134">
        <v>5</v>
      </c>
      <c r="AI115" s="134">
        <v>0</v>
      </c>
      <c r="AJ115" s="922">
        <f t="shared" si="28"/>
        <v>5</v>
      </c>
      <c r="AK115" s="921">
        <v>0</v>
      </c>
      <c r="AL115" s="134">
        <v>0</v>
      </c>
      <c r="AM115" s="922">
        <f t="shared" si="29"/>
        <v>0</v>
      </c>
      <c r="AN115" s="6">
        <f t="shared" si="36"/>
        <v>66</v>
      </c>
      <c r="AO115" s="6">
        <f t="shared" si="37"/>
        <v>0</v>
      </c>
      <c r="AP115" s="6">
        <f t="shared" si="38"/>
        <v>66</v>
      </c>
      <c r="AQ115" s="955">
        <f t="shared" si="39"/>
        <v>7.333333333333333</v>
      </c>
      <c r="AR115" s="955">
        <f t="shared" si="40"/>
        <v>0</v>
      </c>
      <c r="AS115" s="955">
        <f t="shared" si="41"/>
        <v>7.333333333333333</v>
      </c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</row>
    <row r="116" spans="1:60" ht="15.4">
      <c r="A116" s="136">
        <v>108</v>
      </c>
      <c r="B116" s="118" t="s">
        <v>1278</v>
      </c>
      <c r="C116" s="158" t="s">
        <v>1266</v>
      </c>
      <c r="D116" s="136" t="s">
        <v>1279</v>
      </c>
      <c r="E116" s="159" t="s">
        <v>15</v>
      </c>
      <c r="F116" s="160">
        <v>10</v>
      </c>
      <c r="G116" s="172">
        <v>10</v>
      </c>
      <c r="H116" s="158">
        <v>0</v>
      </c>
      <c r="I116" s="158">
        <f t="shared" si="42"/>
        <v>10</v>
      </c>
      <c r="J116" s="136">
        <v>10</v>
      </c>
      <c r="K116" s="158">
        <v>0</v>
      </c>
      <c r="L116" s="158">
        <f t="shared" si="43"/>
        <v>10</v>
      </c>
      <c r="M116" s="136">
        <v>125</v>
      </c>
      <c r="N116" s="158">
        <v>0</v>
      </c>
      <c r="O116" s="158">
        <f t="shared" si="44"/>
        <v>125</v>
      </c>
      <c r="P116" s="158">
        <v>3</v>
      </c>
      <c r="Q116" s="158">
        <v>0</v>
      </c>
      <c r="R116" s="158">
        <f t="shared" si="45"/>
        <v>3</v>
      </c>
      <c r="S116" s="158">
        <v>6</v>
      </c>
      <c r="T116" s="158">
        <v>0</v>
      </c>
      <c r="U116" s="158">
        <f t="shared" si="46"/>
        <v>6</v>
      </c>
      <c r="V116" s="158">
        <v>5</v>
      </c>
      <c r="W116" s="158">
        <v>0</v>
      </c>
      <c r="X116" s="158">
        <f t="shared" si="26"/>
        <v>5</v>
      </c>
      <c r="Y116" s="174">
        <f t="shared" si="30"/>
        <v>159</v>
      </c>
      <c r="Z116" s="174">
        <f t="shared" si="31"/>
        <v>0</v>
      </c>
      <c r="AA116" s="174">
        <f t="shared" si="32"/>
        <v>159</v>
      </c>
      <c r="AB116" s="175">
        <f t="shared" si="33"/>
        <v>26.5</v>
      </c>
      <c r="AC116" s="175">
        <f t="shared" si="34"/>
        <v>0</v>
      </c>
      <c r="AD116" s="175">
        <f t="shared" si="35"/>
        <v>26.5</v>
      </c>
      <c r="AE116" s="912">
        <v>10</v>
      </c>
      <c r="AF116" s="134">
        <v>0</v>
      </c>
      <c r="AG116" s="158">
        <f t="shared" si="27"/>
        <v>10</v>
      </c>
      <c r="AH116" s="134">
        <v>0</v>
      </c>
      <c r="AI116" s="134">
        <v>0</v>
      </c>
      <c r="AJ116" s="922">
        <f t="shared" si="28"/>
        <v>0</v>
      </c>
      <c r="AK116" s="134">
        <v>5</v>
      </c>
      <c r="AL116" s="134">
        <v>0</v>
      </c>
      <c r="AM116" s="922">
        <f t="shared" si="29"/>
        <v>5</v>
      </c>
      <c r="AN116" s="6">
        <f t="shared" si="36"/>
        <v>174</v>
      </c>
      <c r="AO116" s="6">
        <f t="shared" si="37"/>
        <v>0</v>
      </c>
      <c r="AP116" s="6">
        <f t="shared" si="38"/>
        <v>174</v>
      </c>
      <c r="AQ116" s="955">
        <f t="shared" si="39"/>
        <v>19.333333333333332</v>
      </c>
      <c r="AR116" s="955">
        <f t="shared" si="40"/>
        <v>0</v>
      </c>
      <c r="AS116" s="955">
        <f t="shared" si="41"/>
        <v>19.333333333333332</v>
      </c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</row>
    <row r="117" spans="1:60" ht="15.4">
      <c r="A117" s="136">
        <v>109</v>
      </c>
      <c r="B117" s="118" t="s">
        <v>1280</v>
      </c>
      <c r="C117" s="158" t="s">
        <v>1266</v>
      </c>
      <c r="D117" s="136" t="s">
        <v>1281</v>
      </c>
      <c r="E117" s="159" t="s">
        <v>15</v>
      </c>
      <c r="F117" s="160">
        <v>15</v>
      </c>
      <c r="G117" s="172">
        <v>0</v>
      </c>
      <c r="H117" s="158">
        <v>0</v>
      </c>
      <c r="I117" s="158">
        <f t="shared" si="42"/>
        <v>0</v>
      </c>
      <c r="J117" s="136">
        <v>0</v>
      </c>
      <c r="K117" s="158">
        <v>0</v>
      </c>
      <c r="L117" s="158">
        <f t="shared" si="43"/>
        <v>0</v>
      </c>
      <c r="M117" s="136">
        <v>0</v>
      </c>
      <c r="N117" s="158">
        <v>0</v>
      </c>
      <c r="O117" s="158">
        <f t="shared" si="44"/>
        <v>0</v>
      </c>
      <c r="P117" s="158">
        <v>25</v>
      </c>
      <c r="Q117" s="158">
        <v>0</v>
      </c>
      <c r="R117" s="158">
        <f t="shared" si="45"/>
        <v>25</v>
      </c>
      <c r="S117" s="158">
        <v>3</v>
      </c>
      <c r="T117" s="158">
        <v>0</v>
      </c>
      <c r="U117" s="158">
        <f t="shared" si="46"/>
        <v>3</v>
      </c>
      <c r="V117" s="158">
        <v>5</v>
      </c>
      <c r="W117" s="158">
        <v>0</v>
      </c>
      <c r="X117" s="158">
        <f t="shared" si="26"/>
        <v>5</v>
      </c>
      <c r="Y117" s="174">
        <f t="shared" si="30"/>
        <v>33</v>
      </c>
      <c r="Z117" s="174">
        <f t="shared" si="31"/>
        <v>0</v>
      </c>
      <c r="AA117" s="174">
        <f t="shared" si="32"/>
        <v>33</v>
      </c>
      <c r="AB117" s="175">
        <f t="shared" si="33"/>
        <v>5.5</v>
      </c>
      <c r="AC117" s="175">
        <f t="shared" si="34"/>
        <v>0</v>
      </c>
      <c r="AD117" s="175">
        <f t="shared" si="35"/>
        <v>5.5</v>
      </c>
      <c r="AE117" s="912">
        <v>0</v>
      </c>
      <c r="AF117" s="134">
        <v>0</v>
      </c>
      <c r="AG117" s="158">
        <f t="shared" si="27"/>
        <v>0</v>
      </c>
      <c r="AH117" s="134">
        <v>0</v>
      </c>
      <c r="AI117" s="134">
        <v>0</v>
      </c>
      <c r="AJ117" s="922">
        <f t="shared" si="28"/>
        <v>0</v>
      </c>
      <c r="AK117" s="134">
        <v>12</v>
      </c>
      <c r="AL117" s="134">
        <v>0</v>
      </c>
      <c r="AM117" s="922">
        <f t="shared" si="29"/>
        <v>12</v>
      </c>
      <c r="AN117" s="6">
        <f t="shared" si="36"/>
        <v>45</v>
      </c>
      <c r="AO117" s="6">
        <f t="shared" si="37"/>
        <v>0</v>
      </c>
      <c r="AP117" s="6">
        <f t="shared" si="38"/>
        <v>45</v>
      </c>
      <c r="AQ117" s="955">
        <f t="shared" si="39"/>
        <v>5</v>
      </c>
      <c r="AR117" s="955">
        <f t="shared" si="40"/>
        <v>0</v>
      </c>
      <c r="AS117" s="955">
        <f t="shared" si="41"/>
        <v>5</v>
      </c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</row>
    <row r="118" spans="1:60" ht="15.4">
      <c r="A118" s="136">
        <v>110</v>
      </c>
      <c r="B118" s="118" t="s">
        <v>1224</v>
      </c>
      <c r="C118" s="158" t="s">
        <v>1266</v>
      </c>
      <c r="D118" s="136" t="s">
        <v>1282</v>
      </c>
      <c r="E118" s="159" t="s">
        <v>15</v>
      </c>
      <c r="F118" s="160">
        <v>22</v>
      </c>
      <c r="G118" s="172">
        <v>22</v>
      </c>
      <c r="H118" s="158">
        <v>0</v>
      </c>
      <c r="I118" s="158">
        <f t="shared" si="42"/>
        <v>22</v>
      </c>
      <c r="J118" s="136">
        <v>15</v>
      </c>
      <c r="K118" s="158">
        <v>0</v>
      </c>
      <c r="L118" s="158">
        <f t="shared" si="43"/>
        <v>15</v>
      </c>
      <c r="M118" s="136">
        <v>6</v>
      </c>
      <c r="N118" s="158">
        <v>0</v>
      </c>
      <c r="O118" s="158">
        <f t="shared" si="44"/>
        <v>6</v>
      </c>
      <c r="P118" s="158">
        <v>25</v>
      </c>
      <c r="Q118" s="158">
        <v>0</v>
      </c>
      <c r="R118" s="158">
        <f t="shared" si="45"/>
        <v>25</v>
      </c>
      <c r="S118" s="158">
        <v>5</v>
      </c>
      <c r="T118" s="158">
        <v>0</v>
      </c>
      <c r="U118" s="158">
        <f t="shared" si="46"/>
        <v>5</v>
      </c>
      <c r="V118" s="158">
        <v>5</v>
      </c>
      <c r="W118" s="158">
        <v>0</v>
      </c>
      <c r="X118" s="158">
        <f t="shared" si="26"/>
        <v>5</v>
      </c>
      <c r="Y118" s="174">
        <f t="shared" si="30"/>
        <v>78</v>
      </c>
      <c r="Z118" s="174">
        <f t="shared" si="31"/>
        <v>0</v>
      </c>
      <c r="AA118" s="174">
        <f t="shared" si="32"/>
        <v>78</v>
      </c>
      <c r="AB118" s="175">
        <f t="shared" si="33"/>
        <v>13</v>
      </c>
      <c r="AC118" s="175">
        <f t="shared" si="34"/>
        <v>0</v>
      </c>
      <c r="AD118" s="175">
        <f t="shared" si="35"/>
        <v>13</v>
      </c>
      <c r="AE118" s="912">
        <v>10</v>
      </c>
      <c r="AF118" s="134">
        <v>0</v>
      </c>
      <c r="AG118" s="158">
        <f t="shared" si="27"/>
        <v>10</v>
      </c>
      <c r="AH118" s="134">
        <v>10</v>
      </c>
      <c r="AI118" s="134">
        <v>0</v>
      </c>
      <c r="AJ118" s="922">
        <f t="shared" si="28"/>
        <v>10</v>
      </c>
      <c r="AK118" s="134">
        <v>6</v>
      </c>
      <c r="AL118" s="134">
        <v>0</v>
      </c>
      <c r="AM118" s="922">
        <f t="shared" si="29"/>
        <v>6</v>
      </c>
      <c r="AN118" s="6">
        <f t="shared" si="36"/>
        <v>104</v>
      </c>
      <c r="AO118" s="6">
        <f t="shared" si="37"/>
        <v>0</v>
      </c>
      <c r="AP118" s="6">
        <f t="shared" si="38"/>
        <v>104</v>
      </c>
      <c r="AQ118" s="955">
        <f t="shared" si="39"/>
        <v>11.555555555555555</v>
      </c>
      <c r="AR118" s="955">
        <f t="shared" si="40"/>
        <v>0</v>
      </c>
      <c r="AS118" s="955">
        <f t="shared" si="41"/>
        <v>11.555555555555555</v>
      </c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</row>
    <row r="119" spans="1:60" ht="15.4">
      <c r="A119" s="136">
        <v>111</v>
      </c>
      <c r="B119" s="118" t="s">
        <v>1283</v>
      </c>
      <c r="C119" s="158" t="s">
        <v>1266</v>
      </c>
      <c r="D119" s="136" t="s">
        <v>1284</v>
      </c>
      <c r="E119" s="159" t="s">
        <v>15</v>
      </c>
      <c r="F119" s="160">
        <v>10</v>
      </c>
      <c r="G119" s="172">
        <v>10</v>
      </c>
      <c r="H119" s="158">
        <v>0</v>
      </c>
      <c r="I119" s="158">
        <f t="shared" si="42"/>
        <v>10</v>
      </c>
      <c r="J119" s="136">
        <v>0</v>
      </c>
      <c r="K119" s="158">
        <v>0</v>
      </c>
      <c r="L119" s="158">
        <f t="shared" si="43"/>
        <v>0</v>
      </c>
      <c r="M119" s="136">
        <v>0</v>
      </c>
      <c r="N119" s="158">
        <v>0</v>
      </c>
      <c r="O119" s="158">
        <f t="shared" si="44"/>
        <v>0</v>
      </c>
      <c r="P119" s="158">
        <v>6</v>
      </c>
      <c r="Q119" s="158">
        <v>0</v>
      </c>
      <c r="R119" s="158">
        <f t="shared" si="45"/>
        <v>6</v>
      </c>
      <c r="S119" s="158">
        <v>0</v>
      </c>
      <c r="T119" s="158">
        <v>0</v>
      </c>
      <c r="U119" s="158">
        <f t="shared" si="46"/>
        <v>0</v>
      </c>
      <c r="V119" s="158">
        <v>6</v>
      </c>
      <c r="W119" s="158">
        <v>0</v>
      </c>
      <c r="X119" s="158">
        <f t="shared" si="26"/>
        <v>6</v>
      </c>
      <c r="Y119" s="174">
        <f t="shared" si="30"/>
        <v>22</v>
      </c>
      <c r="Z119" s="174">
        <f t="shared" si="31"/>
        <v>0</v>
      </c>
      <c r="AA119" s="174">
        <f t="shared" si="32"/>
        <v>22</v>
      </c>
      <c r="AB119" s="175">
        <f t="shared" si="33"/>
        <v>3.6666666666666665</v>
      </c>
      <c r="AC119" s="175">
        <f t="shared" si="34"/>
        <v>0</v>
      </c>
      <c r="AD119" s="175">
        <f t="shared" si="35"/>
        <v>3.6666666666666665</v>
      </c>
      <c r="AE119" s="912">
        <v>0</v>
      </c>
      <c r="AF119" s="134">
        <v>0</v>
      </c>
      <c r="AG119" s="158">
        <f t="shared" si="27"/>
        <v>0</v>
      </c>
      <c r="AH119" s="134">
        <v>20</v>
      </c>
      <c r="AI119" s="134">
        <v>0</v>
      </c>
      <c r="AJ119" s="922">
        <f t="shared" si="28"/>
        <v>20</v>
      </c>
      <c r="AK119" s="134">
        <v>10</v>
      </c>
      <c r="AL119" s="134">
        <v>0</v>
      </c>
      <c r="AM119" s="922">
        <f t="shared" si="29"/>
        <v>10</v>
      </c>
      <c r="AN119" s="6">
        <f t="shared" si="36"/>
        <v>52</v>
      </c>
      <c r="AO119" s="6">
        <f t="shared" si="37"/>
        <v>0</v>
      </c>
      <c r="AP119" s="6">
        <f t="shared" si="38"/>
        <v>52</v>
      </c>
      <c r="AQ119" s="955">
        <f t="shared" si="39"/>
        <v>5.7777777777777777</v>
      </c>
      <c r="AR119" s="955">
        <f t="shared" si="40"/>
        <v>0</v>
      </c>
      <c r="AS119" s="955">
        <f t="shared" si="41"/>
        <v>5.7777777777777777</v>
      </c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</row>
    <row r="120" spans="1:60" ht="15.4">
      <c r="A120" s="136">
        <v>112</v>
      </c>
      <c r="B120" s="166" t="s">
        <v>1285</v>
      </c>
      <c r="C120" s="158" t="s">
        <v>1266</v>
      </c>
      <c r="D120" s="136" t="s">
        <v>1286</v>
      </c>
      <c r="E120" s="159" t="s">
        <v>18</v>
      </c>
      <c r="F120" s="160">
        <v>9</v>
      </c>
      <c r="G120" s="172">
        <v>9</v>
      </c>
      <c r="H120" s="158">
        <v>0</v>
      </c>
      <c r="I120" s="158">
        <f t="shared" si="42"/>
        <v>9</v>
      </c>
      <c r="J120" s="136">
        <v>26</v>
      </c>
      <c r="K120" s="158">
        <v>0</v>
      </c>
      <c r="L120" s="158">
        <f t="shared" si="43"/>
        <v>26</v>
      </c>
      <c r="M120" s="136">
        <v>140</v>
      </c>
      <c r="N120" s="158">
        <v>0</v>
      </c>
      <c r="O120" s="158">
        <f t="shared" si="44"/>
        <v>140</v>
      </c>
      <c r="P120" s="158">
        <v>25</v>
      </c>
      <c r="Q120" s="158">
        <v>0</v>
      </c>
      <c r="R120" s="158">
        <f t="shared" si="45"/>
        <v>25</v>
      </c>
      <c r="S120" s="158">
        <v>0</v>
      </c>
      <c r="T120" s="158">
        <v>0</v>
      </c>
      <c r="U120" s="158">
        <f t="shared" si="46"/>
        <v>0</v>
      </c>
      <c r="V120" s="158">
        <v>3</v>
      </c>
      <c r="W120" s="158">
        <v>0</v>
      </c>
      <c r="X120" s="158">
        <f t="shared" si="26"/>
        <v>3</v>
      </c>
      <c r="Y120" s="174">
        <f t="shared" si="30"/>
        <v>203</v>
      </c>
      <c r="Z120" s="174">
        <f t="shared" si="31"/>
        <v>0</v>
      </c>
      <c r="AA120" s="174">
        <f t="shared" si="32"/>
        <v>203</v>
      </c>
      <c r="AB120" s="175">
        <f t="shared" si="33"/>
        <v>33.833333333333336</v>
      </c>
      <c r="AC120" s="175">
        <f t="shared" si="34"/>
        <v>0</v>
      </c>
      <c r="AD120" s="175">
        <f t="shared" si="35"/>
        <v>33.833333333333336</v>
      </c>
      <c r="AE120" s="912">
        <v>13</v>
      </c>
      <c r="AF120" s="134">
        <v>0</v>
      </c>
      <c r="AG120" s="158">
        <f t="shared" si="27"/>
        <v>13</v>
      </c>
      <c r="AH120" s="134">
        <v>0</v>
      </c>
      <c r="AI120" s="134">
        <v>0</v>
      </c>
      <c r="AJ120" s="922">
        <f t="shared" si="28"/>
        <v>0</v>
      </c>
      <c r="AK120" s="134">
        <v>5</v>
      </c>
      <c r="AL120" s="134">
        <v>0</v>
      </c>
      <c r="AM120" s="922">
        <f t="shared" si="29"/>
        <v>5</v>
      </c>
      <c r="AN120" s="6">
        <f t="shared" si="36"/>
        <v>221</v>
      </c>
      <c r="AO120" s="6">
        <f t="shared" si="37"/>
        <v>0</v>
      </c>
      <c r="AP120" s="6">
        <f t="shared" si="38"/>
        <v>221</v>
      </c>
      <c r="AQ120" s="955">
        <f t="shared" si="39"/>
        <v>24.555555555555557</v>
      </c>
      <c r="AR120" s="955">
        <f t="shared" si="40"/>
        <v>0</v>
      </c>
      <c r="AS120" s="955">
        <f t="shared" si="41"/>
        <v>24.555555555555557</v>
      </c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</row>
    <row r="121" spans="1:60" ht="15.4">
      <c r="A121" s="136">
        <v>113</v>
      </c>
      <c r="B121" s="118" t="s">
        <v>1287</v>
      </c>
      <c r="C121" s="158" t="s">
        <v>1266</v>
      </c>
      <c r="D121" s="136" t="s">
        <v>1288</v>
      </c>
      <c r="E121" s="159" t="s">
        <v>18</v>
      </c>
      <c r="F121" s="160">
        <v>6</v>
      </c>
      <c r="G121" s="172">
        <v>6</v>
      </c>
      <c r="H121" s="158">
        <v>0</v>
      </c>
      <c r="I121" s="158">
        <f t="shared" si="42"/>
        <v>6</v>
      </c>
      <c r="J121" s="136">
        <v>0</v>
      </c>
      <c r="K121" s="158">
        <v>0</v>
      </c>
      <c r="L121" s="158">
        <f t="shared" si="43"/>
        <v>0</v>
      </c>
      <c r="M121" s="136">
        <v>0</v>
      </c>
      <c r="N121" s="158">
        <v>0</v>
      </c>
      <c r="O121" s="158">
        <f t="shared" si="44"/>
        <v>0</v>
      </c>
      <c r="P121" s="158">
        <v>3</v>
      </c>
      <c r="Q121" s="158">
        <v>0</v>
      </c>
      <c r="R121" s="158">
        <f t="shared" si="45"/>
        <v>3</v>
      </c>
      <c r="S121" s="158">
        <v>0</v>
      </c>
      <c r="T121" s="158">
        <v>0</v>
      </c>
      <c r="U121" s="158">
        <f t="shared" si="46"/>
        <v>0</v>
      </c>
      <c r="V121" s="158">
        <v>5</v>
      </c>
      <c r="W121" s="158">
        <v>0</v>
      </c>
      <c r="X121" s="158">
        <f t="shared" si="26"/>
        <v>5</v>
      </c>
      <c r="Y121" s="174">
        <f t="shared" si="30"/>
        <v>14</v>
      </c>
      <c r="Z121" s="174">
        <f t="shared" si="31"/>
        <v>0</v>
      </c>
      <c r="AA121" s="174">
        <f t="shared" si="32"/>
        <v>14</v>
      </c>
      <c r="AB121" s="175">
        <f t="shared" si="33"/>
        <v>2.3333333333333335</v>
      </c>
      <c r="AC121" s="175">
        <f t="shared" si="34"/>
        <v>0</v>
      </c>
      <c r="AD121" s="175">
        <f t="shared" si="35"/>
        <v>2.3333333333333335</v>
      </c>
      <c r="AE121" s="912">
        <v>5</v>
      </c>
      <c r="AF121" s="134">
        <v>0</v>
      </c>
      <c r="AG121" s="158">
        <f t="shared" si="27"/>
        <v>5</v>
      </c>
      <c r="AH121" s="134">
        <v>0</v>
      </c>
      <c r="AI121" s="134">
        <v>0</v>
      </c>
      <c r="AJ121" s="922">
        <f t="shared" si="28"/>
        <v>0</v>
      </c>
      <c r="AK121" s="134">
        <v>10</v>
      </c>
      <c r="AL121" s="134">
        <v>0</v>
      </c>
      <c r="AM121" s="922">
        <f t="shared" si="29"/>
        <v>10</v>
      </c>
      <c r="AN121" s="6">
        <f t="shared" si="36"/>
        <v>29</v>
      </c>
      <c r="AO121" s="6">
        <f t="shared" si="37"/>
        <v>0</v>
      </c>
      <c r="AP121" s="6">
        <f t="shared" si="38"/>
        <v>29</v>
      </c>
      <c r="AQ121" s="955">
        <f t="shared" si="39"/>
        <v>3.2222222222222223</v>
      </c>
      <c r="AR121" s="955">
        <f t="shared" si="40"/>
        <v>0</v>
      </c>
      <c r="AS121" s="955">
        <f t="shared" si="41"/>
        <v>3.2222222222222223</v>
      </c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</row>
    <row r="122" spans="1:60" ht="15.4">
      <c r="A122" s="136">
        <v>114</v>
      </c>
      <c r="B122" s="118" t="s">
        <v>1289</v>
      </c>
      <c r="C122" s="158" t="s">
        <v>1266</v>
      </c>
      <c r="D122" s="136" t="s">
        <v>1290</v>
      </c>
      <c r="E122" s="159" t="s">
        <v>18</v>
      </c>
      <c r="F122" s="160">
        <v>3</v>
      </c>
      <c r="G122" s="172">
        <v>0</v>
      </c>
      <c r="H122" s="158">
        <v>0</v>
      </c>
      <c r="I122" s="158">
        <f t="shared" si="42"/>
        <v>0</v>
      </c>
      <c r="J122" s="136">
        <v>0</v>
      </c>
      <c r="K122" s="158">
        <v>0</v>
      </c>
      <c r="L122" s="158">
        <f t="shared" si="43"/>
        <v>0</v>
      </c>
      <c r="M122" s="136">
        <v>60</v>
      </c>
      <c r="N122" s="158">
        <v>0</v>
      </c>
      <c r="O122" s="158">
        <f t="shared" si="44"/>
        <v>60</v>
      </c>
      <c r="P122" s="158">
        <v>100</v>
      </c>
      <c r="Q122" s="158">
        <v>0</v>
      </c>
      <c r="R122" s="158">
        <f t="shared" si="45"/>
        <v>100</v>
      </c>
      <c r="S122" s="158">
        <v>7</v>
      </c>
      <c r="T122" s="158">
        <v>0</v>
      </c>
      <c r="U122" s="158">
        <f t="shared" si="46"/>
        <v>7</v>
      </c>
      <c r="V122" s="158">
        <v>3</v>
      </c>
      <c r="W122" s="158">
        <v>0</v>
      </c>
      <c r="X122" s="158">
        <f t="shared" si="26"/>
        <v>3</v>
      </c>
      <c r="Y122" s="174">
        <f t="shared" si="30"/>
        <v>170</v>
      </c>
      <c r="Z122" s="174">
        <f t="shared" si="31"/>
        <v>0</v>
      </c>
      <c r="AA122" s="174">
        <f t="shared" si="32"/>
        <v>170</v>
      </c>
      <c r="AB122" s="175">
        <f t="shared" si="33"/>
        <v>28.333333333333332</v>
      </c>
      <c r="AC122" s="175">
        <f t="shared" si="34"/>
        <v>0</v>
      </c>
      <c r="AD122" s="175">
        <f t="shared" si="35"/>
        <v>28.333333333333332</v>
      </c>
      <c r="AE122" s="912">
        <v>6</v>
      </c>
      <c r="AF122" s="134">
        <v>0</v>
      </c>
      <c r="AG122" s="158">
        <f t="shared" si="27"/>
        <v>6</v>
      </c>
      <c r="AH122" s="134">
        <v>24</v>
      </c>
      <c r="AI122" s="134">
        <v>0</v>
      </c>
      <c r="AJ122" s="922">
        <f t="shared" si="28"/>
        <v>24</v>
      </c>
      <c r="AK122" s="134">
        <v>14</v>
      </c>
      <c r="AL122" s="134">
        <v>0</v>
      </c>
      <c r="AM122" s="922">
        <f t="shared" si="29"/>
        <v>14</v>
      </c>
      <c r="AN122" s="6">
        <f t="shared" si="36"/>
        <v>214</v>
      </c>
      <c r="AO122" s="6">
        <f t="shared" si="37"/>
        <v>0</v>
      </c>
      <c r="AP122" s="6">
        <f t="shared" si="38"/>
        <v>214</v>
      </c>
      <c r="AQ122" s="955">
        <f t="shared" si="39"/>
        <v>23.777777777777779</v>
      </c>
      <c r="AR122" s="955">
        <f t="shared" si="40"/>
        <v>0</v>
      </c>
      <c r="AS122" s="955">
        <f t="shared" si="41"/>
        <v>23.777777777777779</v>
      </c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</row>
    <row r="123" spans="1:60" ht="15.4">
      <c r="A123" s="136">
        <v>115</v>
      </c>
      <c r="B123" s="118" t="s">
        <v>1291</v>
      </c>
      <c r="C123" s="158" t="s">
        <v>1266</v>
      </c>
      <c r="D123" s="136" t="s">
        <v>1292</v>
      </c>
      <c r="E123" s="159" t="s">
        <v>15</v>
      </c>
      <c r="F123" s="160">
        <v>10</v>
      </c>
      <c r="G123" s="172">
        <v>0</v>
      </c>
      <c r="H123" s="158">
        <v>0</v>
      </c>
      <c r="I123" s="158">
        <f t="shared" si="42"/>
        <v>0</v>
      </c>
      <c r="J123" s="136">
        <v>25</v>
      </c>
      <c r="K123" s="158">
        <v>0</v>
      </c>
      <c r="L123" s="158">
        <f t="shared" si="43"/>
        <v>25</v>
      </c>
      <c r="M123" s="136">
        <v>55</v>
      </c>
      <c r="N123" s="158">
        <v>0</v>
      </c>
      <c r="O123" s="158">
        <f t="shared" si="44"/>
        <v>55</v>
      </c>
      <c r="P123" s="158">
        <v>6</v>
      </c>
      <c r="Q123" s="158">
        <v>0</v>
      </c>
      <c r="R123" s="158">
        <f t="shared" si="45"/>
        <v>6</v>
      </c>
      <c r="S123" s="158">
        <v>6</v>
      </c>
      <c r="T123" s="158">
        <v>0</v>
      </c>
      <c r="U123" s="158">
        <f t="shared" si="46"/>
        <v>6</v>
      </c>
      <c r="V123" s="158">
        <v>6</v>
      </c>
      <c r="W123" s="158">
        <v>0</v>
      </c>
      <c r="X123" s="158">
        <f t="shared" si="26"/>
        <v>6</v>
      </c>
      <c r="Y123" s="174">
        <f t="shared" si="30"/>
        <v>98</v>
      </c>
      <c r="Z123" s="174">
        <f t="shared" si="31"/>
        <v>0</v>
      </c>
      <c r="AA123" s="174">
        <f t="shared" si="32"/>
        <v>98</v>
      </c>
      <c r="AB123" s="175">
        <f t="shared" si="33"/>
        <v>16.333333333333332</v>
      </c>
      <c r="AC123" s="175">
        <f t="shared" si="34"/>
        <v>0</v>
      </c>
      <c r="AD123" s="175">
        <f t="shared" si="35"/>
        <v>16.333333333333332</v>
      </c>
      <c r="AE123" s="912">
        <v>10</v>
      </c>
      <c r="AF123" s="134">
        <v>0</v>
      </c>
      <c r="AG123" s="158">
        <f t="shared" si="27"/>
        <v>10</v>
      </c>
      <c r="AH123" s="134">
        <v>0</v>
      </c>
      <c r="AI123" s="134">
        <v>0</v>
      </c>
      <c r="AJ123" s="922">
        <f t="shared" si="28"/>
        <v>0</v>
      </c>
      <c r="AK123" s="134">
        <v>6</v>
      </c>
      <c r="AL123" s="134">
        <v>0</v>
      </c>
      <c r="AM123" s="922">
        <f t="shared" si="29"/>
        <v>6</v>
      </c>
      <c r="AN123" s="6">
        <f t="shared" si="36"/>
        <v>114</v>
      </c>
      <c r="AO123" s="6">
        <f t="shared" si="37"/>
        <v>0</v>
      </c>
      <c r="AP123" s="6">
        <f t="shared" si="38"/>
        <v>114</v>
      </c>
      <c r="AQ123" s="955">
        <f t="shared" si="39"/>
        <v>12.666666666666666</v>
      </c>
      <c r="AR123" s="955">
        <f t="shared" si="40"/>
        <v>0</v>
      </c>
      <c r="AS123" s="955">
        <f t="shared" si="41"/>
        <v>12.666666666666666</v>
      </c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</row>
    <row r="124" spans="1:60" ht="15.4">
      <c r="A124" s="136">
        <v>116</v>
      </c>
      <c r="B124" s="161" t="s">
        <v>1293</v>
      </c>
      <c r="C124" s="158" t="s">
        <v>1266</v>
      </c>
      <c r="D124" s="136" t="s">
        <v>1294</v>
      </c>
      <c r="E124" s="159" t="s">
        <v>15</v>
      </c>
      <c r="F124" s="160">
        <v>5</v>
      </c>
      <c r="G124" s="172">
        <v>0</v>
      </c>
      <c r="H124" s="158">
        <v>0</v>
      </c>
      <c r="I124" s="158">
        <f t="shared" si="42"/>
        <v>0</v>
      </c>
      <c r="J124" s="136">
        <v>0</v>
      </c>
      <c r="K124" s="158">
        <v>0</v>
      </c>
      <c r="L124" s="158">
        <f t="shared" si="43"/>
        <v>0</v>
      </c>
      <c r="M124" s="136">
        <v>150</v>
      </c>
      <c r="N124" s="158">
        <v>0</v>
      </c>
      <c r="O124" s="158">
        <f t="shared" si="44"/>
        <v>150</v>
      </c>
      <c r="P124" s="200">
        <f>8+37.5</f>
        <v>45.5</v>
      </c>
      <c r="Q124" s="158">
        <v>0</v>
      </c>
      <c r="R124" s="158">
        <f t="shared" si="45"/>
        <v>45.5</v>
      </c>
      <c r="S124" s="158">
        <v>5</v>
      </c>
      <c r="T124" s="158">
        <v>0</v>
      </c>
      <c r="U124" s="158">
        <f t="shared" si="46"/>
        <v>5</v>
      </c>
      <c r="V124" s="158">
        <v>3</v>
      </c>
      <c r="W124" s="158">
        <v>0</v>
      </c>
      <c r="X124" s="158">
        <f t="shared" si="26"/>
        <v>3</v>
      </c>
      <c r="Y124" s="174">
        <f t="shared" si="30"/>
        <v>203.5</v>
      </c>
      <c r="Z124" s="174">
        <f t="shared" si="31"/>
        <v>0</v>
      </c>
      <c r="AA124" s="174">
        <f t="shared" si="32"/>
        <v>203.5</v>
      </c>
      <c r="AB124" s="175">
        <f t="shared" si="33"/>
        <v>33.916666666666664</v>
      </c>
      <c r="AC124" s="175">
        <f t="shared" si="34"/>
        <v>0</v>
      </c>
      <c r="AD124" s="175">
        <f t="shared" si="35"/>
        <v>33.916666666666664</v>
      </c>
      <c r="AE124" s="912">
        <v>6</v>
      </c>
      <c r="AF124" s="134">
        <v>0</v>
      </c>
      <c r="AG124" s="158">
        <f t="shared" si="27"/>
        <v>6</v>
      </c>
      <c r="AH124" s="134">
        <v>0</v>
      </c>
      <c r="AI124" s="134">
        <v>0</v>
      </c>
      <c r="AJ124" s="922">
        <f t="shared" si="28"/>
        <v>0</v>
      </c>
      <c r="AK124" s="134">
        <v>10</v>
      </c>
      <c r="AL124" s="134">
        <v>0</v>
      </c>
      <c r="AM124" s="922">
        <f t="shared" si="29"/>
        <v>10</v>
      </c>
      <c r="AN124" s="6">
        <f t="shared" si="36"/>
        <v>219.5</v>
      </c>
      <c r="AO124" s="6">
        <f t="shared" si="37"/>
        <v>0</v>
      </c>
      <c r="AP124" s="6">
        <f t="shared" si="38"/>
        <v>219.5</v>
      </c>
      <c r="AQ124" s="955">
        <f t="shared" si="39"/>
        <v>24.388888888888889</v>
      </c>
      <c r="AR124" s="955">
        <f t="shared" si="40"/>
        <v>0</v>
      </c>
      <c r="AS124" s="955">
        <f t="shared" si="41"/>
        <v>24.388888888888889</v>
      </c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</row>
    <row r="125" spans="1:60" ht="15.4">
      <c r="A125" s="136">
        <v>117</v>
      </c>
      <c r="B125" s="161" t="s">
        <v>1295</v>
      </c>
      <c r="C125" s="158" t="s">
        <v>1266</v>
      </c>
      <c r="D125" s="136" t="s">
        <v>1296</v>
      </c>
      <c r="E125" s="159" t="s">
        <v>15</v>
      </c>
      <c r="F125" s="160">
        <v>10</v>
      </c>
      <c r="G125" s="172">
        <v>10</v>
      </c>
      <c r="H125" s="158">
        <v>0</v>
      </c>
      <c r="I125" s="158">
        <f t="shared" si="42"/>
        <v>10</v>
      </c>
      <c r="J125" s="136">
        <v>0</v>
      </c>
      <c r="K125" s="158">
        <v>0</v>
      </c>
      <c r="L125" s="158">
        <f t="shared" si="43"/>
        <v>0</v>
      </c>
      <c r="M125" s="136">
        <f>25+228</f>
        <v>253</v>
      </c>
      <c r="N125" s="158">
        <v>0</v>
      </c>
      <c r="O125" s="158">
        <f t="shared" si="44"/>
        <v>253</v>
      </c>
      <c r="P125" s="158">
        <v>25</v>
      </c>
      <c r="Q125" s="158">
        <v>0</v>
      </c>
      <c r="R125" s="158">
        <f t="shared" si="45"/>
        <v>25</v>
      </c>
      <c r="S125" s="158">
        <v>5</v>
      </c>
      <c r="T125" s="158">
        <v>0</v>
      </c>
      <c r="U125" s="158">
        <f t="shared" si="46"/>
        <v>5</v>
      </c>
      <c r="V125" s="158">
        <v>5</v>
      </c>
      <c r="W125" s="158">
        <v>0</v>
      </c>
      <c r="X125" s="158">
        <f t="shared" si="26"/>
        <v>5</v>
      </c>
      <c r="Y125" s="174">
        <f t="shared" si="30"/>
        <v>298</v>
      </c>
      <c r="Z125" s="174">
        <f t="shared" si="31"/>
        <v>0</v>
      </c>
      <c r="AA125" s="174">
        <f t="shared" si="32"/>
        <v>298</v>
      </c>
      <c r="AB125" s="175">
        <f t="shared" si="33"/>
        <v>49.666666666666664</v>
      </c>
      <c r="AC125" s="175">
        <f t="shared" si="34"/>
        <v>0</v>
      </c>
      <c r="AD125" s="175">
        <f t="shared" si="35"/>
        <v>49.666666666666664</v>
      </c>
      <c r="AE125" s="912">
        <v>12</v>
      </c>
      <c r="AF125" s="134">
        <v>0</v>
      </c>
      <c r="AG125" s="158">
        <f t="shared" si="27"/>
        <v>12</v>
      </c>
      <c r="AH125" s="134">
        <v>0</v>
      </c>
      <c r="AI125" s="134">
        <v>0</v>
      </c>
      <c r="AJ125" s="922">
        <f t="shared" si="28"/>
        <v>0</v>
      </c>
      <c r="AK125" s="134">
        <v>0</v>
      </c>
      <c r="AL125" s="134">
        <v>0</v>
      </c>
      <c r="AM125" s="922">
        <f t="shared" si="29"/>
        <v>0</v>
      </c>
      <c r="AN125" s="6">
        <f t="shared" si="36"/>
        <v>310</v>
      </c>
      <c r="AO125" s="6">
        <f t="shared" si="37"/>
        <v>0</v>
      </c>
      <c r="AP125" s="6">
        <f t="shared" si="38"/>
        <v>310</v>
      </c>
      <c r="AQ125" s="955">
        <f t="shared" si="39"/>
        <v>34.444444444444443</v>
      </c>
      <c r="AR125" s="955">
        <f t="shared" si="40"/>
        <v>0</v>
      </c>
      <c r="AS125" s="955">
        <f t="shared" si="41"/>
        <v>34.444444444444443</v>
      </c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</row>
    <row r="126" spans="1:60" ht="15.4">
      <c r="A126" s="136">
        <v>118</v>
      </c>
      <c r="B126" s="171" t="s">
        <v>133</v>
      </c>
      <c r="C126" s="158" t="s">
        <v>1266</v>
      </c>
      <c r="D126" s="136" t="s">
        <v>1297</v>
      </c>
      <c r="E126" s="159" t="s">
        <v>15</v>
      </c>
      <c r="F126" s="160">
        <v>15</v>
      </c>
      <c r="G126" s="172">
        <v>15</v>
      </c>
      <c r="H126" s="158">
        <v>0</v>
      </c>
      <c r="I126" s="158">
        <f t="shared" si="42"/>
        <v>15</v>
      </c>
      <c r="J126" s="136">
        <v>0</v>
      </c>
      <c r="K126" s="158">
        <v>0</v>
      </c>
      <c r="L126" s="158">
        <f t="shared" si="43"/>
        <v>0</v>
      </c>
      <c r="M126" s="136">
        <v>30</v>
      </c>
      <c r="N126" s="158">
        <v>0</v>
      </c>
      <c r="O126" s="158">
        <f t="shared" si="44"/>
        <v>30</v>
      </c>
      <c r="P126" s="158">
        <v>35</v>
      </c>
      <c r="Q126" s="158">
        <v>0</v>
      </c>
      <c r="R126" s="158">
        <f t="shared" si="45"/>
        <v>35</v>
      </c>
      <c r="S126" s="200">
        <v>5.5</v>
      </c>
      <c r="T126" s="158">
        <v>0</v>
      </c>
      <c r="U126" s="158">
        <f t="shared" si="46"/>
        <v>5.5</v>
      </c>
      <c r="V126" s="158">
        <v>15</v>
      </c>
      <c r="W126" s="158">
        <v>0</v>
      </c>
      <c r="X126" s="158">
        <f t="shared" si="26"/>
        <v>15</v>
      </c>
      <c r="Y126" s="174">
        <f t="shared" si="30"/>
        <v>100.5</v>
      </c>
      <c r="Z126" s="174">
        <f t="shared" si="31"/>
        <v>0</v>
      </c>
      <c r="AA126" s="174">
        <f t="shared" si="32"/>
        <v>100.5</v>
      </c>
      <c r="AB126" s="175">
        <f t="shared" si="33"/>
        <v>16.75</v>
      </c>
      <c r="AC126" s="175">
        <f t="shared" si="34"/>
        <v>0</v>
      </c>
      <c r="AD126" s="175">
        <f t="shared" si="35"/>
        <v>16.75</v>
      </c>
      <c r="AE126" s="912">
        <v>0</v>
      </c>
      <c r="AF126" s="134">
        <v>0</v>
      </c>
      <c r="AG126" s="158">
        <f t="shared" si="27"/>
        <v>0</v>
      </c>
      <c r="AH126" s="134">
        <v>0</v>
      </c>
      <c r="AI126" s="134">
        <v>0</v>
      </c>
      <c r="AJ126" s="922">
        <f t="shared" si="28"/>
        <v>0</v>
      </c>
      <c r="AK126" s="134">
        <v>5</v>
      </c>
      <c r="AL126" s="134">
        <v>0</v>
      </c>
      <c r="AM126" s="922">
        <f t="shared" si="29"/>
        <v>5</v>
      </c>
      <c r="AN126" s="6">
        <f t="shared" si="36"/>
        <v>105.5</v>
      </c>
      <c r="AO126" s="6">
        <f t="shared" si="37"/>
        <v>0</v>
      </c>
      <c r="AP126" s="6">
        <f t="shared" si="38"/>
        <v>105.5</v>
      </c>
      <c r="AQ126" s="955">
        <f t="shared" si="39"/>
        <v>11.722222222222221</v>
      </c>
      <c r="AR126" s="955">
        <f t="shared" si="40"/>
        <v>0</v>
      </c>
      <c r="AS126" s="955">
        <f t="shared" si="41"/>
        <v>11.722222222222221</v>
      </c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</row>
    <row r="127" spans="1:60" ht="15.4">
      <c r="A127" s="136">
        <v>119</v>
      </c>
      <c r="B127" s="171" t="s">
        <v>1298</v>
      </c>
      <c r="C127" s="158" t="s">
        <v>1266</v>
      </c>
      <c r="D127" s="136" t="s">
        <v>1299</v>
      </c>
      <c r="E127" s="159" t="s">
        <v>15</v>
      </c>
      <c r="F127" s="160">
        <v>20</v>
      </c>
      <c r="G127" s="172">
        <v>20</v>
      </c>
      <c r="H127" s="158">
        <v>0</v>
      </c>
      <c r="I127" s="158">
        <f t="shared" si="42"/>
        <v>20</v>
      </c>
      <c r="J127" s="136">
        <v>0</v>
      </c>
      <c r="K127" s="158">
        <v>0</v>
      </c>
      <c r="L127" s="158">
        <f t="shared" si="43"/>
        <v>0</v>
      </c>
      <c r="M127" s="136">
        <v>145</v>
      </c>
      <c r="N127" s="158">
        <v>0</v>
      </c>
      <c r="O127" s="158">
        <f t="shared" si="44"/>
        <v>145</v>
      </c>
      <c r="P127" s="158">
        <v>55</v>
      </c>
      <c r="Q127" s="158">
        <v>0</v>
      </c>
      <c r="R127" s="158">
        <f t="shared" si="45"/>
        <v>55</v>
      </c>
      <c r="S127" s="158">
        <v>6</v>
      </c>
      <c r="T127" s="158">
        <v>0</v>
      </c>
      <c r="U127" s="158">
        <f t="shared" si="46"/>
        <v>6</v>
      </c>
      <c r="V127" s="158">
        <v>5</v>
      </c>
      <c r="W127" s="158">
        <v>0</v>
      </c>
      <c r="X127" s="158">
        <f t="shared" si="26"/>
        <v>5</v>
      </c>
      <c r="Y127" s="174">
        <f t="shared" si="30"/>
        <v>231</v>
      </c>
      <c r="Z127" s="174">
        <f t="shared" si="31"/>
        <v>0</v>
      </c>
      <c r="AA127" s="174">
        <f t="shared" si="32"/>
        <v>231</v>
      </c>
      <c r="AB127" s="175">
        <f t="shared" si="33"/>
        <v>38.5</v>
      </c>
      <c r="AC127" s="175">
        <f t="shared" si="34"/>
        <v>0</v>
      </c>
      <c r="AD127" s="175">
        <f t="shared" si="35"/>
        <v>38.5</v>
      </c>
      <c r="AE127" s="912">
        <v>10</v>
      </c>
      <c r="AF127" s="134">
        <v>0</v>
      </c>
      <c r="AG127" s="158">
        <f t="shared" si="27"/>
        <v>10</v>
      </c>
      <c r="AH127" s="134">
        <v>40</v>
      </c>
      <c r="AI127" s="134">
        <v>0</v>
      </c>
      <c r="AJ127" s="922">
        <f t="shared" si="28"/>
        <v>40</v>
      </c>
      <c r="AK127" s="134">
        <v>10</v>
      </c>
      <c r="AL127" s="134">
        <v>0</v>
      </c>
      <c r="AM127" s="922">
        <f t="shared" si="29"/>
        <v>10</v>
      </c>
      <c r="AN127" s="6">
        <f t="shared" si="36"/>
        <v>291</v>
      </c>
      <c r="AO127" s="6">
        <f t="shared" si="37"/>
        <v>0</v>
      </c>
      <c r="AP127" s="6">
        <f t="shared" si="38"/>
        <v>291</v>
      </c>
      <c r="AQ127" s="955">
        <f t="shared" si="39"/>
        <v>32.333333333333336</v>
      </c>
      <c r="AR127" s="955">
        <f t="shared" si="40"/>
        <v>0</v>
      </c>
      <c r="AS127" s="955">
        <f t="shared" si="41"/>
        <v>32.333333333333336</v>
      </c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</row>
    <row r="128" spans="1:60">
      <c r="A128" s="136">
        <v>120</v>
      </c>
      <c r="B128" s="136" t="s">
        <v>1076</v>
      </c>
      <c r="C128" s="136" t="s">
        <v>1064</v>
      </c>
      <c r="D128" s="136" t="s">
        <v>1300</v>
      </c>
      <c r="E128" s="160" t="s">
        <v>1301</v>
      </c>
      <c r="F128" s="160"/>
      <c r="G128" s="136">
        <v>800</v>
      </c>
      <c r="H128" s="158">
        <v>0</v>
      </c>
      <c r="I128" s="136">
        <f t="shared" ref="I128:I131" si="47">G128+H128</f>
        <v>800</v>
      </c>
      <c r="J128" s="136">
        <v>1200</v>
      </c>
      <c r="K128" s="158">
        <v>0</v>
      </c>
      <c r="L128" s="136">
        <f t="shared" ref="L128:L131" si="48">J128+K128</f>
        <v>1200</v>
      </c>
      <c r="M128" s="136">
        <v>1200</v>
      </c>
      <c r="N128" s="158">
        <v>0</v>
      </c>
      <c r="O128" s="136">
        <f t="shared" ref="O128:O129" si="49">M128+N128</f>
        <v>1200</v>
      </c>
      <c r="P128" s="136">
        <v>0</v>
      </c>
      <c r="Q128" s="136">
        <v>0</v>
      </c>
      <c r="R128" s="136">
        <f t="shared" ref="R128:R129" si="50">P128+Q128</f>
        <v>0</v>
      </c>
      <c r="S128" s="136">
        <v>1559</v>
      </c>
      <c r="T128" s="136"/>
      <c r="U128" s="136">
        <f t="shared" ref="U128:V129" si="51">S128+T128</f>
        <v>1559</v>
      </c>
      <c r="V128" s="136">
        <f t="shared" si="51"/>
        <v>1559</v>
      </c>
      <c r="W128" s="136">
        <v>0</v>
      </c>
      <c r="X128" s="136">
        <f t="shared" ref="X128:X129" si="52">V128+W128</f>
        <v>1559</v>
      </c>
      <c r="Y128" s="174">
        <f t="shared" si="30"/>
        <v>6318</v>
      </c>
      <c r="Z128" s="174">
        <f t="shared" si="31"/>
        <v>0</v>
      </c>
      <c r="AA128" s="174">
        <f t="shared" si="32"/>
        <v>6318</v>
      </c>
      <c r="AB128" s="175">
        <f t="shared" si="33"/>
        <v>1053</v>
      </c>
      <c r="AC128" s="175">
        <f t="shared" si="34"/>
        <v>0</v>
      </c>
      <c r="AD128" s="175">
        <f t="shared" si="35"/>
        <v>1053</v>
      </c>
      <c r="AE128" s="912">
        <v>0</v>
      </c>
      <c r="AF128" s="134">
        <v>0</v>
      </c>
      <c r="AG128" s="158">
        <f t="shared" si="27"/>
        <v>0</v>
      </c>
      <c r="AH128" s="134">
        <v>0</v>
      </c>
      <c r="AI128" s="134">
        <v>0</v>
      </c>
      <c r="AJ128" s="922">
        <f t="shared" si="28"/>
        <v>0</v>
      </c>
      <c r="AK128" s="134">
        <v>0</v>
      </c>
      <c r="AL128" s="134">
        <v>0</v>
      </c>
      <c r="AM128" s="922">
        <f t="shared" si="29"/>
        <v>0</v>
      </c>
      <c r="AN128" s="6">
        <f t="shared" si="36"/>
        <v>6318</v>
      </c>
      <c r="AO128" s="6">
        <f t="shared" si="37"/>
        <v>0</v>
      </c>
      <c r="AP128" s="6">
        <f t="shared" si="38"/>
        <v>6318</v>
      </c>
      <c r="AQ128" s="955">
        <f t="shared" si="39"/>
        <v>702</v>
      </c>
      <c r="AR128" s="955">
        <f t="shared" si="40"/>
        <v>0</v>
      </c>
      <c r="AS128" s="955">
        <f t="shared" si="41"/>
        <v>702</v>
      </c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</row>
    <row r="129" spans="1:60">
      <c r="A129" s="136">
        <v>121</v>
      </c>
      <c r="B129" s="136" t="s">
        <v>1302</v>
      </c>
      <c r="C129" s="136" t="s">
        <v>1303</v>
      </c>
      <c r="D129" s="136" t="s">
        <v>1304</v>
      </c>
      <c r="E129" s="160" t="s">
        <v>1301</v>
      </c>
      <c r="F129" s="160"/>
      <c r="G129" s="136">
        <v>630</v>
      </c>
      <c r="H129" s="158">
        <v>0</v>
      </c>
      <c r="I129" s="136">
        <f t="shared" si="47"/>
        <v>630</v>
      </c>
      <c r="J129" s="136">
        <v>821</v>
      </c>
      <c r="K129" s="158">
        <v>0</v>
      </c>
      <c r="L129" s="136">
        <f t="shared" si="48"/>
        <v>821</v>
      </c>
      <c r="M129" s="136">
        <v>1000</v>
      </c>
      <c r="N129" s="158">
        <v>0</v>
      </c>
      <c r="O129" s="136">
        <f t="shared" si="49"/>
        <v>1000</v>
      </c>
      <c r="P129" s="136">
        <v>0</v>
      </c>
      <c r="Q129" s="136">
        <v>0</v>
      </c>
      <c r="R129" s="136">
        <f t="shared" si="50"/>
        <v>0</v>
      </c>
      <c r="S129" s="136">
        <v>3</v>
      </c>
      <c r="T129" s="136"/>
      <c r="U129" s="136">
        <f t="shared" si="51"/>
        <v>3</v>
      </c>
      <c r="V129" s="136">
        <f>300+279</f>
        <v>579</v>
      </c>
      <c r="W129" s="136">
        <v>0</v>
      </c>
      <c r="X129" s="136">
        <f t="shared" si="52"/>
        <v>579</v>
      </c>
      <c r="Y129" s="174">
        <f t="shared" si="30"/>
        <v>3033</v>
      </c>
      <c r="Z129" s="174">
        <f t="shared" si="31"/>
        <v>0</v>
      </c>
      <c r="AA129" s="174">
        <f t="shared" si="32"/>
        <v>3033</v>
      </c>
      <c r="AB129" s="175">
        <f t="shared" si="33"/>
        <v>505.5</v>
      </c>
      <c r="AC129" s="175">
        <f t="shared" si="34"/>
        <v>0</v>
      </c>
      <c r="AD129" s="175">
        <f t="shared" si="35"/>
        <v>505.5</v>
      </c>
      <c r="AE129" s="912">
        <v>1530</v>
      </c>
      <c r="AF129" s="134">
        <v>0</v>
      </c>
      <c r="AG129" s="158">
        <f t="shared" si="27"/>
        <v>1530</v>
      </c>
      <c r="AH129" s="928">
        <v>2600</v>
      </c>
      <c r="AI129" s="134">
        <v>0</v>
      </c>
      <c r="AJ129" s="922">
        <f t="shared" si="28"/>
        <v>2600</v>
      </c>
      <c r="AK129" s="134">
        <v>0</v>
      </c>
      <c r="AL129" s="134">
        <v>0</v>
      </c>
      <c r="AM129" s="922">
        <f t="shared" si="29"/>
        <v>0</v>
      </c>
      <c r="AN129" s="6">
        <f t="shared" si="36"/>
        <v>7163</v>
      </c>
      <c r="AO129" s="6">
        <f t="shared" si="37"/>
        <v>0</v>
      </c>
      <c r="AP129" s="6">
        <f t="shared" si="38"/>
        <v>7163</v>
      </c>
      <c r="AQ129" s="955">
        <f t="shared" si="39"/>
        <v>795.88888888888891</v>
      </c>
      <c r="AR129" s="955">
        <f t="shared" si="40"/>
        <v>0</v>
      </c>
      <c r="AS129" s="955">
        <f t="shared" si="41"/>
        <v>795.88888888888891</v>
      </c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</row>
    <row r="130" spans="1:60">
      <c r="A130" s="136">
        <v>128</v>
      </c>
      <c r="B130" s="136"/>
      <c r="C130" s="136"/>
      <c r="D130" s="136" t="s">
        <v>1305</v>
      </c>
      <c r="E130" s="136"/>
      <c r="F130" s="160"/>
      <c r="G130" s="136"/>
      <c r="H130" s="136"/>
      <c r="I130" s="136">
        <f t="shared" si="47"/>
        <v>0</v>
      </c>
      <c r="J130" s="136"/>
      <c r="K130" s="136"/>
      <c r="L130" s="136">
        <f t="shared" si="48"/>
        <v>0</v>
      </c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74">
        <f t="shared" si="30"/>
        <v>0</v>
      </c>
      <c r="Z130" s="174">
        <f t="shared" si="31"/>
        <v>0</v>
      </c>
      <c r="AA130" s="174">
        <f t="shared" si="32"/>
        <v>0</v>
      </c>
      <c r="AB130" s="175">
        <f t="shared" si="33"/>
        <v>0</v>
      </c>
      <c r="AC130" s="175">
        <f t="shared" si="34"/>
        <v>0</v>
      </c>
      <c r="AD130" s="175">
        <f t="shared" si="35"/>
        <v>0</v>
      </c>
      <c r="AE130" s="6"/>
      <c r="AF130" s="6"/>
      <c r="AG130" s="6"/>
      <c r="AH130" s="134"/>
      <c r="AI130" s="134"/>
      <c r="AJ130" s="134"/>
      <c r="AK130" s="134"/>
      <c r="AL130" s="134"/>
      <c r="AM130" s="134"/>
      <c r="AN130" s="6"/>
      <c r="AO130" s="6"/>
      <c r="AP130" s="6"/>
      <c r="AQ130" s="954"/>
      <c r="AR130" s="954"/>
      <c r="AS130" s="954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</row>
    <row r="131" spans="1:60">
      <c r="A131" s="136">
        <v>129</v>
      </c>
      <c r="B131" s="136"/>
      <c r="C131" s="136"/>
      <c r="D131" s="136" t="s">
        <v>1306</v>
      </c>
      <c r="E131" s="136"/>
      <c r="F131" s="160"/>
      <c r="G131" s="136"/>
      <c r="H131" s="136"/>
      <c r="I131" s="136">
        <f t="shared" si="47"/>
        <v>0</v>
      </c>
      <c r="J131" s="136"/>
      <c r="K131" s="136"/>
      <c r="L131" s="136">
        <f t="shared" si="48"/>
        <v>0</v>
      </c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74">
        <f t="shared" si="30"/>
        <v>0</v>
      </c>
      <c r="Z131" s="174">
        <f t="shared" si="31"/>
        <v>0</v>
      </c>
      <c r="AA131" s="174">
        <f t="shared" si="32"/>
        <v>0</v>
      </c>
      <c r="AB131" s="175">
        <f t="shared" si="33"/>
        <v>0</v>
      </c>
      <c r="AC131" s="175">
        <f t="shared" si="34"/>
        <v>0</v>
      </c>
      <c r="AD131" s="175">
        <f t="shared" si="35"/>
        <v>0</v>
      </c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954"/>
      <c r="AR131" s="954"/>
      <c r="AS131" s="954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</row>
    <row r="132" spans="1:60" ht="15.75">
      <c r="A132" s="986" t="s">
        <v>11</v>
      </c>
      <c r="B132" s="987"/>
      <c r="C132" s="162"/>
      <c r="D132" s="162"/>
      <c r="E132" s="162"/>
      <c r="F132" s="164">
        <f>SUM(F9:F131)</f>
        <v>3670</v>
      </c>
      <c r="G132" s="164">
        <f t="shared" ref="G132:BH132" si="53">SUM(G9:G131)</f>
        <v>5378</v>
      </c>
      <c r="H132" s="164">
        <f t="shared" si="53"/>
        <v>141</v>
      </c>
      <c r="I132" s="164">
        <f t="shared" si="53"/>
        <v>5517</v>
      </c>
      <c r="J132" s="164">
        <f t="shared" si="53"/>
        <v>7456</v>
      </c>
      <c r="K132" s="164">
        <f t="shared" si="53"/>
        <v>320</v>
      </c>
      <c r="L132" s="164">
        <f t="shared" si="53"/>
        <v>7776</v>
      </c>
      <c r="M132" s="164">
        <f t="shared" si="53"/>
        <v>10230</v>
      </c>
      <c r="N132" s="164">
        <f t="shared" si="53"/>
        <v>0</v>
      </c>
      <c r="O132" s="164">
        <f t="shared" si="53"/>
        <v>10230</v>
      </c>
      <c r="P132" s="164">
        <f t="shared" si="53"/>
        <v>4982</v>
      </c>
      <c r="Q132" s="164">
        <f t="shared" si="53"/>
        <v>160</v>
      </c>
      <c r="R132" s="164">
        <f t="shared" si="53"/>
        <v>5142</v>
      </c>
      <c r="S132" s="164">
        <f t="shared" si="53"/>
        <v>4432</v>
      </c>
      <c r="T132" s="164">
        <f t="shared" si="53"/>
        <v>210</v>
      </c>
      <c r="U132" s="164">
        <f t="shared" si="53"/>
        <v>4642</v>
      </c>
      <c r="V132" s="164">
        <f t="shared" si="53"/>
        <v>6712</v>
      </c>
      <c r="W132" s="164">
        <f t="shared" si="53"/>
        <v>204</v>
      </c>
      <c r="X132" s="164">
        <f t="shared" si="53"/>
        <v>6916</v>
      </c>
      <c r="Y132" s="173">
        <f t="shared" si="53"/>
        <v>39190</v>
      </c>
      <c r="Z132" s="173">
        <f t="shared" si="53"/>
        <v>1035</v>
      </c>
      <c r="AA132" s="173">
        <f t="shared" si="53"/>
        <v>40223</v>
      </c>
      <c r="AB132" s="173">
        <f t="shared" si="53"/>
        <v>6531.6666666666679</v>
      </c>
      <c r="AC132" s="173">
        <f t="shared" si="53"/>
        <v>172.5</v>
      </c>
      <c r="AD132" s="173">
        <f t="shared" si="53"/>
        <v>6703.8333333333339</v>
      </c>
      <c r="AE132" s="164">
        <f t="shared" si="53"/>
        <v>5743</v>
      </c>
      <c r="AF132" s="164">
        <f t="shared" si="53"/>
        <v>300</v>
      </c>
      <c r="AG132" s="164">
        <f t="shared" si="53"/>
        <v>6043</v>
      </c>
      <c r="AH132" s="164">
        <f t="shared" si="53"/>
        <v>6481</v>
      </c>
      <c r="AI132" s="164">
        <f t="shared" si="53"/>
        <v>188</v>
      </c>
      <c r="AJ132" s="164">
        <f t="shared" si="53"/>
        <v>6669</v>
      </c>
      <c r="AK132" s="164">
        <f t="shared" si="53"/>
        <v>3097</v>
      </c>
      <c r="AL132" s="164">
        <f t="shared" si="53"/>
        <v>271</v>
      </c>
      <c r="AM132" s="164">
        <f t="shared" si="53"/>
        <v>3368</v>
      </c>
      <c r="AN132" s="164">
        <f t="shared" si="53"/>
        <v>54511</v>
      </c>
      <c r="AO132" s="164">
        <f t="shared" si="53"/>
        <v>1794</v>
      </c>
      <c r="AP132" s="164">
        <f t="shared" si="53"/>
        <v>56303</v>
      </c>
      <c r="AQ132" s="173">
        <f>SUM(AQ9:AQ131)</f>
        <v>6056.7777777777756</v>
      </c>
      <c r="AR132" s="173">
        <f t="shared" si="53"/>
        <v>199.33333333333331</v>
      </c>
      <c r="AS132" s="173">
        <f t="shared" si="53"/>
        <v>6255.8888888888869</v>
      </c>
      <c r="AT132" s="164">
        <f t="shared" si="53"/>
        <v>0</v>
      </c>
      <c r="AU132" s="164">
        <f t="shared" si="53"/>
        <v>0</v>
      </c>
      <c r="AV132" s="164">
        <f t="shared" si="53"/>
        <v>0</v>
      </c>
      <c r="AW132" s="164">
        <f t="shared" si="53"/>
        <v>0</v>
      </c>
      <c r="AX132" s="164">
        <f t="shared" si="53"/>
        <v>0</v>
      </c>
      <c r="AY132" s="164">
        <f t="shared" si="53"/>
        <v>0</v>
      </c>
      <c r="AZ132" s="164">
        <f t="shared" si="53"/>
        <v>0</v>
      </c>
      <c r="BA132" s="164">
        <f t="shared" si="53"/>
        <v>0</v>
      </c>
      <c r="BB132" s="164">
        <f t="shared" si="53"/>
        <v>0</v>
      </c>
      <c r="BC132" s="164">
        <f t="shared" si="53"/>
        <v>0</v>
      </c>
      <c r="BD132" s="164">
        <f t="shared" si="53"/>
        <v>0</v>
      </c>
      <c r="BE132" s="164">
        <f t="shared" si="53"/>
        <v>0</v>
      </c>
      <c r="BF132" s="164">
        <f t="shared" si="53"/>
        <v>0</v>
      </c>
      <c r="BG132" s="164">
        <f t="shared" si="53"/>
        <v>0</v>
      </c>
      <c r="BH132" s="164">
        <f t="shared" si="53"/>
        <v>0</v>
      </c>
    </row>
    <row r="133" spans="1:60" ht="14.65" thickBot="1"/>
    <row r="134" spans="1:60" ht="15.75">
      <c r="A134" s="104"/>
      <c r="B134" s="76" t="s">
        <v>338</v>
      </c>
      <c r="C134" s="77"/>
      <c r="D134" s="83"/>
      <c r="E134" s="209"/>
      <c r="F134" s="210">
        <v>2396</v>
      </c>
      <c r="G134" s="205">
        <v>874</v>
      </c>
      <c r="H134" s="206">
        <v>60</v>
      </c>
      <c r="I134" s="206">
        <f>G134+H134</f>
        <v>934</v>
      </c>
      <c r="J134" s="206">
        <v>3683</v>
      </c>
      <c r="K134" s="206">
        <v>316</v>
      </c>
      <c r="L134" s="206">
        <f>J134+K134</f>
        <v>3999</v>
      </c>
      <c r="M134" s="206">
        <v>1796</v>
      </c>
      <c r="N134" s="206">
        <v>0</v>
      </c>
      <c r="O134" s="206">
        <f>M134+N134</f>
        <v>1796</v>
      </c>
      <c r="P134" s="206">
        <v>2215</v>
      </c>
      <c r="Q134" s="206">
        <v>160</v>
      </c>
      <c r="R134" s="206">
        <f>P134+Q134</f>
        <v>2375</v>
      </c>
      <c r="S134" s="206">
        <v>2142</v>
      </c>
      <c r="T134" s="206">
        <v>120</v>
      </c>
      <c r="U134" s="206">
        <f>S134+T134</f>
        <v>2262</v>
      </c>
      <c r="V134" s="206">
        <v>690</v>
      </c>
      <c r="W134" s="206">
        <v>54</v>
      </c>
      <c r="X134" s="206">
        <f>V134+W134</f>
        <v>744</v>
      </c>
      <c r="Y134" s="206">
        <f>G134+J134+M134+P134+S134+V134</f>
        <v>11400</v>
      </c>
      <c r="Z134" s="206">
        <f>H134+K134+N134+Q134+T134+W134</f>
        <v>710</v>
      </c>
      <c r="AA134" s="206">
        <f>Y134+Z134</f>
        <v>12110</v>
      </c>
      <c r="AB134" s="206">
        <f t="shared" ref="AB134:AD135" si="54">Y134/6</f>
        <v>1900</v>
      </c>
      <c r="AC134" s="207">
        <f t="shared" si="54"/>
        <v>118.33333333333333</v>
      </c>
      <c r="AD134" s="208">
        <f t="shared" si="54"/>
        <v>2018.3333333333333</v>
      </c>
      <c r="AE134" s="206">
        <v>2954</v>
      </c>
      <c r="AF134" s="206">
        <v>282</v>
      </c>
      <c r="AG134" s="206">
        <f t="shared" ref="AG134" si="55">AE134+AF134</f>
        <v>3236</v>
      </c>
      <c r="AH134" s="206"/>
      <c r="AI134" s="206"/>
      <c r="AJ134" s="206">
        <f t="shared" ref="AJ134" si="56">AH134+AI134</f>
        <v>0</v>
      </c>
      <c r="AK134" s="206"/>
      <c r="AL134" s="206"/>
      <c r="AM134" s="206">
        <f t="shared" ref="AM134" si="57">AK134+AL134</f>
        <v>0</v>
      </c>
      <c r="AN134" s="206"/>
      <c r="AO134" s="206"/>
      <c r="AP134" s="206">
        <f t="shared" ref="AP134" si="58">AN134+AO134</f>
        <v>0</v>
      </c>
      <c r="AQ134" s="962"/>
      <c r="AR134" s="962"/>
      <c r="AS134" s="962">
        <f t="shared" ref="AS134" si="59">AQ134+AR134</f>
        <v>0</v>
      </c>
      <c r="AT134" s="206"/>
      <c r="AU134" s="206"/>
      <c r="AV134" s="206"/>
      <c r="AW134" s="206"/>
      <c r="AX134" s="206"/>
      <c r="AY134" s="206"/>
      <c r="AZ134" s="206"/>
      <c r="BA134" s="206"/>
      <c r="BB134" s="206">
        <f t="shared" ref="BB134" si="60">AT134+AU134</f>
        <v>0</v>
      </c>
      <c r="BC134" s="206"/>
      <c r="BD134" s="206"/>
      <c r="BE134" s="206">
        <f t="shared" ref="BE134" si="61">BC134+BD134</f>
        <v>0</v>
      </c>
      <c r="BF134" s="206"/>
      <c r="BG134" s="206"/>
      <c r="BH134" s="206">
        <f t="shared" ref="BH134" si="62">BF134+BG134</f>
        <v>0</v>
      </c>
    </row>
    <row r="135" spans="1:60">
      <c r="A135" s="78"/>
      <c r="B135" s="7" t="s">
        <v>339</v>
      </c>
      <c r="C135" s="6"/>
      <c r="D135" s="15"/>
      <c r="E135" s="211"/>
      <c r="F135" s="212">
        <f>F132-F134</f>
        <v>1274</v>
      </c>
      <c r="G135" s="106">
        <f>G132-G134</f>
        <v>4504</v>
      </c>
      <c r="H135" s="102">
        <f>H132-H134</f>
        <v>81</v>
      </c>
      <c r="I135" s="102">
        <f t="shared" ref="I135:AA135" si="63">I132-I134</f>
        <v>4583</v>
      </c>
      <c r="J135" s="102">
        <f t="shared" si="63"/>
        <v>3773</v>
      </c>
      <c r="K135" s="102">
        <f t="shared" si="63"/>
        <v>4</v>
      </c>
      <c r="L135" s="102">
        <f t="shared" si="63"/>
        <v>3777</v>
      </c>
      <c r="M135" s="102">
        <f t="shared" si="63"/>
        <v>8434</v>
      </c>
      <c r="N135" s="102">
        <f t="shared" si="63"/>
        <v>0</v>
      </c>
      <c r="O135" s="102">
        <f t="shared" si="63"/>
        <v>8434</v>
      </c>
      <c r="P135" s="102">
        <f t="shared" si="63"/>
        <v>2767</v>
      </c>
      <c r="Q135" s="102">
        <f t="shared" si="63"/>
        <v>0</v>
      </c>
      <c r="R135" s="102">
        <f t="shared" si="63"/>
        <v>2767</v>
      </c>
      <c r="S135" s="102">
        <f t="shared" si="63"/>
        <v>2290</v>
      </c>
      <c r="T135" s="102">
        <f t="shared" si="63"/>
        <v>90</v>
      </c>
      <c r="U135" s="102">
        <f t="shared" si="63"/>
        <v>2380</v>
      </c>
      <c r="V135" s="102">
        <f t="shared" si="63"/>
        <v>6022</v>
      </c>
      <c r="W135" s="102">
        <f t="shared" si="63"/>
        <v>150</v>
      </c>
      <c r="X135" s="102">
        <f t="shared" si="63"/>
        <v>6172</v>
      </c>
      <c r="Y135" s="102">
        <f t="shared" si="63"/>
        <v>27790</v>
      </c>
      <c r="Z135" s="102">
        <f t="shared" si="63"/>
        <v>325</v>
      </c>
      <c r="AA135" s="102">
        <f t="shared" si="63"/>
        <v>28113</v>
      </c>
      <c r="AB135" s="71">
        <f t="shared" si="54"/>
        <v>4631.666666666667</v>
      </c>
      <c r="AC135" s="71">
        <f t="shared" si="54"/>
        <v>54.166666666666664</v>
      </c>
      <c r="AD135" s="72">
        <f t="shared" si="54"/>
        <v>4685.5</v>
      </c>
      <c r="AE135" s="102">
        <f t="shared" ref="AE135:BH135" si="64">AE132-AE134</f>
        <v>2789</v>
      </c>
      <c r="AF135" s="102">
        <f t="shared" si="64"/>
        <v>18</v>
      </c>
      <c r="AG135" s="102">
        <f t="shared" si="64"/>
        <v>2807</v>
      </c>
      <c r="AH135" s="102">
        <f t="shared" si="64"/>
        <v>6481</v>
      </c>
      <c r="AI135" s="102">
        <f t="shared" si="64"/>
        <v>188</v>
      </c>
      <c r="AJ135" s="102">
        <f t="shared" si="64"/>
        <v>6669</v>
      </c>
      <c r="AK135" s="102">
        <f t="shared" si="64"/>
        <v>3097</v>
      </c>
      <c r="AL135" s="102">
        <f t="shared" si="64"/>
        <v>271</v>
      </c>
      <c r="AM135" s="102">
        <f t="shared" si="64"/>
        <v>3368</v>
      </c>
      <c r="AN135" s="102">
        <f t="shared" si="64"/>
        <v>54511</v>
      </c>
      <c r="AO135" s="102">
        <f t="shared" si="64"/>
        <v>1794</v>
      </c>
      <c r="AP135" s="102">
        <f t="shared" si="64"/>
        <v>56303</v>
      </c>
      <c r="AQ135" s="957">
        <f t="shared" si="64"/>
        <v>6056.7777777777756</v>
      </c>
      <c r="AR135" s="957">
        <f t="shared" si="64"/>
        <v>199.33333333333331</v>
      </c>
      <c r="AS135" s="957">
        <f t="shared" si="64"/>
        <v>6255.8888888888869</v>
      </c>
      <c r="AT135" s="102">
        <f t="shared" si="64"/>
        <v>0</v>
      </c>
      <c r="AU135" s="102">
        <f t="shared" si="64"/>
        <v>0</v>
      </c>
      <c r="AV135" s="102"/>
      <c r="AW135" s="102"/>
      <c r="AX135" s="102"/>
      <c r="AY135" s="102"/>
      <c r="AZ135" s="102"/>
      <c r="BA135" s="102"/>
      <c r="BB135" s="102">
        <f t="shared" si="64"/>
        <v>0</v>
      </c>
      <c r="BC135" s="102">
        <f t="shared" si="64"/>
        <v>0</v>
      </c>
      <c r="BD135" s="102">
        <f t="shared" si="64"/>
        <v>0</v>
      </c>
      <c r="BE135" s="102">
        <f t="shared" si="64"/>
        <v>0</v>
      </c>
      <c r="BF135" s="102">
        <f t="shared" si="64"/>
        <v>0</v>
      </c>
      <c r="BG135" s="102">
        <f t="shared" si="64"/>
        <v>0</v>
      </c>
      <c r="BH135" s="102">
        <f t="shared" si="64"/>
        <v>0</v>
      </c>
    </row>
    <row r="136" spans="1:60">
      <c r="A136" s="78"/>
      <c r="B136" s="7" t="s">
        <v>340</v>
      </c>
      <c r="C136" s="6"/>
      <c r="D136" s="15"/>
      <c r="E136" s="96"/>
      <c r="F136" s="86">
        <f>F135/F132%</f>
        <v>34.713896457765664</v>
      </c>
      <c r="G136" s="107">
        <f t="shared" ref="G136:AD136" si="65">G135/G132%</f>
        <v>83.7486054295277</v>
      </c>
      <c r="H136" s="96">
        <f t="shared" si="65"/>
        <v>57.446808510638299</v>
      </c>
      <c r="I136" s="96">
        <f t="shared" si="65"/>
        <v>83.070509334783395</v>
      </c>
      <c r="J136" s="96">
        <f t="shared" si="65"/>
        <v>50.603540772532185</v>
      </c>
      <c r="K136" s="96">
        <f t="shared" si="65"/>
        <v>1.25</v>
      </c>
      <c r="L136" s="96">
        <f t="shared" si="65"/>
        <v>48.572530864197525</v>
      </c>
      <c r="M136" s="96">
        <f t="shared" si="65"/>
        <v>82.44379276637342</v>
      </c>
      <c r="N136" s="96" t="e">
        <f t="shared" si="65"/>
        <v>#DIV/0!</v>
      </c>
      <c r="O136" s="96">
        <f t="shared" si="65"/>
        <v>82.44379276637342</v>
      </c>
      <c r="P136" s="96">
        <f t="shared" si="65"/>
        <v>55.539943797671619</v>
      </c>
      <c r="Q136" s="96">
        <f t="shared" si="65"/>
        <v>0</v>
      </c>
      <c r="R136" s="96">
        <f t="shared" si="65"/>
        <v>53.811746402178137</v>
      </c>
      <c r="S136" s="96">
        <f t="shared" si="65"/>
        <v>51.66967509025271</v>
      </c>
      <c r="T136" s="96">
        <f t="shared" si="65"/>
        <v>42.857142857142854</v>
      </c>
      <c r="U136" s="96">
        <f t="shared" si="65"/>
        <v>51.271003877638947</v>
      </c>
      <c r="V136" s="96">
        <f t="shared" si="65"/>
        <v>89.719904648390937</v>
      </c>
      <c r="W136" s="96">
        <f t="shared" si="65"/>
        <v>73.529411764705884</v>
      </c>
      <c r="X136" s="96">
        <f t="shared" si="65"/>
        <v>89.242336610757661</v>
      </c>
      <c r="Y136" s="96">
        <f t="shared" si="65"/>
        <v>70.910946670068896</v>
      </c>
      <c r="Z136" s="96">
        <f t="shared" si="65"/>
        <v>31.40096618357488</v>
      </c>
      <c r="AA136" s="96">
        <f t="shared" si="65"/>
        <v>69.892847375879469</v>
      </c>
      <c r="AB136" s="96">
        <f t="shared" si="65"/>
        <v>70.910946670068896</v>
      </c>
      <c r="AC136" s="96">
        <f t="shared" si="65"/>
        <v>31.400966183574877</v>
      </c>
      <c r="AD136" s="86">
        <f t="shared" si="65"/>
        <v>69.892847375879469</v>
      </c>
      <c r="AE136" s="96">
        <f t="shared" ref="AE136:BH136" si="66">AE135/AE132%</f>
        <v>48.563468570433571</v>
      </c>
      <c r="AF136" s="96">
        <f t="shared" si="66"/>
        <v>6</v>
      </c>
      <c r="AG136" s="96">
        <f t="shared" si="66"/>
        <v>46.450438523911963</v>
      </c>
      <c r="AH136" s="96">
        <f t="shared" si="66"/>
        <v>100</v>
      </c>
      <c r="AI136" s="96">
        <f t="shared" si="66"/>
        <v>100</v>
      </c>
      <c r="AJ136" s="96">
        <f t="shared" si="66"/>
        <v>100</v>
      </c>
      <c r="AK136" s="96">
        <f t="shared" si="66"/>
        <v>100</v>
      </c>
      <c r="AL136" s="96">
        <f t="shared" si="66"/>
        <v>100</v>
      </c>
      <c r="AM136" s="96">
        <f t="shared" si="66"/>
        <v>100</v>
      </c>
      <c r="AN136" s="96">
        <f t="shared" si="66"/>
        <v>100</v>
      </c>
      <c r="AO136" s="96">
        <f t="shared" si="66"/>
        <v>99.999999999999986</v>
      </c>
      <c r="AP136" s="96">
        <f t="shared" si="66"/>
        <v>100</v>
      </c>
      <c r="AQ136" s="958">
        <f t="shared" si="66"/>
        <v>100</v>
      </c>
      <c r="AR136" s="958">
        <f t="shared" si="66"/>
        <v>100</v>
      </c>
      <c r="AS136" s="958">
        <f t="shared" si="66"/>
        <v>100</v>
      </c>
      <c r="AT136" s="96" t="e">
        <f t="shared" si="66"/>
        <v>#DIV/0!</v>
      </c>
      <c r="AU136" s="96" t="e">
        <f t="shared" si="66"/>
        <v>#DIV/0!</v>
      </c>
      <c r="AV136" s="96"/>
      <c r="AW136" s="96"/>
      <c r="AX136" s="96"/>
      <c r="AY136" s="96"/>
      <c r="AZ136" s="96"/>
      <c r="BA136" s="96"/>
      <c r="BB136" s="96" t="e">
        <f t="shared" si="66"/>
        <v>#DIV/0!</v>
      </c>
      <c r="BC136" s="96" t="e">
        <f t="shared" si="66"/>
        <v>#DIV/0!</v>
      </c>
      <c r="BD136" s="96" t="e">
        <f t="shared" si="66"/>
        <v>#DIV/0!</v>
      </c>
      <c r="BE136" s="96" t="e">
        <f t="shared" si="66"/>
        <v>#DIV/0!</v>
      </c>
      <c r="BF136" s="96" t="e">
        <f t="shared" si="66"/>
        <v>#DIV/0!</v>
      </c>
      <c r="BG136" s="96" t="e">
        <f t="shared" si="66"/>
        <v>#DIV/0!</v>
      </c>
      <c r="BH136" s="96" t="e">
        <f t="shared" si="66"/>
        <v>#DIV/0!</v>
      </c>
    </row>
    <row r="137" spans="1:60" ht="14.65" thickBot="1">
      <c r="A137" s="80"/>
      <c r="B137" s="81" t="s">
        <v>341</v>
      </c>
      <c r="C137" s="82"/>
      <c r="D137" s="85"/>
      <c r="E137" s="97"/>
      <c r="F137" s="87">
        <f>F134/F132%</f>
        <v>65.286103542234329</v>
      </c>
      <c r="G137" s="108">
        <f t="shared" ref="G137:AD137" si="67">G134/G132%</f>
        <v>16.251394570472293</v>
      </c>
      <c r="H137" s="97">
        <f t="shared" si="67"/>
        <v>42.553191489361701</v>
      </c>
      <c r="I137" s="97">
        <f t="shared" si="67"/>
        <v>16.929490665216601</v>
      </c>
      <c r="J137" s="97">
        <f t="shared" si="67"/>
        <v>49.396459227467808</v>
      </c>
      <c r="K137" s="97">
        <f t="shared" si="67"/>
        <v>98.75</v>
      </c>
      <c r="L137" s="97">
        <f t="shared" si="67"/>
        <v>51.427469135802468</v>
      </c>
      <c r="M137" s="97">
        <f t="shared" si="67"/>
        <v>17.556207233626591</v>
      </c>
      <c r="N137" s="97" t="e">
        <f t="shared" si="67"/>
        <v>#DIV/0!</v>
      </c>
      <c r="O137" s="97">
        <f t="shared" si="67"/>
        <v>17.556207233626591</v>
      </c>
      <c r="P137" s="97">
        <f t="shared" si="67"/>
        <v>44.460056202328381</v>
      </c>
      <c r="Q137" s="97">
        <f t="shared" si="67"/>
        <v>100</v>
      </c>
      <c r="R137" s="97">
        <f t="shared" si="67"/>
        <v>46.188253597821856</v>
      </c>
      <c r="S137" s="97">
        <f t="shared" si="67"/>
        <v>48.33032490974729</v>
      </c>
      <c r="T137" s="97">
        <f t="shared" si="67"/>
        <v>57.142857142857139</v>
      </c>
      <c r="U137" s="97">
        <f t="shared" si="67"/>
        <v>48.728996122361046</v>
      </c>
      <c r="V137" s="97">
        <f t="shared" si="67"/>
        <v>10.280095351609058</v>
      </c>
      <c r="W137" s="97">
        <f t="shared" si="67"/>
        <v>26.470588235294116</v>
      </c>
      <c r="X137" s="97">
        <f t="shared" si="67"/>
        <v>10.757663389242337</v>
      </c>
      <c r="Y137" s="97">
        <f t="shared" si="67"/>
        <v>29.089053329931108</v>
      </c>
      <c r="Z137" s="97">
        <f t="shared" si="67"/>
        <v>68.59903381642512</v>
      </c>
      <c r="AA137" s="97">
        <f t="shared" si="67"/>
        <v>30.107152624120527</v>
      </c>
      <c r="AB137" s="97">
        <f t="shared" si="67"/>
        <v>29.089053329931101</v>
      </c>
      <c r="AC137" s="97">
        <f t="shared" si="67"/>
        <v>68.59903381642512</v>
      </c>
      <c r="AD137" s="87">
        <f t="shared" si="67"/>
        <v>30.107152624120523</v>
      </c>
      <c r="AE137" s="97">
        <f t="shared" ref="AE137:BH137" si="68">AE134/AE132%</f>
        <v>51.436531429566429</v>
      </c>
      <c r="AF137" s="97">
        <f t="shared" si="68"/>
        <v>94</v>
      </c>
      <c r="AG137" s="97">
        <f t="shared" si="68"/>
        <v>53.549561476088037</v>
      </c>
      <c r="AH137" s="97">
        <f t="shared" si="68"/>
        <v>0</v>
      </c>
      <c r="AI137" s="97">
        <f t="shared" si="68"/>
        <v>0</v>
      </c>
      <c r="AJ137" s="97">
        <f t="shared" si="68"/>
        <v>0</v>
      </c>
      <c r="AK137" s="97">
        <f t="shared" si="68"/>
        <v>0</v>
      </c>
      <c r="AL137" s="97">
        <f t="shared" si="68"/>
        <v>0</v>
      </c>
      <c r="AM137" s="97">
        <f t="shared" si="68"/>
        <v>0</v>
      </c>
      <c r="AN137" s="97">
        <f t="shared" si="68"/>
        <v>0</v>
      </c>
      <c r="AO137" s="97">
        <f t="shared" si="68"/>
        <v>0</v>
      </c>
      <c r="AP137" s="97">
        <f t="shared" si="68"/>
        <v>0</v>
      </c>
      <c r="AQ137" s="959">
        <f t="shared" si="68"/>
        <v>0</v>
      </c>
      <c r="AR137" s="959">
        <f t="shared" si="68"/>
        <v>0</v>
      </c>
      <c r="AS137" s="959">
        <f t="shared" si="68"/>
        <v>0</v>
      </c>
      <c r="AT137" s="97" t="e">
        <f t="shared" si="68"/>
        <v>#DIV/0!</v>
      </c>
      <c r="AU137" s="97" t="e">
        <f t="shared" si="68"/>
        <v>#DIV/0!</v>
      </c>
      <c r="AV137" s="97"/>
      <c r="AW137" s="97"/>
      <c r="AX137" s="97"/>
      <c r="AY137" s="97"/>
      <c r="AZ137" s="97"/>
      <c r="BA137" s="97"/>
      <c r="BB137" s="97" t="e">
        <f t="shared" si="68"/>
        <v>#DIV/0!</v>
      </c>
      <c r="BC137" s="97" t="e">
        <f t="shared" si="68"/>
        <v>#DIV/0!</v>
      </c>
      <c r="BD137" s="97" t="e">
        <f t="shared" si="68"/>
        <v>#DIV/0!</v>
      </c>
      <c r="BE137" s="97" t="e">
        <f t="shared" si="68"/>
        <v>#DIV/0!</v>
      </c>
      <c r="BF137" s="97" t="e">
        <f t="shared" si="68"/>
        <v>#DIV/0!</v>
      </c>
      <c r="BG137" s="97" t="e">
        <f t="shared" si="68"/>
        <v>#DIV/0!</v>
      </c>
      <c r="BH137" s="97" t="e">
        <f t="shared" si="68"/>
        <v>#DIV/0!</v>
      </c>
    </row>
  </sheetData>
  <autoFilter ref="A8:AF8"/>
  <mergeCells count="20">
    <mergeCell ref="BC7:BE7"/>
    <mergeCell ref="BF7:BH7"/>
    <mergeCell ref="AE7:AG7"/>
    <mergeCell ref="AH7:AJ7"/>
    <mergeCell ref="AK7:AM7"/>
    <mergeCell ref="AN7:AP7"/>
    <mergeCell ref="AQ7:AS7"/>
    <mergeCell ref="AT7:AV7"/>
    <mergeCell ref="AW7:AY7"/>
    <mergeCell ref="AZ7:BB7"/>
    <mergeCell ref="V7:X7"/>
    <mergeCell ref="Y7:AA7"/>
    <mergeCell ref="AB7:AD7"/>
    <mergeCell ref="A132:B132"/>
    <mergeCell ref="A2:F2"/>
    <mergeCell ref="G7:I7"/>
    <mergeCell ref="J7:L7"/>
    <mergeCell ref="M7:O7"/>
    <mergeCell ref="P7:R7"/>
    <mergeCell ref="S7:U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183"/>
  <sheetViews>
    <sheetView tabSelected="1" zoomScale="110" zoomScaleNormal="110" workbookViewId="0">
      <pane xSplit="5" ySplit="8" topLeftCell="AK170" activePane="bottomRight" state="frozen"/>
      <selection pane="topRight" activeCell="F1" sqref="F1"/>
      <selection pane="bottomLeft" activeCell="A9" sqref="A9"/>
      <selection pane="bottomRight" activeCell="AL175" sqref="AL175"/>
    </sheetView>
  </sheetViews>
  <sheetFormatPr defaultRowHeight="14.25"/>
  <cols>
    <col min="1" max="1" width="7.3984375" customWidth="1"/>
    <col min="2" max="2" width="25.59765625" bestFit="1" customWidth="1"/>
    <col min="3" max="3" width="23.1328125" bestFit="1" customWidth="1"/>
    <col min="4" max="4" width="10.265625" bestFit="1" customWidth="1"/>
    <col min="5" max="5" width="7.73046875" bestFit="1" customWidth="1"/>
    <col min="6" max="6" width="9.265625" bestFit="1" customWidth="1"/>
  </cols>
  <sheetData>
    <row r="1" spans="1:54" ht="14.65" thickBot="1"/>
    <row r="2" spans="1:54" ht="25.9" thickBot="1">
      <c r="A2" s="988" t="s">
        <v>1086</v>
      </c>
      <c r="B2" s="989"/>
      <c r="C2" s="989"/>
      <c r="D2" s="989"/>
      <c r="E2" s="989"/>
      <c r="F2" s="989"/>
    </row>
    <row r="3" spans="1:54">
      <c r="A3" s="149"/>
      <c r="B3" s="149"/>
      <c r="C3" s="149"/>
      <c r="D3" s="149"/>
      <c r="E3" s="149"/>
      <c r="F3" s="150"/>
    </row>
    <row r="4" spans="1:54">
      <c r="A4" s="149" t="s">
        <v>1308</v>
      </c>
      <c r="B4" s="149"/>
      <c r="C4" s="151" t="s">
        <v>1084</v>
      </c>
      <c r="D4" s="150">
        <v>160</v>
      </c>
      <c r="E4" s="149"/>
      <c r="F4" s="150"/>
    </row>
    <row r="5" spans="1:54">
      <c r="A5" s="149"/>
      <c r="B5" s="149"/>
      <c r="C5" s="151" t="s">
        <v>8</v>
      </c>
      <c r="D5" s="149" t="s">
        <v>1309</v>
      </c>
      <c r="E5" s="149"/>
      <c r="F5" s="176" t="s">
        <v>1310</v>
      </c>
    </row>
    <row r="6" spans="1:54" ht="15" customHeight="1">
      <c r="A6" s="149" t="s">
        <v>1311</v>
      </c>
      <c r="B6" s="149"/>
      <c r="C6" s="151"/>
      <c r="D6" s="149"/>
      <c r="E6" s="149"/>
      <c r="F6" s="150"/>
    </row>
    <row r="7" spans="1:54" ht="30" customHeight="1">
      <c r="A7" s="153"/>
      <c r="B7" s="153"/>
      <c r="C7" s="153"/>
      <c r="D7" s="153"/>
      <c r="E7" s="114" t="s">
        <v>903</v>
      </c>
      <c r="F7" s="154" t="s">
        <v>904</v>
      </c>
      <c r="G7" s="990" t="s">
        <v>1307</v>
      </c>
      <c r="H7" s="985"/>
      <c r="I7" s="985"/>
      <c r="J7" s="990" t="s">
        <v>1632</v>
      </c>
      <c r="K7" s="985"/>
      <c r="L7" s="985"/>
      <c r="M7" s="990" t="s">
        <v>1633</v>
      </c>
      <c r="N7" s="985"/>
      <c r="O7" s="985"/>
      <c r="P7" s="990" t="s">
        <v>1634</v>
      </c>
      <c r="Q7" s="985"/>
      <c r="R7" s="985"/>
      <c r="S7" s="990" t="s">
        <v>1635</v>
      </c>
      <c r="T7" s="985"/>
      <c r="U7" s="985"/>
      <c r="V7" s="990" t="s">
        <v>1636</v>
      </c>
      <c r="W7" s="985"/>
      <c r="X7" s="985"/>
      <c r="Y7" s="968" t="s">
        <v>901</v>
      </c>
      <c r="Z7" s="968"/>
      <c r="AA7" s="968"/>
      <c r="AB7" s="968" t="s">
        <v>902</v>
      </c>
      <c r="AC7" s="968"/>
      <c r="AD7" s="968"/>
      <c r="AE7" s="967" t="s">
        <v>3319</v>
      </c>
      <c r="AF7" s="967"/>
      <c r="AG7" s="967"/>
      <c r="AH7" s="967" t="s">
        <v>3312</v>
      </c>
      <c r="AI7" s="967"/>
      <c r="AJ7" s="967"/>
      <c r="AK7" s="967" t="s">
        <v>3313</v>
      </c>
      <c r="AL7" s="967"/>
      <c r="AM7" s="967"/>
      <c r="AN7" s="967" t="s">
        <v>3314</v>
      </c>
      <c r="AO7" s="967"/>
      <c r="AP7" s="967"/>
      <c r="AQ7" s="967" t="s">
        <v>3315</v>
      </c>
      <c r="AR7" s="967"/>
      <c r="AS7" s="967"/>
      <c r="AT7" s="967" t="s">
        <v>3316</v>
      </c>
      <c r="AU7" s="967"/>
      <c r="AV7" s="967"/>
      <c r="AW7" s="970" t="s">
        <v>3317</v>
      </c>
      <c r="AX7" s="970"/>
      <c r="AY7" s="970"/>
      <c r="AZ7" s="970" t="s">
        <v>3318</v>
      </c>
      <c r="BA7" s="970"/>
      <c r="BB7" s="970"/>
    </row>
    <row r="8" spans="1:54">
      <c r="A8" s="156" t="s">
        <v>5</v>
      </c>
      <c r="B8" s="156" t="s">
        <v>6</v>
      </c>
      <c r="C8" s="156" t="s">
        <v>7</v>
      </c>
      <c r="D8" s="156" t="s">
        <v>8</v>
      </c>
      <c r="E8" s="157" t="s">
        <v>905</v>
      </c>
      <c r="F8" s="156" t="s">
        <v>3</v>
      </c>
      <c r="G8" s="156" t="s">
        <v>9</v>
      </c>
      <c r="H8" s="156" t="s">
        <v>10</v>
      </c>
      <c r="I8" s="156" t="s">
        <v>11</v>
      </c>
      <c r="J8" s="156" t="s">
        <v>9</v>
      </c>
      <c r="K8" s="156" t="s">
        <v>10</v>
      </c>
      <c r="L8" s="156" t="s">
        <v>11</v>
      </c>
      <c r="M8" s="156" t="s">
        <v>9</v>
      </c>
      <c r="N8" s="156" t="s">
        <v>10</v>
      </c>
      <c r="O8" s="156" t="s">
        <v>11</v>
      </c>
      <c r="P8" s="156" t="s">
        <v>9</v>
      </c>
      <c r="Q8" s="156" t="s">
        <v>10</v>
      </c>
      <c r="R8" s="156" t="s">
        <v>11</v>
      </c>
      <c r="S8" s="156" t="s">
        <v>9</v>
      </c>
      <c r="T8" s="156" t="s">
        <v>10</v>
      </c>
      <c r="U8" s="156" t="s">
        <v>11</v>
      </c>
      <c r="V8" s="156" t="s">
        <v>9</v>
      </c>
      <c r="W8" s="156" t="s">
        <v>10</v>
      </c>
      <c r="X8" s="156" t="s">
        <v>11</v>
      </c>
      <c r="Y8" s="40" t="s">
        <v>9</v>
      </c>
      <c r="Z8" s="40" t="s">
        <v>10</v>
      </c>
      <c r="AA8" s="40" t="s">
        <v>11</v>
      </c>
      <c r="AB8" s="40" t="s">
        <v>9</v>
      </c>
      <c r="AC8" s="40" t="s">
        <v>10</v>
      </c>
      <c r="AD8" s="40" t="s">
        <v>11</v>
      </c>
      <c r="AE8" s="899" t="s">
        <v>9</v>
      </c>
      <c r="AF8" s="899" t="s">
        <v>10</v>
      </c>
      <c r="AG8" s="898" t="s">
        <v>11</v>
      </c>
      <c r="AH8" s="899" t="s">
        <v>9</v>
      </c>
      <c r="AI8" s="899" t="s">
        <v>10</v>
      </c>
      <c r="AJ8" s="899" t="s">
        <v>11</v>
      </c>
      <c r="AK8" s="899" t="s">
        <v>9</v>
      </c>
      <c r="AL8" s="899" t="s">
        <v>10</v>
      </c>
      <c r="AM8" s="899" t="s">
        <v>11</v>
      </c>
      <c r="AN8" s="899" t="s">
        <v>9</v>
      </c>
      <c r="AO8" s="899" t="s">
        <v>10</v>
      </c>
      <c r="AP8" s="899" t="s">
        <v>11</v>
      </c>
      <c r="AQ8" s="899" t="s">
        <v>9</v>
      </c>
      <c r="AR8" s="899" t="s">
        <v>10</v>
      </c>
      <c r="AS8" s="899" t="s">
        <v>11</v>
      </c>
      <c r="AT8" s="899" t="s">
        <v>9</v>
      </c>
      <c r="AU8" s="899" t="s">
        <v>10</v>
      </c>
      <c r="AV8" s="899" t="s">
        <v>11</v>
      </c>
      <c r="AW8" s="64"/>
      <c r="AX8" s="64"/>
      <c r="AY8" s="64"/>
      <c r="AZ8" s="64"/>
      <c r="BA8" s="64"/>
      <c r="BB8" s="64"/>
    </row>
    <row r="9" spans="1:54" ht="15.75">
      <c r="A9" s="136">
        <v>1</v>
      </c>
      <c r="B9" s="177" t="s">
        <v>1312</v>
      </c>
      <c r="C9" s="178" t="s">
        <v>1313</v>
      </c>
      <c r="D9" s="136" t="s">
        <v>1314</v>
      </c>
      <c r="E9" s="179" t="s">
        <v>15</v>
      </c>
      <c r="F9" s="180">
        <v>10</v>
      </c>
      <c r="G9" s="1">
        <v>0</v>
      </c>
      <c r="H9" s="1"/>
      <c r="I9" s="1">
        <f t="shared" ref="I9:I10" si="0">G9+H9</f>
        <v>0</v>
      </c>
      <c r="J9" s="1"/>
      <c r="K9" s="1"/>
      <c r="L9" s="1">
        <f>J9+K9</f>
        <v>0</v>
      </c>
      <c r="M9" s="1">
        <v>25</v>
      </c>
      <c r="N9" s="1"/>
      <c r="O9" s="1">
        <f>M9+N9</f>
        <v>25</v>
      </c>
      <c r="P9" s="1"/>
      <c r="Q9" s="1"/>
      <c r="R9" s="1">
        <f>P9+Q9</f>
        <v>0</v>
      </c>
      <c r="S9" s="1">
        <v>136</v>
      </c>
      <c r="T9" s="1">
        <v>18</v>
      </c>
      <c r="U9" s="1">
        <f>S9+T9</f>
        <v>154</v>
      </c>
      <c r="V9" s="1"/>
      <c r="W9" s="1"/>
      <c r="X9" s="1">
        <f>V9+W9</f>
        <v>0</v>
      </c>
      <c r="Y9" s="174">
        <f>G9+J9+M9+P9+S9+V9</f>
        <v>161</v>
      </c>
      <c r="Z9" s="174">
        <f>H9+K9+N9+Q9+T9+W9</f>
        <v>18</v>
      </c>
      <c r="AA9" s="174">
        <f>I9+L9+O9+R9+U9+X9</f>
        <v>179</v>
      </c>
      <c r="AB9" s="175">
        <f>Y9/6</f>
        <v>26.833333333333332</v>
      </c>
      <c r="AC9" s="175">
        <f>Z9/6</f>
        <v>3</v>
      </c>
      <c r="AD9" s="175">
        <f>AA9/6</f>
        <v>29.833333333333332</v>
      </c>
      <c r="AE9" s="6"/>
      <c r="AF9" s="6"/>
      <c r="AG9" s="6">
        <f>AE9+AF9</f>
        <v>0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</row>
    <row r="10" spans="1:54" ht="15.75">
      <c r="A10" s="136">
        <v>2</v>
      </c>
      <c r="B10" s="177" t="s">
        <v>1315</v>
      </c>
      <c r="C10" s="178" t="s">
        <v>1313</v>
      </c>
      <c r="D10" s="136" t="s">
        <v>1316</v>
      </c>
      <c r="E10" s="179" t="s">
        <v>15</v>
      </c>
      <c r="F10" s="180">
        <v>5</v>
      </c>
      <c r="G10" s="1">
        <v>56</v>
      </c>
      <c r="H10" s="1"/>
      <c r="I10" s="1">
        <f t="shared" si="0"/>
        <v>56</v>
      </c>
      <c r="J10" s="1">
        <v>36</v>
      </c>
      <c r="K10" s="1"/>
      <c r="L10" s="1">
        <f t="shared" ref="L10:L73" si="1">J10+K10</f>
        <v>36</v>
      </c>
      <c r="M10" s="1">
        <v>20</v>
      </c>
      <c r="N10" s="1"/>
      <c r="O10" s="1">
        <f t="shared" ref="O10:O73" si="2">M10+N10</f>
        <v>20</v>
      </c>
      <c r="P10" s="1">
        <v>56</v>
      </c>
      <c r="Q10" s="1"/>
      <c r="R10" s="1">
        <f t="shared" ref="R10:R73" si="3">P10+Q10</f>
        <v>56</v>
      </c>
      <c r="S10" s="1">
        <v>126</v>
      </c>
      <c r="T10" s="1">
        <v>18</v>
      </c>
      <c r="U10" s="1">
        <f t="shared" ref="U10:U73" si="4">S10+T10</f>
        <v>144</v>
      </c>
      <c r="V10" s="1"/>
      <c r="W10" s="1"/>
      <c r="X10" s="1">
        <f t="shared" ref="X10:X73" si="5">V10+W10</f>
        <v>0</v>
      </c>
      <c r="Y10" s="174">
        <f t="shared" ref="Y10:Y73" si="6">G10+J10+M10+P10+S10+V10</f>
        <v>294</v>
      </c>
      <c r="Z10" s="174">
        <f t="shared" ref="Z10:Z73" si="7">H10+K10+N10+Q10+T10+W10</f>
        <v>18</v>
      </c>
      <c r="AA10" s="174">
        <f t="shared" ref="AA10:AA73" si="8">I10+L10+O10+R10+U10+X10</f>
        <v>312</v>
      </c>
      <c r="AB10" s="175">
        <f t="shared" ref="AB10:AB73" si="9">Y10/6</f>
        <v>49</v>
      </c>
      <c r="AC10" s="175">
        <f t="shared" ref="AC10:AC73" si="10">Z10/6</f>
        <v>3</v>
      </c>
      <c r="AD10" s="175">
        <f t="shared" ref="AD10:AD73" si="11">AA10/6</f>
        <v>52</v>
      </c>
      <c r="AE10" s="6">
        <v>86</v>
      </c>
      <c r="AF10" s="6">
        <v>36</v>
      </c>
      <c r="AG10" s="6">
        <f t="shared" ref="AG10:AG64" si="12">AE10+AF10</f>
        <v>122</v>
      </c>
      <c r="AH10" s="6">
        <v>142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</row>
    <row r="11" spans="1:54" ht="15.75">
      <c r="A11" s="136">
        <v>3</v>
      </c>
      <c r="B11" s="177" t="s">
        <v>1003</v>
      </c>
      <c r="C11" s="178" t="s">
        <v>1313</v>
      </c>
      <c r="D11" s="136" t="s">
        <v>1317</v>
      </c>
      <c r="E11" s="179" t="s">
        <v>15</v>
      </c>
      <c r="F11" s="180">
        <v>9</v>
      </c>
      <c r="G11" s="1">
        <v>20</v>
      </c>
      <c r="H11" s="1"/>
      <c r="I11" s="1">
        <f>G11+H11</f>
        <v>20</v>
      </c>
      <c r="J11" s="1"/>
      <c r="K11" s="1"/>
      <c r="L11" s="1">
        <f t="shared" si="1"/>
        <v>0</v>
      </c>
      <c r="M11" s="1">
        <v>20</v>
      </c>
      <c r="N11" s="1"/>
      <c r="O11" s="1">
        <f t="shared" si="2"/>
        <v>20</v>
      </c>
      <c r="P11" s="1"/>
      <c r="Q11" s="1"/>
      <c r="R11" s="1">
        <f t="shared" si="3"/>
        <v>0</v>
      </c>
      <c r="S11" s="1"/>
      <c r="T11" s="1"/>
      <c r="U11" s="1">
        <f t="shared" si="4"/>
        <v>0</v>
      </c>
      <c r="V11" s="1"/>
      <c r="W11" s="1"/>
      <c r="X11" s="1">
        <f t="shared" si="5"/>
        <v>0</v>
      </c>
      <c r="Y11" s="174">
        <f t="shared" si="6"/>
        <v>40</v>
      </c>
      <c r="Z11" s="174">
        <f t="shared" si="7"/>
        <v>0</v>
      </c>
      <c r="AA11" s="174">
        <f t="shared" si="8"/>
        <v>40</v>
      </c>
      <c r="AB11" s="175">
        <f t="shared" si="9"/>
        <v>6.666666666666667</v>
      </c>
      <c r="AC11" s="175">
        <f t="shared" si="10"/>
        <v>0</v>
      </c>
      <c r="AD11" s="175">
        <f t="shared" si="11"/>
        <v>6.666666666666667</v>
      </c>
      <c r="AE11" s="6"/>
      <c r="AF11" s="6"/>
      <c r="AG11" s="6">
        <f t="shared" si="12"/>
        <v>0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</row>
    <row r="12" spans="1:54" ht="15.75">
      <c r="A12" s="136">
        <v>4</v>
      </c>
      <c r="B12" s="177" t="s">
        <v>1318</v>
      </c>
      <c r="C12" s="178" t="s">
        <v>1313</v>
      </c>
      <c r="D12" s="136" t="s">
        <v>1319</v>
      </c>
      <c r="E12" s="179" t="s">
        <v>15</v>
      </c>
      <c r="F12" s="180">
        <v>15</v>
      </c>
      <c r="G12" s="1">
        <v>25</v>
      </c>
      <c r="H12" s="1"/>
      <c r="I12" s="1">
        <f t="shared" ref="I12:I75" si="13">G12+H12</f>
        <v>25</v>
      </c>
      <c r="J12" s="1"/>
      <c r="K12" s="1"/>
      <c r="L12" s="1">
        <f t="shared" si="1"/>
        <v>0</v>
      </c>
      <c r="M12" s="1"/>
      <c r="N12" s="1"/>
      <c r="O12" s="1">
        <f t="shared" si="2"/>
        <v>0</v>
      </c>
      <c r="P12" s="1">
        <v>108</v>
      </c>
      <c r="Q12" s="1"/>
      <c r="R12" s="1">
        <f t="shared" si="3"/>
        <v>108</v>
      </c>
      <c r="S12" s="1"/>
      <c r="T12" s="1"/>
      <c r="U12" s="1">
        <f t="shared" si="4"/>
        <v>0</v>
      </c>
      <c r="V12" s="1"/>
      <c r="W12" s="1"/>
      <c r="X12" s="1">
        <f t="shared" si="5"/>
        <v>0</v>
      </c>
      <c r="Y12" s="174">
        <f t="shared" si="6"/>
        <v>133</v>
      </c>
      <c r="Z12" s="174">
        <f t="shared" si="7"/>
        <v>0</v>
      </c>
      <c r="AA12" s="174">
        <f t="shared" si="8"/>
        <v>133</v>
      </c>
      <c r="AB12" s="175">
        <f t="shared" si="9"/>
        <v>22.166666666666668</v>
      </c>
      <c r="AC12" s="175">
        <f t="shared" si="10"/>
        <v>0</v>
      </c>
      <c r="AD12" s="175">
        <f t="shared" si="11"/>
        <v>22.166666666666668</v>
      </c>
      <c r="AE12" s="6"/>
      <c r="AF12" s="6"/>
      <c r="AG12" s="6">
        <f t="shared" si="12"/>
        <v>0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</row>
    <row r="13" spans="1:54" ht="15.75">
      <c r="A13" s="136">
        <v>5</v>
      </c>
      <c r="B13" s="177" t="s">
        <v>1320</v>
      </c>
      <c r="C13" s="178" t="s">
        <v>1313</v>
      </c>
      <c r="D13" s="136" t="s">
        <v>1321</v>
      </c>
      <c r="E13" s="179" t="s">
        <v>15</v>
      </c>
      <c r="F13" s="180">
        <v>10</v>
      </c>
      <c r="G13" s="1">
        <v>25</v>
      </c>
      <c r="H13" s="1"/>
      <c r="I13" s="1">
        <f t="shared" si="13"/>
        <v>25</v>
      </c>
      <c r="J13" s="1">
        <v>150</v>
      </c>
      <c r="K13" s="1"/>
      <c r="L13" s="1">
        <f t="shared" si="1"/>
        <v>150</v>
      </c>
      <c r="M13" s="1"/>
      <c r="N13" s="1"/>
      <c r="O13" s="1">
        <f t="shared" si="2"/>
        <v>0</v>
      </c>
      <c r="P13" s="1"/>
      <c r="Q13" s="1"/>
      <c r="R13" s="1">
        <f t="shared" si="3"/>
        <v>0</v>
      </c>
      <c r="S13" s="1">
        <v>256</v>
      </c>
      <c r="T13" s="1">
        <v>42</v>
      </c>
      <c r="U13" s="1">
        <f t="shared" si="4"/>
        <v>298</v>
      </c>
      <c r="V13" s="1">
        <v>200</v>
      </c>
      <c r="W13" s="1"/>
      <c r="X13" s="1">
        <f t="shared" si="5"/>
        <v>200</v>
      </c>
      <c r="Y13" s="174">
        <f t="shared" si="6"/>
        <v>631</v>
      </c>
      <c r="Z13" s="174">
        <f t="shared" si="7"/>
        <v>42</v>
      </c>
      <c r="AA13" s="174">
        <f t="shared" si="8"/>
        <v>673</v>
      </c>
      <c r="AB13" s="175">
        <f t="shared" si="9"/>
        <v>105.16666666666667</v>
      </c>
      <c r="AC13" s="175">
        <f t="shared" si="10"/>
        <v>7</v>
      </c>
      <c r="AD13" s="175">
        <f t="shared" si="11"/>
        <v>112.16666666666667</v>
      </c>
      <c r="AE13" s="6"/>
      <c r="AF13" s="6"/>
      <c r="AG13" s="6">
        <f t="shared" si="12"/>
        <v>0</v>
      </c>
      <c r="AH13" s="6">
        <v>100</v>
      </c>
      <c r="AI13" s="6"/>
      <c r="AJ13" s="6"/>
      <c r="AK13" s="6">
        <v>300</v>
      </c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</row>
    <row r="14" spans="1:54" ht="15.75">
      <c r="A14" s="136">
        <v>6</v>
      </c>
      <c r="B14" s="177" t="s">
        <v>1322</v>
      </c>
      <c r="C14" s="178" t="s">
        <v>1313</v>
      </c>
      <c r="D14" s="136" t="s">
        <v>1323</v>
      </c>
      <c r="E14" s="179" t="s">
        <v>15</v>
      </c>
      <c r="F14" s="180">
        <v>5</v>
      </c>
      <c r="G14" s="1">
        <v>40</v>
      </c>
      <c r="H14" s="1"/>
      <c r="I14" s="1">
        <f t="shared" si="13"/>
        <v>40</v>
      </c>
      <c r="J14" s="1">
        <v>50</v>
      </c>
      <c r="K14" s="1"/>
      <c r="L14" s="1">
        <f t="shared" si="1"/>
        <v>50</v>
      </c>
      <c r="M14" s="1"/>
      <c r="N14" s="1"/>
      <c r="O14" s="1">
        <f t="shared" si="2"/>
        <v>0</v>
      </c>
      <c r="P14" s="1">
        <v>50</v>
      </c>
      <c r="Q14" s="1"/>
      <c r="R14" s="1">
        <f t="shared" si="3"/>
        <v>50</v>
      </c>
      <c r="S14" s="1">
        <v>40</v>
      </c>
      <c r="T14" s="1"/>
      <c r="U14" s="1">
        <f t="shared" si="4"/>
        <v>40</v>
      </c>
      <c r="V14" s="1"/>
      <c r="W14" s="1"/>
      <c r="X14" s="1">
        <f t="shared" si="5"/>
        <v>0</v>
      </c>
      <c r="Y14" s="174">
        <f t="shared" si="6"/>
        <v>180</v>
      </c>
      <c r="Z14" s="174">
        <f t="shared" si="7"/>
        <v>0</v>
      </c>
      <c r="AA14" s="174">
        <f t="shared" si="8"/>
        <v>180</v>
      </c>
      <c r="AB14" s="175">
        <f t="shared" si="9"/>
        <v>30</v>
      </c>
      <c r="AC14" s="175">
        <f t="shared" si="10"/>
        <v>0</v>
      </c>
      <c r="AD14" s="175">
        <f t="shared" si="11"/>
        <v>30</v>
      </c>
      <c r="AE14" s="6"/>
      <c r="AF14" s="6"/>
      <c r="AG14" s="6">
        <f t="shared" si="12"/>
        <v>0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</row>
    <row r="15" spans="1:54" ht="15.75">
      <c r="A15" s="136">
        <v>7</v>
      </c>
      <c r="B15" s="177" t="s">
        <v>1324</v>
      </c>
      <c r="C15" s="178" t="s">
        <v>1313</v>
      </c>
      <c r="D15" s="136" t="s">
        <v>1325</v>
      </c>
      <c r="E15" s="179" t="s">
        <v>15</v>
      </c>
      <c r="F15" s="180">
        <v>5</v>
      </c>
      <c r="G15" s="1">
        <v>100</v>
      </c>
      <c r="H15" s="1"/>
      <c r="I15" s="1">
        <f t="shared" si="13"/>
        <v>100</v>
      </c>
      <c r="J15" s="1">
        <v>72</v>
      </c>
      <c r="K15" s="1"/>
      <c r="L15" s="1">
        <f t="shared" si="1"/>
        <v>72</v>
      </c>
      <c r="M15" s="1"/>
      <c r="N15" s="1"/>
      <c r="O15" s="1">
        <f t="shared" si="2"/>
        <v>0</v>
      </c>
      <c r="P15" s="1"/>
      <c r="Q15" s="1"/>
      <c r="R15" s="1">
        <f t="shared" si="3"/>
        <v>0</v>
      </c>
      <c r="S15" s="1">
        <v>25</v>
      </c>
      <c r="T15" s="1"/>
      <c r="U15" s="1">
        <f t="shared" si="4"/>
        <v>25</v>
      </c>
      <c r="V15" s="1"/>
      <c r="W15" s="1"/>
      <c r="X15" s="1">
        <f t="shared" si="5"/>
        <v>0</v>
      </c>
      <c r="Y15" s="174">
        <f t="shared" si="6"/>
        <v>197</v>
      </c>
      <c r="Z15" s="174">
        <f t="shared" si="7"/>
        <v>0</v>
      </c>
      <c r="AA15" s="174">
        <f t="shared" si="8"/>
        <v>197</v>
      </c>
      <c r="AB15" s="175">
        <f t="shared" si="9"/>
        <v>32.833333333333336</v>
      </c>
      <c r="AC15" s="175">
        <f t="shared" si="10"/>
        <v>0</v>
      </c>
      <c r="AD15" s="175">
        <f t="shared" si="11"/>
        <v>32.833333333333336</v>
      </c>
      <c r="AE15" s="6"/>
      <c r="AF15" s="6"/>
      <c r="AG15" s="6">
        <f t="shared" si="12"/>
        <v>0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</row>
    <row r="16" spans="1:54" ht="15.75">
      <c r="A16" s="136">
        <v>8</v>
      </c>
      <c r="B16" s="177" t="s">
        <v>1326</v>
      </c>
      <c r="C16" s="178" t="s">
        <v>1313</v>
      </c>
      <c r="D16" s="136" t="s">
        <v>1327</v>
      </c>
      <c r="E16" s="179" t="s">
        <v>15</v>
      </c>
      <c r="F16" s="180">
        <v>7</v>
      </c>
      <c r="G16" s="1">
        <v>0</v>
      </c>
      <c r="H16" s="1"/>
      <c r="I16" s="1">
        <f t="shared" si="13"/>
        <v>0</v>
      </c>
      <c r="J16" s="1">
        <v>40</v>
      </c>
      <c r="K16" s="1"/>
      <c r="L16" s="1">
        <f t="shared" si="1"/>
        <v>40</v>
      </c>
      <c r="M16" s="1"/>
      <c r="N16" s="1"/>
      <c r="O16" s="1">
        <f t="shared" si="2"/>
        <v>0</v>
      </c>
      <c r="P16" s="1">
        <v>40</v>
      </c>
      <c r="Q16" s="1"/>
      <c r="R16" s="1">
        <f t="shared" si="3"/>
        <v>40</v>
      </c>
      <c r="S16" s="1">
        <v>40</v>
      </c>
      <c r="T16" s="1"/>
      <c r="U16" s="1">
        <f t="shared" si="4"/>
        <v>40</v>
      </c>
      <c r="V16" s="1">
        <v>40</v>
      </c>
      <c r="W16" s="1"/>
      <c r="X16" s="1">
        <f t="shared" si="5"/>
        <v>40</v>
      </c>
      <c r="Y16" s="174">
        <f t="shared" si="6"/>
        <v>160</v>
      </c>
      <c r="Z16" s="174">
        <f t="shared" si="7"/>
        <v>0</v>
      </c>
      <c r="AA16" s="174">
        <f t="shared" si="8"/>
        <v>160</v>
      </c>
      <c r="AB16" s="175">
        <f t="shared" si="9"/>
        <v>26.666666666666668</v>
      </c>
      <c r="AC16" s="175">
        <f t="shared" si="10"/>
        <v>0</v>
      </c>
      <c r="AD16" s="175">
        <f t="shared" si="11"/>
        <v>26.666666666666668</v>
      </c>
      <c r="AE16" s="6"/>
      <c r="AF16" s="6"/>
      <c r="AG16" s="6">
        <f t="shared" si="12"/>
        <v>0</v>
      </c>
      <c r="AH16" s="6"/>
      <c r="AI16" s="6"/>
      <c r="AJ16" s="6"/>
      <c r="AK16" s="6">
        <v>32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</row>
    <row r="17" spans="1:54" ht="15.75">
      <c r="A17" s="136">
        <v>9</v>
      </c>
      <c r="B17" s="177" t="s">
        <v>1328</v>
      </c>
      <c r="C17" s="178" t="s">
        <v>1313</v>
      </c>
      <c r="D17" s="136" t="s">
        <v>1329</v>
      </c>
      <c r="E17" s="179" t="s">
        <v>15</v>
      </c>
      <c r="F17" s="180">
        <v>10</v>
      </c>
      <c r="G17" s="1">
        <v>20</v>
      </c>
      <c r="H17" s="1"/>
      <c r="I17" s="1">
        <f t="shared" si="13"/>
        <v>20</v>
      </c>
      <c r="J17" s="1">
        <v>25</v>
      </c>
      <c r="K17" s="1"/>
      <c r="L17" s="1">
        <f t="shared" si="1"/>
        <v>25</v>
      </c>
      <c r="M17" s="1"/>
      <c r="N17" s="1"/>
      <c r="O17" s="1">
        <f t="shared" si="2"/>
        <v>0</v>
      </c>
      <c r="P17" s="1"/>
      <c r="Q17" s="1"/>
      <c r="R17" s="1">
        <f t="shared" si="3"/>
        <v>0</v>
      </c>
      <c r="S17" s="1"/>
      <c r="T17" s="1"/>
      <c r="U17" s="1">
        <f t="shared" si="4"/>
        <v>0</v>
      </c>
      <c r="V17" s="1"/>
      <c r="W17" s="1"/>
      <c r="X17" s="1">
        <f t="shared" si="5"/>
        <v>0</v>
      </c>
      <c r="Y17" s="174">
        <f t="shared" si="6"/>
        <v>45</v>
      </c>
      <c r="Z17" s="174">
        <f t="shared" si="7"/>
        <v>0</v>
      </c>
      <c r="AA17" s="174">
        <f t="shared" si="8"/>
        <v>45</v>
      </c>
      <c r="AB17" s="175">
        <f t="shared" si="9"/>
        <v>7.5</v>
      </c>
      <c r="AC17" s="175">
        <f t="shared" si="10"/>
        <v>0</v>
      </c>
      <c r="AD17" s="175">
        <f t="shared" si="11"/>
        <v>7.5</v>
      </c>
      <c r="AE17" s="6"/>
      <c r="AF17" s="6"/>
      <c r="AG17" s="6">
        <f t="shared" si="12"/>
        <v>0</v>
      </c>
      <c r="AH17" s="6">
        <v>25</v>
      </c>
      <c r="AI17" s="6"/>
      <c r="AJ17" s="6"/>
      <c r="AK17" s="6">
        <v>32</v>
      </c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</row>
    <row r="18" spans="1:54" ht="15.75">
      <c r="A18" s="136">
        <v>10</v>
      </c>
      <c r="B18" s="177" t="s">
        <v>1330</v>
      </c>
      <c r="C18" s="178" t="s">
        <v>1313</v>
      </c>
      <c r="D18" s="136" t="s">
        <v>1331</v>
      </c>
      <c r="E18" s="181" t="s">
        <v>18</v>
      </c>
      <c r="F18" s="180">
        <v>22</v>
      </c>
      <c r="G18" s="1">
        <v>150</v>
      </c>
      <c r="H18" s="1"/>
      <c r="I18" s="1">
        <f t="shared" si="13"/>
        <v>150</v>
      </c>
      <c r="J18" s="1">
        <v>180</v>
      </c>
      <c r="K18" s="1"/>
      <c r="L18" s="1">
        <f t="shared" si="1"/>
        <v>180</v>
      </c>
      <c r="M18" s="1"/>
      <c r="N18" s="1"/>
      <c r="O18" s="1">
        <f t="shared" si="2"/>
        <v>0</v>
      </c>
      <c r="P18" s="1">
        <v>200</v>
      </c>
      <c r="Q18" s="1"/>
      <c r="R18" s="1">
        <f t="shared" si="3"/>
        <v>200</v>
      </c>
      <c r="S18" s="1"/>
      <c r="T18" s="1"/>
      <c r="U18" s="1">
        <f t="shared" si="4"/>
        <v>0</v>
      </c>
      <c r="V18" s="1">
        <v>306</v>
      </c>
      <c r="W18" s="1"/>
      <c r="X18" s="1">
        <f t="shared" si="5"/>
        <v>306</v>
      </c>
      <c r="Y18" s="174">
        <f t="shared" si="6"/>
        <v>836</v>
      </c>
      <c r="Z18" s="174">
        <f t="shared" si="7"/>
        <v>0</v>
      </c>
      <c r="AA18" s="174">
        <f t="shared" si="8"/>
        <v>836</v>
      </c>
      <c r="AB18" s="175">
        <f t="shared" si="9"/>
        <v>139.33333333333334</v>
      </c>
      <c r="AC18" s="175">
        <f t="shared" si="10"/>
        <v>0</v>
      </c>
      <c r="AD18" s="175">
        <f t="shared" si="11"/>
        <v>139.33333333333334</v>
      </c>
      <c r="AE18" s="6">
        <v>250</v>
      </c>
      <c r="AF18" s="6"/>
      <c r="AG18" s="6">
        <f t="shared" si="12"/>
        <v>250</v>
      </c>
      <c r="AH18" s="6">
        <v>250</v>
      </c>
      <c r="AI18" s="6"/>
      <c r="AJ18" s="6"/>
      <c r="AK18" s="6">
        <v>200</v>
      </c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</row>
    <row r="19" spans="1:54" ht="15.75">
      <c r="A19" s="136">
        <v>11</v>
      </c>
      <c r="B19" s="177" t="s">
        <v>1332</v>
      </c>
      <c r="C19" s="178" t="s">
        <v>1313</v>
      </c>
      <c r="D19" s="136" t="s">
        <v>1333</v>
      </c>
      <c r="E19" s="179" t="s">
        <v>15</v>
      </c>
      <c r="F19" s="180">
        <v>3</v>
      </c>
      <c r="G19" s="1">
        <v>0</v>
      </c>
      <c r="H19" s="1"/>
      <c r="I19" s="1">
        <f t="shared" si="13"/>
        <v>0</v>
      </c>
      <c r="J19" s="1"/>
      <c r="K19" s="1"/>
      <c r="L19" s="1">
        <f t="shared" si="1"/>
        <v>0</v>
      </c>
      <c r="M19" s="1"/>
      <c r="N19" s="1"/>
      <c r="O19" s="1">
        <f t="shared" si="2"/>
        <v>0</v>
      </c>
      <c r="P19" s="1"/>
      <c r="Q19" s="1"/>
      <c r="R19" s="1">
        <f t="shared" si="3"/>
        <v>0</v>
      </c>
      <c r="S19" s="1"/>
      <c r="T19" s="1"/>
      <c r="U19" s="1">
        <f t="shared" si="4"/>
        <v>0</v>
      </c>
      <c r="V19" s="1"/>
      <c r="W19" s="1"/>
      <c r="X19" s="1">
        <f t="shared" si="5"/>
        <v>0</v>
      </c>
      <c r="Y19" s="174">
        <f t="shared" si="6"/>
        <v>0</v>
      </c>
      <c r="Z19" s="174">
        <f t="shared" si="7"/>
        <v>0</v>
      </c>
      <c r="AA19" s="174">
        <f t="shared" si="8"/>
        <v>0</v>
      </c>
      <c r="AB19" s="175">
        <f t="shared" si="9"/>
        <v>0</v>
      </c>
      <c r="AC19" s="175">
        <f t="shared" si="10"/>
        <v>0</v>
      </c>
      <c r="AD19" s="175">
        <f t="shared" si="11"/>
        <v>0</v>
      </c>
      <c r="AE19" s="6"/>
      <c r="AF19" s="6"/>
      <c r="AG19" s="6">
        <f t="shared" si="12"/>
        <v>0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</row>
    <row r="20" spans="1:54" ht="15.75">
      <c r="A20" s="136">
        <v>12</v>
      </c>
      <c r="B20" s="177" t="s">
        <v>1334</v>
      </c>
      <c r="C20" s="178" t="s">
        <v>1313</v>
      </c>
      <c r="D20" s="136" t="s">
        <v>1335</v>
      </c>
      <c r="E20" s="179" t="s">
        <v>15</v>
      </c>
      <c r="F20" s="180">
        <v>6</v>
      </c>
      <c r="G20" s="1">
        <v>20</v>
      </c>
      <c r="H20" s="1"/>
      <c r="I20" s="1">
        <f t="shared" si="13"/>
        <v>20</v>
      </c>
      <c r="J20" s="1"/>
      <c r="K20" s="1"/>
      <c r="L20" s="1">
        <f t="shared" si="1"/>
        <v>0</v>
      </c>
      <c r="M20" s="1"/>
      <c r="N20" s="1"/>
      <c r="O20" s="1">
        <f t="shared" si="2"/>
        <v>0</v>
      </c>
      <c r="P20" s="1"/>
      <c r="Q20" s="1"/>
      <c r="R20" s="1">
        <f t="shared" si="3"/>
        <v>0</v>
      </c>
      <c r="S20" s="1"/>
      <c r="T20" s="1"/>
      <c r="U20" s="1">
        <f t="shared" si="4"/>
        <v>0</v>
      </c>
      <c r="V20" s="1"/>
      <c r="W20" s="1"/>
      <c r="X20" s="1">
        <f t="shared" si="5"/>
        <v>0</v>
      </c>
      <c r="Y20" s="174">
        <f t="shared" si="6"/>
        <v>20</v>
      </c>
      <c r="Z20" s="174">
        <f t="shared" si="7"/>
        <v>0</v>
      </c>
      <c r="AA20" s="174">
        <f t="shared" si="8"/>
        <v>20</v>
      </c>
      <c r="AB20" s="175">
        <f t="shared" si="9"/>
        <v>3.3333333333333335</v>
      </c>
      <c r="AC20" s="175">
        <f t="shared" si="10"/>
        <v>0</v>
      </c>
      <c r="AD20" s="175">
        <f t="shared" si="11"/>
        <v>3.3333333333333335</v>
      </c>
      <c r="AE20" s="6"/>
      <c r="AF20" s="6"/>
      <c r="AG20" s="6">
        <f t="shared" si="12"/>
        <v>0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</row>
    <row r="21" spans="1:54" ht="15.75">
      <c r="A21" s="136">
        <v>13</v>
      </c>
      <c r="B21" s="177" t="s">
        <v>1336</v>
      </c>
      <c r="C21" s="178" t="s">
        <v>1313</v>
      </c>
      <c r="D21" s="136" t="s">
        <v>1337</v>
      </c>
      <c r="E21" s="179" t="s">
        <v>15</v>
      </c>
      <c r="F21" s="180">
        <v>15</v>
      </c>
      <c r="G21" s="1">
        <v>10</v>
      </c>
      <c r="H21" s="1"/>
      <c r="I21" s="1">
        <f t="shared" si="13"/>
        <v>10</v>
      </c>
      <c r="J21" s="1"/>
      <c r="K21" s="1"/>
      <c r="L21" s="1">
        <f t="shared" si="1"/>
        <v>0</v>
      </c>
      <c r="M21" s="1"/>
      <c r="N21" s="1"/>
      <c r="O21" s="1">
        <f t="shared" si="2"/>
        <v>0</v>
      </c>
      <c r="P21" s="1"/>
      <c r="Q21" s="1"/>
      <c r="R21" s="1">
        <f t="shared" si="3"/>
        <v>0</v>
      </c>
      <c r="S21" s="1">
        <v>40</v>
      </c>
      <c r="T21" s="1"/>
      <c r="U21" s="1">
        <f t="shared" si="4"/>
        <v>40</v>
      </c>
      <c r="V21" s="1"/>
      <c r="W21" s="1"/>
      <c r="X21" s="1">
        <f t="shared" si="5"/>
        <v>0</v>
      </c>
      <c r="Y21" s="174">
        <f t="shared" si="6"/>
        <v>50</v>
      </c>
      <c r="Z21" s="174">
        <f t="shared" si="7"/>
        <v>0</v>
      </c>
      <c r="AA21" s="174">
        <f t="shared" si="8"/>
        <v>50</v>
      </c>
      <c r="AB21" s="175">
        <f t="shared" si="9"/>
        <v>8.3333333333333339</v>
      </c>
      <c r="AC21" s="175">
        <f t="shared" si="10"/>
        <v>0</v>
      </c>
      <c r="AD21" s="175">
        <f t="shared" si="11"/>
        <v>8.3333333333333339</v>
      </c>
      <c r="AE21" s="6"/>
      <c r="AF21" s="6"/>
      <c r="AG21" s="6">
        <f t="shared" si="12"/>
        <v>0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</row>
    <row r="22" spans="1:54" ht="15.75">
      <c r="A22" s="136">
        <v>14</v>
      </c>
      <c r="B22" s="177" t="s">
        <v>1338</v>
      </c>
      <c r="C22" s="178" t="s">
        <v>1313</v>
      </c>
      <c r="D22" s="136" t="s">
        <v>1339</v>
      </c>
      <c r="E22" s="179" t="s">
        <v>15</v>
      </c>
      <c r="F22" s="180">
        <v>10</v>
      </c>
      <c r="G22" s="1">
        <v>20</v>
      </c>
      <c r="H22" s="1"/>
      <c r="I22" s="1">
        <f t="shared" si="13"/>
        <v>20</v>
      </c>
      <c r="J22" s="1">
        <v>40</v>
      </c>
      <c r="K22" s="1"/>
      <c r="L22" s="1">
        <f t="shared" si="1"/>
        <v>40</v>
      </c>
      <c r="M22" s="1"/>
      <c r="N22" s="1"/>
      <c r="O22" s="1">
        <f t="shared" si="2"/>
        <v>0</v>
      </c>
      <c r="P22" s="1"/>
      <c r="Q22" s="1"/>
      <c r="R22" s="1">
        <f t="shared" si="3"/>
        <v>0</v>
      </c>
      <c r="S22" s="1"/>
      <c r="T22" s="1"/>
      <c r="U22" s="1">
        <f t="shared" si="4"/>
        <v>0</v>
      </c>
      <c r="V22" s="1"/>
      <c r="W22" s="1"/>
      <c r="X22" s="1">
        <f t="shared" si="5"/>
        <v>0</v>
      </c>
      <c r="Y22" s="174">
        <f t="shared" si="6"/>
        <v>60</v>
      </c>
      <c r="Z22" s="174">
        <f t="shared" si="7"/>
        <v>0</v>
      </c>
      <c r="AA22" s="174">
        <f t="shared" si="8"/>
        <v>60</v>
      </c>
      <c r="AB22" s="175">
        <f t="shared" si="9"/>
        <v>10</v>
      </c>
      <c r="AC22" s="175">
        <f t="shared" si="10"/>
        <v>0</v>
      </c>
      <c r="AD22" s="175">
        <f t="shared" si="11"/>
        <v>10</v>
      </c>
      <c r="AE22" s="6"/>
      <c r="AF22" s="6"/>
      <c r="AG22" s="6">
        <f t="shared" si="12"/>
        <v>0</v>
      </c>
      <c r="AH22" s="6"/>
      <c r="AI22" s="6"/>
      <c r="AJ22" s="6"/>
      <c r="AK22" s="6">
        <v>32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</row>
    <row r="23" spans="1:54" ht="15.75">
      <c r="A23" s="136">
        <v>15</v>
      </c>
      <c r="B23" s="177" t="s">
        <v>1110</v>
      </c>
      <c r="C23" s="178" t="s">
        <v>1313</v>
      </c>
      <c r="D23" s="136" t="s">
        <v>1340</v>
      </c>
      <c r="E23" s="179" t="s">
        <v>15</v>
      </c>
      <c r="F23" s="180">
        <v>3</v>
      </c>
      <c r="G23" s="1">
        <v>56</v>
      </c>
      <c r="H23" s="1"/>
      <c r="I23" s="1">
        <f t="shared" si="13"/>
        <v>56</v>
      </c>
      <c r="J23" s="1"/>
      <c r="K23" s="1"/>
      <c r="L23" s="1">
        <f t="shared" si="1"/>
        <v>0</v>
      </c>
      <c r="M23" s="1"/>
      <c r="N23" s="1"/>
      <c r="O23" s="1">
        <f t="shared" si="2"/>
        <v>0</v>
      </c>
      <c r="P23" s="1"/>
      <c r="Q23" s="1"/>
      <c r="R23" s="1">
        <f t="shared" si="3"/>
        <v>0</v>
      </c>
      <c r="S23" s="1">
        <v>20</v>
      </c>
      <c r="T23" s="1"/>
      <c r="U23" s="1">
        <f t="shared" si="4"/>
        <v>20</v>
      </c>
      <c r="V23" s="1"/>
      <c r="W23" s="1"/>
      <c r="X23" s="1">
        <f t="shared" si="5"/>
        <v>0</v>
      </c>
      <c r="Y23" s="174">
        <f t="shared" si="6"/>
        <v>76</v>
      </c>
      <c r="Z23" s="174">
        <f t="shared" si="7"/>
        <v>0</v>
      </c>
      <c r="AA23" s="174">
        <f t="shared" si="8"/>
        <v>76</v>
      </c>
      <c r="AB23" s="175">
        <f t="shared" si="9"/>
        <v>12.666666666666666</v>
      </c>
      <c r="AC23" s="175">
        <f t="shared" si="10"/>
        <v>0</v>
      </c>
      <c r="AD23" s="175">
        <f t="shared" si="11"/>
        <v>12.666666666666666</v>
      </c>
      <c r="AE23" s="6"/>
      <c r="AF23" s="6"/>
      <c r="AG23" s="6">
        <f t="shared" si="12"/>
        <v>0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</row>
    <row r="24" spans="1:54" ht="15.75">
      <c r="A24" s="136">
        <v>16</v>
      </c>
      <c r="B24" s="177" t="s">
        <v>962</v>
      </c>
      <c r="C24" s="178" t="s">
        <v>1313</v>
      </c>
      <c r="D24" s="136" t="s">
        <v>1341</v>
      </c>
      <c r="E24" s="179" t="s">
        <v>15</v>
      </c>
      <c r="F24" s="180">
        <v>15</v>
      </c>
      <c r="G24" s="1">
        <v>18</v>
      </c>
      <c r="H24" s="1"/>
      <c r="I24" s="1">
        <f t="shared" si="13"/>
        <v>18</v>
      </c>
      <c r="J24" s="1"/>
      <c r="K24" s="1"/>
      <c r="L24" s="1">
        <f t="shared" si="1"/>
        <v>0</v>
      </c>
      <c r="M24" s="1"/>
      <c r="N24" s="1"/>
      <c r="O24" s="1">
        <f t="shared" si="2"/>
        <v>0</v>
      </c>
      <c r="P24" s="1"/>
      <c r="Q24" s="1"/>
      <c r="R24" s="1">
        <f t="shared" si="3"/>
        <v>0</v>
      </c>
      <c r="S24" s="1"/>
      <c r="T24" s="1"/>
      <c r="U24" s="1">
        <f t="shared" si="4"/>
        <v>0</v>
      </c>
      <c r="V24" s="1"/>
      <c r="W24" s="1"/>
      <c r="X24" s="1">
        <f t="shared" si="5"/>
        <v>0</v>
      </c>
      <c r="Y24" s="174">
        <f t="shared" si="6"/>
        <v>18</v>
      </c>
      <c r="Z24" s="174">
        <f t="shared" si="7"/>
        <v>0</v>
      </c>
      <c r="AA24" s="174">
        <f t="shared" si="8"/>
        <v>18</v>
      </c>
      <c r="AB24" s="175">
        <f t="shared" si="9"/>
        <v>3</v>
      </c>
      <c r="AC24" s="175">
        <f t="shared" si="10"/>
        <v>0</v>
      </c>
      <c r="AD24" s="175">
        <f t="shared" si="11"/>
        <v>3</v>
      </c>
      <c r="AE24" s="6"/>
      <c r="AF24" s="6"/>
      <c r="AG24" s="6">
        <f t="shared" si="12"/>
        <v>0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</row>
    <row r="25" spans="1:54" ht="15.75">
      <c r="A25" s="136">
        <v>17</v>
      </c>
      <c r="B25" s="177" t="s">
        <v>1342</v>
      </c>
      <c r="C25" s="178" t="s">
        <v>1313</v>
      </c>
      <c r="D25" s="136" t="s">
        <v>1343</v>
      </c>
      <c r="E25" s="181" t="s">
        <v>18</v>
      </c>
      <c r="F25" s="180">
        <v>5</v>
      </c>
      <c r="G25" s="1">
        <v>0</v>
      </c>
      <c r="H25" s="1"/>
      <c r="I25" s="1">
        <f t="shared" si="13"/>
        <v>0</v>
      </c>
      <c r="J25" s="1"/>
      <c r="K25" s="1"/>
      <c r="L25" s="1">
        <f t="shared" si="1"/>
        <v>0</v>
      </c>
      <c r="M25" s="1"/>
      <c r="N25" s="1"/>
      <c r="O25" s="1">
        <f t="shared" si="2"/>
        <v>0</v>
      </c>
      <c r="P25" s="1"/>
      <c r="Q25" s="1"/>
      <c r="R25" s="1">
        <f t="shared" si="3"/>
        <v>0</v>
      </c>
      <c r="S25" s="1"/>
      <c r="T25" s="1"/>
      <c r="U25" s="1">
        <f t="shared" si="4"/>
        <v>0</v>
      </c>
      <c r="V25" s="1"/>
      <c r="W25" s="1"/>
      <c r="X25" s="1">
        <f t="shared" si="5"/>
        <v>0</v>
      </c>
      <c r="Y25" s="174">
        <f t="shared" si="6"/>
        <v>0</v>
      </c>
      <c r="Z25" s="174">
        <f t="shared" si="7"/>
        <v>0</v>
      </c>
      <c r="AA25" s="174">
        <f t="shared" si="8"/>
        <v>0</v>
      </c>
      <c r="AB25" s="175">
        <f t="shared" si="9"/>
        <v>0</v>
      </c>
      <c r="AC25" s="175">
        <f t="shared" si="10"/>
        <v>0</v>
      </c>
      <c r="AD25" s="175">
        <f t="shared" si="11"/>
        <v>0</v>
      </c>
      <c r="AE25" s="6"/>
      <c r="AF25" s="6"/>
      <c r="AG25" s="6">
        <f t="shared" si="12"/>
        <v>0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</row>
    <row r="26" spans="1:54" ht="15.75">
      <c r="A26" s="136">
        <v>18</v>
      </c>
      <c r="B26" s="177" t="s">
        <v>1344</v>
      </c>
      <c r="C26" s="178" t="s">
        <v>1313</v>
      </c>
      <c r="D26" s="136" t="s">
        <v>1345</v>
      </c>
      <c r="E26" s="181" t="s">
        <v>18</v>
      </c>
      <c r="F26" s="180">
        <v>18</v>
      </c>
      <c r="G26" s="1">
        <v>18</v>
      </c>
      <c r="H26" s="1"/>
      <c r="I26" s="1">
        <f t="shared" si="13"/>
        <v>18</v>
      </c>
      <c r="J26" s="1">
        <v>36</v>
      </c>
      <c r="K26" s="1"/>
      <c r="L26" s="1">
        <f t="shared" si="1"/>
        <v>36</v>
      </c>
      <c r="M26" s="1"/>
      <c r="N26" s="1"/>
      <c r="O26" s="1">
        <f t="shared" si="2"/>
        <v>0</v>
      </c>
      <c r="P26" s="1">
        <v>36</v>
      </c>
      <c r="Q26" s="1"/>
      <c r="R26" s="1">
        <f t="shared" si="3"/>
        <v>36</v>
      </c>
      <c r="S26" s="1"/>
      <c r="T26" s="1"/>
      <c r="U26" s="1">
        <f t="shared" si="4"/>
        <v>0</v>
      </c>
      <c r="V26" s="1">
        <v>126</v>
      </c>
      <c r="W26" s="1">
        <v>42</v>
      </c>
      <c r="X26" s="1">
        <f t="shared" si="5"/>
        <v>168</v>
      </c>
      <c r="Y26" s="174">
        <f t="shared" si="6"/>
        <v>216</v>
      </c>
      <c r="Z26" s="174">
        <f t="shared" si="7"/>
        <v>42</v>
      </c>
      <c r="AA26" s="174">
        <f t="shared" si="8"/>
        <v>258</v>
      </c>
      <c r="AB26" s="175">
        <f t="shared" si="9"/>
        <v>36</v>
      </c>
      <c r="AC26" s="175">
        <f t="shared" si="10"/>
        <v>7</v>
      </c>
      <c r="AD26" s="175">
        <f t="shared" si="11"/>
        <v>43</v>
      </c>
      <c r="AE26" s="6">
        <v>106</v>
      </c>
      <c r="AF26" s="6"/>
      <c r="AG26" s="6">
        <f t="shared" si="12"/>
        <v>106</v>
      </c>
      <c r="AH26" s="6"/>
      <c r="AI26" s="6"/>
      <c r="AJ26" s="6"/>
      <c r="AK26" s="6">
        <v>86</v>
      </c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</row>
    <row r="27" spans="1:54" ht="15.75">
      <c r="A27" s="136">
        <v>19</v>
      </c>
      <c r="B27" s="182" t="s">
        <v>1346</v>
      </c>
      <c r="C27" s="178" t="s">
        <v>1313</v>
      </c>
      <c r="D27" s="136" t="s">
        <v>1347</v>
      </c>
      <c r="E27" s="181" t="s">
        <v>18</v>
      </c>
      <c r="F27" s="180">
        <v>30</v>
      </c>
      <c r="G27" s="1">
        <v>106</v>
      </c>
      <c r="H27" s="1"/>
      <c r="I27" s="1">
        <f t="shared" si="13"/>
        <v>106</v>
      </c>
      <c r="J27" s="1">
        <v>81</v>
      </c>
      <c r="K27" s="1"/>
      <c r="L27" s="1">
        <f t="shared" si="1"/>
        <v>81</v>
      </c>
      <c r="M27" s="1"/>
      <c r="N27" s="1"/>
      <c r="O27" s="1">
        <f t="shared" si="2"/>
        <v>0</v>
      </c>
      <c r="P27" s="1">
        <v>86</v>
      </c>
      <c r="Q27" s="1"/>
      <c r="R27" s="1">
        <f t="shared" si="3"/>
        <v>86</v>
      </c>
      <c r="S27" s="1"/>
      <c r="T27" s="1"/>
      <c r="U27" s="1">
        <f t="shared" si="4"/>
        <v>0</v>
      </c>
      <c r="V27" s="1">
        <v>256</v>
      </c>
      <c r="W27" s="1">
        <v>36</v>
      </c>
      <c r="X27" s="1">
        <f t="shared" si="5"/>
        <v>292</v>
      </c>
      <c r="Y27" s="174">
        <f t="shared" si="6"/>
        <v>529</v>
      </c>
      <c r="Z27" s="174">
        <f t="shared" si="7"/>
        <v>36</v>
      </c>
      <c r="AA27" s="174">
        <f t="shared" si="8"/>
        <v>565</v>
      </c>
      <c r="AB27" s="175">
        <f t="shared" si="9"/>
        <v>88.166666666666671</v>
      </c>
      <c r="AC27" s="175">
        <f t="shared" si="10"/>
        <v>6</v>
      </c>
      <c r="AD27" s="175">
        <f t="shared" si="11"/>
        <v>94.166666666666671</v>
      </c>
      <c r="AE27" s="6"/>
      <c r="AF27" s="6"/>
      <c r="AG27" s="6">
        <f t="shared" si="12"/>
        <v>0</v>
      </c>
      <c r="AH27" s="6">
        <v>36</v>
      </c>
      <c r="AI27" s="6"/>
      <c r="AJ27" s="6"/>
      <c r="AK27" s="6">
        <v>156</v>
      </c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</row>
    <row r="28" spans="1:54" ht="15.75">
      <c r="A28" s="136">
        <v>20</v>
      </c>
      <c r="B28" s="177" t="s">
        <v>1348</v>
      </c>
      <c r="C28" s="178" t="s">
        <v>1313</v>
      </c>
      <c r="D28" s="136" t="s">
        <v>1349</v>
      </c>
      <c r="E28" s="181" t="s">
        <v>18</v>
      </c>
      <c r="F28" s="180">
        <v>5</v>
      </c>
      <c r="G28" s="1">
        <v>0</v>
      </c>
      <c r="H28" s="1"/>
      <c r="I28" s="1">
        <f t="shared" si="13"/>
        <v>0</v>
      </c>
      <c r="J28" s="1"/>
      <c r="K28" s="1"/>
      <c r="L28" s="1">
        <f t="shared" si="1"/>
        <v>0</v>
      </c>
      <c r="M28" s="1"/>
      <c r="N28" s="1"/>
      <c r="O28" s="1">
        <f t="shared" si="2"/>
        <v>0</v>
      </c>
      <c r="P28" s="1"/>
      <c r="Q28" s="1"/>
      <c r="R28" s="1">
        <f t="shared" si="3"/>
        <v>0</v>
      </c>
      <c r="S28" s="1"/>
      <c r="T28" s="1"/>
      <c r="U28" s="1">
        <f t="shared" si="4"/>
        <v>0</v>
      </c>
      <c r="V28" s="1"/>
      <c r="W28" s="1"/>
      <c r="X28" s="1">
        <f t="shared" si="5"/>
        <v>0</v>
      </c>
      <c r="Y28" s="174">
        <f t="shared" si="6"/>
        <v>0</v>
      </c>
      <c r="Z28" s="174">
        <f t="shared" si="7"/>
        <v>0</v>
      </c>
      <c r="AA28" s="174">
        <f t="shared" si="8"/>
        <v>0</v>
      </c>
      <c r="AB28" s="175">
        <f t="shared" si="9"/>
        <v>0</v>
      </c>
      <c r="AC28" s="175">
        <f t="shared" si="10"/>
        <v>0</v>
      </c>
      <c r="AD28" s="175">
        <f t="shared" si="11"/>
        <v>0</v>
      </c>
      <c r="AE28" s="6"/>
      <c r="AF28" s="6"/>
      <c r="AG28" s="6">
        <f t="shared" si="12"/>
        <v>0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</row>
    <row r="29" spans="1:54" ht="15.75">
      <c r="A29" s="136">
        <v>21</v>
      </c>
      <c r="B29" s="177" t="s">
        <v>1350</v>
      </c>
      <c r="C29" s="178" t="s">
        <v>1313</v>
      </c>
      <c r="D29" s="136" t="s">
        <v>1351</v>
      </c>
      <c r="E29" s="181" t="s">
        <v>18</v>
      </c>
      <c r="F29" s="180">
        <v>21</v>
      </c>
      <c r="G29" s="1">
        <v>56</v>
      </c>
      <c r="H29" s="1"/>
      <c r="I29" s="1">
        <f t="shared" si="13"/>
        <v>56</v>
      </c>
      <c r="J29" s="1">
        <v>60</v>
      </c>
      <c r="K29" s="1"/>
      <c r="L29" s="1">
        <f t="shared" si="1"/>
        <v>60</v>
      </c>
      <c r="M29" s="1"/>
      <c r="N29" s="1"/>
      <c r="O29" s="1">
        <f t="shared" si="2"/>
        <v>0</v>
      </c>
      <c r="P29" s="1"/>
      <c r="Q29" s="1"/>
      <c r="R29" s="1">
        <f t="shared" si="3"/>
        <v>0</v>
      </c>
      <c r="S29" s="1">
        <v>200</v>
      </c>
      <c r="T29" s="1">
        <v>100</v>
      </c>
      <c r="U29" s="1">
        <f t="shared" si="4"/>
        <v>300</v>
      </c>
      <c r="V29" s="1"/>
      <c r="W29" s="1"/>
      <c r="X29" s="1">
        <f t="shared" si="5"/>
        <v>0</v>
      </c>
      <c r="Y29" s="174">
        <f t="shared" si="6"/>
        <v>316</v>
      </c>
      <c r="Z29" s="174">
        <f t="shared" si="7"/>
        <v>100</v>
      </c>
      <c r="AA29" s="174">
        <f t="shared" si="8"/>
        <v>416</v>
      </c>
      <c r="AB29" s="175">
        <f t="shared" si="9"/>
        <v>52.666666666666664</v>
      </c>
      <c r="AC29" s="175">
        <f t="shared" si="10"/>
        <v>16.666666666666668</v>
      </c>
      <c r="AD29" s="175">
        <f t="shared" si="11"/>
        <v>69.333333333333329</v>
      </c>
      <c r="AE29" s="6"/>
      <c r="AF29" s="6"/>
      <c r="AG29" s="6">
        <f t="shared" si="12"/>
        <v>0</v>
      </c>
      <c r="AH29" s="6"/>
      <c r="AI29" s="6"/>
      <c r="AJ29" s="6"/>
      <c r="AK29" s="6">
        <v>100</v>
      </c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</row>
    <row r="30" spans="1:54" ht="15.75">
      <c r="A30" s="136">
        <v>22</v>
      </c>
      <c r="B30" s="177" t="s">
        <v>1352</v>
      </c>
      <c r="C30" s="178" t="s">
        <v>1313</v>
      </c>
      <c r="D30" s="136" t="s">
        <v>1353</v>
      </c>
      <c r="E30" s="181" t="s">
        <v>18</v>
      </c>
      <c r="F30" s="180">
        <v>9</v>
      </c>
      <c r="G30" s="1">
        <v>0</v>
      </c>
      <c r="H30" s="1"/>
      <c r="I30" s="1">
        <f t="shared" si="13"/>
        <v>0</v>
      </c>
      <c r="J30" s="1"/>
      <c r="K30" s="1"/>
      <c r="L30" s="1">
        <f t="shared" si="1"/>
        <v>0</v>
      </c>
      <c r="M30" s="1"/>
      <c r="N30" s="1"/>
      <c r="O30" s="1">
        <f t="shared" si="2"/>
        <v>0</v>
      </c>
      <c r="P30" s="1"/>
      <c r="Q30" s="1"/>
      <c r="R30" s="1">
        <f t="shared" si="3"/>
        <v>0</v>
      </c>
      <c r="S30" s="1"/>
      <c r="T30" s="1"/>
      <c r="U30" s="1">
        <f t="shared" si="4"/>
        <v>0</v>
      </c>
      <c r="V30" s="1"/>
      <c r="W30" s="1"/>
      <c r="X30" s="1">
        <f t="shared" si="5"/>
        <v>0</v>
      </c>
      <c r="Y30" s="174">
        <f t="shared" si="6"/>
        <v>0</v>
      </c>
      <c r="Z30" s="174">
        <f t="shared" si="7"/>
        <v>0</v>
      </c>
      <c r="AA30" s="174">
        <f t="shared" si="8"/>
        <v>0</v>
      </c>
      <c r="AB30" s="175">
        <f t="shared" si="9"/>
        <v>0</v>
      </c>
      <c r="AC30" s="175">
        <f t="shared" si="10"/>
        <v>0</v>
      </c>
      <c r="AD30" s="175">
        <f t="shared" si="11"/>
        <v>0</v>
      </c>
      <c r="AE30" s="6"/>
      <c r="AF30" s="6"/>
      <c r="AG30" s="6">
        <f t="shared" si="12"/>
        <v>0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</row>
    <row r="31" spans="1:54" ht="15.75">
      <c r="A31" s="136">
        <v>23</v>
      </c>
      <c r="B31" s="177" t="s">
        <v>1354</v>
      </c>
      <c r="C31" s="178" t="s">
        <v>1313</v>
      </c>
      <c r="D31" s="136" t="s">
        <v>1355</v>
      </c>
      <c r="E31" s="179" t="s">
        <v>15</v>
      </c>
      <c r="F31" s="180">
        <v>5</v>
      </c>
      <c r="G31" s="1">
        <v>30</v>
      </c>
      <c r="H31" s="1"/>
      <c r="I31" s="1">
        <f t="shared" si="13"/>
        <v>30</v>
      </c>
      <c r="J31" s="1"/>
      <c r="K31" s="1"/>
      <c r="L31" s="1">
        <f t="shared" si="1"/>
        <v>0</v>
      </c>
      <c r="M31" s="1"/>
      <c r="N31" s="1"/>
      <c r="O31" s="1">
        <f t="shared" si="2"/>
        <v>0</v>
      </c>
      <c r="P31" s="1"/>
      <c r="Q31" s="1"/>
      <c r="R31" s="1">
        <f t="shared" si="3"/>
        <v>0</v>
      </c>
      <c r="S31" s="1"/>
      <c r="T31" s="1"/>
      <c r="U31" s="1">
        <f t="shared" si="4"/>
        <v>0</v>
      </c>
      <c r="V31" s="1"/>
      <c r="W31" s="1"/>
      <c r="X31" s="1">
        <f t="shared" si="5"/>
        <v>0</v>
      </c>
      <c r="Y31" s="174">
        <f t="shared" si="6"/>
        <v>30</v>
      </c>
      <c r="Z31" s="174">
        <f t="shared" si="7"/>
        <v>0</v>
      </c>
      <c r="AA31" s="174">
        <f t="shared" si="8"/>
        <v>30</v>
      </c>
      <c r="AB31" s="175">
        <f t="shared" si="9"/>
        <v>5</v>
      </c>
      <c r="AC31" s="175">
        <f t="shared" si="10"/>
        <v>0</v>
      </c>
      <c r="AD31" s="175">
        <f t="shared" si="11"/>
        <v>5</v>
      </c>
      <c r="AE31" s="6"/>
      <c r="AF31" s="6"/>
      <c r="AG31" s="6">
        <f t="shared" si="12"/>
        <v>0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</row>
    <row r="32" spans="1:54" ht="15.75">
      <c r="A32" s="136">
        <v>24</v>
      </c>
      <c r="B32" s="177" t="s">
        <v>1356</v>
      </c>
      <c r="C32" s="178" t="s">
        <v>1313</v>
      </c>
      <c r="D32" s="136" t="s">
        <v>1357</v>
      </c>
      <c r="E32" s="179" t="s">
        <v>15</v>
      </c>
      <c r="F32" s="180">
        <v>2</v>
      </c>
      <c r="G32" s="1">
        <v>20</v>
      </c>
      <c r="H32" s="1"/>
      <c r="I32" s="1">
        <f t="shared" si="13"/>
        <v>20</v>
      </c>
      <c r="J32" s="1"/>
      <c r="K32" s="1"/>
      <c r="L32" s="1">
        <f t="shared" si="1"/>
        <v>0</v>
      </c>
      <c r="M32" s="1"/>
      <c r="N32" s="1"/>
      <c r="O32" s="1">
        <f t="shared" si="2"/>
        <v>0</v>
      </c>
      <c r="P32" s="1"/>
      <c r="Q32" s="1"/>
      <c r="R32" s="1">
        <f t="shared" si="3"/>
        <v>0</v>
      </c>
      <c r="S32" s="1"/>
      <c r="T32" s="1"/>
      <c r="U32" s="1">
        <f t="shared" si="4"/>
        <v>0</v>
      </c>
      <c r="V32" s="1"/>
      <c r="W32" s="1"/>
      <c r="X32" s="1">
        <f t="shared" si="5"/>
        <v>0</v>
      </c>
      <c r="Y32" s="174">
        <f t="shared" si="6"/>
        <v>20</v>
      </c>
      <c r="Z32" s="174">
        <f t="shared" si="7"/>
        <v>0</v>
      </c>
      <c r="AA32" s="174">
        <f t="shared" si="8"/>
        <v>20</v>
      </c>
      <c r="AB32" s="175">
        <f t="shared" si="9"/>
        <v>3.3333333333333335</v>
      </c>
      <c r="AC32" s="175">
        <f t="shared" si="10"/>
        <v>0</v>
      </c>
      <c r="AD32" s="175">
        <f t="shared" si="11"/>
        <v>3.3333333333333335</v>
      </c>
      <c r="AE32" s="6"/>
      <c r="AF32" s="6"/>
      <c r="AG32" s="6">
        <f t="shared" si="12"/>
        <v>0</v>
      </c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</row>
    <row r="33" spans="1:54" ht="15.75">
      <c r="A33" s="136">
        <v>25</v>
      </c>
      <c r="B33" s="177" t="s">
        <v>1358</v>
      </c>
      <c r="C33" s="178" t="s">
        <v>1313</v>
      </c>
      <c r="D33" s="136" t="s">
        <v>1359</v>
      </c>
      <c r="E33" s="179" t="s">
        <v>15</v>
      </c>
      <c r="F33" s="180">
        <v>4</v>
      </c>
      <c r="G33" s="1">
        <v>50</v>
      </c>
      <c r="H33" s="1"/>
      <c r="I33" s="1">
        <f t="shared" si="13"/>
        <v>50</v>
      </c>
      <c r="J33" s="1"/>
      <c r="K33" s="1"/>
      <c r="L33" s="1">
        <f t="shared" si="1"/>
        <v>0</v>
      </c>
      <c r="M33" s="1"/>
      <c r="N33" s="1"/>
      <c r="O33" s="1">
        <f t="shared" si="2"/>
        <v>0</v>
      </c>
      <c r="P33" s="1"/>
      <c r="Q33" s="1"/>
      <c r="R33" s="1">
        <f t="shared" si="3"/>
        <v>0</v>
      </c>
      <c r="S33" s="1"/>
      <c r="T33" s="1"/>
      <c r="U33" s="1">
        <f t="shared" si="4"/>
        <v>0</v>
      </c>
      <c r="V33" s="1"/>
      <c r="W33" s="1"/>
      <c r="X33" s="1">
        <f t="shared" si="5"/>
        <v>0</v>
      </c>
      <c r="Y33" s="174">
        <f t="shared" si="6"/>
        <v>50</v>
      </c>
      <c r="Z33" s="174">
        <f t="shared" si="7"/>
        <v>0</v>
      </c>
      <c r="AA33" s="174">
        <f t="shared" si="8"/>
        <v>50</v>
      </c>
      <c r="AB33" s="175">
        <f t="shared" si="9"/>
        <v>8.3333333333333339</v>
      </c>
      <c r="AC33" s="175">
        <f t="shared" si="10"/>
        <v>0</v>
      </c>
      <c r="AD33" s="175">
        <f t="shared" si="11"/>
        <v>8.3333333333333339</v>
      </c>
      <c r="AE33" s="6"/>
      <c r="AF33" s="6"/>
      <c r="AG33" s="6">
        <f t="shared" si="12"/>
        <v>0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</row>
    <row r="34" spans="1:54" ht="15.75">
      <c r="A34" s="136">
        <v>26</v>
      </c>
      <c r="B34" s="177" t="s">
        <v>1287</v>
      </c>
      <c r="C34" s="178" t="s">
        <v>1313</v>
      </c>
      <c r="D34" s="136" t="s">
        <v>1360</v>
      </c>
      <c r="E34" s="181" t="s">
        <v>18</v>
      </c>
      <c r="F34" s="180">
        <v>6</v>
      </c>
      <c r="G34" s="1">
        <v>0</v>
      </c>
      <c r="H34" s="1"/>
      <c r="I34" s="1">
        <f t="shared" si="13"/>
        <v>0</v>
      </c>
      <c r="J34" s="1"/>
      <c r="K34" s="1"/>
      <c r="L34" s="1">
        <f t="shared" si="1"/>
        <v>0</v>
      </c>
      <c r="M34" s="1"/>
      <c r="N34" s="1"/>
      <c r="O34" s="1">
        <f t="shared" si="2"/>
        <v>0</v>
      </c>
      <c r="P34" s="1"/>
      <c r="Q34" s="1"/>
      <c r="R34" s="1">
        <f t="shared" si="3"/>
        <v>0</v>
      </c>
      <c r="S34" s="1"/>
      <c r="T34" s="1"/>
      <c r="U34" s="1">
        <f t="shared" si="4"/>
        <v>0</v>
      </c>
      <c r="V34" s="1"/>
      <c r="W34" s="1"/>
      <c r="X34" s="1">
        <f t="shared" si="5"/>
        <v>0</v>
      </c>
      <c r="Y34" s="174">
        <f t="shared" si="6"/>
        <v>0</v>
      </c>
      <c r="Z34" s="174">
        <f t="shared" si="7"/>
        <v>0</v>
      </c>
      <c r="AA34" s="174">
        <f t="shared" si="8"/>
        <v>0</v>
      </c>
      <c r="AB34" s="175">
        <f t="shared" si="9"/>
        <v>0</v>
      </c>
      <c r="AC34" s="175">
        <f t="shared" si="10"/>
        <v>0</v>
      </c>
      <c r="AD34" s="175">
        <f t="shared" si="11"/>
        <v>0</v>
      </c>
      <c r="AE34" s="6"/>
      <c r="AF34" s="6"/>
      <c r="AG34" s="6">
        <f t="shared" si="12"/>
        <v>0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</row>
    <row r="35" spans="1:54" ht="15.75">
      <c r="A35" s="136">
        <v>27</v>
      </c>
      <c r="B35" s="177" t="s">
        <v>1361</v>
      </c>
      <c r="C35" s="178" t="s">
        <v>1313</v>
      </c>
      <c r="D35" s="136" t="s">
        <v>1362</v>
      </c>
      <c r="E35" s="181" t="s">
        <v>18</v>
      </c>
      <c r="F35" s="180">
        <v>20</v>
      </c>
      <c r="G35" s="1">
        <v>36</v>
      </c>
      <c r="H35" s="1"/>
      <c r="I35" s="1">
        <f t="shared" si="13"/>
        <v>36</v>
      </c>
      <c r="J35" s="1">
        <v>50</v>
      </c>
      <c r="K35" s="1"/>
      <c r="L35" s="1">
        <f t="shared" si="1"/>
        <v>50</v>
      </c>
      <c r="M35" s="1"/>
      <c r="N35" s="1"/>
      <c r="O35" s="1">
        <f t="shared" si="2"/>
        <v>0</v>
      </c>
      <c r="P35" s="1">
        <v>116</v>
      </c>
      <c r="Q35" s="1"/>
      <c r="R35" s="1">
        <f t="shared" si="3"/>
        <v>116</v>
      </c>
      <c r="S35" s="1"/>
      <c r="T35" s="1"/>
      <c r="U35" s="1">
        <f t="shared" si="4"/>
        <v>0</v>
      </c>
      <c r="V35" s="1">
        <v>106</v>
      </c>
      <c r="W35" s="1">
        <v>18</v>
      </c>
      <c r="X35" s="1">
        <f t="shared" si="5"/>
        <v>124</v>
      </c>
      <c r="Y35" s="174">
        <f t="shared" si="6"/>
        <v>308</v>
      </c>
      <c r="Z35" s="174">
        <f t="shared" si="7"/>
        <v>18</v>
      </c>
      <c r="AA35" s="174">
        <f t="shared" si="8"/>
        <v>326</v>
      </c>
      <c r="AB35" s="175">
        <f t="shared" si="9"/>
        <v>51.333333333333336</v>
      </c>
      <c r="AC35" s="175">
        <f t="shared" si="10"/>
        <v>3</v>
      </c>
      <c r="AD35" s="175">
        <f t="shared" si="11"/>
        <v>54.333333333333336</v>
      </c>
      <c r="AE35" s="6"/>
      <c r="AF35" s="6"/>
      <c r="AG35" s="6">
        <f t="shared" si="12"/>
        <v>0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</row>
    <row r="36" spans="1:54" ht="15.75">
      <c r="A36" s="136">
        <v>28</v>
      </c>
      <c r="B36" s="177" t="s">
        <v>1363</v>
      </c>
      <c r="C36" s="178" t="s">
        <v>1313</v>
      </c>
      <c r="D36" s="136" t="s">
        <v>1364</v>
      </c>
      <c r="E36" s="179" t="s">
        <v>15</v>
      </c>
      <c r="F36" s="180">
        <v>3</v>
      </c>
      <c r="G36" s="1">
        <v>0</v>
      </c>
      <c r="H36" s="1"/>
      <c r="I36" s="1">
        <f t="shared" si="13"/>
        <v>0</v>
      </c>
      <c r="J36" s="1"/>
      <c r="K36" s="1"/>
      <c r="L36" s="1">
        <f t="shared" si="1"/>
        <v>0</v>
      </c>
      <c r="M36" s="1"/>
      <c r="N36" s="1"/>
      <c r="O36" s="1">
        <f t="shared" si="2"/>
        <v>0</v>
      </c>
      <c r="P36" s="1"/>
      <c r="Q36" s="1"/>
      <c r="R36" s="1">
        <f t="shared" si="3"/>
        <v>0</v>
      </c>
      <c r="S36" s="1"/>
      <c r="T36" s="1"/>
      <c r="U36" s="1">
        <f t="shared" si="4"/>
        <v>0</v>
      </c>
      <c r="V36" s="1"/>
      <c r="W36" s="1"/>
      <c r="X36" s="1">
        <f t="shared" si="5"/>
        <v>0</v>
      </c>
      <c r="Y36" s="174">
        <f t="shared" si="6"/>
        <v>0</v>
      </c>
      <c r="Z36" s="174">
        <f t="shared" si="7"/>
        <v>0</v>
      </c>
      <c r="AA36" s="174">
        <f t="shared" si="8"/>
        <v>0</v>
      </c>
      <c r="AB36" s="175">
        <f t="shared" si="9"/>
        <v>0</v>
      </c>
      <c r="AC36" s="175">
        <f t="shared" si="10"/>
        <v>0</v>
      </c>
      <c r="AD36" s="175">
        <f t="shared" si="11"/>
        <v>0</v>
      </c>
      <c r="AE36" s="6"/>
      <c r="AF36" s="6"/>
      <c r="AG36" s="6">
        <f t="shared" si="12"/>
        <v>0</v>
      </c>
      <c r="AH36" s="6"/>
      <c r="AI36" s="6"/>
      <c r="AJ36" s="6"/>
      <c r="AK36" s="6">
        <v>210</v>
      </c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</row>
    <row r="37" spans="1:54" ht="15.75">
      <c r="A37" s="136">
        <v>29</v>
      </c>
      <c r="B37" s="177" t="s">
        <v>1365</v>
      </c>
      <c r="C37" s="178" t="s">
        <v>1313</v>
      </c>
      <c r="D37" s="136" t="s">
        <v>1366</v>
      </c>
      <c r="E37" s="179" t="s">
        <v>15</v>
      </c>
      <c r="F37" s="180">
        <v>5</v>
      </c>
      <c r="G37" s="1">
        <v>0</v>
      </c>
      <c r="H37" s="1"/>
      <c r="I37" s="1">
        <f t="shared" si="13"/>
        <v>0</v>
      </c>
      <c r="J37" s="1"/>
      <c r="K37" s="1"/>
      <c r="L37" s="1">
        <f t="shared" si="1"/>
        <v>0</v>
      </c>
      <c r="M37" s="1"/>
      <c r="N37" s="1"/>
      <c r="O37" s="1">
        <f t="shared" si="2"/>
        <v>0</v>
      </c>
      <c r="P37" s="1"/>
      <c r="Q37" s="1"/>
      <c r="R37" s="1">
        <f t="shared" si="3"/>
        <v>0</v>
      </c>
      <c r="S37" s="1"/>
      <c r="T37" s="1"/>
      <c r="U37" s="1">
        <f t="shared" si="4"/>
        <v>0</v>
      </c>
      <c r="V37" s="1"/>
      <c r="W37" s="1"/>
      <c r="X37" s="1">
        <f t="shared" si="5"/>
        <v>0</v>
      </c>
      <c r="Y37" s="174">
        <f t="shared" si="6"/>
        <v>0</v>
      </c>
      <c r="Z37" s="174">
        <f t="shared" si="7"/>
        <v>0</v>
      </c>
      <c r="AA37" s="174">
        <f t="shared" si="8"/>
        <v>0</v>
      </c>
      <c r="AB37" s="175">
        <f t="shared" si="9"/>
        <v>0</v>
      </c>
      <c r="AC37" s="175">
        <f t="shared" si="10"/>
        <v>0</v>
      </c>
      <c r="AD37" s="175">
        <f t="shared" si="11"/>
        <v>0</v>
      </c>
      <c r="AE37" s="6"/>
      <c r="AF37" s="6"/>
      <c r="AG37" s="6">
        <f t="shared" si="12"/>
        <v>0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</row>
    <row r="38" spans="1:54" ht="15.75">
      <c r="A38" s="136">
        <v>30</v>
      </c>
      <c r="B38" s="177" t="s">
        <v>1367</v>
      </c>
      <c r="C38" s="178" t="s">
        <v>1313</v>
      </c>
      <c r="D38" s="136" t="s">
        <v>1368</v>
      </c>
      <c r="E38" s="179" t="s">
        <v>15</v>
      </c>
      <c r="F38" s="180">
        <v>20</v>
      </c>
      <c r="G38" s="1">
        <v>0</v>
      </c>
      <c r="H38" s="1"/>
      <c r="I38" s="1">
        <f t="shared" si="13"/>
        <v>0</v>
      </c>
      <c r="J38" s="1"/>
      <c r="K38" s="1"/>
      <c r="L38" s="1">
        <f t="shared" si="1"/>
        <v>0</v>
      </c>
      <c r="M38" s="1"/>
      <c r="N38" s="1"/>
      <c r="O38" s="1">
        <f t="shared" si="2"/>
        <v>0</v>
      </c>
      <c r="P38" s="1"/>
      <c r="Q38" s="1"/>
      <c r="R38" s="1">
        <f t="shared" si="3"/>
        <v>0</v>
      </c>
      <c r="S38" s="1"/>
      <c r="T38" s="1"/>
      <c r="U38" s="1">
        <f t="shared" si="4"/>
        <v>0</v>
      </c>
      <c r="V38" s="1"/>
      <c r="W38" s="1"/>
      <c r="X38" s="1">
        <f t="shared" si="5"/>
        <v>0</v>
      </c>
      <c r="Y38" s="174">
        <f t="shared" si="6"/>
        <v>0</v>
      </c>
      <c r="Z38" s="174">
        <f t="shared" si="7"/>
        <v>0</v>
      </c>
      <c r="AA38" s="174">
        <f t="shared" si="8"/>
        <v>0</v>
      </c>
      <c r="AB38" s="175">
        <f t="shared" si="9"/>
        <v>0</v>
      </c>
      <c r="AC38" s="175">
        <f t="shared" si="10"/>
        <v>0</v>
      </c>
      <c r="AD38" s="175">
        <f t="shared" si="11"/>
        <v>0</v>
      </c>
      <c r="AE38" s="6"/>
      <c r="AF38" s="6"/>
      <c r="AG38" s="6">
        <f t="shared" si="12"/>
        <v>0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</row>
    <row r="39" spans="1:54" ht="15.75">
      <c r="A39" s="136">
        <v>31</v>
      </c>
      <c r="B39" s="177" t="s">
        <v>1369</v>
      </c>
      <c r="C39" s="178" t="s">
        <v>1370</v>
      </c>
      <c r="D39" s="136" t="s">
        <v>1371</v>
      </c>
      <c r="E39" s="181" t="s">
        <v>18</v>
      </c>
      <c r="F39" s="180">
        <v>30</v>
      </c>
      <c r="G39" s="1">
        <v>100</v>
      </c>
      <c r="H39" s="1"/>
      <c r="I39" s="1">
        <f t="shared" si="13"/>
        <v>100</v>
      </c>
      <c r="J39" s="1"/>
      <c r="K39" s="1"/>
      <c r="L39" s="1">
        <f t="shared" si="1"/>
        <v>0</v>
      </c>
      <c r="M39" s="1"/>
      <c r="N39" s="1"/>
      <c r="O39" s="1">
        <f t="shared" si="2"/>
        <v>0</v>
      </c>
      <c r="P39" s="1">
        <v>25</v>
      </c>
      <c r="Q39" s="1"/>
      <c r="R39" s="1">
        <f t="shared" si="3"/>
        <v>25</v>
      </c>
      <c r="S39" s="1">
        <v>80</v>
      </c>
      <c r="T39" s="1"/>
      <c r="U39" s="1">
        <f t="shared" si="4"/>
        <v>80</v>
      </c>
      <c r="V39" s="1">
        <v>160</v>
      </c>
      <c r="W39" s="1"/>
      <c r="X39" s="1">
        <f t="shared" si="5"/>
        <v>160</v>
      </c>
      <c r="Y39" s="174">
        <f t="shared" si="6"/>
        <v>365</v>
      </c>
      <c r="Z39" s="174">
        <f t="shared" si="7"/>
        <v>0</v>
      </c>
      <c r="AA39" s="174">
        <f t="shared" si="8"/>
        <v>365</v>
      </c>
      <c r="AB39" s="175">
        <f t="shared" si="9"/>
        <v>60.833333333333336</v>
      </c>
      <c r="AC39" s="175">
        <f t="shared" si="10"/>
        <v>0</v>
      </c>
      <c r="AD39" s="175">
        <f t="shared" si="11"/>
        <v>60.833333333333336</v>
      </c>
      <c r="AE39" s="6"/>
      <c r="AF39" s="6"/>
      <c r="AG39" s="6">
        <f t="shared" si="12"/>
        <v>0</v>
      </c>
      <c r="AH39" s="6">
        <v>50</v>
      </c>
      <c r="AI39" s="6"/>
      <c r="AJ39" s="6"/>
      <c r="AK39" s="6">
        <v>180</v>
      </c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</row>
    <row r="40" spans="1:54" ht="15.75">
      <c r="A40" s="136">
        <v>32</v>
      </c>
      <c r="B40" s="182" t="s">
        <v>1372</v>
      </c>
      <c r="C40" s="178" t="s">
        <v>1370</v>
      </c>
      <c r="D40" s="136" t="s">
        <v>1373</v>
      </c>
      <c r="E40" s="179" t="s">
        <v>15</v>
      </c>
      <c r="F40" s="180">
        <v>5</v>
      </c>
      <c r="G40" s="1">
        <v>0</v>
      </c>
      <c r="H40" s="1"/>
      <c r="I40" s="1">
        <f t="shared" si="13"/>
        <v>0</v>
      </c>
      <c r="J40" s="1"/>
      <c r="K40" s="1"/>
      <c r="L40" s="1">
        <f t="shared" si="1"/>
        <v>0</v>
      </c>
      <c r="M40" s="1"/>
      <c r="N40" s="1"/>
      <c r="O40" s="1">
        <f t="shared" si="2"/>
        <v>0</v>
      </c>
      <c r="P40" s="1">
        <v>64</v>
      </c>
      <c r="Q40" s="1"/>
      <c r="R40" s="1">
        <f t="shared" si="3"/>
        <v>64</v>
      </c>
      <c r="S40" s="1"/>
      <c r="T40" s="1"/>
      <c r="U40" s="1">
        <f t="shared" si="4"/>
        <v>0</v>
      </c>
      <c r="V40" s="1"/>
      <c r="W40" s="1"/>
      <c r="X40" s="1">
        <f t="shared" si="5"/>
        <v>0</v>
      </c>
      <c r="Y40" s="174">
        <f t="shared" si="6"/>
        <v>64</v>
      </c>
      <c r="Z40" s="174">
        <f t="shared" si="7"/>
        <v>0</v>
      </c>
      <c r="AA40" s="174">
        <f t="shared" si="8"/>
        <v>64</v>
      </c>
      <c r="AB40" s="175">
        <f t="shared" si="9"/>
        <v>10.666666666666666</v>
      </c>
      <c r="AC40" s="175">
        <f t="shared" si="10"/>
        <v>0</v>
      </c>
      <c r="AD40" s="175">
        <f t="shared" si="11"/>
        <v>10.666666666666666</v>
      </c>
      <c r="AE40" s="6"/>
      <c r="AF40" s="6"/>
      <c r="AG40" s="6">
        <f t="shared" si="12"/>
        <v>0</v>
      </c>
      <c r="AH40" s="6">
        <v>10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</row>
    <row r="41" spans="1:54" ht="15.75">
      <c r="A41" s="136">
        <v>33</v>
      </c>
      <c r="B41" s="182" t="s">
        <v>1374</v>
      </c>
      <c r="C41" s="178" t="s">
        <v>1370</v>
      </c>
      <c r="D41" s="136" t="s">
        <v>1375</v>
      </c>
      <c r="E41" s="179" t="s">
        <v>15</v>
      </c>
      <c r="F41" s="180">
        <v>5</v>
      </c>
      <c r="G41" s="1">
        <v>20</v>
      </c>
      <c r="H41" s="1"/>
      <c r="I41" s="1">
        <f t="shared" si="13"/>
        <v>20</v>
      </c>
      <c r="J41" s="1"/>
      <c r="K41" s="1"/>
      <c r="L41" s="1">
        <f t="shared" si="1"/>
        <v>0</v>
      </c>
      <c r="M41" s="1">
        <v>20</v>
      </c>
      <c r="N41" s="1"/>
      <c r="O41" s="1">
        <f t="shared" si="2"/>
        <v>20</v>
      </c>
      <c r="P41" s="1"/>
      <c r="Q41" s="1"/>
      <c r="R41" s="1">
        <f t="shared" si="3"/>
        <v>0</v>
      </c>
      <c r="S41" s="1"/>
      <c r="T41" s="1"/>
      <c r="U41" s="1">
        <f t="shared" si="4"/>
        <v>0</v>
      </c>
      <c r="V41" s="1">
        <v>20</v>
      </c>
      <c r="W41" s="1"/>
      <c r="X41" s="1">
        <f t="shared" si="5"/>
        <v>20</v>
      </c>
      <c r="Y41" s="174">
        <f t="shared" si="6"/>
        <v>60</v>
      </c>
      <c r="Z41" s="174">
        <f t="shared" si="7"/>
        <v>0</v>
      </c>
      <c r="AA41" s="174">
        <f t="shared" si="8"/>
        <v>60</v>
      </c>
      <c r="AB41" s="175">
        <f t="shared" si="9"/>
        <v>10</v>
      </c>
      <c r="AC41" s="175">
        <f t="shared" si="10"/>
        <v>0</v>
      </c>
      <c r="AD41" s="175">
        <f t="shared" si="11"/>
        <v>10</v>
      </c>
      <c r="AE41" s="6">
        <v>20</v>
      </c>
      <c r="AF41" s="6"/>
      <c r="AG41" s="6">
        <f t="shared" si="12"/>
        <v>20</v>
      </c>
      <c r="AH41" s="6">
        <v>25</v>
      </c>
      <c r="AI41" s="6"/>
      <c r="AJ41" s="6"/>
      <c r="AK41" s="6">
        <v>25</v>
      </c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</row>
    <row r="42" spans="1:54" ht="15.75">
      <c r="A42" s="136">
        <v>34</v>
      </c>
      <c r="B42" s="182" t="s">
        <v>1376</v>
      </c>
      <c r="C42" s="178" t="s">
        <v>1370</v>
      </c>
      <c r="D42" s="136" t="s">
        <v>1377</v>
      </c>
      <c r="E42" s="181" t="s">
        <v>18</v>
      </c>
      <c r="F42" s="180">
        <v>10</v>
      </c>
      <c r="G42" s="1">
        <v>20</v>
      </c>
      <c r="H42" s="1"/>
      <c r="I42" s="1">
        <f t="shared" si="13"/>
        <v>20</v>
      </c>
      <c r="J42" s="1">
        <v>20</v>
      </c>
      <c r="K42" s="1"/>
      <c r="L42" s="1">
        <f t="shared" si="1"/>
        <v>20</v>
      </c>
      <c r="M42" s="1">
        <v>20</v>
      </c>
      <c r="N42" s="1"/>
      <c r="O42" s="1">
        <f t="shared" si="2"/>
        <v>20</v>
      </c>
      <c r="P42" s="1"/>
      <c r="Q42" s="1"/>
      <c r="R42" s="1">
        <f t="shared" si="3"/>
        <v>0</v>
      </c>
      <c r="S42" s="1"/>
      <c r="T42" s="1"/>
      <c r="U42" s="1">
        <f t="shared" si="4"/>
        <v>0</v>
      </c>
      <c r="V42" s="1">
        <v>40</v>
      </c>
      <c r="W42" s="1"/>
      <c r="X42" s="1">
        <f t="shared" si="5"/>
        <v>40</v>
      </c>
      <c r="Y42" s="174">
        <f t="shared" si="6"/>
        <v>100</v>
      </c>
      <c r="Z42" s="174">
        <f t="shared" si="7"/>
        <v>0</v>
      </c>
      <c r="AA42" s="174">
        <f t="shared" si="8"/>
        <v>100</v>
      </c>
      <c r="AB42" s="175">
        <f t="shared" si="9"/>
        <v>16.666666666666668</v>
      </c>
      <c r="AC42" s="175">
        <f t="shared" si="10"/>
        <v>0</v>
      </c>
      <c r="AD42" s="175">
        <f t="shared" si="11"/>
        <v>16.666666666666668</v>
      </c>
      <c r="AE42" s="6">
        <v>20</v>
      </c>
      <c r="AF42" s="6"/>
      <c r="AG42" s="6">
        <f t="shared" si="12"/>
        <v>20</v>
      </c>
      <c r="AH42" s="6">
        <v>20</v>
      </c>
      <c r="AI42" s="6"/>
      <c r="AJ42" s="6"/>
      <c r="AK42" s="6">
        <v>40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</row>
    <row r="43" spans="1:54" ht="15.75">
      <c r="A43" s="136">
        <v>35</v>
      </c>
      <c r="B43" s="182" t="s">
        <v>1378</v>
      </c>
      <c r="C43" s="178" t="s">
        <v>1370</v>
      </c>
      <c r="D43" s="136" t="s">
        <v>1379</v>
      </c>
      <c r="E43" s="181" t="s">
        <v>18</v>
      </c>
      <c r="F43" s="180">
        <v>6</v>
      </c>
      <c r="G43" s="1">
        <v>25</v>
      </c>
      <c r="H43" s="1"/>
      <c r="I43" s="1">
        <f t="shared" si="13"/>
        <v>25</v>
      </c>
      <c r="J43" s="1"/>
      <c r="K43" s="1"/>
      <c r="L43" s="1">
        <f t="shared" si="1"/>
        <v>0</v>
      </c>
      <c r="M43" s="1"/>
      <c r="N43" s="1"/>
      <c r="O43" s="1">
        <f t="shared" si="2"/>
        <v>0</v>
      </c>
      <c r="P43" s="1"/>
      <c r="Q43" s="1"/>
      <c r="R43" s="1">
        <f t="shared" si="3"/>
        <v>0</v>
      </c>
      <c r="S43" s="1"/>
      <c r="T43" s="1"/>
      <c r="U43" s="1">
        <f t="shared" si="4"/>
        <v>0</v>
      </c>
      <c r="V43" s="1">
        <v>50</v>
      </c>
      <c r="W43" s="1"/>
      <c r="X43" s="1">
        <f t="shared" si="5"/>
        <v>50</v>
      </c>
      <c r="Y43" s="174">
        <f t="shared" si="6"/>
        <v>75</v>
      </c>
      <c r="Z43" s="174">
        <f t="shared" si="7"/>
        <v>0</v>
      </c>
      <c r="AA43" s="174">
        <f t="shared" si="8"/>
        <v>75</v>
      </c>
      <c r="AB43" s="175">
        <f t="shared" si="9"/>
        <v>12.5</v>
      </c>
      <c r="AC43" s="175">
        <f t="shared" si="10"/>
        <v>0</v>
      </c>
      <c r="AD43" s="175">
        <f t="shared" si="11"/>
        <v>12.5</v>
      </c>
      <c r="AE43" s="6">
        <v>25</v>
      </c>
      <c r="AF43" s="6"/>
      <c r="AG43" s="6">
        <f t="shared" si="12"/>
        <v>25</v>
      </c>
      <c r="AH43" s="6">
        <v>40</v>
      </c>
      <c r="AI43" s="6"/>
      <c r="AJ43" s="6"/>
      <c r="AK43" s="6">
        <v>50</v>
      </c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</row>
    <row r="44" spans="1:54" ht="15.75">
      <c r="A44" s="136">
        <v>36</v>
      </c>
      <c r="B44" s="177" t="s">
        <v>1380</v>
      </c>
      <c r="C44" s="178" t="s">
        <v>1370</v>
      </c>
      <c r="D44" s="136" t="s">
        <v>1381</v>
      </c>
      <c r="E44" s="179" t="s">
        <v>15</v>
      </c>
      <c r="F44" s="180">
        <v>15</v>
      </c>
      <c r="G44" s="1">
        <v>0</v>
      </c>
      <c r="H44" s="1"/>
      <c r="I44" s="1">
        <f t="shared" si="13"/>
        <v>0</v>
      </c>
      <c r="J44" s="1">
        <v>25</v>
      </c>
      <c r="K44" s="1"/>
      <c r="L44" s="1">
        <f t="shared" si="1"/>
        <v>25</v>
      </c>
      <c r="M44" s="1"/>
      <c r="N44" s="1"/>
      <c r="O44" s="1">
        <f t="shared" si="2"/>
        <v>0</v>
      </c>
      <c r="P44" s="1">
        <v>25</v>
      </c>
      <c r="Q44" s="1"/>
      <c r="R44" s="1">
        <f t="shared" si="3"/>
        <v>25</v>
      </c>
      <c r="S44" s="1"/>
      <c r="T44" s="1"/>
      <c r="U44" s="1">
        <f t="shared" si="4"/>
        <v>0</v>
      </c>
      <c r="V44" s="1"/>
      <c r="W44" s="1"/>
      <c r="X44" s="1">
        <f t="shared" si="5"/>
        <v>0</v>
      </c>
      <c r="Y44" s="174">
        <f t="shared" si="6"/>
        <v>50</v>
      </c>
      <c r="Z44" s="174">
        <f t="shared" si="7"/>
        <v>0</v>
      </c>
      <c r="AA44" s="174">
        <f t="shared" si="8"/>
        <v>50</v>
      </c>
      <c r="AB44" s="175">
        <f t="shared" si="9"/>
        <v>8.3333333333333339</v>
      </c>
      <c r="AC44" s="175">
        <f t="shared" si="10"/>
        <v>0</v>
      </c>
      <c r="AD44" s="175">
        <f t="shared" si="11"/>
        <v>8.3333333333333339</v>
      </c>
      <c r="AE44" s="6">
        <v>25</v>
      </c>
      <c r="AF44" s="6"/>
      <c r="AG44" s="6">
        <f t="shared" si="12"/>
        <v>25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</row>
    <row r="45" spans="1:54" ht="15.75">
      <c r="A45" s="136">
        <v>37</v>
      </c>
      <c r="B45" s="177" t="s">
        <v>1382</v>
      </c>
      <c r="C45" s="178" t="s">
        <v>1370</v>
      </c>
      <c r="D45" s="136" t="s">
        <v>1383</v>
      </c>
      <c r="E45" s="179" t="s">
        <v>15</v>
      </c>
      <c r="F45" s="180">
        <v>20</v>
      </c>
      <c r="G45" s="1">
        <v>158</v>
      </c>
      <c r="H45" s="1">
        <v>18</v>
      </c>
      <c r="I45" s="1">
        <f t="shared" si="13"/>
        <v>176</v>
      </c>
      <c r="J45" s="1">
        <v>186</v>
      </c>
      <c r="K45" s="1">
        <v>36</v>
      </c>
      <c r="L45" s="1">
        <f t="shared" si="1"/>
        <v>222</v>
      </c>
      <c r="M45" s="1"/>
      <c r="N45" s="1"/>
      <c r="O45" s="1">
        <f t="shared" si="2"/>
        <v>0</v>
      </c>
      <c r="P45" s="1">
        <v>186</v>
      </c>
      <c r="Q45" s="1"/>
      <c r="R45" s="1">
        <f t="shared" si="3"/>
        <v>186</v>
      </c>
      <c r="S45" s="1"/>
      <c r="T45" s="1"/>
      <c r="U45" s="1">
        <f t="shared" si="4"/>
        <v>0</v>
      </c>
      <c r="V45" s="1"/>
      <c r="W45" s="1"/>
      <c r="X45" s="1">
        <f t="shared" si="5"/>
        <v>0</v>
      </c>
      <c r="Y45" s="174">
        <f t="shared" si="6"/>
        <v>530</v>
      </c>
      <c r="Z45" s="174">
        <f t="shared" si="7"/>
        <v>54</v>
      </c>
      <c r="AA45" s="174">
        <f t="shared" si="8"/>
        <v>584</v>
      </c>
      <c r="AB45" s="175">
        <f t="shared" si="9"/>
        <v>88.333333333333329</v>
      </c>
      <c r="AC45" s="175">
        <f t="shared" si="10"/>
        <v>9</v>
      </c>
      <c r="AD45" s="175">
        <f t="shared" si="11"/>
        <v>97.333333333333329</v>
      </c>
      <c r="AE45" s="6">
        <v>120</v>
      </c>
      <c r="AF45" s="6">
        <v>20</v>
      </c>
      <c r="AG45" s="6">
        <f t="shared" si="12"/>
        <v>140</v>
      </c>
      <c r="AH45" s="6">
        <v>146</v>
      </c>
      <c r="AI45" s="6">
        <v>36</v>
      </c>
      <c r="AJ45" s="6"/>
      <c r="AK45" s="6">
        <v>260</v>
      </c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</row>
    <row r="46" spans="1:54" ht="15.75">
      <c r="A46" s="136">
        <v>38</v>
      </c>
      <c r="B46" s="177" t="s">
        <v>1384</v>
      </c>
      <c r="C46" s="178" t="s">
        <v>1370</v>
      </c>
      <c r="D46" s="136" t="s">
        <v>1385</v>
      </c>
      <c r="E46" s="181" t="s">
        <v>18</v>
      </c>
      <c r="F46" s="180">
        <v>45</v>
      </c>
      <c r="G46" s="1">
        <v>40</v>
      </c>
      <c r="H46" s="1"/>
      <c r="I46" s="1">
        <f t="shared" si="13"/>
        <v>40</v>
      </c>
      <c r="J46" s="1">
        <v>156</v>
      </c>
      <c r="K46" s="1">
        <v>18</v>
      </c>
      <c r="L46" s="1">
        <f t="shared" si="1"/>
        <v>174</v>
      </c>
      <c r="M46" s="1"/>
      <c r="N46" s="1"/>
      <c r="O46" s="1">
        <f t="shared" si="2"/>
        <v>0</v>
      </c>
      <c r="P46" s="1">
        <v>192</v>
      </c>
      <c r="Q46" s="1"/>
      <c r="R46" s="1">
        <f t="shared" si="3"/>
        <v>192</v>
      </c>
      <c r="S46" s="1"/>
      <c r="T46" s="1"/>
      <c r="U46" s="1">
        <f t="shared" si="4"/>
        <v>0</v>
      </c>
      <c r="V46" s="1">
        <v>150</v>
      </c>
      <c r="W46" s="1"/>
      <c r="X46" s="1">
        <f t="shared" si="5"/>
        <v>150</v>
      </c>
      <c r="Y46" s="174">
        <f t="shared" si="6"/>
        <v>538</v>
      </c>
      <c r="Z46" s="174">
        <f t="shared" si="7"/>
        <v>18</v>
      </c>
      <c r="AA46" s="174">
        <f t="shared" si="8"/>
        <v>556</v>
      </c>
      <c r="AB46" s="175">
        <f t="shared" si="9"/>
        <v>89.666666666666671</v>
      </c>
      <c r="AC46" s="175">
        <f t="shared" si="10"/>
        <v>3</v>
      </c>
      <c r="AD46" s="175">
        <f t="shared" si="11"/>
        <v>92.666666666666671</v>
      </c>
      <c r="AE46" s="6">
        <v>166</v>
      </c>
      <c r="AF46" s="6">
        <v>36</v>
      </c>
      <c r="AG46" s="6">
        <f t="shared" si="12"/>
        <v>202</v>
      </c>
      <c r="AH46" s="6">
        <v>166</v>
      </c>
      <c r="AI46" s="6"/>
      <c r="AJ46" s="6"/>
      <c r="AK46" s="6">
        <v>386</v>
      </c>
      <c r="AL46" s="6">
        <v>40</v>
      </c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</row>
    <row r="47" spans="1:54" ht="15.75">
      <c r="A47" s="136">
        <v>39</v>
      </c>
      <c r="B47" s="177" t="s">
        <v>1386</v>
      </c>
      <c r="C47" s="178" t="s">
        <v>1370</v>
      </c>
      <c r="D47" s="136" t="s">
        <v>1387</v>
      </c>
      <c r="E47" s="181" t="s">
        <v>18</v>
      </c>
      <c r="F47" s="180">
        <v>18</v>
      </c>
      <c r="G47" s="1">
        <v>0</v>
      </c>
      <c r="H47" s="1"/>
      <c r="I47" s="1">
        <f t="shared" si="13"/>
        <v>0</v>
      </c>
      <c r="J47" s="1"/>
      <c r="K47" s="1"/>
      <c r="L47" s="1">
        <f t="shared" si="1"/>
        <v>0</v>
      </c>
      <c r="M47" s="1"/>
      <c r="N47" s="1"/>
      <c r="O47" s="1">
        <f t="shared" si="2"/>
        <v>0</v>
      </c>
      <c r="P47" s="1"/>
      <c r="Q47" s="1"/>
      <c r="R47" s="1">
        <f t="shared" si="3"/>
        <v>0</v>
      </c>
      <c r="S47" s="1"/>
      <c r="T47" s="1"/>
      <c r="U47" s="1">
        <f t="shared" si="4"/>
        <v>0</v>
      </c>
      <c r="V47" s="1"/>
      <c r="W47" s="1"/>
      <c r="X47" s="1">
        <f t="shared" si="5"/>
        <v>0</v>
      </c>
      <c r="Y47" s="174">
        <f t="shared" si="6"/>
        <v>0</v>
      </c>
      <c r="Z47" s="174">
        <f t="shared" si="7"/>
        <v>0</v>
      </c>
      <c r="AA47" s="174">
        <f t="shared" si="8"/>
        <v>0</v>
      </c>
      <c r="AB47" s="175">
        <f t="shared" si="9"/>
        <v>0</v>
      </c>
      <c r="AC47" s="175">
        <f t="shared" si="10"/>
        <v>0</v>
      </c>
      <c r="AD47" s="175">
        <f t="shared" si="11"/>
        <v>0</v>
      </c>
      <c r="AE47" s="6"/>
      <c r="AF47" s="6"/>
      <c r="AG47" s="6">
        <f t="shared" si="12"/>
        <v>0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</row>
    <row r="48" spans="1:54" ht="15.75">
      <c r="A48" s="136">
        <v>40</v>
      </c>
      <c r="B48" s="177" t="s">
        <v>1388</v>
      </c>
      <c r="C48" s="178" t="s">
        <v>1370</v>
      </c>
      <c r="D48" s="136" t="s">
        <v>1389</v>
      </c>
      <c r="E48" s="181" t="s">
        <v>18</v>
      </c>
      <c r="F48" s="180">
        <v>5</v>
      </c>
      <c r="G48" s="1">
        <v>0</v>
      </c>
      <c r="H48" s="1"/>
      <c r="I48" s="1">
        <f t="shared" si="13"/>
        <v>0</v>
      </c>
      <c r="J48" s="1"/>
      <c r="K48" s="1"/>
      <c r="L48" s="1">
        <f t="shared" si="1"/>
        <v>0</v>
      </c>
      <c r="M48" s="1">
        <v>90</v>
      </c>
      <c r="N48" s="1"/>
      <c r="O48" s="1">
        <f t="shared" si="2"/>
        <v>90</v>
      </c>
      <c r="P48" s="1"/>
      <c r="Q48" s="1"/>
      <c r="R48" s="1">
        <f t="shared" si="3"/>
        <v>0</v>
      </c>
      <c r="S48" s="1">
        <v>90</v>
      </c>
      <c r="T48" s="1">
        <v>18</v>
      </c>
      <c r="U48" s="1">
        <f t="shared" si="4"/>
        <v>108</v>
      </c>
      <c r="V48" s="1">
        <v>90</v>
      </c>
      <c r="W48" s="1"/>
      <c r="X48" s="1">
        <f t="shared" si="5"/>
        <v>90</v>
      </c>
      <c r="Y48" s="174">
        <f t="shared" si="6"/>
        <v>270</v>
      </c>
      <c r="Z48" s="174">
        <f t="shared" si="7"/>
        <v>18</v>
      </c>
      <c r="AA48" s="174">
        <f t="shared" si="8"/>
        <v>288</v>
      </c>
      <c r="AB48" s="175">
        <f t="shared" si="9"/>
        <v>45</v>
      </c>
      <c r="AC48" s="175">
        <f t="shared" si="10"/>
        <v>3</v>
      </c>
      <c r="AD48" s="175">
        <f t="shared" si="11"/>
        <v>48</v>
      </c>
      <c r="AE48" s="6"/>
      <c r="AF48" s="6"/>
      <c r="AG48" s="6">
        <f t="shared" si="12"/>
        <v>0</v>
      </c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</row>
    <row r="49" spans="1:54" ht="15.75">
      <c r="A49" s="136">
        <v>41</v>
      </c>
      <c r="B49" s="177" t="s">
        <v>1390</v>
      </c>
      <c r="C49" s="178" t="s">
        <v>1370</v>
      </c>
      <c r="D49" s="136" t="s">
        <v>1391</v>
      </c>
      <c r="E49" s="179" t="s">
        <v>15</v>
      </c>
      <c r="F49" s="180">
        <v>5</v>
      </c>
      <c r="G49" s="1">
        <v>20</v>
      </c>
      <c r="H49" s="1"/>
      <c r="I49" s="1">
        <f t="shared" si="13"/>
        <v>20</v>
      </c>
      <c r="J49" s="1"/>
      <c r="K49" s="1"/>
      <c r="L49" s="1">
        <f t="shared" si="1"/>
        <v>0</v>
      </c>
      <c r="M49" s="1">
        <v>20</v>
      </c>
      <c r="N49" s="1"/>
      <c r="O49" s="1">
        <f t="shared" si="2"/>
        <v>20</v>
      </c>
      <c r="P49" s="1"/>
      <c r="Q49" s="1"/>
      <c r="R49" s="1">
        <f t="shared" si="3"/>
        <v>0</v>
      </c>
      <c r="S49" s="1"/>
      <c r="T49" s="1"/>
      <c r="U49" s="1">
        <f t="shared" si="4"/>
        <v>0</v>
      </c>
      <c r="V49" s="1"/>
      <c r="W49" s="1"/>
      <c r="X49" s="1">
        <f t="shared" si="5"/>
        <v>0</v>
      </c>
      <c r="Y49" s="174">
        <f t="shared" si="6"/>
        <v>40</v>
      </c>
      <c r="Z49" s="174">
        <f t="shared" si="7"/>
        <v>0</v>
      </c>
      <c r="AA49" s="174">
        <f t="shared" si="8"/>
        <v>40</v>
      </c>
      <c r="AB49" s="175">
        <f t="shared" si="9"/>
        <v>6.666666666666667</v>
      </c>
      <c r="AC49" s="175">
        <f t="shared" si="10"/>
        <v>0</v>
      </c>
      <c r="AD49" s="175">
        <f t="shared" si="11"/>
        <v>6.666666666666667</v>
      </c>
      <c r="AE49" s="6">
        <v>10</v>
      </c>
      <c r="AF49" s="6"/>
      <c r="AG49" s="6">
        <f t="shared" si="12"/>
        <v>10</v>
      </c>
      <c r="AH49" s="6">
        <v>5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</row>
    <row r="50" spans="1:54" ht="15.75">
      <c r="A50" s="136">
        <v>42</v>
      </c>
      <c r="B50" s="177" t="s">
        <v>1392</v>
      </c>
      <c r="C50" s="178" t="s">
        <v>1370</v>
      </c>
      <c r="D50" s="136" t="s">
        <v>1393</v>
      </c>
      <c r="E50" s="179" t="s">
        <v>15</v>
      </c>
      <c r="F50" s="180">
        <v>10</v>
      </c>
      <c r="G50" s="1">
        <v>25</v>
      </c>
      <c r="H50" s="1"/>
      <c r="I50" s="1">
        <f t="shared" si="13"/>
        <v>25</v>
      </c>
      <c r="J50" s="1">
        <v>35</v>
      </c>
      <c r="K50" s="1"/>
      <c r="L50" s="1">
        <f t="shared" si="1"/>
        <v>35</v>
      </c>
      <c r="M50" s="1">
        <v>20</v>
      </c>
      <c r="N50" s="1"/>
      <c r="O50" s="1">
        <f t="shared" si="2"/>
        <v>20</v>
      </c>
      <c r="P50" s="1">
        <v>15</v>
      </c>
      <c r="Q50" s="1"/>
      <c r="R50" s="1">
        <f t="shared" si="3"/>
        <v>15</v>
      </c>
      <c r="S50" s="1"/>
      <c r="T50" s="1"/>
      <c r="U50" s="1">
        <f t="shared" si="4"/>
        <v>0</v>
      </c>
      <c r="V50" s="1">
        <v>35</v>
      </c>
      <c r="W50" s="1"/>
      <c r="X50" s="1">
        <f t="shared" si="5"/>
        <v>35</v>
      </c>
      <c r="Y50" s="174">
        <f t="shared" si="6"/>
        <v>130</v>
      </c>
      <c r="Z50" s="174">
        <f t="shared" si="7"/>
        <v>0</v>
      </c>
      <c r="AA50" s="174">
        <f t="shared" si="8"/>
        <v>130</v>
      </c>
      <c r="AB50" s="175">
        <f t="shared" si="9"/>
        <v>21.666666666666668</v>
      </c>
      <c r="AC50" s="175">
        <f t="shared" si="10"/>
        <v>0</v>
      </c>
      <c r="AD50" s="175">
        <f t="shared" si="11"/>
        <v>21.666666666666668</v>
      </c>
      <c r="AE50" s="6">
        <v>40</v>
      </c>
      <c r="AF50" s="6"/>
      <c r="AG50" s="6">
        <f t="shared" si="12"/>
        <v>40</v>
      </c>
      <c r="AH50" s="6">
        <v>25</v>
      </c>
      <c r="AI50" s="6"/>
      <c r="AJ50" s="6"/>
      <c r="AK50" s="6">
        <v>35</v>
      </c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</row>
    <row r="51" spans="1:54" ht="15.75">
      <c r="A51" s="136">
        <v>43</v>
      </c>
      <c r="B51" s="177" t="s">
        <v>1394</v>
      </c>
      <c r="C51" s="178" t="s">
        <v>1370</v>
      </c>
      <c r="D51" s="136" t="s">
        <v>1395</v>
      </c>
      <c r="E51" s="179" t="s">
        <v>15</v>
      </c>
      <c r="F51" s="180">
        <v>10</v>
      </c>
      <c r="G51" s="1">
        <v>20</v>
      </c>
      <c r="H51" s="1"/>
      <c r="I51" s="1">
        <f t="shared" si="13"/>
        <v>20</v>
      </c>
      <c r="J51" s="1"/>
      <c r="K51" s="1"/>
      <c r="L51" s="1">
        <f t="shared" si="1"/>
        <v>0</v>
      </c>
      <c r="M51" s="1"/>
      <c r="N51" s="1"/>
      <c r="O51" s="1">
        <f t="shared" si="2"/>
        <v>0</v>
      </c>
      <c r="P51" s="1"/>
      <c r="Q51" s="1"/>
      <c r="R51" s="1">
        <f t="shared" si="3"/>
        <v>0</v>
      </c>
      <c r="S51" s="1"/>
      <c r="T51" s="1"/>
      <c r="U51" s="1">
        <f t="shared" si="4"/>
        <v>0</v>
      </c>
      <c r="V51" s="1"/>
      <c r="W51" s="1"/>
      <c r="X51" s="1">
        <f t="shared" si="5"/>
        <v>0</v>
      </c>
      <c r="Y51" s="174">
        <f t="shared" si="6"/>
        <v>20</v>
      </c>
      <c r="Z51" s="174">
        <f t="shared" si="7"/>
        <v>0</v>
      </c>
      <c r="AA51" s="174">
        <f t="shared" si="8"/>
        <v>20</v>
      </c>
      <c r="AB51" s="175">
        <f t="shared" si="9"/>
        <v>3.3333333333333335</v>
      </c>
      <c r="AC51" s="175">
        <f t="shared" si="10"/>
        <v>0</v>
      </c>
      <c r="AD51" s="175">
        <f t="shared" si="11"/>
        <v>3.3333333333333335</v>
      </c>
      <c r="AE51" s="6"/>
      <c r="AF51" s="6"/>
      <c r="AG51" s="6">
        <f t="shared" si="12"/>
        <v>0</v>
      </c>
      <c r="AH51" s="6">
        <v>25</v>
      </c>
      <c r="AI51" s="6"/>
      <c r="AJ51" s="6"/>
      <c r="AK51" s="6">
        <v>10</v>
      </c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</row>
    <row r="52" spans="1:54" ht="15.75">
      <c r="A52" s="136">
        <v>44</v>
      </c>
      <c r="B52" s="177" t="s">
        <v>1396</v>
      </c>
      <c r="C52" s="178" t="s">
        <v>1370</v>
      </c>
      <c r="D52" s="136" t="s">
        <v>1397</v>
      </c>
      <c r="E52" s="179" t="s">
        <v>15</v>
      </c>
      <c r="F52" s="180">
        <v>12</v>
      </c>
      <c r="G52" s="1">
        <v>118</v>
      </c>
      <c r="H52" s="1"/>
      <c r="I52" s="1">
        <f t="shared" si="13"/>
        <v>118</v>
      </c>
      <c r="J52" s="1">
        <v>18</v>
      </c>
      <c r="K52" s="1"/>
      <c r="L52" s="1">
        <f t="shared" si="1"/>
        <v>18</v>
      </c>
      <c r="M52" s="1"/>
      <c r="N52" s="1"/>
      <c r="O52" s="1">
        <f t="shared" si="2"/>
        <v>0</v>
      </c>
      <c r="P52" s="1"/>
      <c r="Q52" s="1"/>
      <c r="R52" s="1">
        <f t="shared" si="3"/>
        <v>0</v>
      </c>
      <c r="S52" s="1"/>
      <c r="T52" s="1"/>
      <c r="U52" s="1">
        <f t="shared" si="4"/>
        <v>0</v>
      </c>
      <c r="V52" s="1"/>
      <c r="W52" s="1"/>
      <c r="X52" s="1">
        <f t="shared" si="5"/>
        <v>0</v>
      </c>
      <c r="Y52" s="174">
        <f t="shared" si="6"/>
        <v>136</v>
      </c>
      <c r="Z52" s="174">
        <f t="shared" si="7"/>
        <v>0</v>
      </c>
      <c r="AA52" s="174">
        <f t="shared" si="8"/>
        <v>136</v>
      </c>
      <c r="AB52" s="175">
        <f t="shared" si="9"/>
        <v>22.666666666666668</v>
      </c>
      <c r="AC52" s="175">
        <f t="shared" si="10"/>
        <v>0</v>
      </c>
      <c r="AD52" s="175">
        <f t="shared" si="11"/>
        <v>22.666666666666668</v>
      </c>
      <c r="AE52" s="6"/>
      <c r="AF52" s="6"/>
      <c r="AG52" s="6">
        <f t="shared" si="12"/>
        <v>0</v>
      </c>
      <c r="AH52" s="6">
        <v>36</v>
      </c>
      <c r="AI52" s="6"/>
      <c r="AJ52" s="6"/>
      <c r="AK52" s="6">
        <v>36</v>
      </c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</row>
    <row r="53" spans="1:54" ht="15.75">
      <c r="A53" s="136">
        <v>45</v>
      </c>
      <c r="B53" s="177" t="s">
        <v>1398</v>
      </c>
      <c r="C53" s="178" t="s">
        <v>1370</v>
      </c>
      <c r="D53" s="136" t="s">
        <v>1399</v>
      </c>
      <c r="E53" s="179" t="s">
        <v>15</v>
      </c>
      <c r="F53" s="180">
        <v>10</v>
      </c>
      <c r="G53" s="1">
        <v>36</v>
      </c>
      <c r="H53" s="1"/>
      <c r="I53" s="1">
        <f t="shared" si="13"/>
        <v>36</v>
      </c>
      <c r="J53" s="1">
        <v>20</v>
      </c>
      <c r="K53" s="1"/>
      <c r="L53" s="1">
        <f t="shared" si="1"/>
        <v>20</v>
      </c>
      <c r="M53" s="1"/>
      <c r="N53" s="1"/>
      <c r="O53" s="1">
        <f t="shared" si="2"/>
        <v>0</v>
      </c>
      <c r="P53" s="1"/>
      <c r="Q53" s="1"/>
      <c r="R53" s="1">
        <f t="shared" si="3"/>
        <v>0</v>
      </c>
      <c r="S53" s="1"/>
      <c r="T53" s="1"/>
      <c r="U53" s="1">
        <f t="shared" si="4"/>
        <v>0</v>
      </c>
      <c r="V53" s="1">
        <v>35</v>
      </c>
      <c r="W53" s="1"/>
      <c r="X53" s="1">
        <f t="shared" si="5"/>
        <v>35</v>
      </c>
      <c r="Y53" s="174">
        <f t="shared" si="6"/>
        <v>91</v>
      </c>
      <c r="Z53" s="174">
        <f t="shared" si="7"/>
        <v>0</v>
      </c>
      <c r="AA53" s="174">
        <f t="shared" si="8"/>
        <v>91</v>
      </c>
      <c r="AB53" s="175">
        <f t="shared" si="9"/>
        <v>15.166666666666666</v>
      </c>
      <c r="AC53" s="175">
        <f t="shared" si="10"/>
        <v>0</v>
      </c>
      <c r="AD53" s="175">
        <f t="shared" si="11"/>
        <v>15.166666666666666</v>
      </c>
      <c r="AE53" s="6"/>
      <c r="AF53" s="6"/>
      <c r="AG53" s="6">
        <f t="shared" si="12"/>
        <v>0</v>
      </c>
      <c r="AH53" s="6">
        <v>56</v>
      </c>
      <c r="AI53" s="6"/>
      <c r="AJ53" s="6"/>
      <c r="AK53" s="6">
        <v>25</v>
      </c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54" ht="15.75">
      <c r="A54" s="136">
        <v>46</v>
      </c>
      <c r="B54" s="177" t="s">
        <v>1400</v>
      </c>
      <c r="C54" s="178" t="s">
        <v>1370</v>
      </c>
      <c r="D54" s="136" t="s">
        <v>1401</v>
      </c>
      <c r="E54" s="179" t="s">
        <v>15</v>
      </c>
      <c r="F54" s="180">
        <v>9</v>
      </c>
      <c r="G54" s="1">
        <v>35</v>
      </c>
      <c r="H54" s="1"/>
      <c r="I54" s="1">
        <f t="shared" si="13"/>
        <v>35</v>
      </c>
      <c r="J54" s="1">
        <v>38</v>
      </c>
      <c r="K54" s="1"/>
      <c r="L54" s="1">
        <f t="shared" si="1"/>
        <v>38</v>
      </c>
      <c r="M54" s="1"/>
      <c r="N54" s="1"/>
      <c r="O54" s="1">
        <f t="shared" si="2"/>
        <v>0</v>
      </c>
      <c r="P54" s="1">
        <v>45</v>
      </c>
      <c r="Q54" s="1"/>
      <c r="R54" s="1">
        <f t="shared" si="3"/>
        <v>45</v>
      </c>
      <c r="S54" s="1"/>
      <c r="T54" s="1"/>
      <c r="U54" s="1">
        <f t="shared" si="4"/>
        <v>0</v>
      </c>
      <c r="V54" s="1"/>
      <c r="W54" s="1"/>
      <c r="X54" s="1">
        <f t="shared" si="5"/>
        <v>0</v>
      </c>
      <c r="Y54" s="174">
        <f t="shared" si="6"/>
        <v>118</v>
      </c>
      <c r="Z54" s="174">
        <f t="shared" si="7"/>
        <v>0</v>
      </c>
      <c r="AA54" s="174">
        <f t="shared" si="8"/>
        <v>118</v>
      </c>
      <c r="AB54" s="175">
        <f t="shared" si="9"/>
        <v>19.666666666666668</v>
      </c>
      <c r="AC54" s="175">
        <f t="shared" si="10"/>
        <v>0</v>
      </c>
      <c r="AD54" s="175">
        <f t="shared" si="11"/>
        <v>19.666666666666668</v>
      </c>
      <c r="AE54" s="6">
        <v>81</v>
      </c>
      <c r="AF54" s="6"/>
      <c r="AG54" s="6">
        <f t="shared" si="12"/>
        <v>81</v>
      </c>
      <c r="AH54" s="6">
        <v>41</v>
      </c>
      <c r="AI54" s="6"/>
      <c r="AJ54" s="6"/>
      <c r="AK54" s="6">
        <v>96</v>
      </c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54" ht="15.75">
      <c r="A55" s="136">
        <v>47</v>
      </c>
      <c r="B55" s="177" t="s">
        <v>1402</v>
      </c>
      <c r="C55" s="178" t="s">
        <v>1370</v>
      </c>
      <c r="D55" s="136" t="s">
        <v>1403</v>
      </c>
      <c r="E55" s="179" t="s">
        <v>15</v>
      </c>
      <c r="F55" s="180">
        <v>20</v>
      </c>
      <c r="G55" s="1">
        <v>20</v>
      </c>
      <c r="H55" s="1"/>
      <c r="I55" s="1">
        <f t="shared" si="13"/>
        <v>20</v>
      </c>
      <c r="J55" s="1">
        <v>20</v>
      </c>
      <c r="K55" s="1"/>
      <c r="L55" s="1">
        <f t="shared" si="1"/>
        <v>20</v>
      </c>
      <c r="M55" s="1"/>
      <c r="N55" s="1"/>
      <c r="O55" s="1">
        <f t="shared" si="2"/>
        <v>0</v>
      </c>
      <c r="P55" s="1">
        <v>40</v>
      </c>
      <c r="Q55" s="1"/>
      <c r="R55" s="1">
        <f t="shared" si="3"/>
        <v>40</v>
      </c>
      <c r="S55" s="1"/>
      <c r="T55" s="1"/>
      <c r="U55" s="1">
        <f t="shared" si="4"/>
        <v>0</v>
      </c>
      <c r="V55" s="1"/>
      <c r="W55" s="1"/>
      <c r="X55" s="1">
        <f t="shared" si="5"/>
        <v>0</v>
      </c>
      <c r="Y55" s="174">
        <f t="shared" si="6"/>
        <v>80</v>
      </c>
      <c r="Z55" s="174">
        <f t="shared" si="7"/>
        <v>0</v>
      </c>
      <c r="AA55" s="174">
        <f t="shared" si="8"/>
        <v>80</v>
      </c>
      <c r="AB55" s="175">
        <f t="shared" si="9"/>
        <v>13.333333333333334</v>
      </c>
      <c r="AC55" s="175">
        <f t="shared" si="10"/>
        <v>0</v>
      </c>
      <c r="AD55" s="175">
        <f t="shared" si="11"/>
        <v>13.333333333333334</v>
      </c>
      <c r="AE55" s="6">
        <v>36</v>
      </c>
      <c r="AF55" s="6"/>
      <c r="AG55" s="6">
        <f t="shared" si="12"/>
        <v>36</v>
      </c>
      <c r="AH55" s="6">
        <v>36</v>
      </c>
      <c r="AI55" s="6">
        <v>18</v>
      </c>
      <c r="AJ55" s="6"/>
      <c r="AK55" s="6">
        <v>25</v>
      </c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54" ht="15.75">
      <c r="A56" s="136">
        <v>48</v>
      </c>
      <c r="B56" s="177" t="s">
        <v>1404</v>
      </c>
      <c r="C56" s="178" t="s">
        <v>1370</v>
      </c>
      <c r="D56" s="136" t="s">
        <v>1405</v>
      </c>
      <c r="E56" s="179" t="s">
        <v>15</v>
      </c>
      <c r="F56" s="180">
        <v>20</v>
      </c>
      <c r="G56" s="1">
        <v>96</v>
      </c>
      <c r="H56" s="1">
        <v>18</v>
      </c>
      <c r="I56" s="1">
        <f t="shared" si="13"/>
        <v>114</v>
      </c>
      <c r="J56" s="1">
        <v>96</v>
      </c>
      <c r="K56" s="1">
        <v>18</v>
      </c>
      <c r="L56" s="1">
        <f t="shared" si="1"/>
        <v>114</v>
      </c>
      <c r="M56" s="1"/>
      <c r="N56" s="1"/>
      <c r="O56" s="1">
        <f t="shared" si="2"/>
        <v>0</v>
      </c>
      <c r="P56" s="1">
        <v>55</v>
      </c>
      <c r="Q56" s="1"/>
      <c r="R56" s="1">
        <f t="shared" si="3"/>
        <v>55</v>
      </c>
      <c r="S56" s="1"/>
      <c r="T56" s="1"/>
      <c r="U56" s="1">
        <f t="shared" si="4"/>
        <v>0</v>
      </c>
      <c r="V56" s="1">
        <v>55</v>
      </c>
      <c r="W56" s="1"/>
      <c r="X56" s="1">
        <f t="shared" si="5"/>
        <v>55</v>
      </c>
      <c r="Y56" s="174">
        <f t="shared" si="6"/>
        <v>302</v>
      </c>
      <c r="Z56" s="174">
        <f t="shared" si="7"/>
        <v>36</v>
      </c>
      <c r="AA56" s="174">
        <f t="shared" si="8"/>
        <v>338</v>
      </c>
      <c r="AB56" s="175">
        <f t="shared" si="9"/>
        <v>50.333333333333336</v>
      </c>
      <c r="AC56" s="175">
        <f t="shared" si="10"/>
        <v>6</v>
      </c>
      <c r="AD56" s="175">
        <f t="shared" si="11"/>
        <v>56.333333333333336</v>
      </c>
      <c r="AE56" s="6">
        <v>69</v>
      </c>
      <c r="AF56" s="6">
        <v>18</v>
      </c>
      <c r="AG56" s="6">
        <f t="shared" si="12"/>
        <v>87</v>
      </c>
      <c r="AH56" s="6">
        <v>106</v>
      </c>
      <c r="AI56" s="6"/>
      <c r="AJ56" s="6"/>
      <c r="AK56" s="6">
        <v>120</v>
      </c>
      <c r="AL56" s="6">
        <v>24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54" ht="15.75">
      <c r="A57" s="136">
        <v>49</v>
      </c>
      <c r="B57" s="177" t="s">
        <v>1406</v>
      </c>
      <c r="C57" s="178" t="s">
        <v>1370</v>
      </c>
      <c r="D57" s="136" t="s">
        <v>1407</v>
      </c>
      <c r="E57" s="179" t="s">
        <v>15</v>
      </c>
      <c r="F57" s="180">
        <v>8</v>
      </c>
      <c r="G57" s="1">
        <v>10</v>
      </c>
      <c r="H57" s="1"/>
      <c r="I57" s="1">
        <f t="shared" si="13"/>
        <v>10</v>
      </c>
      <c r="J57" s="1"/>
      <c r="K57" s="1"/>
      <c r="L57" s="1">
        <f t="shared" si="1"/>
        <v>0</v>
      </c>
      <c r="M57" s="1"/>
      <c r="N57" s="1"/>
      <c r="O57" s="1">
        <f t="shared" si="2"/>
        <v>0</v>
      </c>
      <c r="P57" s="1"/>
      <c r="Q57" s="1"/>
      <c r="R57" s="1">
        <f t="shared" si="3"/>
        <v>0</v>
      </c>
      <c r="S57" s="1"/>
      <c r="T57" s="1"/>
      <c r="U57" s="1">
        <f t="shared" si="4"/>
        <v>0</v>
      </c>
      <c r="V57" s="1"/>
      <c r="W57" s="1"/>
      <c r="X57" s="1">
        <f t="shared" si="5"/>
        <v>0</v>
      </c>
      <c r="Y57" s="174">
        <f t="shared" si="6"/>
        <v>10</v>
      </c>
      <c r="Z57" s="174">
        <f t="shared" si="7"/>
        <v>0</v>
      </c>
      <c r="AA57" s="174">
        <f t="shared" si="8"/>
        <v>10</v>
      </c>
      <c r="AB57" s="175">
        <f t="shared" si="9"/>
        <v>1.6666666666666667</v>
      </c>
      <c r="AC57" s="175">
        <f t="shared" si="10"/>
        <v>0</v>
      </c>
      <c r="AD57" s="175">
        <f t="shared" si="11"/>
        <v>1.6666666666666667</v>
      </c>
      <c r="AE57" s="6"/>
      <c r="AF57" s="6"/>
      <c r="AG57" s="6">
        <f t="shared" si="12"/>
        <v>0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54" ht="15.75">
      <c r="A58" s="136">
        <v>50</v>
      </c>
      <c r="B58" s="177" t="s">
        <v>1408</v>
      </c>
      <c r="C58" s="178" t="s">
        <v>1370</v>
      </c>
      <c r="D58" s="136" t="s">
        <v>1409</v>
      </c>
      <c r="E58" s="179" t="s">
        <v>15</v>
      </c>
      <c r="F58" s="180">
        <v>12</v>
      </c>
      <c r="G58" s="1">
        <v>0</v>
      </c>
      <c r="H58" s="1"/>
      <c r="I58" s="1">
        <f t="shared" si="13"/>
        <v>0</v>
      </c>
      <c r="J58" s="1"/>
      <c r="K58" s="1"/>
      <c r="L58" s="1">
        <f t="shared" si="1"/>
        <v>0</v>
      </c>
      <c r="M58" s="1"/>
      <c r="N58" s="1"/>
      <c r="O58" s="1">
        <f t="shared" si="2"/>
        <v>0</v>
      </c>
      <c r="P58" s="1"/>
      <c r="Q58" s="1"/>
      <c r="R58" s="1">
        <f t="shared" si="3"/>
        <v>0</v>
      </c>
      <c r="S58" s="1"/>
      <c r="T58" s="1"/>
      <c r="U58" s="1">
        <f t="shared" si="4"/>
        <v>0</v>
      </c>
      <c r="V58" s="1"/>
      <c r="W58" s="1"/>
      <c r="X58" s="1">
        <f t="shared" si="5"/>
        <v>0</v>
      </c>
      <c r="Y58" s="174">
        <f t="shared" si="6"/>
        <v>0</v>
      </c>
      <c r="Z58" s="174">
        <f t="shared" si="7"/>
        <v>0</v>
      </c>
      <c r="AA58" s="174">
        <f t="shared" si="8"/>
        <v>0</v>
      </c>
      <c r="AB58" s="175">
        <f t="shared" si="9"/>
        <v>0</v>
      </c>
      <c r="AC58" s="175">
        <f t="shared" si="10"/>
        <v>0</v>
      </c>
      <c r="AD58" s="175">
        <f t="shared" si="11"/>
        <v>0</v>
      </c>
      <c r="AE58" s="6"/>
      <c r="AF58" s="6"/>
      <c r="AG58" s="6">
        <f t="shared" si="12"/>
        <v>0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 spans="1:54" ht="15.75">
      <c r="A59" s="136">
        <v>51</v>
      </c>
      <c r="B59" s="177" t="s">
        <v>1410</v>
      </c>
      <c r="C59" s="178" t="s">
        <v>1370</v>
      </c>
      <c r="D59" s="136" t="s">
        <v>1411</v>
      </c>
      <c r="E59" s="179" t="s">
        <v>15</v>
      </c>
      <c r="F59" s="180">
        <v>5</v>
      </c>
      <c r="G59" s="1">
        <v>18</v>
      </c>
      <c r="H59" s="1"/>
      <c r="I59" s="1">
        <f t="shared" si="13"/>
        <v>18</v>
      </c>
      <c r="J59" s="1"/>
      <c r="K59" s="1">
        <v>18</v>
      </c>
      <c r="L59" s="1">
        <f t="shared" si="1"/>
        <v>18</v>
      </c>
      <c r="M59" s="1"/>
      <c r="N59" s="1">
        <v>18</v>
      </c>
      <c r="O59" s="1">
        <f t="shared" si="2"/>
        <v>18</v>
      </c>
      <c r="P59" s="1"/>
      <c r="Q59" s="1"/>
      <c r="R59" s="1">
        <f t="shared" si="3"/>
        <v>0</v>
      </c>
      <c r="S59" s="1"/>
      <c r="T59" s="1">
        <v>18</v>
      </c>
      <c r="U59" s="1">
        <f t="shared" si="4"/>
        <v>18</v>
      </c>
      <c r="V59" s="1"/>
      <c r="W59" s="1"/>
      <c r="X59" s="1">
        <f t="shared" si="5"/>
        <v>0</v>
      </c>
      <c r="Y59" s="174">
        <f t="shared" si="6"/>
        <v>18</v>
      </c>
      <c r="Z59" s="174">
        <f t="shared" si="7"/>
        <v>54</v>
      </c>
      <c r="AA59" s="174">
        <f t="shared" si="8"/>
        <v>72</v>
      </c>
      <c r="AB59" s="175">
        <f t="shared" si="9"/>
        <v>3</v>
      </c>
      <c r="AC59" s="175">
        <f t="shared" si="10"/>
        <v>9</v>
      </c>
      <c r="AD59" s="175">
        <f t="shared" si="11"/>
        <v>12</v>
      </c>
      <c r="AE59" s="6"/>
      <c r="AF59" s="6">
        <v>36</v>
      </c>
      <c r="AG59" s="6">
        <f t="shared" si="12"/>
        <v>36</v>
      </c>
      <c r="AH59" s="6">
        <v>10</v>
      </c>
      <c r="AI59" s="6"/>
      <c r="AJ59" s="6"/>
      <c r="AK59" s="6"/>
      <c r="AL59" s="6">
        <v>18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</row>
    <row r="60" spans="1:54" ht="15.75">
      <c r="A60" s="136">
        <v>52</v>
      </c>
      <c r="B60" s="177" t="s">
        <v>1412</v>
      </c>
      <c r="C60" s="178" t="s">
        <v>1370</v>
      </c>
      <c r="D60" s="136" t="s">
        <v>1413</v>
      </c>
      <c r="E60" s="179" t="s">
        <v>15</v>
      </c>
      <c r="F60" s="180">
        <v>25</v>
      </c>
      <c r="G60" s="1">
        <v>40</v>
      </c>
      <c r="H60" s="1"/>
      <c r="I60" s="1">
        <f t="shared" si="13"/>
        <v>40</v>
      </c>
      <c r="J60" s="1">
        <v>40</v>
      </c>
      <c r="K60" s="1"/>
      <c r="L60" s="1">
        <f t="shared" si="1"/>
        <v>40</v>
      </c>
      <c r="M60" s="1">
        <v>40</v>
      </c>
      <c r="N60" s="1"/>
      <c r="O60" s="1">
        <f t="shared" si="2"/>
        <v>40</v>
      </c>
      <c r="P60" s="1"/>
      <c r="Q60" s="1"/>
      <c r="R60" s="1">
        <f t="shared" si="3"/>
        <v>0</v>
      </c>
      <c r="S60" s="1">
        <v>250</v>
      </c>
      <c r="T60" s="1">
        <v>18</v>
      </c>
      <c r="U60" s="1">
        <f t="shared" si="4"/>
        <v>268</v>
      </c>
      <c r="V60" s="1"/>
      <c r="W60" s="1"/>
      <c r="X60" s="1">
        <f t="shared" si="5"/>
        <v>0</v>
      </c>
      <c r="Y60" s="174">
        <f t="shared" si="6"/>
        <v>370</v>
      </c>
      <c r="Z60" s="174">
        <f t="shared" si="7"/>
        <v>18</v>
      </c>
      <c r="AA60" s="174">
        <f t="shared" si="8"/>
        <v>388</v>
      </c>
      <c r="AB60" s="175">
        <f t="shared" si="9"/>
        <v>61.666666666666664</v>
      </c>
      <c r="AC60" s="175">
        <f t="shared" si="10"/>
        <v>3</v>
      </c>
      <c r="AD60" s="175">
        <f t="shared" si="11"/>
        <v>64.666666666666671</v>
      </c>
      <c r="AE60" s="6">
        <v>60</v>
      </c>
      <c r="AF60" s="6"/>
      <c r="AG60" s="6">
        <f t="shared" si="12"/>
        <v>60</v>
      </c>
      <c r="AH60" s="6">
        <v>40</v>
      </c>
      <c r="AI60" s="6"/>
      <c r="AJ60" s="6"/>
      <c r="AK60" s="6">
        <v>172</v>
      </c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</row>
    <row r="61" spans="1:54" ht="15.75">
      <c r="A61" s="136">
        <v>53</v>
      </c>
      <c r="B61" s="177" t="s">
        <v>962</v>
      </c>
      <c r="C61" s="178" t="s">
        <v>1370</v>
      </c>
      <c r="D61" s="136" t="s">
        <v>1414</v>
      </c>
      <c r="E61" s="181" t="s">
        <v>18</v>
      </c>
      <c r="F61" s="180">
        <v>21</v>
      </c>
      <c r="G61" s="1">
        <v>0</v>
      </c>
      <c r="H61" s="1"/>
      <c r="I61" s="1">
        <f t="shared" si="13"/>
        <v>0</v>
      </c>
      <c r="J61" s="1"/>
      <c r="K61" s="1"/>
      <c r="L61" s="1">
        <f t="shared" si="1"/>
        <v>0</v>
      </c>
      <c r="M61" s="1"/>
      <c r="N61" s="1"/>
      <c r="O61" s="1">
        <f t="shared" si="2"/>
        <v>0</v>
      </c>
      <c r="P61" s="1"/>
      <c r="Q61" s="1"/>
      <c r="R61" s="1">
        <f t="shared" si="3"/>
        <v>0</v>
      </c>
      <c r="S61" s="1"/>
      <c r="T61" s="1"/>
      <c r="U61" s="1">
        <f t="shared" si="4"/>
        <v>0</v>
      </c>
      <c r="V61" s="1"/>
      <c r="W61" s="1"/>
      <c r="X61" s="1">
        <f t="shared" si="5"/>
        <v>0</v>
      </c>
      <c r="Y61" s="174">
        <f t="shared" si="6"/>
        <v>0</v>
      </c>
      <c r="Z61" s="174">
        <f t="shared" si="7"/>
        <v>0</v>
      </c>
      <c r="AA61" s="174">
        <f t="shared" si="8"/>
        <v>0</v>
      </c>
      <c r="AB61" s="175">
        <f t="shared" si="9"/>
        <v>0</v>
      </c>
      <c r="AC61" s="175">
        <f t="shared" si="10"/>
        <v>0</v>
      </c>
      <c r="AD61" s="175">
        <f t="shared" si="11"/>
        <v>0</v>
      </c>
      <c r="AE61" s="6"/>
      <c r="AF61" s="6"/>
      <c r="AG61" s="6">
        <f t="shared" si="12"/>
        <v>0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</row>
    <row r="62" spans="1:54" ht="15.75">
      <c r="A62" s="136">
        <v>54</v>
      </c>
      <c r="B62" s="177" t="s">
        <v>1415</v>
      </c>
      <c r="C62" s="178" t="s">
        <v>1370</v>
      </c>
      <c r="D62" s="136" t="s">
        <v>1416</v>
      </c>
      <c r="E62" s="179" t="s">
        <v>15</v>
      </c>
      <c r="F62" s="180">
        <v>7</v>
      </c>
      <c r="G62" s="1">
        <v>100</v>
      </c>
      <c r="H62" s="1"/>
      <c r="I62" s="1">
        <f t="shared" si="13"/>
        <v>100</v>
      </c>
      <c r="J62" s="1"/>
      <c r="K62" s="1"/>
      <c r="L62" s="1">
        <f t="shared" si="1"/>
        <v>0</v>
      </c>
      <c r="M62" s="1">
        <v>40</v>
      </c>
      <c r="N62" s="1"/>
      <c r="O62" s="1">
        <f t="shared" si="2"/>
        <v>40</v>
      </c>
      <c r="P62" s="1"/>
      <c r="Q62" s="1"/>
      <c r="R62" s="1">
        <f t="shared" si="3"/>
        <v>0</v>
      </c>
      <c r="S62" s="1"/>
      <c r="T62" s="1"/>
      <c r="U62" s="1">
        <f t="shared" si="4"/>
        <v>0</v>
      </c>
      <c r="V62" s="1">
        <v>50</v>
      </c>
      <c r="W62" s="1"/>
      <c r="X62" s="1">
        <f t="shared" si="5"/>
        <v>50</v>
      </c>
      <c r="Y62" s="174">
        <f t="shared" si="6"/>
        <v>190</v>
      </c>
      <c r="Z62" s="174">
        <f t="shared" si="7"/>
        <v>0</v>
      </c>
      <c r="AA62" s="174">
        <f t="shared" si="8"/>
        <v>190</v>
      </c>
      <c r="AB62" s="175">
        <f t="shared" si="9"/>
        <v>31.666666666666668</v>
      </c>
      <c r="AC62" s="175">
        <f t="shared" si="10"/>
        <v>0</v>
      </c>
      <c r="AD62" s="175">
        <f t="shared" si="11"/>
        <v>31.666666666666668</v>
      </c>
      <c r="AE62" s="6">
        <v>25</v>
      </c>
      <c r="AF62" s="6"/>
      <c r="AG62" s="6">
        <f t="shared" si="12"/>
        <v>25</v>
      </c>
      <c r="AH62" s="6">
        <v>25</v>
      </c>
      <c r="AI62" s="6"/>
      <c r="AJ62" s="6"/>
      <c r="AK62" s="6">
        <v>25</v>
      </c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</row>
    <row r="63" spans="1:54" ht="15.75">
      <c r="A63" s="136">
        <v>55</v>
      </c>
      <c r="B63" s="182" t="s">
        <v>1417</v>
      </c>
      <c r="C63" s="178" t="s">
        <v>1370</v>
      </c>
      <c r="D63" s="136" t="s">
        <v>1418</v>
      </c>
      <c r="E63" s="179" t="s">
        <v>15</v>
      </c>
      <c r="F63" s="180">
        <v>3</v>
      </c>
      <c r="G63" s="1">
        <v>0</v>
      </c>
      <c r="H63" s="1"/>
      <c r="I63" s="1">
        <f t="shared" si="13"/>
        <v>0</v>
      </c>
      <c r="J63" s="1"/>
      <c r="K63" s="1"/>
      <c r="L63" s="1">
        <f t="shared" si="1"/>
        <v>0</v>
      </c>
      <c r="M63" s="1"/>
      <c r="N63" s="1"/>
      <c r="O63" s="1">
        <f t="shared" si="2"/>
        <v>0</v>
      </c>
      <c r="P63" s="1"/>
      <c r="Q63" s="1"/>
      <c r="R63" s="1">
        <f t="shared" si="3"/>
        <v>0</v>
      </c>
      <c r="S63" s="1"/>
      <c r="T63" s="1"/>
      <c r="U63" s="1">
        <f t="shared" si="4"/>
        <v>0</v>
      </c>
      <c r="V63" s="1"/>
      <c r="W63" s="1"/>
      <c r="X63" s="1">
        <f t="shared" si="5"/>
        <v>0</v>
      </c>
      <c r="Y63" s="174">
        <f t="shared" si="6"/>
        <v>0</v>
      </c>
      <c r="Z63" s="174">
        <f t="shared" si="7"/>
        <v>0</v>
      </c>
      <c r="AA63" s="174">
        <f t="shared" si="8"/>
        <v>0</v>
      </c>
      <c r="AB63" s="175">
        <f t="shared" si="9"/>
        <v>0</v>
      </c>
      <c r="AC63" s="175">
        <f t="shared" si="10"/>
        <v>0</v>
      </c>
      <c r="AD63" s="175">
        <f t="shared" si="11"/>
        <v>0</v>
      </c>
      <c r="AE63" s="6"/>
      <c r="AF63" s="6"/>
      <c r="AG63" s="6">
        <f t="shared" si="12"/>
        <v>0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</row>
    <row r="64" spans="1:54" ht="15.75">
      <c r="A64" s="136">
        <v>56</v>
      </c>
      <c r="B64" s="182" t="s">
        <v>1419</v>
      </c>
      <c r="C64" s="178" t="s">
        <v>1370</v>
      </c>
      <c r="D64" s="136" t="s">
        <v>1420</v>
      </c>
      <c r="E64" s="179" t="s">
        <v>15</v>
      </c>
      <c r="F64" s="180">
        <v>4</v>
      </c>
      <c r="G64" s="1">
        <v>0</v>
      </c>
      <c r="H64" s="1"/>
      <c r="I64" s="1">
        <f t="shared" si="13"/>
        <v>0</v>
      </c>
      <c r="J64" s="1"/>
      <c r="K64" s="1"/>
      <c r="L64" s="1">
        <f t="shared" si="1"/>
        <v>0</v>
      </c>
      <c r="M64" s="1">
        <v>20</v>
      </c>
      <c r="N64" s="1"/>
      <c r="O64" s="1">
        <f t="shared" si="2"/>
        <v>20</v>
      </c>
      <c r="P64" s="1"/>
      <c r="Q64" s="1"/>
      <c r="R64" s="1">
        <f t="shared" si="3"/>
        <v>0</v>
      </c>
      <c r="S64" s="1"/>
      <c r="T64" s="1"/>
      <c r="U64" s="1">
        <f t="shared" si="4"/>
        <v>0</v>
      </c>
      <c r="V64" s="1"/>
      <c r="W64" s="1"/>
      <c r="X64" s="1">
        <f t="shared" si="5"/>
        <v>0</v>
      </c>
      <c r="Y64" s="174">
        <f t="shared" si="6"/>
        <v>20</v>
      </c>
      <c r="Z64" s="174">
        <f t="shared" si="7"/>
        <v>0</v>
      </c>
      <c r="AA64" s="174">
        <f t="shared" si="8"/>
        <v>20</v>
      </c>
      <c r="AB64" s="175">
        <f t="shared" si="9"/>
        <v>3.3333333333333335</v>
      </c>
      <c r="AC64" s="175">
        <f t="shared" si="10"/>
        <v>0</v>
      </c>
      <c r="AD64" s="175">
        <f t="shared" si="11"/>
        <v>3.3333333333333335</v>
      </c>
      <c r="AE64" s="6"/>
      <c r="AF64" s="6"/>
      <c r="AG64" s="6">
        <f t="shared" si="12"/>
        <v>0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</row>
    <row r="65" spans="1:54" ht="15.75">
      <c r="A65" s="136">
        <v>57</v>
      </c>
      <c r="B65" s="43" t="s">
        <v>1421</v>
      </c>
      <c r="C65" s="183" t="s">
        <v>1370</v>
      </c>
      <c r="D65" s="190" t="s">
        <v>1422</v>
      </c>
      <c r="E65" s="184" t="s">
        <v>18</v>
      </c>
      <c r="F65" s="46">
        <v>8</v>
      </c>
      <c r="G65" s="19">
        <v>0</v>
      </c>
      <c r="H65" s="19"/>
      <c r="I65" s="19">
        <f t="shared" si="13"/>
        <v>0</v>
      </c>
      <c r="J65" s="19">
        <v>196</v>
      </c>
      <c r="K65" s="19">
        <v>46</v>
      </c>
      <c r="L65" s="19">
        <f t="shared" si="1"/>
        <v>242</v>
      </c>
      <c r="M65" s="19">
        <v>0</v>
      </c>
      <c r="N65" s="19">
        <v>0</v>
      </c>
      <c r="O65" s="19">
        <f t="shared" si="2"/>
        <v>0</v>
      </c>
      <c r="P65" s="19">
        <v>0</v>
      </c>
      <c r="Q65" s="19">
        <v>0</v>
      </c>
      <c r="R65" s="19">
        <f t="shared" si="3"/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38">
        <f t="shared" si="6"/>
        <v>196</v>
      </c>
      <c r="Z65" s="138">
        <f t="shared" si="7"/>
        <v>46</v>
      </c>
      <c r="AA65" s="138">
        <f t="shared" si="8"/>
        <v>242</v>
      </c>
      <c r="AB65" s="139">
        <f t="shared" si="9"/>
        <v>32.666666666666664</v>
      </c>
      <c r="AC65" s="139">
        <f t="shared" si="10"/>
        <v>7.666666666666667</v>
      </c>
      <c r="AD65" s="139">
        <f t="shared" si="11"/>
        <v>40.333333333333336</v>
      </c>
      <c r="AE65" s="19"/>
      <c r="AF65" s="19"/>
      <c r="AG65" s="19">
        <f>AE65+AF65</f>
        <v>0</v>
      </c>
      <c r="AH65" s="19">
        <v>116</v>
      </c>
      <c r="AI65" s="19">
        <v>56</v>
      </c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</row>
    <row r="66" spans="1:54" ht="15.75">
      <c r="A66" s="136">
        <v>58</v>
      </c>
      <c r="B66" s="43" t="s">
        <v>1423</v>
      </c>
      <c r="C66" s="183" t="s">
        <v>1370</v>
      </c>
      <c r="D66" s="190" t="s">
        <v>1424</v>
      </c>
      <c r="E66" s="184" t="s">
        <v>15</v>
      </c>
      <c r="F66" s="46">
        <v>20</v>
      </c>
      <c r="G66" s="19">
        <v>128</v>
      </c>
      <c r="H66" s="19"/>
      <c r="I66" s="19">
        <f t="shared" si="13"/>
        <v>128</v>
      </c>
      <c r="J66" s="19">
        <v>0</v>
      </c>
      <c r="K66" s="19">
        <v>0</v>
      </c>
      <c r="L66" s="19">
        <f t="shared" si="1"/>
        <v>0</v>
      </c>
      <c r="M66" s="19">
        <v>160</v>
      </c>
      <c r="N66" s="19">
        <v>0</v>
      </c>
      <c r="O66" s="19">
        <f t="shared" si="2"/>
        <v>160</v>
      </c>
      <c r="P66" s="19">
        <v>0</v>
      </c>
      <c r="Q66" s="19">
        <v>0</v>
      </c>
      <c r="R66" s="19">
        <f t="shared" si="3"/>
        <v>0</v>
      </c>
      <c r="S66" s="19">
        <v>0</v>
      </c>
      <c r="T66" s="19">
        <v>0</v>
      </c>
      <c r="U66" s="19">
        <f t="shared" si="4"/>
        <v>0</v>
      </c>
      <c r="V66" s="19">
        <v>0</v>
      </c>
      <c r="W66" s="19">
        <v>0</v>
      </c>
      <c r="X66" s="19">
        <f t="shared" si="5"/>
        <v>0</v>
      </c>
      <c r="Y66" s="138">
        <f t="shared" si="6"/>
        <v>288</v>
      </c>
      <c r="Z66" s="138">
        <f t="shared" si="7"/>
        <v>0</v>
      </c>
      <c r="AA66" s="138">
        <f t="shared" si="8"/>
        <v>288</v>
      </c>
      <c r="AB66" s="139">
        <f t="shared" si="9"/>
        <v>48</v>
      </c>
      <c r="AC66" s="139">
        <f t="shared" si="10"/>
        <v>0</v>
      </c>
      <c r="AD66" s="139">
        <f t="shared" si="11"/>
        <v>48</v>
      </c>
      <c r="AE66" s="19"/>
      <c r="AF66" s="19"/>
      <c r="AG66" s="19">
        <f>AE66+AF66</f>
        <v>0</v>
      </c>
      <c r="AH66" s="19"/>
      <c r="AI66" s="19">
        <v>56</v>
      </c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</row>
    <row r="67" spans="1:54" ht="15.75">
      <c r="A67" s="136">
        <v>59</v>
      </c>
      <c r="B67" s="43" t="s">
        <v>1425</v>
      </c>
      <c r="C67" s="183" t="s">
        <v>1370</v>
      </c>
      <c r="D67" s="190" t="s">
        <v>1426</v>
      </c>
      <c r="E67" s="184" t="s">
        <v>18</v>
      </c>
      <c r="F67" s="46">
        <v>55</v>
      </c>
      <c r="G67" s="19">
        <v>76</v>
      </c>
      <c r="H67" s="19"/>
      <c r="I67" s="19">
        <f t="shared" si="13"/>
        <v>76</v>
      </c>
      <c r="J67" s="19">
        <v>58</v>
      </c>
      <c r="K67" s="19">
        <v>0</v>
      </c>
      <c r="L67" s="19">
        <f t="shared" si="1"/>
        <v>58</v>
      </c>
      <c r="M67" s="19">
        <v>0</v>
      </c>
      <c r="N67" s="19">
        <v>0</v>
      </c>
      <c r="O67" s="19">
        <f t="shared" si="2"/>
        <v>0</v>
      </c>
      <c r="P67" s="19">
        <v>0</v>
      </c>
      <c r="Q67" s="19">
        <v>0</v>
      </c>
      <c r="R67" s="19">
        <f t="shared" si="3"/>
        <v>0</v>
      </c>
      <c r="S67" s="19"/>
      <c r="T67" s="19">
        <v>0</v>
      </c>
      <c r="U67" s="19">
        <f t="shared" si="4"/>
        <v>0</v>
      </c>
      <c r="V67" s="19">
        <v>0</v>
      </c>
      <c r="W67" s="19">
        <v>0</v>
      </c>
      <c r="X67" s="19">
        <f t="shared" si="5"/>
        <v>0</v>
      </c>
      <c r="Y67" s="138">
        <f t="shared" si="6"/>
        <v>134</v>
      </c>
      <c r="Z67" s="138">
        <f t="shared" si="7"/>
        <v>0</v>
      </c>
      <c r="AA67" s="138">
        <f t="shared" si="8"/>
        <v>134</v>
      </c>
      <c r="AB67" s="139">
        <f t="shared" si="9"/>
        <v>22.333333333333332</v>
      </c>
      <c r="AC67" s="139">
        <f t="shared" si="10"/>
        <v>0</v>
      </c>
      <c r="AD67" s="139">
        <f t="shared" si="11"/>
        <v>22.333333333333332</v>
      </c>
      <c r="AE67" s="19">
        <v>76</v>
      </c>
      <c r="AF67" s="19">
        <v>0</v>
      </c>
      <c r="AG67" s="19">
        <f>AE67+AF67</f>
        <v>76</v>
      </c>
      <c r="AH67" s="19"/>
      <c r="AI67" s="19"/>
      <c r="AJ67" s="19"/>
      <c r="AK67" s="19">
        <v>58</v>
      </c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</row>
    <row r="68" spans="1:54" ht="15.75">
      <c r="A68" s="136">
        <v>60</v>
      </c>
      <c r="B68" s="185" t="s">
        <v>1427</v>
      </c>
      <c r="C68" s="183" t="s">
        <v>1370</v>
      </c>
      <c r="D68" s="190" t="s">
        <v>1428</v>
      </c>
      <c r="E68" s="184" t="s">
        <v>18</v>
      </c>
      <c r="F68" s="46">
        <v>89</v>
      </c>
      <c r="G68" s="19">
        <v>0</v>
      </c>
      <c r="H68" s="19"/>
      <c r="I68" s="19">
        <f t="shared" si="13"/>
        <v>0</v>
      </c>
      <c r="J68" s="19">
        <v>76</v>
      </c>
      <c r="K68" s="19">
        <v>82</v>
      </c>
      <c r="L68" s="19">
        <f t="shared" si="1"/>
        <v>158</v>
      </c>
      <c r="M68" s="19">
        <v>0</v>
      </c>
      <c r="N68" s="19">
        <v>0</v>
      </c>
      <c r="O68" s="19">
        <f t="shared" si="2"/>
        <v>0</v>
      </c>
      <c r="P68" s="19">
        <v>259</v>
      </c>
      <c r="Q68" s="19">
        <v>38</v>
      </c>
      <c r="R68" s="19">
        <f t="shared" si="3"/>
        <v>297</v>
      </c>
      <c r="S68" s="19">
        <v>0</v>
      </c>
      <c r="T68" s="19">
        <v>0</v>
      </c>
      <c r="U68" s="19">
        <v>0</v>
      </c>
      <c r="V68" s="19">
        <v>0</v>
      </c>
      <c r="W68" s="19"/>
      <c r="X68" s="19">
        <f t="shared" si="5"/>
        <v>0</v>
      </c>
      <c r="Y68" s="138">
        <f t="shared" si="6"/>
        <v>335</v>
      </c>
      <c r="Z68" s="138">
        <f t="shared" si="7"/>
        <v>120</v>
      </c>
      <c r="AA68" s="138">
        <f t="shared" si="8"/>
        <v>455</v>
      </c>
      <c r="AB68" s="139">
        <f t="shared" si="9"/>
        <v>55.833333333333336</v>
      </c>
      <c r="AC68" s="139">
        <f t="shared" si="10"/>
        <v>20</v>
      </c>
      <c r="AD68" s="139">
        <f t="shared" si="11"/>
        <v>75.833333333333329</v>
      </c>
      <c r="AE68" s="19"/>
      <c r="AF68" s="19"/>
      <c r="AG68" s="19">
        <f>AE68+AF68</f>
        <v>0</v>
      </c>
      <c r="AH68" s="19">
        <v>80</v>
      </c>
      <c r="AI68" s="19">
        <v>174</v>
      </c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</row>
    <row r="69" spans="1:54" ht="15.75">
      <c r="A69" s="136">
        <v>61</v>
      </c>
      <c r="B69" s="177" t="s">
        <v>1429</v>
      </c>
      <c r="C69" s="178" t="s">
        <v>1430</v>
      </c>
      <c r="D69" s="136" t="s">
        <v>1431</v>
      </c>
      <c r="E69" s="179" t="s">
        <v>15</v>
      </c>
      <c r="F69" s="180">
        <v>10</v>
      </c>
      <c r="G69" s="1">
        <v>38</v>
      </c>
      <c r="H69" s="1"/>
      <c r="I69" s="1">
        <f t="shared" si="13"/>
        <v>38</v>
      </c>
      <c r="J69" s="1">
        <v>36</v>
      </c>
      <c r="K69" s="1"/>
      <c r="L69" s="1">
        <f t="shared" si="1"/>
        <v>36</v>
      </c>
      <c r="M69" s="1">
        <v>125</v>
      </c>
      <c r="N69" s="1"/>
      <c r="O69" s="1">
        <f t="shared" si="2"/>
        <v>125</v>
      </c>
      <c r="P69" s="1"/>
      <c r="Q69" s="1"/>
      <c r="R69" s="1">
        <f t="shared" si="3"/>
        <v>0</v>
      </c>
      <c r="S69" s="1">
        <v>50</v>
      </c>
      <c r="T69" s="1"/>
      <c r="U69" s="1">
        <f t="shared" si="4"/>
        <v>50</v>
      </c>
      <c r="V69" s="1"/>
      <c r="W69" s="1"/>
      <c r="X69" s="1">
        <f t="shared" si="5"/>
        <v>0</v>
      </c>
      <c r="Y69" s="174">
        <f t="shared" si="6"/>
        <v>249</v>
      </c>
      <c r="Z69" s="174">
        <f t="shared" si="7"/>
        <v>0</v>
      </c>
      <c r="AA69" s="174">
        <f t="shared" si="8"/>
        <v>249</v>
      </c>
      <c r="AB69" s="175">
        <f t="shared" si="9"/>
        <v>41.5</v>
      </c>
      <c r="AC69" s="175">
        <f t="shared" si="10"/>
        <v>0</v>
      </c>
      <c r="AD69" s="175">
        <f t="shared" si="11"/>
        <v>41.5</v>
      </c>
      <c r="AE69" s="6">
        <v>61</v>
      </c>
      <c r="AF69" s="6">
        <v>18</v>
      </c>
      <c r="AG69" s="6">
        <f t="shared" ref="AG69:AG96" si="14">AE69+AF69</f>
        <v>79</v>
      </c>
      <c r="AH69" s="6">
        <v>43</v>
      </c>
      <c r="AI69" s="6"/>
      <c r="AJ69" s="6"/>
      <c r="AK69" s="6">
        <v>25</v>
      </c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</row>
    <row r="70" spans="1:54" ht="15.75">
      <c r="A70" s="136">
        <v>62</v>
      </c>
      <c r="B70" s="177" t="s">
        <v>1432</v>
      </c>
      <c r="C70" s="178" t="s">
        <v>1430</v>
      </c>
      <c r="D70" s="136" t="s">
        <v>1433</v>
      </c>
      <c r="E70" s="179" t="s">
        <v>15</v>
      </c>
      <c r="F70" s="180">
        <v>10</v>
      </c>
      <c r="G70" s="1">
        <v>50</v>
      </c>
      <c r="H70" s="1"/>
      <c r="I70" s="1">
        <f t="shared" si="13"/>
        <v>50</v>
      </c>
      <c r="J70" s="1"/>
      <c r="K70" s="1"/>
      <c r="L70" s="1">
        <f t="shared" si="1"/>
        <v>0</v>
      </c>
      <c r="M70" s="1">
        <v>25</v>
      </c>
      <c r="N70" s="1"/>
      <c r="O70" s="1">
        <f t="shared" si="2"/>
        <v>25</v>
      </c>
      <c r="P70" s="1"/>
      <c r="Q70" s="1"/>
      <c r="R70" s="1">
        <f t="shared" si="3"/>
        <v>0</v>
      </c>
      <c r="S70" s="1">
        <v>25</v>
      </c>
      <c r="T70" s="1"/>
      <c r="U70" s="1">
        <f t="shared" si="4"/>
        <v>25</v>
      </c>
      <c r="V70" s="1"/>
      <c r="W70" s="1"/>
      <c r="X70" s="1">
        <f t="shared" si="5"/>
        <v>0</v>
      </c>
      <c r="Y70" s="174">
        <f t="shared" si="6"/>
        <v>100</v>
      </c>
      <c r="Z70" s="174">
        <f t="shared" si="7"/>
        <v>0</v>
      </c>
      <c r="AA70" s="174">
        <f t="shared" si="8"/>
        <v>100</v>
      </c>
      <c r="AB70" s="175">
        <f t="shared" si="9"/>
        <v>16.666666666666668</v>
      </c>
      <c r="AC70" s="175">
        <f t="shared" si="10"/>
        <v>0</v>
      </c>
      <c r="AD70" s="175">
        <f t="shared" si="11"/>
        <v>16.666666666666668</v>
      </c>
      <c r="AE70" s="6">
        <v>25</v>
      </c>
      <c r="AF70" s="6"/>
      <c r="AG70" s="6">
        <f t="shared" si="14"/>
        <v>25</v>
      </c>
      <c r="AH70" s="6">
        <v>25</v>
      </c>
      <c r="AI70" s="6"/>
      <c r="AJ70" s="6"/>
      <c r="AK70" s="6">
        <v>25</v>
      </c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</row>
    <row r="71" spans="1:54" ht="15.75">
      <c r="A71" s="136">
        <v>63</v>
      </c>
      <c r="B71" s="177" t="s">
        <v>1434</v>
      </c>
      <c r="C71" s="178" t="s">
        <v>1430</v>
      </c>
      <c r="D71" s="136" t="s">
        <v>1435</v>
      </c>
      <c r="E71" s="179" t="s">
        <v>15</v>
      </c>
      <c r="F71" s="180">
        <v>2</v>
      </c>
      <c r="G71" s="1">
        <v>0</v>
      </c>
      <c r="H71" s="1"/>
      <c r="I71" s="1">
        <f t="shared" si="13"/>
        <v>0</v>
      </c>
      <c r="J71" s="1"/>
      <c r="K71" s="1"/>
      <c r="L71" s="1">
        <f t="shared" si="1"/>
        <v>0</v>
      </c>
      <c r="M71" s="1"/>
      <c r="N71" s="1"/>
      <c r="O71" s="1">
        <f t="shared" si="2"/>
        <v>0</v>
      </c>
      <c r="P71" s="1"/>
      <c r="Q71" s="1"/>
      <c r="R71" s="1">
        <f t="shared" si="3"/>
        <v>0</v>
      </c>
      <c r="S71" s="1"/>
      <c r="T71" s="1"/>
      <c r="U71" s="1">
        <f t="shared" si="4"/>
        <v>0</v>
      </c>
      <c r="V71" s="1">
        <v>18</v>
      </c>
      <c r="W71" s="1"/>
      <c r="X71" s="1">
        <f t="shared" si="5"/>
        <v>18</v>
      </c>
      <c r="Y71" s="174">
        <f t="shared" si="6"/>
        <v>18</v>
      </c>
      <c r="Z71" s="174">
        <f t="shared" si="7"/>
        <v>0</v>
      </c>
      <c r="AA71" s="174">
        <f t="shared" si="8"/>
        <v>18</v>
      </c>
      <c r="AB71" s="175">
        <f t="shared" si="9"/>
        <v>3</v>
      </c>
      <c r="AC71" s="175">
        <f t="shared" si="10"/>
        <v>0</v>
      </c>
      <c r="AD71" s="175">
        <f t="shared" si="11"/>
        <v>3</v>
      </c>
      <c r="AE71" s="6"/>
      <c r="AF71" s="6"/>
      <c r="AG71" s="6">
        <f t="shared" si="14"/>
        <v>0</v>
      </c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</row>
    <row r="72" spans="1:54" ht="15.75">
      <c r="A72" s="136">
        <v>64</v>
      </c>
      <c r="B72" s="177" t="s">
        <v>1436</v>
      </c>
      <c r="C72" s="178" t="s">
        <v>1430</v>
      </c>
      <c r="D72" s="136" t="s">
        <v>1437</v>
      </c>
      <c r="E72" s="179" t="s">
        <v>15</v>
      </c>
      <c r="F72" s="180">
        <v>2</v>
      </c>
      <c r="G72" s="1">
        <v>25</v>
      </c>
      <c r="H72" s="1"/>
      <c r="I72" s="1">
        <f t="shared" si="13"/>
        <v>25</v>
      </c>
      <c r="J72" s="1"/>
      <c r="K72" s="1"/>
      <c r="L72" s="1">
        <f t="shared" si="1"/>
        <v>0</v>
      </c>
      <c r="M72" s="1">
        <v>20</v>
      </c>
      <c r="N72" s="1"/>
      <c r="O72" s="1">
        <f t="shared" si="2"/>
        <v>20</v>
      </c>
      <c r="P72" s="1"/>
      <c r="Q72" s="1"/>
      <c r="R72" s="1">
        <f t="shared" si="3"/>
        <v>0</v>
      </c>
      <c r="S72" s="1">
        <v>25</v>
      </c>
      <c r="T72" s="1"/>
      <c r="U72" s="1">
        <f t="shared" si="4"/>
        <v>25</v>
      </c>
      <c r="V72" s="1"/>
      <c r="W72" s="1"/>
      <c r="X72" s="1">
        <f t="shared" si="5"/>
        <v>0</v>
      </c>
      <c r="Y72" s="174">
        <f t="shared" si="6"/>
        <v>70</v>
      </c>
      <c r="Z72" s="174">
        <f t="shared" si="7"/>
        <v>0</v>
      </c>
      <c r="AA72" s="174">
        <f t="shared" si="8"/>
        <v>70</v>
      </c>
      <c r="AB72" s="175">
        <f t="shared" si="9"/>
        <v>11.666666666666666</v>
      </c>
      <c r="AC72" s="175">
        <f t="shared" si="10"/>
        <v>0</v>
      </c>
      <c r="AD72" s="175">
        <f t="shared" si="11"/>
        <v>11.666666666666666</v>
      </c>
      <c r="AE72" s="6"/>
      <c r="AF72" s="6"/>
      <c r="AG72" s="6">
        <f t="shared" si="14"/>
        <v>0</v>
      </c>
      <c r="AH72" s="6">
        <v>10</v>
      </c>
      <c r="AI72" s="6"/>
      <c r="AJ72" s="6"/>
      <c r="AK72" s="6">
        <v>25</v>
      </c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</row>
    <row r="73" spans="1:54" ht="15.75">
      <c r="A73" s="136">
        <v>65</v>
      </c>
      <c r="B73" s="177" t="s">
        <v>1438</v>
      </c>
      <c r="C73" s="178" t="s">
        <v>1430</v>
      </c>
      <c r="D73" s="136" t="s">
        <v>1439</v>
      </c>
      <c r="E73" s="179" t="s">
        <v>15</v>
      </c>
      <c r="F73" s="180">
        <v>5</v>
      </c>
      <c r="G73" s="1">
        <v>0</v>
      </c>
      <c r="H73" s="1"/>
      <c r="I73" s="1">
        <f t="shared" si="13"/>
        <v>0</v>
      </c>
      <c r="J73" s="1"/>
      <c r="K73" s="1"/>
      <c r="L73" s="1">
        <f t="shared" si="1"/>
        <v>0</v>
      </c>
      <c r="M73" s="1"/>
      <c r="N73" s="1"/>
      <c r="O73" s="1">
        <f t="shared" si="2"/>
        <v>0</v>
      </c>
      <c r="P73" s="1"/>
      <c r="Q73" s="1"/>
      <c r="R73" s="1">
        <f t="shared" si="3"/>
        <v>0</v>
      </c>
      <c r="S73" s="1"/>
      <c r="T73" s="1"/>
      <c r="U73" s="1">
        <f t="shared" si="4"/>
        <v>0</v>
      </c>
      <c r="V73" s="1"/>
      <c r="W73" s="1"/>
      <c r="X73" s="1">
        <f t="shared" si="5"/>
        <v>0</v>
      </c>
      <c r="Y73" s="174">
        <f t="shared" si="6"/>
        <v>0</v>
      </c>
      <c r="Z73" s="174">
        <f t="shared" si="7"/>
        <v>0</v>
      </c>
      <c r="AA73" s="174">
        <f t="shared" si="8"/>
        <v>0</v>
      </c>
      <c r="AB73" s="175">
        <f t="shared" si="9"/>
        <v>0</v>
      </c>
      <c r="AC73" s="175">
        <f t="shared" si="10"/>
        <v>0</v>
      </c>
      <c r="AD73" s="175">
        <f t="shared" si="11"/>
        <v>0</v>
      </c>
      <c r="AE73" s="6"/>
      <c r="AF73" s="6"/>
      <c r="AG73" s="6">
        <f t="shared" si="14"/>
        <v>0</v>
      </c>
      <c r="AH73" s="6">
        <v>10</v>
      </c>
      <c r="AI73" s="6"/>
      <c r="AJ73" s="6"/>
      <c r="AK73" s="6">
        <v>10</v>
      </c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</row>
    <row r="74" spans="1:54" ht="15.75">
      <c r="A74" s="136">
        <v>66</v>
      </c>
      <c r="B74" s="177" t="s">
        <v>1440</v>
      </c>
      <c r="C74" s="178" t="s">
        <v>1430</v>
      </c>
      <c r="D74" s="136" t="s">
        <v>1441</v>
      </c>
      <c r="E74" s="181" t="s">
        <v>18</v>
      </c>
      <c r="F74" s="180">
        <v>5</v>
      </c>
      <c r="G74" s="1">
        <v>0</v>
      </c>
      <c r="H74" s="1"/>
      <c r="I74" s="1">
        <f t="shared" si="13"/>
        <v>0</v>
      </c>
      <c r="J74" s="1"/>
      <c r="K74" s="1"/>
      <c r="L74" s="1">
        <f t="shared" ref="L74:L137" si="15">J74+K74</f>
        <v>0</v>
      </c>
      <c r="M74" s="1"/>
      <c r="N74" s="1"/>
      <c r="O74" s="1">
        <f t="shared" ref="O74:O97" si="16">M74+N74</f>
        <v>0</v>
      </c>
      <c r="P74" s="1"/>
      <c r="Q74" s="1"/>
      <c r="R74" s="1">
        <f t="shared" ref="R74:R97" si="17">P74+Q74</f>
        <v>0</v>
      </c>
      <c r="S74" s="1"/>
      <c r="T74" s="1"/>
      <c r="U74" s="1">
        <f t="shared" ref="U74:U97" si="18">S74+T74</f>
        <v>0</v>
      </c>
      <c r="V74" s="1"/>
      <c r="W74" s="1"/>
      <c r="X74" s="1">
        <f t="shared" ref="X74:X97" si="19">V74+W74</f>
        <v>0</v>
      </c>
      <c r="Y74" s="174">
        <f t="shared" ref="Y74:Y137" si="20">G74+J74+M74+P74+S74+V74</f>
        <v>0</v>
      </c>
      <c r="Z74" s="174">
        <f t="shared" ref="Z74:Z137" si="21">H74+K74+N74+Q74+T74+W74</f>
        <v>0</v>
      </c>
      <c r="AA74" s="174">
        <f t="shared" ref="AA74:AA137" si="22">I74+L74+O74+R74+U74+X74</f>
        <v>0</v>
      </c>
      <c r="AB74" s="175">
        <f t="shared" ref="AB74:AB137" si="23">Y74/6</f>
        <v>0</v>
      </c>
      <c r="AC74" s="175">
        <f t="shared" ref="AC74:AC137" si="24">Z74/6</f>
        <v>0</v>
      </c>
      <c r="AD74" s="175">
        <f t="shared" ref="AD74:AD137" si="25">AA74/6</f>
        <v>0</v>
      </c>
      <c r="AE74" s="6"/>
      <c r="AF74" s="6"/>
      <c r="AG74" s="6">
        <f t="shared" si="14"/>
        <v>0</v>
      </c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</row>
    <row r="75" spans="1:54" ht="15.75">
      <c r="A75" s="136">
        <v>67</v>
      </c>
      <c r="B75" s="177" t="s">
        <v>1442</v>
      </c>
      <c r="C75" s="178" t="s">
        <v>1430</v>
      </c>
      <c r="D75" s="136" t="s">
        <v>1443</v>
      </c>
      <c r="E75" s="181" t="s">
        <v>18</v>
      </c>
      <c r="F75" s="180">
        <v>20</v>
      </c>
      <c r="G75" s="1">
        <v>18</v>
      </c>
      <c r="H75" s="1"/>
      <c r="I75" s="1">
        <f t="shared" si="13"/>
        <v>18</v>
      </c>
      <c r="J75" s="1"/>
      <c r="K75" s="1"/>
      <c r="L75" s="1">
        <f t="shared" si="15"/>
        <v>0</v>
      </c>
      <c r="M75" s="1">
        <v>50</v>
      </c>
      <c r="N75" s="1">
        <v>20</v>
      </c>
      <c r="O75" s="1">
        <f t="shared" si="16"/>
        <v>70</v>
      </c>
      <c r="P75" s="1"/>
      <c r="Q75" s="1"/>
      <c r="R75" s="1">
        <f t="shared" si="17"/>
        <v>0</v>
      </c>
      <c r="S75" s="1">
        <v>36</v>
      </c>
      <c r="T75" s="1">
        <v>36</v>
      </c>
      <c r="U75" s="1">
        <f t="shared" si="18"/>
        <v>72</v>
      </c>
      <c r="V75" s="1"/>
      <c r="W75" s="1">
        <v>100</v>
      </c>
      <c r="X75" s="1">
        <f t="shared" si="19"/>
        <v>100</v>
      </c>
      <c r="Y75" s="174">
        <f t="shared" si="20"/>
        <v>104</v>
      </c>
      <c r="Z75" s="174">
        <f t="shared" si="21"/>
        <v>156</v>
      </c>
      <c r="AA75" s="174">
        <f t="shared" si="22"/>
        <v>260</v>
      </c>
      <c r="AB75" s="175">
        <f t="shared" si="23"/>
        <v>17.333333333333332</v>
      </c>
      <c r="AC75" s="175">
        <f t="shared" si="24"/>
        <v>26</v>
      </c>
      <c r="AD75" s="175">
        <f t="shared" si="25"/>
        <v>43.333333333333336</v>
      </c>
      <c r="AE75" s="6">
        <v>36</v>
      </c>
      <c r="AF75" s="6"/>
      <c r="AG75" s="6">
        <f t="shared" si="14"/>
        <v>36</v>
      </c>
      <c r="AH75" s="6">
        <v>18</v>
      </c>
      <c r="AI75" s="6"/>
      <c r="AJ75" s="6"/>
      <c r="AK75" s="6">
        <v>36</v>
      </c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</row>
    <row r="76" spans="1:54" ht="15.75">
      <c r="A76" s="136">
        <v>68</v>
      </c>
      <c r="B76" s="177" t="s">
        <v>1444</v>
      </c>
      <c r="C76" s="178" t="s">
        <v>1430</v>
      </c>
      <c r="D76" s="136" t="s">
        <v>1445</v>
      </c>
      <c r="E76" s="179" t="s">
        <v>15</v>
      </c>
      <c r="F76" s="180">
        <v>10</v>
      </c>
      <c r="G76" s="1">
        <v>20</v>
      </c>
      <c r="H76" s="1"/>
      <c r="I76" s="1">
        <f t="shared" ref="I76:I139" si="26">G76+H76</f>
        <v>20</v>
      </c>
      <c r="J76" s="1">
        <v>25</v>
      </c>
      <c r="K76" s="1"/>
      <c r="L76" s="1">
        <f t="shared" si="15"/>
        <v>25</v>
      </c>
      <c r="M76" s="1"/>
      <c r="N76" s="1"/>
      <c r="O76" s="1">
        <f t="shared" si="16"/>
        <v>0</v>
      </c>
      <c r="P76" s="1"/>
      <c r="Q76" s="1"/>
      <c r="R76" s="1">
        <f t="shared" si="17"/>
        <v>0</v>
      </c>
      <c r="S76" s="1">
        <v>20</v>
      </c>
      <c r="T76" s="1"/>
      <c r="U76" s="1">
        <f t="shared" si="18"/>
        <v>20</v>
      </c>
      <c r="V76" s="1"/>
      <c r="W76" s="1"/>
      <c r="X76" s="1">
        <f t="shared" si="19"/>
        <v>0</v>
      </c>
      <c r="Y76" s="174">
        <f t="shared" si="20"/>
        <v>65</v>
      </c>
      <c r="Z76" s="174">
        <f t="shared" si="21"/>
        <v>0</v>
      </c>
      <c r="AA76" s="174">
        <f t="shared" si="22"/>
        <v>65</v>
      </c>
      <c r="AB76" s="175">
        <f t="shared" si="23"/>
        <v>10.833333333333334</v>
      </c>
      <c r="AC76" s="175">
        <f t="shared" si="24"/>
        <v>0</v>
      </c>
      <c r="AD76" s="175">
        <f t="shared" si="25"/>
        <v>10.833333333333334</v>
      </c>
      <c r="AE76" s="6"/>
      <c r="AF76" s="6"/>
      <c r="AG76" s="6">
        <f t="shared" si="14"/>
        <v>0</v>
      </c>
      <c r="AH76" s="6">
        <v>20</v>
      </c>
      <c r="AI76" s="6"/>
      <c r="AJ76" s="6"/>
      <c r="AK76" s="6">
        <v>20</v>
      </c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</row>
    <row r="77" spans="1:54" ht="15.75">
      <c r="A77" s="136">
        <v>69</v>
      </c>
      <c r="B77" s="177" t="s">
        <v>1446</v>
      </c>
      <c r="C77" s="178" t="s">
        <v>1430</v>
      </c>
      <c r="D77" s="136" t="s">
        <v>1447</v>
      </c>
      <c r="E77" s="179" t="s">
        <v>15</v>
      </c>
      <c r="F77" s="180">
        <v>15</v>
      </c>
      <c r="G77" s="1">
        <v>0</v>
      </c>
      <c r="H77" s="1"/>
      <c r="I77" s="1">
        <f t="shared" si="26"/>
        <v>0</v>
      </c>
      <c r="J77" s="1">
        <v>50</v>
      </c>
      <c r="K77" s="1"/>
      <c r="L77" s="1">
        <f t="shared" si="15"/>
        <v>50</v>
      </c>
      <c r="M77" s="1"/>
      <c r="N77" s="1"/>
      <c r="O77" s="1">
        <f t="shared" si="16"/>
        <v>0</v>
      </c>
      <c r="P77" s="1"/>
      <c r="Q77" s="1"/>
      <c r="R77" s="1">
        <f t="shared" si="17"/>
        <v>0</v>
      </c>
      <c r="S77" s="1">
        <v>40</v>
      </c>
      <c r="T77" s="1"/>
      <c r="U77" s="1">
        <f t="shared" si="18"/>
        <v>40</v>
      </c>
      <c r="V77" s="1"/>
      <c r="W77" s="1"/>
      <c r="X77" s="1">
        <f t="shared" si="19"/>
        <v>0</v>
      </c>
      <c r="Y77" s="174">
        <f t="shared" si="20"/>
        <v>90</v>
      </c>
      <c r="Z77" s="174">
        <f t="shared" si="21"/>
        <v>0</v>
      </c>
      <c r="AA77" s="174">
        <f t="shared" si="22"/>
        <v>90</v>
      </c>
      <c r="AB77" s="175">
        <f t="shared" si="23"/>
        <v>15</v>
      </c>
      <c r="AC77" s="175">
        <f t="shared" si="24"/>
        <v>0</v>
      </c>
      <c r="AD77" s="175">
        <f t="shared" si="25"/>
        <v>15</v>
      </c>
      <c r="AE77" s="6"/>
      <c r="AF77" s="6"/>
      <c r="AG77" s="6">
        <f t="shared" si="14"/>
        <v>0</v>
      </c>
      <c r="AH77" s="6">
        <v>18</v>
      </c>
      <c r="AI77" s="6"/>
      <c r="AJ77" s="6"/>
      <c r="AK77" s="6">
        <v>18</v>
      </c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</row>
    <row r="78" spans="1:54" ht="15.75">
      <c r="A78" s="136">
        <v>70</v>
      </c>
      <c r="B78" s="177" t="s">
        <v>1448</v>
      </c>
      <c r="C78" s="178" t="s">
        <v>1430</v>
      </c>
      <c r="D78" s="136" t="s">
        <v>1449</v>
      </c>
      <c r="E78" s="179" t="s">
        <v>15</v>
      </c>
      <c r="F78" s="180">
        <v>11</v>
      </c>
      <c r="G78" s="1">
        <v>40</v>
      </c>
      <c r="H78" s="1"/>
      <c r="I78" s="1">
        <f t="shared" si="26"/>
        <v>40</v>
      </c>
      <c r="J78" s="1">
        <v>40</v>
      </c>
      <c r="K78" s="1"/>
      <c r="L78" s="1">
        <f t="shared" si="15"/>
        <v>40</v>
      </c>
      <c r="M78" s="1"/>
      <c r="N78" s="1"/>
      <c r="O78" s="1">
        <f t="shared" si="16"/>
        <v>0</v>
      </c>
      <c r="P78" s="1">
        <v>60</v>
      </c>
      <c r="Q78" s="1"/>
      <c r="R78" s="1">
        <f t="shared" si="17"/>
        <v>60</v>
      </c>
      <c r="S78" s="1">
        <v>40</v>
      </c>
      <c r="T78" s="1"/>
      <c r="U78" s="1">
        <f t="shared" si="18"/>
        <v>40</v>
      </c>
      <c r="V78" s="1"/>
      <c r="W78" s="1"/>
      <c r="X78" s="1">
        <f t="shared" si="19"/>
        <v>0</v>
      </c>
      <c r="Y78" s="174">
        <f t="shared" si="20"/>
        <v>180</v>
      </c>
      <c r="Z78" s="174">
        <f t="shared" si="21"/>
        <v>0</v>
      </c>
      <c r="AA78" s="174">
        <f t="shared" si="22"/>
        <v>180</v>
      </c>
      <c r="AB78" s="175">
        <f t="shared" si="23"/>
        <v>30</v>
      </c>
      <c r="AC78" s="175">
        <f t="shared" si="24"/>
        <v>0</v>
      </c>
      <c r="AD78" s="175">
        <f t="shared" si="25"/>
        <v>30</v>
      </c>
      <c r="AE78" s="6">
        <v>40</v>
      </c>
      <c r="AF78" s="6"/>
      <c r="AG78" s="6">
        <f t="shared" si="14"/>
        <v>40</v>
      </c>
      <c r="AH78" s="6">
        <v>20</v>
      </c>
      <c r="AI78" s="6"/>
      <c r="AJ78" s="6"/>
      <c r="AK78" s="6">
        <v>40</v>
      </c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</row>
    <row r="79" spans="1:54" ht="15.75">
      <c r="A79" s="136">
        <v>71</v>
      </c>
      <c r="B79" s="182" t="s">
        <v>1450</v>
      </c>
      <c r="C79" s="178" t="s">
        <v>1430</v>
      </c>
      <c r="D79" s="136" t="s">
        <v>1451</v>
      </c>
      <c r="E79" s="179" t="s">
        <v>15</v>
      </c>
      <c r="F79" s="180">
        <v>7</v>
      </c>
      <c r="G79" s="1">
        <v>36</v>
      </c>
      <c r="H79" s="1"/>
      <c r="I79" s="1">
        <f t="shared" si="26"/>
        <v>36</v>
      </c>
      <c r="J79" s="1">
        <v>20</v>
      </c>
      <c r="K79" s="1"/>
      <c r="L79" s="1">
        <f t="shared" si="15"/>
        <v>20</v>
      </c>
      <c r="M79" s="1"/>
      <c r="N79" s="1"/>
      <c r="O79" s="1">
        <f t="shared" si="16"/>
        <v>0</v>
      </c>
      <c r="P79" s="1"/>
      <c r="Q79" s="1"/>
      <c r="R79" s="1">
        <f t="shared" si="17"/>
        <v>0</v>
      </c>
      <c r="S79" s="1">
        <v>50</v>
      </c>
      <c r="T79" s="1">
        <v>6</v>
      </c>
      <c r="U79" s="1">
        <f t="shared" si="18"/>
        <v>56</v>
      </c>
      <c r="V79" s="1"/>
      <c r="W79" s="1"/>
      <c r="X79" s="1">
        <f t="shared" si="19"/>
        <v>0</v>
      </c>
      <c r="Y79" s="174">
        <f t="shared" si="20"/>
        <v>106</v>
      </c>
      <c r="Z79" s="174">
        <f t="shared" si="21"/>
        <v>6</v>
      </c>
      <c r="AA79" s="174">
        <f t="shared" si="22"/>
        <v>112</v>
      </c>
      <c r="AB79" s="175">
        <f t="shared" si="23"/>
        <v>17.666666666666668</v>
      </c>
      <c r="AC79" s="175">
        <f t="shared" si="24"/>
        <v>1</v>
      </c>
      <c r="AD79" s="175">
        <f t="shared" si="25"/>
        <v>18.666666666666668</v>
      </c>
      <c r="AE79" s="6"/>
      <c r="AF79" s="6"/>
      <c r="AG79" s="6">
        <f t="shared" si="14"/>
        <v>0</v>
      </c>
      <c r="AH79" s="6">
        <v>25</v>
      </c>
      <c r="AI79" s="6"/>
      <c r="AJ79" s="6"/>
      <c r="AK79" s="6">
        <v>36</v>
      </c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</row>
    <row r="80" spans="1:54" ht="15.75">
      <c r="A80" s="136">
        <v>72</v>
      </c>
      <c r="B80" s="182" t="s">
        <v>1452</v>
      </c>
      <c r="C80" s="178" t="s">
        <v>1430</v>
      </c>
      <c r="D80" s="136" t="s">
        <v>1453</v>
      </c>
      <c r="E80" s="179" t="s">
        <v>15</v>
      </c>
      <c r="F80" s="180">
        <v>16</v>
      </c>
      <c r="G80" s="1">
        <v>38</v>
      </c>
      <c r="H80" s="1"/>
      <c r="I80" s="1">
        <f t="shared" si="26"/>
        <v>38</v>
      </c>
      <c r="J80" s="1">
        <v>43</v>
      </c>
      <c r="K80" s="1"/>
      <c r="L80" s="1">
        <f t="shared" si="15"/>
        <v>43</v>
      </c>
      <c r="M80" s="1">
        <v>20</v>
      </c>
      <c r="N80" s="1"/>
      <c r="O80" s="1">
        <f t="shared" si="16"/>
        <v>20</v>
      </c>
      <c r="P80" s="1"/>
      <c r="Q80" s="1"/>
      <c r="R80" s="1">
        <f t="shared" si="17"/>
        <v>0</v>
      </c>
      <c r="S80" s="1">
        <v>56</v>
      </c>
      <c r="T80" s="1"/>
      <c r="U80" s="1">
        <f t="shared" si="18"/>
        <v>56</v>
      </c>
      <c r="V80" s="1"/>
      <c r="W80" s="1"/>
      <c r="X80" s="1">
        <f t="shared" si="19"/>
        <v>0</v>
      </c>
      <c r="Y80" s="174">
        <f t="shared" si="20"/>
        <v>157</v>
      </c>
      <c r="Z80" s="174">
        <f t="shared" si="21"/>
        <v>0</v>
      </c>
      <c r="AA80" s="174">
        <f t="shared" si="22"/>
        <v>157</v>
      </c>
      <c r="AB80" s="175">
        <f t="shared" si="23"/>
        <v>26.166666666666668</v>
      </c>
      <c r="AC80" s="175">
        <f t="shared" si="24"/>
        <v>0</v>
      </c>
      <c r="AD80" s="175">
        <f t="shared" si="25"/>
        <v>26.166666666666668</v>
      </c>
      <c r="AE80" s="6">
        <v>43</v>
      </c>
      <c r="AF80" s="6"/>
      <c r="AG80" s="6">
        <f t="shared" si="14"/>
        <v>43</v>
      </c>
      <c r="AH80" s="6">
        <v>43</v>
      </c>
      <c r="AI80" s="6"/>
      <c r="AJ80" s="6"/>
      <c r="AK80" s="6">
        <v>63</v>
      </c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</row>
    <row r="81" spans="1:54" ht="15.75">
      <c r="A81" s="136">
        <v>73</v>
      </c>
      <c r="B81" s="182" t="s">
        <v>1454</v>
      </c>
      <c r="C81" s="178" t="s">
        <v>1430</v>
      </c>
      <c r="D81" s="136" t="s">
        <v>1455</v>
      </c>
      <c r="E81" s="179" t="s">
        <v>15</v>
      </c>
      <c r="F81" s="180">
        <v>3</v>
      </c>
      <c r="G81" s="1">
        <v>0</v>
      </c>
      <c r="H81" s="1"/>
      <c r="I81" s="1">
        <f t="shared" si="26"/>
        <v>0</v>
      </c>
      <c r="J81" s="1"/>
      <c r="K81" s="1"/>
      <c r="L81" s="1">
        <f t="shared" si="15"/>
        <v>0</v>
      </c>
      <c r="M81" s="1"/>
      <c r="N81" s="1"/>
      <c r="O81" s="1">
        <f t="shared" si="16"/>
        <v>0</v>
      </c>
      <c r="P81" s="1"/>
      <c r="Q81" s="1"/>
      <c r="R81" s="1">
        <f t="shared" si="17"/>
        <v>0</v>
      </c>
      <c r="S81" s="1"/>
      <c r="T81" s="1"/>
      <c r="U81" s="1">
        <f t="shared" si="18"/>
        <v>0</v>
      </c>
      <c r="V81" s="1"/>
      <c r="W81" s="1"/>
      <c r="X81" s="1">
        <f t="shared" si="19"/>
        <v>0</v>
      </c>
      <c r="Y81" s="174">
        <f t="shared" si="20"/>
        <v>0</v>
      </c>
      <c r="Z81" s="174">
        <f t="shared" si="21"/>
        <v>0</v>
      </c>
      <c r="AA81" s="174">
        <f t="shared" si="22"/>
        <v>0</v>
      </c>
      <c r="AB81" s="175">
        <f t="shared" si="23"/>
        <v>0</v>
      </c>
      <c r="AC81" s="175">
        <f t="shared" si="24"/>
        <v>0</v>
      </c>
      <c r="AD81" s="175">
        <f t="shared" si="25"/>
        <v>0</v>
      </c>
      <c r="AE81" s="6"/>
      <c r="AF81" s="6"/>
      <c r="AG81" s="6">
        <f t="shared" si="14"/>
        <v>0</v>
      </c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</row>
    <row r="82" spans="1:54" ht="15.75">
      <c r="A82" s="136">
        <v>74</v>
      </c>
      <c r="B82" s="182" t="s">
        <v>1456</v>
      </c>
      <c r="C82" s="178" t="s">
        <v>1430</v>
      </c>
      <c r="D82" s="136" t="s">
        <v>1457</v>
      </c>
      <c r="E82" s="179" t="s">
        <v>15</v>
      </c>
      <c r="F82" s="180">
        <v>25</v>
      </c>
      <c r="G82" s="1">
        <v>100</v>
      </c>
      <c r="H82" s="1"/>
      <c r="I82" s="1">
        <f t="shared" si="26"/>
        <v>100</v>
      </c>
      <c r="J82" s="1">
        <v>100</v>
      </c>
      <c r="K82" s="1"/>
      <c r="L82" s="1">
        <f t="shared" si="15"/>
        <v>100</v>
      </c>
      <c r="M82" s="1">
        <v>36</v>
      </c>
      <c r="N82" s="1"/>
      <c r="O82" s="1">
        <f t="shared" si="16"/>
        <v>36</v>
      </c>
      <c r="P82" s="1">
        <v>106</v>
      </c>
      <c r="Q82" s="1"/>
      <c r="R82" s="1">
        <f t="shared" si="17"/>
        <v>106</v>
      </c>
      <c r="S82" s="1"/>
      <c r="T82" s="1"/>
      <c r="U82" s="1">
        <f t="shared" si="18"/>
        <v>0</v>
      </c>
      <c r="V82" s="1">
        <v>50</v>
      </c>
      <c r="W82" s="1"/>
      <c r="X82" s="1">
        <f t="shared" si="19"/>
        <v>50</v>
      </c>
      <c r="Y82" s="174">
        <f t="shared" si="20"/>
        <v>392</v>
      </c>
      <c r="Z82" s="174">
        <f t="shared" si="21"/>
        <v>0</v>
      </c>
      <c r="AA82" s="174">
        <f t="shared" si="22"/>
        <v>392</v>
      </c>
      <c r="AB82" s="175">
        <f t="shared" si="23"/>
        <v>65.333333333333329</v>
      </c>
      <c r="AC82" s="175">
        <f t="shared" si="24"/>
        <v>0</v>
      </c>
      <c r="AD82" s="175">
        <f t="shared" si="25"/>
        <v>65.333333333333329</v>
      </c>
      <c r="AE82" s="6">
        <v>81</v>
      </c>
      <c r="AF82" s="6"/>
      <c r="AG82" s="6">
        <f t="shared" si="14"/>
        <v>81</v>
      </c>
      <c r="AH82" s="6">
        <v>176</v>
      </c>
      <c r="AI82" s="6"/>
      <c r="AJ82" s="6"/>
      <c r="AK82" s="6">
        <v>194</v>
      </c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</row>
    <row r="83" spans="1:54" ht="15.75">
      <c r="A83" s="136">
        <v>75</v>
      </c>
      <c r="B83" s="177" t="s">
        <v>1458</v>
      </c>
      <c r="C83" s="178" t="s">
        <v>1430</v>
      </c>
      <c r="D83" s="136" t="s">
        <v>1459</v>
      </c>
      <c r="E83" s="179" t="s">
        <v>15</v>
      </c>
      <c r="F83" s="180">
        <v>16</v>
      </c>
      <c r="G83" s="1">
        <v>32</v>
      </c>
      <c r="H83" s="1"/>
      <c r="I83" s="1">
        <f t="shared" si="26"/>
        <v>32</v>
      </c>
      <c r="J83" s="1">
        <v>64</v>
      </c>
      <c r="K83" s="1"/>
      <c r="L83" s="1">
        <f t="shared" si="15"/>
        <v>64</v>
      </c>
      <c r="M83" s="1">
        <v>80</v>
      </c>
      <c r="N83" s="1"/>
      <c r="O83" s="1">
        <f t="shared" si="16"/>
        <v>80</v>
      </c>
      <c r="P83" s="1"/>
      <c r="Q83" s="1"/>
      <c r="R83" s="1">
        <f t="shared" si="17"/>
        <v>0</v>
      </c>
      <c r="S83" s="1">
        <v>160</v>
      </c>
      <c r="T83" s="1"/>
      <c r="U83" s="1">
        <f t="shared" si="18"/>
        <v>160</v>
      </c>
      <c r="V83" s="1"/>
      <c r="W83" s="1"/>
      <c r="X83" s="1">
        <f t="shared" si="19"/>
        <v>0</v>
      </c>
      <c r="Y83" s="174">
        <f t="shared" si="20"/>
        <v>336</v>
      </c>
      <c r="Z83" s="174">
        <f t="shared" si="21"/>
        <v>0</v>
      </c>
      <c r="AA83" s="174">
        <f t="shared" si="22"/>
        <v>336</v>
      </c>
      <c r="AB83" s="175">
        <f t="shared" si="23"/>
        <v>56</v>
      </c>
      <c r="AC83" s="175">
        <f t="shared" si="24"/>
        <v>0</v>
      </c>
      <c r="AD83" s="175">
        <f t="shared" si="25"/>
        <v>56</v>
      </c>
      <c r="AE83" s="6">
        <v>80</v>
      </c>
      <c r="AF83" s="6"/>
      <c r="AG83" s="6">
        <f t="shared" si="14"/>
        <v>80</v>
      </c>
      <c r="AH83" s="6">
        <v>160</v>
      </c>
      <c r="AI83" s="6"/>
      <c r="AJ83" s="6"/>
      <c r="AK83" s="6">
        <v>320</v>
      </c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</row>
    <row r="84" spans="1:54" ht="15.75">
      <c r="A84" s="136">
        <v>76</v>
      </c>
      <c r="B84" s="186" t="s">
        <v>1460</v>
      </c>
      <c r="C84" s="178" t="s">
        <v>1430</v>
      </c>
      <c r="D84" s="136" t="s">
        <v>1461</v>
      </c>
      <c r="E84" s="181" t="s">
        <v>18</v>
      </c>
      <c r="F84" s="70">
        <v>20</v>
      </c>
      <c r="G84" s="6">
        <v>0</v>
      </c>
      <c r="H84" s="6"/>
      <c r="I84" s="1">
        <f t="shared" si="26"/>
        <v>0</v>
      </c>
      <c r="J84" s="6">
        <v>180</v>
      </c>
      <c r="K84" s="6">
        <v>20</v>
      </c>
      <c r="L84" s="1">
        <f t="shared" si="15"/>
        <v>200</v>
      </c>
      <c r="M84" s="6"/>
      <c r="N84" s="6"/>
      <c r="O84" s="6">
        <f t="shared" si="16"/>
        <v>0</v>
      </c>
      <c r="P84" s="6"/>
      <c r="Q84" s="6"/>
      <c r="R84" s="6">
        <f t="shared" si="17"/>
        <v>0</v>
      </c>
      <c r="S84" s="6"/>
      <c r="T84" s="6"/>
      <c r="U84" s="6">
        <f t="shared" si="18"/>
        <v>0</v>
      </c>
      <c r="V84" s="6"/>
      <c r="W84" s="6"/>
      <c r="X84" s="6">
        <f t="shared" si="19"/>
        <v>0</v>
      </c>
      <c r="Y84" s="174">
        <f t="shared" si="20"/>
        <v>180</v>
      </c>
      <c r="Z84" s="174">
        <f t="shared" si="21"/>
        <v>20</v>
      </c>
      <c r="AA84" s="174">
        <f t="shared" si="22"/>
        <v>200</v>
      </c>
      <c r="AB84" s="175">
        <f t="shared" si="23"/>
        <v>30</v>
      </c>
      <c r="AC84" s="175">
        <f t="shared" si="24"/>
        <v>3.3333333333333335</v>
      </c>
      <c r="AD84" s="175">
        <f t="shared" si="25"/>
        <v>33.333333333333336</v>
      </c>
      <c r="AE84" s="6">
        <v>100</v>
      </c>
      <c r="AF84" s="6"/>
      <c r="AG84" s="6">
        <f t="shared" si="14"/>
        <v>100</v>
      </c>
      <c r="AH84" s="6">
        <v>250</v>
      </c>
      <c r="AI84" s="6"/>
      <c r="AJ84" s="6"/>
      <c r="AK84" s="6">
        <v>250</v>
      </c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</row>
    <row r="85" spans="1:54" ht="15.75">
      <c r="A85" s="136">
        <v>77</v>
      </c>
      <c r="B85" s="186" t="s">
        <v>53</v>
      </c>
      <c r="C85" s="178" t="s">
        <v>1430</v>
      </c>
      <c r="D85" s="136" t="s">
        <v>1462</v>
      </c>
      <c r="E85" s="181" t="s">
        <v>18</v>
      </c>
      <c r="F85" s="70">
        <v>65</v>
      </c>
      <c r="G85" s="6">
        <v>250</v>
      </c>
      <c r="H85" s="6"/>
      <c r="I85" s="1">
        <f t="shared" si="26"/>
        <v>250</v>
      </c>
      <c r="J85" s="6">
        <v>18</v>
      </c>
      <c r="K85" s="6"/>
      <c r="L85" s="1">
        <f t="shared" si="15"/>
        <v>18</v>
      </c>
      <c r="M85" s="6"/>
      <c r="N85" s="6"/>
      <c r="O85" s="6">
        <f t="shared" si="16"/>
        <v>0</v>
      </c>
      <c r="P85" s="6">
        <v>190</v>
      </c>
      <c r="Q85" s="6">
        <v>100</v>
      </c>
      <c r="R85" s="6">
        <f t="shared" si="17"/>
        <v>290</v>
      </c>
      <c r="S85" s="6"/>
      <c r="T85" s="6"/>
      <c r="U85" s="6">
        <f t="shared" si="18"/>
        <v>0</v>
      </c>
      <c r="V85" s="6">
        <v>90</v>
      </c>
      <c r="W85" s="6">
        <v>36</v>
      </c>
      <c r="X85" s="6">
        <f t="shared" si="19"/>
        <v>126</v>
      </c>
      <c r="Y85" s="174">
        <f t="shared" si="20"/>
        <v>548</v>
      </c>
      <c r="Z85" s="174">
        <f t="shared" si="21"/>
        <v>136</v>
      </c>
      <c r="AA85" s="174">
        <f t="shared" si="22"/>
        <v>684</v>
      </c>
      <c r="AB85" s="175">
        <f t="shared" si="23"/>
        <v>91.333333333333329</v>
      </c>
      <c r="AC85" s="175">
        <f t="shared" si="24"/>
        <v>22.666666666666668</v>
      </c>
      <c r="AD85" s="175">
        <f t="shared" si="25"/>
        <v>114</v>
      </c>
      <c r="AE85" s="6">
        <v>90</v>
      </c>
      <c r="AF85" s="6">
        <v>38</v>
      </c>
      <c r="AG85" s="6">
        <f t="shared" si="14"/>
        <v>128</v>
      </c>
      <c r="AH85" s="6">
        <v>316</v>
      </c>
      <c r="AI85" s="6">
        <v>20</v>
      </c>
      <c r="AJ85" s="6"/>
      <c r="AK85" s="6">
        <v>232</v>
      </c>
      <c r="AL85" s="6">
        <v>56</v>
      </c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</row>
    <row r="86" spans="1:54" ht="15.75">
      <c r="A86" s="136">
        <v>78</v>
      </c>
      <c r="B86" s="186" t="s">
        <v>1463</v>
      </c>
      <c r="C86" s="178" t="s">
        <v>1430</v>
      </c>
      <c r="D86" s="136" t="s">
        <v>1464</v>
      </c>
      <c r="E86" s="179" t="s">
        <v>15</v>
      </c>
      <c r="F86" s="70">
        <v>3</v>
      </c>
      <c r="G86" s="6">
        <v>0</v>
      </c>
      <c r="H86" s="6"/>
      <c r="I86" s="1">
        <f t="shared" si="26"/>
        <v>0</v>
      </c>
      <c r="J86" s="6"/>
      <c r="K86" s="6"/>
      <c r="L86" s="1">
        <f t="shared" si="15"/>
        <v>0</v>
      </c>
      <c r="M86" s="6"/>
      <c r="N86" s="6"/>
      <c r="O86" s="6">
        <f t="shared" si="16"/>
        <v>0</v>
      </c>
      <c r="P86" s="6"/>
      <c r="Q86" s="6"/>
      <c r="R86" s="6">
        <f t="shared" si="17"/>
        <v>0</v>
      </c>
      <c r="S86" s="6"/>
      <c r="T86" s="6"/>
      <c r="U86" s="6">
        <f t="shared" si="18"/>
        <v>0</v>
      </c>
      <c r="V86" s="6"/>
      <c r="W86" s="6"/>
      <c r="X86" s="6">
        <f t="shared" si="19"/>
        <v>0</v>
      </c>
      <c r="Y86" s="174">
        <f t="shared" si="20"/>
        <v>0</v>
      </c>
      <c r="Z86" s="174">
        <f t="shared" si="21"/>
        <v>0</v>
      </c>
      <c r="AA86" s="174">
        <f t="shared" si="22"/>
        <v>0</v>
      </c>
      <c r="AB86" s="175">
        <f t="shared" si="23"/>
        <v>0</v>
      </c>
      <c r="AC86" s="175">
        <f t="shared" si="24"/>
        <v>0</v>
      </c>
      <c r="AD86" s="175">
        <f t="shared" si="25"/>
        <v>0</v>
      </c>
      <c r="AE86" s="6"/>
      <c r="AF86" s="6"/>
      <c r="AG86" s="6">
        <f t="shared" si="14"/>
        <v>0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</row>
    <row r="87" spans="1:54" ht="15.75">
      <c r="A87" s="136">
        <v>79</v>
      </c>
      <c r="B87" s="186" t="s">
        <v>1465</v>
      </c>
      <c r="C87" s="178" t="s">
        <v>1430</v>
      </c>
      <c r="D87" s="136" t="s">
        <v>1466</v>
      </c>
      <c r="E87" s="181" t="s">
        <v>18</v>
      </c>
      <c r="F87" s="70">
        <v>18</v>
      </c>
      <c r="G87" s="6">
        <v>0</v>
      </c>
      <c r="H87" s="6">
        <v>18</v>
      </c>
      <c r="I87" s="1">
        <f t="shared" si="26"/>
        <v>18</v>
      </c>
      <c r="J87" s="6"/>
      <c r="K87" s="6">
        <v>36</v>
      </c>
      <c r="L87" s="1">
        <f t="shared" si="15"/>
        <v>36</v>
      </c>
      <c r="M87" s="6"/>
      <c r="N87" s="6">
        <v>36</v>
      </c>
      <c r="O87" s="6">
        <f t="shared" si="16"/>
        <v>36</v>
      </c>
      <c r="P87" s="6"/>
      <c r="Q87" s="6">
        <v>36</v>
      </c>
      <c r="R87" s="6">
        <f t="shared" si="17"/>
        <v>36</v>
      </c>
      <c r="S87" s="6"/>
      <c r="T87" s="6">
        <v>36</v>
      </c>
      <c r="U87" s="6">
        <f t="shared" si="18"/>
        <v>36</v>
      </c>
      <c r="V87" s="6"/>
      <c r="W87" s="6">
        <v>36</v>
      </c>
      <c r="X87" s="6">
        <f t="shared" si="19"/>
        <v>36</v>
      </c>
      <c r="Y87" s="174">
        <f t="shared" si="20"/>
        <v>0</v>
      </c>
      <c r="Z87" s="174">
        <f t="shared" si="21"/>
        <v>198</v>
      </c>
      <c r="AA87" s="174">
        <f t="shared" si="22"/>
        <v>198</v>
      </c>
      <c r="AB87" s="175">
        <f t="shared" si="23"/>
        <v>0</v>
      </c>
      <c r="AC87" s="175">
        <f t="shared" si="24"/>
        <v>33</v>
      </c>
      <c r="AD87" s="175">
        <f t="shared" si="25"/>
        <v>33</v>
      </c>
      <c r="AE87" s="6"/>
      <c r="AF87" s="6">
        <v>36</v>
      </c>
      <c r="AG87" s="6">
        <f t="shared" si="14"/>
        <v>36</v>
      </c>
      <c r="AH87" s="6">
        <v>90</v>
      </c>
      <c r="AI87" s="6">
        <v>36</v>
      </c>
      <c r="AJ87" s="6"/>
      <c r="AK87" s="6">
        <v>36</v>
      </c>
      <c r="AL87" s="6">
        <v>36</v>
      </c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</row>
    <row r="88" spans="1:54" ht="15.75">
      <c r="A88" s="136">
        <v>80</v>
      </c>
      <c r="B88" s="186" t="s">
        <v>1467</v>
      </c>
      <c r="C88" s="178" t="s">
        <v>1430</v>
      </c>
      <c r="D88" s="136" t="s">
        <v>1468</v>
      </c>
      <c r="E88" s="181" t="s">
        <v>18</v>
      </c>
      <c r="F88" s="70">
        <v>12</v>
      </c>
      <c r="G88" s="6">
        <v>0</v>
      </c>
      <c r="H88" s="6"/>
      <c r="I88" s="1">
        <f t="shared" si="26"/>
        <v>0</v>
      </c>
      <c r="J88" s="6"/>
      <c r="K88" s="6"/>
      <c r="L88" s="1">
        <f t="shared" si="15"/>
        <v>0</v>
      </c>
      <c r="M88" s="6"/>
      <c r="N88" s="6"/>
      <c r="O88" s="6">
        <f t="shared" si="16"/>
        <v>0</v>
      </c>
      <c r="P88" s="6"/>
      <c r="Q88" s="6"/>
      <c r="R88" s="6">
        <f t="shared" si="17"/>
        <v>0</v>
      </c>
      <c r="S88" s="6">
        <v>36</v>
      </c>
      <c r="T88" s="6">
        <v>18</v>
      </c>
      <c r="U88" s="6">
        <f t="shared" si="18"/>
        <v>54</v>
      </c>
      <c r="V88" s="6"/>
      <c r="W88" s="6"/>
      <c r="X88" s="6">
        <f t="shared" si="19"/>
        <v>0</v>
      </c>
      <c r="Y88" s="174">
        <f t="shared" si="20"/>
        <v>36</v>
      </c>
      <c r="Z88" s="174">
        <f t="shared" si="21"/>
        <v>18</v>
      </c>
      <c r="AA88" s="174">
        <f t="shared" si="22"/>
        <v>54</v>
      </c>
      <c r="AB88" s="175">
        <f t="shared" si="23"/>
        <v>6</v>
      </c>
      <c r="AC88" s="175">
        <f t="shared" si="24"/>
        <v>3</v>
      </c>
      <c r="AD88" s="175">
        <f t="shared" si="25"/>
        <v>9</v>
      </c>
      <c r="AE88" s="6"/>
      <c r="AF88" s="6"/>
      <c r="AG88" s="6">
        <f t="shared" si="14"/>
        <v>0</v>
      </c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</row>
    <row r="89" spans="1:54" ht="15.75">
      <c r="A89" s="136">
        <v>81</v>
      </c>
      <c r="B89" s="186" t="s">
        <v>1469</v>
      </c>
      <c r="C89" s="178" t="s">
        <v>1430</v>
      </c>
      <c r="D89" s="136" t="s">
        <v>1470</v>
      </c>
      <c r="E89" s="179" t="s">
        <v>15</v>
      </c>
      <c r="F89" s="70">
        <v>5</v>
      </c>
      <c r="G89" s="6">
        <v>0</v>
      </c>
      <c r="H89" s="6"/>
      <c r="I89" s="1">
        <f t="shared" si="26"/>
        <v>0</v>
      </c>
      <c r="J89" s="6"/>
      <c r="K89" s="6"/>
      <c r="L89" s="1">
        <f t="shared" si="15"/>
        <v>0</v>
      </c>
      <c r="M89" s="6"/>
      <c r="N89" s="6"/>
      <c r="O89" s="6">
        <f t="shared" si="16"/>
        <v>0</v>
      </c>
      <c r="P89" s="6"/>
      <c r="Q89" s="6"/>
      <c r="R89" s="6">
        <f t="shared" si="17"/>
        <v>0</v>
      </c>
      <c r="S89" s="6"/>
      <c r="T89" s="6"/>
      <c r="U89" s="6">
        <f t="shared" si="18"/>
        <v>0</v>
      </c>
      <c r="V89" s="6"/>
      <c r="W89" s="6"/>
      <c r="X89" s="6">
        <f t="shared" si="19"/>
        <v>0</v>
      </c>
      <c r="Y89" s="174">
        <f t="shared" si="20"/>
        <v>0</v>
      </c>
      <c r="Z89" s="174">
        <f t="shared" si="21"/>
        <v>0</v>
      </c>
      <c r="AA89" s="174">
        <f t="shared" si="22"/>
        <v>0</v>
      </c>
      <c r="AB89" s="175">
        <f t="shared" si="23"/>
        <v>0</v>
      </c>
      <c r="AC89" s="175">
        <f t="shared" si="24"/>
        <v>0</v>
      </c>
      <c r="AD89" s="175">
        <f t="shared" si="25"/>
        <v>0</v>
      </c>
      <c r="AE89" s="6"/>
      <c r="AF89" s="6"/>
      <c r="AG89" s="6">
        <f t="shared" si="14"/>
        <v>0</v>
      </c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</row>
    <row r="90" spans="1:54" ht="15.75">
      <c r="A90" s="136">
        <v>82</v>
      </c>
      <c r="B90" s="186" t="s">
        <v>947</v>
      </c>
      <c r="C90" s="178" t="s">
        <v>1430</v>
      </c>
      <c r="D90" s="136" t="s">
        <v>1471</v>
      </c>
      <c r="E90" s="179" t="s">
        <v>15</v>
      </c>
      <c r="F90" s="70">
        <v>5</v>
      </c>
      <c r="G90" s="6">
        <v>0</v>
      </c>
      <c r="H90" s="6"/>
      <c r="I90" s="1">
        <f t="shared" si="26"/>
        <v>0</v>
      </c>
      <c r="J90" s="6"/>
      <c r="K90" s="6"/>
      <c r="L90" s="1">
        <f t="shared" si="15"/>
        <v>0</v>
      </c>
      <c r="M90" s="6"/>
      <c r="N90" s="6"/>
      <c r="O90" s="6">
        <f t="shared" si="16"/>
        <v>0</v>
      </c>
      <c r="P90" s="6"/>
      <c r="Q90" s="6"/>
      <c r="R90" s="6">
        <f t="shared" si="17"/>
        <v>0</v>
      </c>
      <c r="S90" s="6"/>
      <c r="T90" s="6"/>
      <c r="U90" s="6">
        <f t="shared" si="18"/>
        <v>0</v>
      </c>
      <c r="V90" s="6"/>
      <c r="W90" s="6"/>
      <c r="X90" s="6">
        <f t="shared" si="19"/>
        <v>0</v>
      </c>
      <c r="Y90" s="174">
        <f t="shared" si="20"/>
        <v>0</v>
      </c>
      <c r="Z90" s="174">
        <f t="shared" si="21"/>
        <v>0</v>
      </c>
      <c r="AA90" s="174">
        <f t="shared" si="22"/>
        <v>0</v>
      </c>
      <c r="AB90" s="175">
        <f t="shared" si="23"/>
        <v>0</v>
      </c>
      <c r="AC90" s="175">
        <f t="shared" si="24"/>
        <v>0</v>
      </c>
      <c r="AD90" s="175">
        <f t="shared" si="25"/>
        <v>0</v>
      </c>
      <c r="AE90" s="6"/>
      <c r="AF90" s="6"/>
      <c r="AG90" s="6">
        <f t="shared" si="14"/>
        <v>0</v>
      </c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</row>
    <row r="91" spans="1:54" ht="15.75">
      <c r="A91" s="136">
        <v>83</v>
      </c>
      <c r="B91" s="186" t="s">
        <v>1472</v>
      </c>
      <c r="C91" s="178" t="s">
        <v>1430</v>
      </c>
      <c r="D91" s="136" t="s">
        <v>1473</v>
      </c>
      <c r="E91" s="179" t="s">
        <v>15</v>
      </c>
      <c r="F91" s="70">
        <v>18</v>
      </c>
      <c r="G91" s="6">
        <v>36</v>
      </c>
      <c r="H91" s="6"/>
      <c r="I91" s="1">
        <f t="shared" si="26"/>
        <v>36</v>
      </c>
      <c r="J91" s="6">
        <v>36</v>
      </c>
      <c r="K91" s="6"/>
      <c r="L91" s="1">
        <f t="shared" si="15"/>
        <v>36</v>
      </c>
      <c r="M91" s="6"/>
      <c r="N91" s="6"/>
      <c r="O91" s="6">
        <f t="shared" si="16"/>
        <v>0</v>
      </c>
      <c r="P91" s="6">
        <v>36</v>
      </c>
      <c r="Q91" s="6"/>
      <c r="R91" s="6">
        <f t="shared" si="17"/>
        <v>36</v>
      </c>
      <c r="S91" s="6">
        <v>56</v>
      </c>
      <c r="T91" s="6"/>
      <c r="U91" s="6">
        <f t="shared" si="18"/>
        <v>56</v>
      </c>
      <c r="V91" s="6"/>
      <c r="W91" s="6"/>
      <c r="X91" s="6">
        <f t="shared" si="19"/>
        <v>0</v>
      </c>
      <c r="Y91" s="174">
        <f t="shared" si="20"/>
        <v>164</v>
      </c>
      <c r="Z91" s="174">
        <f t="shared" si="21"/>
        <v>0</v>
      </c>
      <c r="AA91" s="174">
        <f t="shared" si="22"/>
        <v>164</v>
      </c>
      <c r="AB91" s="175">
        <f t="shared" si="23"/>
        <v>27.333333333333332</v>
      </c>
      <c r="AC91" s="175">
        <f t="shared" si="24"/>
        <v>0</v>
      </c>
      <c r="AD91" s="175">
        <f t="shared" si="25"/>
        <v>27.333333333333332</v>
      </c>
      <c r="AE91" s="6">
        <v>36</v>
      </c>
      <c r="AF91" s="6"/>
      <c r="AG91" s="6">
        <f t="shared" si="14"/>
        <v>36</v>
      </c>
      <c r="AH91" s="6">
        <v>56</v>
      </c>
      <c r="AI91" s="6"/>
      <c r="AJ91" s="6"/>
      <c r="AK91" s="6">
        <v>36</v>
      </c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</row>
    <row r="92" spans="1:54" ht="15.75">
      <c r="A92" s="136">
        <v>84</v>
      </c>
      <c r="B92" s="186" t="s">
        <v>1438</v>
      </c>
      <c r="C92" s="178" t="s">
        <v>1430</v>
      </c>
      <c r="D92" s="136" t="s">
        <v>1474</v>
      </c>
      <c r="E92" s="179" t="s">
        <v>15</v>
      </c>
      <c r="F92" s="70">
        <v>5</v>
      </c>
      <c r="G92" s="6">
        <v>0</v>
      </c>
      <c r="H92" s="6"/>
      <c r="I92" s="1">
        <f t="shared" si="26"/>
        <v>0</v>
      </c>
      <c r="J92" s="6"/>
      <c r="K92" s="6"/>
      <c r="L92" s="1">
        <f t="shared" si="15"/>
        <v>0</v>
      </c>
      <c r="M92" s="6"/>
      <c r="N92" s="6"/>
      <c r="O92" s="6">
        <f t="shared" si="16"/>
        <v>0</v>
      </c>
      <c r="P92" s="6"/>
      <c r="Q92" s="6"/>
      <c r="R92" s="6">
        <f t="shared" si="17"/>
        <v>0</v>
      </c>
      <c r="S92" s="6"/>
      <c r="T92" s="6"/>
      <c r="U92" s="6">
        <f t="shared" si="18"/>
        <v>0</v>
      </c>
      <c r="V92" s="6"/>
      <c r="W92" s="6"/>
      <c r="X92" s="6">
        <f t="shared" si="19"/>
        <v>0</v>
      </c>
      <c r="Y92" s="174">
        <f t="shared" si="20"/>
        <v>0</v>
      </c>
      <c r="Z92" s="174">
        <f t="shared" si="21"/>
        <v>0</v>
      </c>
      <c r="AA92" s="174">
        <f t="shared" si="22"/>
        <v>0</v>
      </c>
      <c r="AB92" s="175">
        <f t="shared" si="23"/>
        <v>0</v>
      </c>
      <c r="AC92" s="175">
        <f t="shared" si="24"/>
        <v>0</v>
      </c>
      <c r="AD92" s="175">
        <f t="shared" si="25"/>
        <v>0</v>
      </c>
      <c r="AE92" s="6"/>
      <c r="AF92" s="6"/>
      <c r="AG92" s="6">
        <f t="shared" si="14"/>
        <v>0</v>
      </c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</row>
    <row r="93" spans="1:54" ht="15.75">
      <c r="A93" s="136">
        <v>85</v>
      </c>
      <c r="B93" s="186" t="s">
        <v>1475</v>
      </c>
      <c r="C93" s="178" t="s">
        <v>1430</v>
      </c>
      <c r="D93" s="136" t="s">
        <v>1476</v>
      </c>
      <c r="E93" s="179" t="s">
        <v>15</v>
      </c>
      <c r="F93" s="70">
        <v>10</v>
      </c>
      <c r="G93" s="6">
        <v>0</v>
      </c>
      <c r="H93" s="6"/>
      <c r="I93" s="1">
        <f t="shared" si="26"/>
        <v>0</v>
      </c>
      <c r="J93" s="6">
        <v>20</v>
      </c>
      <c r="K93" s="6"/>
      <c r="L93" s="1">
        <f t="shared" si="15"/>
        <v>20</v>
      </c>
      <c r="M93" s="6">
        <v>64</v>
      </c>
      <c r="N93" s="6"/>
      <c r="O93" s="6">
        <f t="shared" si="16"/>
        <v>64</v>
      </c>
      <c r="P93" s="6">
        <v>40</v>
      </c>
      <c r="Q93" s="6"/>
      <c r="R93" s="6">
        <f t="shared" si="17"/>
        <v>40</v>
      </c>
      <c r="S93" s="6"/>
      <c r="T93" s="6"/>
      <c r="U93" s="6">
        <f t="shared" si="18"/>
        <v>0</v>
      </c>
      <c r="V93" s="6">
        <v>164</v>
      </c>
      <c r="W93" s="6"/>
      <c r="X93" s="6">
        <f t="shared" si="19"/>
        <v>164</v>
      </c>
      <c r="Y93" s="174">
        <f t="shared" si="20"/>
        <v>288</v>
      </c>
      <c r="Z93" s="174">
        <f t="shared" si="21"/>
        <v>0</v>
      </c>
      <c r="AA93" s="174">
        <f t="shared" si="22"/>
        <v>288</v>
      </c>
      <c r="AB93" s="175">
        <f t="shared" si="23"/>
        <v>48</v>
      </c>
      <c r="AC93" s="175">
        <f t="shared" si="24"/>
        <v>0</v>
      </c>
      <c r="AD93" s="175">
        <f t="shared" si="25"/>
        <v>48</v>
      </c>
      <c r="AE93" s="6">
        <v>40</v>
      </c>
      <c r="AF93" s="6"/>
      <c r="AG93" s="6">
        <f t="shared" si="14"/>
        <v>40</v>
      </c>
      <c r="AH93" s="6">
        <v>100</v>
      </c>
      <c r="AI93" s="6"/>
      <c r="AJ93" s="6"/>
      <c r="AK93" s="6">
        <v>20</v>
      </c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</row>
    <row r="94" spans="1:54" ht="15.75">
      <c r="A94" s="136">
        <v>86</v>
      </c>
      <c r="B94" s="186" t="s">
        <v>1477</v>
      </c>
      <c r="C94" s="178" t="s">
        <v>1430</v>
      </c>
      <c r="D94" s="136" t="s">
        <v>1478</v>
      </c>
      <c r="E94" s="181" t="s">
        <v>18</v>
      </c>
      <c r="F94" s="70">
        <v>5</v>
      </c>
      <c r="G94" s="6">
        <v>0</v>
      </c>
      <c r="H94" s="6"/>
      <c r="I94" s="1">
        <f t="shared" si="26"/>
        <v>0</v>
      </c>
      <c r="J94" s="6"/>
      <c r="K94" s="6"/>
      <c r="L94" s="1">
        <f t="shared" si="15"/>
        <v>0</v>
      </c>
      <c r="M94" s="6">
        <v>25</v>
      </c>
      <c r="N94" s="6"/>
      <c r="O94" s="6">
        <f t="shared" si="16"/>
        <v>25</v>
      </c>
      <c r="P94" s="6"/>
      <c r="Q94" s="6"/>
      <c r="R94" s="6">
        <f t="shared" si="17"/>
        <v>0</v>
      </c>
      <c r="S94" s="6">
        <v>100</v>
      </c>
      <c r="T94" s="6"/>
      <c r="U94" s="6">
        <f t="shared" si="18"/>
        <v>100</v>
      </c>
      <c r="V94" s="6"/>
      <c r="W94" s="6"/>
      <c r="X94" s="6">
        <f t="shared" si="19"/>
        <v>0</v>
      </c>
      <c r="Y94" s="174">
        <f t="shared" si="20"/>
        <v>125</v>
      </c>
      <c r="Z94" s="174">
        <f t="shared" si="21"/>
        <v>0</v>
      </c>
      <c r="AA94" s="174">
        <f t="shared" si="22"/>
        <v>125</v>
      </c>
      <c r="AB94" s="175">
        <f t="shared" si="23"/>
        <v>20.833333333333332</v>
      </c>
      <c r="AC94" s="175">
        <f t="shared" si="24"/>
        <v>0</v>
      </c>
      <c r="AD94" s="175">
        <f t="shared" si="25"/>
        <v>20.833333333333332</v>
      </c>
      <c r="AE94" s="6">
        <v>25</v>
      </c>
      <c r="AF94" s="6"/>
      <c r="AG94" s="6">
        <f t="shared" si="14"/>
        <v>25</v>
      </c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</row>
    <row r="95" spans="1:54" ht="15.75">
      <c r="A95" s="136">
        <v>87</v>
      </c>
      <c r="B95" s="186" t="s">
        <v>1479</v>
      </c>
      <c r="C95" s="178" t="s">
        <v>1430</v>
      </c>
      <c r="D95" s="136" t="s">
        <v>1480</v>
      </c>
      <c r="E95" s="179" t="s">
        <v>15</v>
      </c>
      <c r="F95" s="70">
        <v>10</v>
      </c>
      <c r="G95" s="6">
        <v>30</v>
      </c>
      <c r="H95" s="6">
        <v>18</v>
      </c>
      <c r="I95" s="1">
        <f t="shared" si="26"/>
        <v>48</v>
      </c>
      <c r="J95" s="6"/>
      <c r="K95" s="6">
        <v>18</v>
      </c>
      <c r="L95" s="1">
        <f t="shared" si="15"/>
        <v>18</v>
      </c>
      <c r="M95" s="6"/>
      <c r="N95" s="6">
        <v>18</v>
      </c>
      <c r="O95" s="6">
        <f t="shared" si="16"/>
        <v>18</v>
      </c>
      <c r="P95" s="6"/>
      <c r="Q95" s="6">
        <v>18</v>
      </c>
      <c r="R95" s="6">
        <f t="shared" si="17"/>
        <v>18</v>
      </c>
      <c r="S95" s="6"/>
      <c r="T95" s="6">
        <v>18</v>
      </c>
      <c r="U95" s="6">
        <f t="shared" si="18"/>
        <v>18</v>
      </c>
      <c r="V95" s="6"/>
      <c r="W95" s="6">
        <v>18</v>
      </c>
      <c r="X95" s="6">
        <f t="shared" si="19"/>
        <v>18</v>
      </c>
      <c r="Y95" s="174">
        <f t="shared" si="20"/>
        <v>30</v>
      </c>
      <c r="Z95" s="174">
        <f t="shared" si="21"/>
        <v>108</v>
      </c>
      <c r="AA95" s="174">
        <f t="shared" si="22"/>
        <v>138</v>
      </c>
      <c r="AB95" s="175">
        <f t="shared" si="23"/>
        <v>5</v>
      </c>
      <c r="AC95" s="175">
        <f t="shared" si="24"/>
        <v>18</v>
      </c>
      <c r="AD95" s="175">
        <f t="shared" si="25"/>
        <v>23</v>
      </c>
      <c r="AE95" s="6">
        <v>25</v>
      </c>
      <c r="AF95" s="6"/>
      <c r="AG95" s="6">
        <f t="shared" si="14"/>
        <v>25</v>
      </c>
      <c r="AH95" s="6">
        <v>40</v>
      </c>
      <c r="AI95" s="6">
        <v>18</v>
      </c>
      <c r="AJ95" s="6"/>
      <c r="AK95" s="6">
        <v>18</v>
      </c>
      <c r="AL95" s="6">
        <v>18</v>
      </c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</row>
    <row r="96" spans="1:54" ht="15.75">
      <c r="A96" s="136">
        <v>88</v>
      </c>
      <c r="B96" s="186" t="s">
        <v>1481</v>
      </c>
      <c r="C96" s="178" t="s">
        <v>1430</v>
      </c>
      <c r="D96" s="136" t="s">
        <v>1482</v>
      </c>
      <c r="E96" s="179" t="s">
        <v>15</v>
      </c>
      <c r="F96" s="70">
        <v>6</v>
      </c>
      <c r="G96" s="6">
        <v>0</v>
      </c>
      <c r="H96" s="6"/>
      <c r="I96" s="1">
        <f t="shared" si="26"/>
        <v>0</v>
      </c>
      <c r="J96" s="6">
        <v>36</v>
      </c>
      <c r="K96" s="6"/>
      <c r="L96" s="1">
        <f t="shared" si="15"/>
        <v>36</v>
      </c>
      <c r="M96" s="6"/>
      <c r="N96" s="6"/>
      <c r="O96" s="6">
        <f t="shared" si="16"/>
        <v>0</v>
      </c>
      <c r="P96" s="6">
        <v>36</v>
      </c>
      <c r="Q96" s="6"/>
      <c r="R96" s="6">
        <f t="shared" si="17"/>
        <v>36</v>
      </c>
      <c r="S96" s="6"/>
      <c r="T96" s="6"/>
      <c r="U96" s="6">
        <f t="shared" si="18"/>
        <v>0</v>
      </c>
      <c r="V96" s="6">
        <v>36</v>
      </c>
      <c r="W96" s="6"/>
      <c r="X96" s="6">
        <f t="shared" si="19"/>
        <v>36</v>
      </c>
      <c r="Y96" s="174">
        <f t="shared" si="20"/>
        <v>108</v>
      </c>
      <c r="Z96" s="174">
        <f t="shared" si="21"/>
        <v>0</v>
      </c>
      <c r="AA96" s="174">
        <f t="shared" si="22"/>
        <v>108</v>
      </c>
      <c r="AB96" s="175">
        <f t="shared" si="23"/>
        <v>18</v>
      </c>
      <c r="AC96" s="175">
        <f t="shared" si="24"/>
        <v>0</v>
      </c>
      <c r="AD96" s="175">
        <f t="shared" si="25"/>
        <v>18</v>
      </c>
      <c r="AE96" s="6">
        <v>36</v>
      </c>
      <c r="AF96" s="6"/>
      <c r="AG96" s="6">
        <f t="shared" si="14"/>
        <v>36</v>
      </c>
      <c r="AH96" s="6">
        <v>36</v>
      </c>
      <c r="AI96" s="6"/>
      <c r="AJ96" s="6"/>
      <c r="AK96" s="6">
        <v>36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</row>
    <row r="97" spans="1:54" ht="15.75">
      <c r="A97" s="136">
        <v>89</v>
      </c>
      <c r="B97" s="185" t="s">
        <v>1483</v>
      </c>
      <c r="C97" s="183" t="s">
        <v>1430</v>
      </c>
      <c r="D97" s="190" t="s">
        <v>1484</v>
      </c>
      <c r="E97" s="184" t="s">
        <v>18</v>
      </c>
      <c r="F97" s="46">
        <v>30</v>
      </c>
      <c r="G97" s="19">
        <v>0</v>
      </c>
      <c r="H97" s="19"/>
      <c r="I97" s="19">
        <f t="shared" si="26"/>
        <v>0</v>
      </c>
      <c r="J97" s="19">
        <v>168</v>
      </c>
      <c r="K97" s="19">
        <v>0</v>
      </c>
      <c r="L97" s="19">
        <f t="shared" si="15"/>
        <v>168</v>
      </c>
      <c r="M97" s="19">
        <v>0</v>
      </c>
      <c r="N97" s="19">
        <v>0</v>
      </c>
      <c r="O97" s="19">
        <f t="shared" si="16"/>
        <v>0</v>
      </c>
      <c r="P97" s="19">
        <v>0</v>
      </c>
      <c r="Q97" s="19">
        <v>0</v>
      </c>
      <c r="R97" s="19">
        <f t="shared" si="17"/>
        <v>0</v>
      </c>
      <c r="S97" s="19">
        <v>0</v>
      </c>
      <c r="T97" s="19">
        <v>0</v>
      </c>
      <c r="U97" s="19">
        <f t="shared" si="18"/>
        <v>0</v>
      </c>
      <c r="V97" s="19">
        <v>0</v>
      </c>
      <c r="W97" s="19">
        <v>0</v>
      </c>
      <c r="X97" s="19">
        <f t="shared" si="19"/>
        <v>0</v>
      </c>
      <c r="Y97" s="138">
        <f t="shared" si="20"/>
        <v>168</v>
      </c>
      <c r="Z97" s="138">
        <f t="shared" si="21"/>
        <v>0</v>
      </c>
      <c r="AA97" s="138">
        <f t="shared" si="22"/>
        <v>168</v>
      </c>
      <c r="AB97" s="139">
        <f t="shared" si="23"/>
        <v>28</v>
      </c>
      <c r="AC97" s="139">
        <f t="shared" si="24"/>
        <v>0</v>
      </c>
      <c r="AD97" s="139">
        <f t="shared" si="25"/>
        <v>28</v>
      </c>
      <c r="AE97" s="19"/>
      <c r="AF97" s="19"/>
      <c r="AG97" s="19">
        <f>AE97+AF97</f>
        <v>0</v>
      </c>
      <c r="AH97" s="19"/>
      <c r="AI97" s="19"/>
      <c r="AJ97" s="19"/>
      <c r="AK97" s="19">
        <v>25</v>
      </c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</row>
    <row r="98" spans="1:54" ht="15.75">
      <c r="A98" s="136">
        <v>90</v>
      </c>
      <c r="B98" s="185" t="s">
        <v>1485</v>
      </c>
      <c r="C98" s="183" t="s">
        <v>1430</v>
      </c>
      <c r="D98" s="190" t="s">
        <v>1486</v>
      </c>
      <c r="E98" s="184" t="s">
        <v>18</v>
      </c>
      <c r="F98" s="46">
        <v>16</v>
      </c>
      <c r="G98" s="19">
        <v>0</v>
      </c>
      <c r="H98" s="19"/>
      <c r="I98" s="19">
        <f t="shared" si="26"/>
        <v>0</v>
      </c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>
        <v>0</v>
      </c>
      <c r="W98" s="19"/>
      <c r="X98" s="19"/>
      <c r="Y98" s="138">
        <f t="shared" si="20"/>
        <v>0</v>
      </c>
      <c r="Z98" s="138">
        <f t="shared" si="21"/>
        <v>0</v>
      </c>
      <c r="AA98" s="138">
        <f t="shared" si="22"/>
        <v>0</v>
      </c>
      <c r="AB98" s="139">
        <f t="shared" si="23"/>
        <v>0</v>
      </c>
      <c r="AC98" s="139">
        <f t="shared" si="24"/>
        <v>0</v>
      </c>
      <c r="AD98" s="139">
        <f t="shared" si="25"/>
        <v>0</v>
      </c>
      <c r="AE98" s="19"/>
      <c r="AF98" s="19"/>
      <c r="AG98" s="19">
        <f>AE98+AF98</f>
        <v>0</v>
      </c>
      <c r="AH98" s="19" t="s">
        <v>3352</v>
      </c>
      <c r="AI98" s="19"/>
      <c r="AJ98" s="19"/>
      <c r="AK98" s="19" t="s">
        <v>3354</v>
      </c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</row>
    <row r="99" spans="1:54" ht="15.75">
      <c r="A99" s="136">
        <v>91</v>
      </c>
      <c r="B99" s="186" t="s">
        <v>1487</v>
      </c>
      <c r="C99" s="187" t="s">
        <v>1488</v>
      </c>
      <c r="D99" s="136" t="s">
        <v>1489</v>
      </c>
      <c r="E99" s="179" t="s">
        <v>15</v>
      </c>
      <c r="F99" s="70">
        <v>26</v>
      </c>
      <c r="G99" s="6">
        <v>25</v>
      </c>
      <c r="H99" s="6"/>
      <c r="I99" s="1">
        <f t="shared" si="26"/>
        <v>25</v>
      </c>
      <c r="J99" s="6">
        <v>50</v>
      </c>
      <c r="K99" s="6">
        <v>56</v>
      </c>
      <c r="L99" s="1">
        <f t="shared" si="15"/>
        <v>106</v>
      </c>
      <c r="M99" s="6"/>
      <c r="N99" s="6"/>
      <c r="O99" s="6">
        <f t="shared" ref="O99:O162" si="27">M99+N99</f>
        <v>0</v>
      </c>
      <c r="P99" s="6">
        <v>60</v>
      </c>
      <c r="Q99" s="6">
        <v>48</v>
      </c>
      <c r="R99" s="6">
        <f t="shared" ref="R99:R105" si="28">P99+Q99</f>
        <v>108</v>
      </c>
      <c r="S99" s="6"/>
      <c r="T99" s="6"/>
      <c r="U99" s="6">
        <f t="shared" ref="U99:U105" si="29">S99+T99</f>
        <v>0</v>
      </c>
      <c r="V99" s="6">
        <v>125</v>
      </c>
      <c r="W99" s="6">
        <v>36</v>
      </c>
      <c r="X99" s="6">
        <f t="shared" ref="X99:X105" si="30">V99+W99</f>
        <v>161</v>
      </c>
      <c r="Y99" s="174">
        <f t="shared" si="20"/>
        <v>260</v>
      </c>
      <c r="Z99" s="174">
        <f t="shared" si="21"/>
        <v>140</v>
      </c>
      <c r="AA99" s="174">
        <f t="shared" si="22"/>
        <v>400</v>
      </c>
      <c r="AB99" s="175">
        <f t="shared" si="23"/>
        <v>43.333333333333336</v>
      </c>
      <c r="AC99" s="175">
        <f t="shared" si="24"/>
        <v>23.333333333333332</v>
      </c>
      <c r="AD99" s="175">
        <f t="shared" si="25"/>
        <v>66.666666666666671</v>
      </c>
      <c r="AE99" s="6">
        <v>60</v>
      </c>
      <c r="AF99" s="6"/>
      <c r="AG99" s="6">
        <f t="shared" ref="AG99:AG111" si="31">AE99+AF99</f>
        <v>60</v>
      </c>
      <c r="AH99" s="6">
        <v>126</v>
      </c>
      <c r="AI99" s="6"/>
      <c r="AJ99" s="6"/>
      <c r="AK99" s="6">
        <v>50</v>
      </c>
      <c r="AL99" s="6">
        <v>36</v>
      </c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</row>
    <row r="100" spans="1:54" ht="15.75">
      <c r="A100" s="136">
        <v>92</v>
      </c>
      <c r="B100" s="186" t="s">
        <v>1490</v>
      </c>
      <c r="C100" s="187" t="s">
        <v>1488</v>
      </c>
      <c r="D100" s="136" t="s">
        <v>1491</v>
      </c>
      <c r="E100" s="181" t="s">
        <v>18</v>
      </c>
      <c r="F100" s="70">
        <v>34</v>
      </c>
      <c r="G100" s="6">
        <v>0</v>
      </c>
      <c r="H100" s="6"/>
      <c r="I100" s="1">
        <f t="shared" si="26"/>
        <v>0</v>
      </c>
      <c r="J100" s="6"/>
      <c r="K100" s="6"/>
      <c r="L100" s="1">
        <f t="shared" si="15"/>
        <v>0</v>
      </c>
      <c r="M100" s="6"/>
      <c r="N100" s="6"/>
      <c r="O100" s="6">
        <f t="shared" si="27"/>
        <v>0</v>
      </c>
      <c r="P100" s="6"/>
      <c r="Q100" s="6"/>
      <c r="R100" s="6">
        <f t="shared" si="28"/>
        <v>0</v>
      </c>
      <c r="S100" s="6"/>
      <c r="T100" s="6"/>
      <c r="U100" s="6">
        <f t="shared" si="29"/>
        <v>0</v>
      </c>
      <c r="V100" s="6"/>
      <c r="W100" s="6"/>
      <c r="X100" s="6">
        <f t="shared" si="30"/>
        <v>0</v>
      </c>
      <c r="Y100" s="174">
        <f t="shared" si="20"/>
        <v>0</v>
      </c>
      <c r="Z100" s="174">
        <f t="shared" si="21"/>
        <v>0</v>
      </c>
      <c r="AA100" s="174">
        <f t="shared" si="22"/>
        <v>0</v>
      </c>
      <c r="AB100" s="175">
        <f t="shared" si="23"/>
        <v>0</v>
      </c>
      <c r="AC100" s="175">
        <f t="shared" si="24"/>
        <v>0</v>
      </c>
      <c r="AD100" s="175">
        <f t="shared" si="25"/>
        <v>0</v>
      </c>
      <c r="AE100" s="6"/>
      <c r="AF100" s="6"/>
      <c r="AG100" s="6">
        <f t="shared" si="31"/>
        <v>0</v>
      </c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</row>
    <row r="101" spans="1:54" ht="15.75">
      <c r="A101" s="136">
        <v>93</v>
      </c>
      <c r="B101" s="186" t="s">
        <v>1492</v>
      </c>
      <c r="C101" s="187" t="s">
        <v>1488</v>
      </c>
      <c r="D101" s="136" t="s">
        <v>1493</v>
      </c>
      <c r="E101" s="179" t="s">
        <v>15</v>
      </c>
      <c r="F101" s="70">
        <v>11</v>
      </c>
      <c r="G101" s="6">
        <v>0</v>
      </c>
      <c r="H101" s="6"/>
      <c r="I101" s="1">
        <f t="shared" si="26"/>
        <v>0</v>
      </c>
      <c r="J101" s="6">
        <v>25</v>
      </c>
      <c r="K101" s="6"/>
      <c r="L101" s="1">
        <f t="shared" si="15"/>
        <v>25</v>
      </c>
      <c r="M101" s="6"/>
      <c r="N101" s="6"/>
      <c r="O101" s="6">
        <f t="shared" si="27"/>
        <v>0</v>
      </c>
      <c r="P101" s="6"/>
      <c r="Q101" s="6"/>
      <c r="R101" s="6">
        <f t="shared" si="28"/>
        <v>0</v>
      </c>
      <c r="S101" s="6">
        <v>50</v>
      </c>
      <c r="T101" s="6"/>
      <c r="U101" s="6">
        <f t="shared" si="29"/>
        <v>50</v>
      </c>
      <c r="V101" s="6"/>
      <c r="W101" s="6"/>
      <c r="X101" s="6">
        <f t="shared" si="30"/>
        <v>0</v>
      </c>
      <c r="Y101" s="174">
        <f t="shared" si="20"/>
        <v>75</v>
      </c>
      <c r="Z101" s="174">
        <f t="shared" si="21"/>
        <v>0</v>
      </c>
      <c r="AA101" s="174">
        <f t="shared" si="22"/>
        <v>75</v>
      </c>
      <c r="AB101" s="175">
        <f t="shared" si="23"/>
        <v>12.5</v>
      </c>
      <c r="AC101" s="175">
        <f t="shared" si="24"/>
        <v>0</v>
      </c>
      <c r="AD101" s="175">
        <f t="shared" si="25"/>
        <v>12.5</v>
      </c>
      <c r="AE101" s="6">
        <v>50</v>
      </c>
      <c r="AF101" s="6"/>
      <c r="AG101" s="6">
        <f t="shared" si="31"/>
        <v>50</v>
      </c>
      <c r="AH101" s="6">
        <v>50</v>
      </c>
      <c r="AI101" s="6"/>
      <c r="AJ101" s="6"/>
      <c r="AK101" s="6">
        <v>20</v>
      </c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</row>
    <row r="102" spans="1:54" ht="15.75">
      <c r="A102" s="136">
        <v>94</v>
      </c>
      <c r="B102" s="186" t="s">
        <v>80</v>
      </c>
      <c r="C102" s="187" t="s">
        <v>1488</v>
      </c>
      <c r="D102" s="136" t="s">
        <v>1494</v>
      </c>
      <c r="E102" s="179" t="s">
        <v>15</v>
      </c>
      <c r="F102" s="70">
        <v>3</v>
      </c>
      <c r="G102" s="6">
        <v>50</v>
      </c>
      <c r="H102" s="6"/>
      <c r="I102" s="1">
        <f t="shared" si="26"/>
        <v>50</v>
      </c>
      <c r="J102" s="6"/>
      <c r="K102" s="6"/>
      <c r="L102" s="1">
        <f t="shared" si="15"/>
        <v>0</v>
      </c>
      <c r="M102" s="6"/>
      <c r="N102" s="6"/>
      <c r="O102" s="6">
        <f t="shared" si="27"/>
        <v>0</v>
      </c>
      <c r="P102" s="6">
        <v>50</v>
      </c>
      <c r="Q102" s="6"/>
      <c r="R102" s="6">
        <f t="shared" si="28"/>
        <v>50</v>
      </c>
      <c r="S102" s="6"/>
      <c r="T102" s="6"/>
      <c r="U102" s="6">
        <f t="shared" si="29"/>
        <v>0</v>
      </c>
      <c r="V102" s="6"/>
      <c r="W102" s="6"/>
      <c r="X102" s="6">
        <f t="shared" si="30"/>
        <v>0</v>
      </c>
      <c r="Y102" s="174">
        <f t="shared" si="20"/>
        <v>100</v>
      </c>
      <c r="Z102" s="174">
        <f t="shared" si="21"/>
        <v>0</v>
      </c>
      <c r="AA102" s="174">
        <f t="shared" si="22"/>
        <v>100</v>
      </c>
      <c r="AB102" s="175">
        <f t="shared" si="23"/>
        <v>16.666666666666668</v>
      </c>
      <c r="AC102" s="175">
        <f t="shared" si="24"/>
        <v>0</v>
      </c>
      <c r="AD102" s="175">
        <f t="shared" si="25"/>
        <v>16.666666666666668</v>
      </c>
      <c r="AE102" s="6">
        <v>50</v>
      </c>
      <c r="AF102" s="6"/>
      <c r="AG102" s="6">
        <f t="shared" si="31"/>
        <v>50</v>
      </c>
      <c r="AH102" s="6">
        <v>50</v>
      </c>
      <c r="AI102" s="6"/>
      <c r="AJ102" s="6"/>
      <c r="AK102" s="6">
        <v>50</v>
      </c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</row>
    <row r="103" spans="1:54" ht="15.75">
      <c r="A103" s="136">
        <v>95</v>
      </c>
      <c r="B103" s="186" t="s">
        <v>1495</v>
      </c>
      <c r="C103" s="187" t="s">
        <v>1488</v>
      </c>
      <c r="D103" s="136" t="s">
        <v>1496</v>
      </c>
      <c r="E103" s="179" t="s">
        <v>15</v>
      </c>
      <c r="F103" s="70">
        <v>7</v>
      </c>
      <c r="G103" s="6">
        <v>0</v>
      </c>
      <c r="H103" s="6"/>
      <c r="I103" s="1">
        <f t="shared" si="26"/>
        <v>0</v>
      </c>
      <c r="J103" s="6"/>
      <c r="K103" s="6"/>
      <c r="L103" s="1">
        <f t="shared" si="15"/>
        <v>0</v>
      </c>
      <c r="M103" s="6">
        <v>20</v>
      </c>
      <c r="N103" s="6"/>
      <c r="O103" s="6">
        <f t="shared" si="27"/>
        <v>20</v>
      </c>
      <c r="P103" s="6"/>
      <c r="Q103" s="6"/>
      <c r="R103" s="6">
        <f t="shared" si="28"/>
        <v>0</v>
      </c>
      <c r="S103" s="6">
        <v>40</v>
      </c>
      <c r="T103" s="6"/>
      <c r="U103" s="6">
        <f t="shared" si="29"/>
        <v>40</v>
      </c>
      <c r="V103" s="6"/>
      <c r="W103" s="6"/>
      <c r="X103" s="6">
        <f t="shared" si="30"/>
        <v>0</v>
      </c>
      <c r="Y103" s="174">
        <f t="shared" si="20"/>
        <v>60</v>
      </c>
      <c r="Z103" s="174">
        <f t="shared" si="21"/>
        <v>0</v>
      </c>
      <c r="AA103" s="174">
        <f t="shared" si="22"/>
        <v>60</v>
      </c>
      <c r="AB103" s="175">
        <f t="shared" si="23"/>
        <v>10</v>
      </c>
      <c r="AC103" s="175">
        <f t="shared" si="24"/>
        <v>0</v>
      </c>
      <c r="AD103" s="175">
        <f t="shared" si="25"/>
        <v>10</v>
      </c>
      <c r="AE103" s="6"/>
      <c r="AF103" s="6"/>
      <c r="AG103" s="6">
        <f t="shared" si="31"/>
        <v>0</v>
      </c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</row>
    <row r="104" spans="1:54" ht="15.75">
      <c r="A104" s="136">
        <v>96</v>
      </c>
      <c r="B104" s="186" t="s">
        <v>1497</v>
      </c>
      <c r="C104" s="187" t="s">
        <v>1488</v>
      </c>
      <c r="D104" s="136" t="s">
        <v>1498</v>
      </c>
      <c r="E104" s="179" t="s">
        <v>15</v>
      </c>
      <c r="F104" s="70">
        <v>15</v>
      </c>
      <c r="G104" s="6">
        <v>0</v>
      </c>
      <c r="H104" s="6">
        <v>20</v>
      </c>
      <c r="I104" s="1">
        <f t="shared" si="26"/>
        <v>20</v>
      </c>
      <c r="J104" s="6">
        <v>106</v>
      </c>
      <c r="K104" s="6">
        <v>68</v>
      </c>
      <c r="L104" s="1">
        <f t="shared" si="15"/>
        <v>174</v>
      </c>
      <c r="M104" s="6"/>
      <c r="N104" s="6"/>
      <c r="O104" s="6">
        <f t="shared" si="27"/>
        <v>0</v>
      </c>
      <c r="P104" s="6">
        <v>50</v>
      </c>
      <c r="Q104" s="6">
        <v>120</v>
      </c>
      <c r="R104" s="6">
        <f t="shared" si="28"/>
        <v>170</v>
      </c>
      <c r="S104" s="6"/>
      <c r="T104" s="6"/>
      <c r="U104" s="6">
        <f t="shared" si="29"/>
        <v>0</v>
      </c>
      <c r="V104" s="6"/>
      <c r="W104" s="6">
        <v>68</v>
      </c>
      <c r="X104" s="6">
        <f t="shared" si="30"/>
        <v>68</v>
      </c>
      <c r="Y104" s="174">
        <f t="shared" si="20"/>
        <v>156</v>
      </c>
      <c r="Z104" s="174">
        <f t="shared" si="21"/>
        <v>276</v>
      </c>
      <c r="AA104" s="174">
        <f t="shared" si="22"/>
        <v>432</v>
      </c>
      <c r="AB104" s="175">
        <f t="shared" si="23"/>
        <v>26</v>
      </c>
      <c r="AC104" s="175">
        <f t="shared" si="24"/>
        <v>46</v>
      </c>
      <c r="AD104" s="175">
        <f t="shared" si="25"/>
        <v>72</v>
      </c>
      <c r="AE104" s="6">
        <v>116</v>
      </c>
      <c r="AF104" s="6">
        <v>124</v>
      </c>
      <c r="AG104" s="6">
        <f t="shared" si="31"/>
        <v>240</v>
      </c>
      <c r="AH104" s="6">
        <v>190</v>
      </c>
      <c r="AI104" s="6">
        <v>36</v>
      </c>
      <c r="AJ104" s="6"/>
      <c r="AK104" s="6">
        <v>92</v>
      </c>
      <c r="AL104" s="6">
        <v>54</v>
      </c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</row>
    <row r="105" spans="1:54" ht="15.75">
      <c r="A105" s="136">
        <v>97</v>
      </c>
      <c r="B105" s="186" t="s">
        <v>1499</v>
      </c>
      <c r="C105" s="187" t="s">
        <v>1488</v>
      </c>
      <c r="D105" s="136" t="s">
        <v>1500</v>
      </c>
      <c r="E105" s="179" t="s">
        <v>15</v>
      </c>
      <c r="F105" s="70">
        <v>5</v>
      </c>
      <c r="G105" s="6">
        <v>0</v>
      </c>
      <c r="H105" s="6"/>
      <c r="I105" s="1">
        <f t="shared" si="26"/>
        <v>0</v>
      </c>
      <c r="J105" s="6"/>
      <c r="K105" s="6"/>
      <c r="L105" s="1">
        <f t="shared" si="15"/>
        <v>0</v>
      </c>
      <c r="M105" s="6"/>
      <c r="N105" s="6"/>
      <c r="O105" s="6">
        <f t="shared" si="27"/>
        <v>0</v>
      </c>
      <c r="P105" s="6"/>
      <c r="Q105" s="6"/>
      <c r="R105" s="6">
        <f t="shared" si="28"/>
        <v>0</v>
      </c>
      <c r="S105" s="6"/>
      <c r="T105" s="6"/>
      <c r="U105" s="6">
        <f t="shared" si="29"/>
        <v>0</v>
      </c>
      <c r="V105" s="6"/>
      <c r="W105" s="6"/>
      <c r="X105" s="6">
        <f t="shared" si="30"/>
        <v>0</v>
      </c>
      <c r="Y105" s="174">
        <f t="shared" si="20"/>
        <v>0</v>
      </c>
      <c r="Z105" s="174">
        <f t="shared" si="21"/>
        <v>0</v>
      </c>
      <c r="AA105" s="174">
        <f t="shared" si="22"/>
        <v>0</v>
      </c>
      <c r="AB105" s="175">
        <f t="shared" si="23"/>
        <v>0</v>
      </c>
      <c r="AC105" s="175">
        <f t="shared" si="24"/>
        <v>0</v>
      </c>
      <c r="AD105" s="175">
        <f t="shared" si="25"/>
        <v>0</v>
      </c>
      <c r="AE105" s="6"/>
      <c r="AF105" s="6"/>
      <c r="AG105" s="6">
        <f t="shared" si="31"/>
        <v>0</v>
      </c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</row>
    <row r="106" spans="1:54" ht="15.75">
      <c r="A106" s="136">
        <v>98</v>
      </c>
      <c r="B106" s="186" t="s">
        <v>1324</v>
      </c>
      <c r="C106" s="187" t="s">
        <v>1488</v>
      </c>
      <c r="D106" s="136" t="s">
        <v>1501</v>
      </c>
      <c r="E106" s="179" t="s">
        <v>15</v>
      </c>
      <c r="F106" s="70">
        <v>10</v>
      </c>
      <c r="G106" s="6">
        <v>0</v>
      </c>
      <c r="H106" s="6"/>
      <c r="I106" s="1">
        <f t="shared" si="26"/>
        <v>0</v>
      </c>
      <c r="J106" s="6"/>
      <c r="K106" s="6"/>
      <c r="L106" s="1">
        <f t="shared" si="15"/>
        <v>0</v>
      </c>
      <c r="M106" s="6"/>
      <c r="N106" s="6"/>
      <c r="O106" s="6">
        <f>M106+N106</f>
        <v>0</v>
      </c>
      <c r="P106" s="6"/>
      <c r="Q106" s="6"/>
      <c r="R106" s="6">
        <f>P106+Q106</f>
        <v>0</v>
      </c>
      <c r="S106" s="6"/>
      <c r="T106" s="6"/>
      <c r="U106" s="6">
        <f>S106+T106</f>
        <v>0</v>
      </c>
      <c r="V106" s="6"/>
      <c r="W106" s="6"/>
      <c r="X106" s="6">
        <f>V106+W106</f>
        <v>0</v>
      </c>
      <c r="Y106" s="174">
        <f t="shared" si="20"/>
        <v>0</v>
      </c>
      <c r="Z106" s="174">
        <f t="shared" si="21"/>
        <v>0</v>
      </c>
      <c r="AA106" s="174">
        <f t="shared" si="22"/>
        <v>0</v>
      </c>
      <c r="AB106" s="175">
        <f t="shared" si="23"/>
        <v>0</v>
      </c>
      <c r="AC106" s="175">
        <f t="shared" si="24"/>
        <v>0</v>
      </c>
      <c r="AD106" s="175">
        <f t="shared" si="25"/>
        <v>0</v>
      </c>
      <c r="AE106" s="6"/>
      <c r="AF106" s="6"/>
      <c r="AG106" s="6">
        <f t="shared" si="31"/>
        <v>0</v>
      </c>
      <c r="AH106" s="6">
        <v>25</v>
      </c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</row>
    <row r="107" spans="1:54" ht="15.75">
      <c r="A107" s="136">
        <v>99</v>
      </c>
      <c r="B107" s="186" t="s">
        <v>947</v>
      </c>
      <c r="C107" s="187" t="s">
        <v>1488</v>
      </c>
      <c r="D107" s="136" t="s">
        <v>1502</v>
      </c>
      <c r="E107" s="181" t="s">
        <v>18</v>
      </c>
      <c r="F107" s="70">
        <v>5</v>
      </c>
      <c r="G107" s="6">
        <v>0</v>
      </c>
      <c r="H107" s="6"/>
      <c r="I107" s="1">
        <f t="shared" si="26"/>
        <v>0</v>
      </c>
      <c r="J107" s="6"/>
      <c r="K107" s="6"/>
      <c r="L107" s="1">
        <f t="shared" si="15"/>
        <v>0</v>
      </c>
      <c r="M107" s="6"/>
      <c r="N107" s="6"/>
      <c r="O107" s="6">
        <f t="shared" si="27"/>
        <v>0</v>
      </c>
      <c r="P107" s="6"/>
      <c r="Q107" s="6"/>
      <c r="R107" s="6">
        <f t="shared" ref="R107:R170" si="32">P107+Q107</f>
        <v>0</v>
      </c>
      <c r="S107" s="6"/>
      <c r="T107" s="6"/>
      <c r="U107" s="6">
        <f t="shared" ref="U107:U170" si="33">S107+T107</f>
        <v>0</v>
      </c>
      <c r="V107" s="6"/>
      <c r="W107" s="6"/>
      <c r="X107" s="6">
        <f t="shared" ref="X107:X170" si="34">V107+W107</f>
        <v>0</v>
      </c>
      <c r="Y107" s="174">
        <f t="shared" si="20"/>
        <v>0</v>
      </c>
      <c r="Z107" s="174">
        <f t="shared" si="21"/>
        <v>0</v>
      </c>
      <c r="AA107" s="174">
        <f t="shared" si="22"/>
        <v>0</v>
      </c>
      <c r="AB107" s="175">
        <f t="shared" si="23"/>
        <v>0</v>
      </c>
      <c r="AC107" s="175">
        <f t="shared" si="24"/>
        <v>0</v>
      </c>
      <c r="AD107" s="175">
        <f t="shared" si="25"/>
        <v>0</v>
      </c>
      <c r="AE107" s="6"/>
      <c r="AF107" s="6"/>
      <c r="AG107" s="6">
        <f t="shared" si="31"/>
        <v>0</v>
      </c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</row>
    <row r="108" spans="1:54" ht="15.75">
      <c r="A108" s="136">
        <v>100</v>
      </c>
      <c r="B108" s="186" t="s">
        <v>1503</v>
      </c>
      <c r="C108" s="187" t="s">
        <v>1488</v>
      </c>
      <c r="D108" s="136" t="s">
        <v>1504</v>
      </c>
      <c r="E108" s="181" t="s">
        <v>18</v>
      </c>
      <c r="F108" s="70">
        <v>5</v>
      </c>
      <c r="G108" s="6">
        <v>20</v>
      </c>
      <c r="H108" s="6"/>
      <c r="I108" s="1">
        <f t="shared" si="26"/>
        <v>20</v>
      </c>
      <c r="J108" s="6"/>
      <c r="K108" s="6"/>
      <c r="L108" s="1">
        <f t="shared" si="15"/>
        <v>0</v>
      </c>
      <c r="M108" s="6">
        <v>20</v>
      </c>
      <c r="N108" s="6"/>
      <c r="O108" s="6">
        <f t="shared" si="27"/>
        <v>20</v>
      </c>
      <c r="P108" s="6">
        <v>36</v>
      </c>
      <c r="Q108" s="6"/>
      <c r="R108" s="6">
        <f t="shared" si="32"/>
        <v>36</v>
      </c>
      <c r="S108" s="6"/>
      <c r="T108" s="6"/>
      <c r="U108" s="6">
        <f t="shared" si="33"/>
        <v>0</v>
      </c>
      <c r="V108" s="6"/>
      <c r="W108" s="6"/>
      <c r="X108" s="6">
        <f t="shared" si="34"/>
        <v>0</v>
      </c>
      <c r="Y108" s="174">
        <f t="shared" si="20"/>
        <v>76</v>
      </c>
      <c r="Z108" s="174">
        <f t="shared" si="21"/>
        <v>0</v>
      </c>
      <c r="AA108" s="174">
        <f t="shared" si="22"/>
        <v>76</v>
      </c>
      <c r="AB108" s="175">
        <f t="shared" si="23"/>
        <v>12.666666666666666</v>
      </c>
      <c r="AC108" s="175">
        <f t="shared" si="24"/>
        <v>0</v>
      </c>
      <c r="AD108" s="175">
        <f t="shared" si="25"/>
        <v>12.666666666666666</v>
      </c>
      <c r="AE108" s="6"/>
      <c r="AF108" s="6"/>
      <c r="AG108" s="6">
        <f t="shared" si="31"/>
        <v>0</v>
      </c>
      <c r="AH108" s="6">
        <v>18</v>
      </c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</row>
    <row r="109" spans="1:54" ht="15.75">
      <c r="A109" s="136">
        <v>101</v>
      </c>
      <c r="B109" s="186" t="s">
        <v>1505</v>
      </c>
      <c r="C109" s="187" t="s">
        <v>1488</v>
      </c>
      <c r="D109" s="136" t="s">
        <v>1506</v>
      </c>
      <c r="E109" s="179" t="s">
        <v>15</v>
      </c>
      <c r="F109" s="70">
        <v>10</v>
      </c>
      <c r="G109" s="6">
        <v>20</v>
      </c>
      <c r="H109" s="6"/>
      <c r="I109" s="1">
        <f t="shared" si="26"/>
        <v>20</v>
      </c>
      <c r="J109" s="6"/>
      <c r="K109" s="6"/>
      <c r="L109" s="1">
        <f t="shared" si="15"/>
        <v>0</v>
      </c>
      <c r="M109" s="6"/>
      <c r="N109" s="6"/>
      <c r="O109" s="6">
        <f t="shared" si="27"/>
        <v>0</v>
      </c>
      <c r="P109" s="6">
        <v>25</v>
      </c>
      <c r="Q109" s="6"/>
      <c r="R109" s="6">
        <f t="shared" si="32"/>
        <v>25</v>
      </c>
      <c r="S109" s="6"/>
      <c r="T109" s="6"/>
      <c r="U109" s="6">
        <f t="shared" si="33"/>
        <v>0</v>
      </c>
      <c r="V109" s="6">
        <v>25</v>
      </c>
      <c r="W109" s="6"/>
      <c r="X109" s="6">
        <f t="shared" si="34"/>
        <v>25</v>
      </c>
      <c r="Y109" s="174">
        <f t="shared" si="20"/>
        <v>70</v>
      </c>
      <c r="Z109" s="174">
        <f t="shared" si="21"/>
        <v>0</v>
      </c>
      <c r="AA109" s="174">
        <f t="shared" si="22"/>
        <v>70</v>
      </c>
      <c r="AB109" s="175">
        <f t="shared" si="23"/>
        <v>11.666666666666666</v>
      </c>
      <c r="AC109" s="175">
        <f t="shared" si="24"/>
        <v>0</v>
      </c>
      <c r="AD109" s="175">
        <f t="shared" si="25"/>
        <v>11.666666666666666</v>
      </c>
      <c r="AE109" s="6"/>
      <c r="AF109" s="6"/>
      <c r="AG109" s="6">
        <f t="shared" si="31"/>
        <v>0</v>
      </c>
      <c r="AH109" s="6">
        <v>25</v>
      </c>
      <c r="AI109" s="6"/>
      <c r="AJ109" s="6"/>
      <c r="AK109" s="6">
        <v>25</v>
      </c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</row>
    <row r="110" spans="1:54" ht="15.75">
      <c r="A110" s="136">
        <v>102</v>
      </c>
      <c r="B110" s="186" t="s">
        <v>1507</v>
      </c>
      <c r="C110" s="187" t="s">
        <v>1488</v>
      </c>
      <c r="D110" s="136" t="s">
        <v>1508</v>
      </c>
      <c r="E110" s="179" t="s">
        <v>15</v>
      </c>
      <c r="F110" s="70">
        <v>16</v>
      </c>
      <c r="G110" s="6">
        <v>20</v>
      </c>
      <c r="H110" s="6"/>
      <c r="I110" s="1">
        <f t="shared" si="26"/>
        <v>20</v>
      </c>
      <c r="J110" s="6">
        <v>40</v>
      </c>
      <c r="K110" s="6">
        <v>36</v>
      </c>
      <c r="L110" s="1">
        <f t="shared" si="15"/>
        <v>76</v>
      </c>
      <c r="M110" s="6"/>
      <c r="N110" s="6"/>
      <c r="O110" s="6">
        <f t="shared" si="27"/>
        <v>0</v>
      </c>
      <c r="P110" s="6">
        <v>40</v>
      </c>
      <c r="Q110" s="6">
        <v>40</v>
      </c>
      <c r="R110" s="6">
        <f t="shared" si="32"/>
        <v>80</v>
      </c>
      <c r="S110" s="6"/>
      <c r="T110" s="6">
        <v>128</v>
      </c>
      <c r="U110" s="6">
        <f t="shared" si="33"/>
        <v>128</v>
      </c>
      <c r="V110" s="6">
        <v>40</v>
      </c>
      <c r="W110" s="6"/>
      <c r="X110" s="6">
        <f t="shared" si="34"/>
        <v>40</v>
      </c>
      <c r="Y110" s="174">
        <f t="shared" si="20"/>
        <v>140</v>
      </c>
      <c r="Z110" s="174">
        <f t="shared" si="21"/>
        <v>204</v>
      </c>
      <c r="AA110" s="174">
        <f t="shared" si="22"/>
        <v>344</v>
      </c>
      <c r="AB110" s="175">
        <f t="shared" si="23"/>
        <v>23.333333333333332</v>
      </c>
      <c r="AC110" s="175">
        <f t="shared" si="24"/>
        <v>34</v>
      </c>
      <c r="AD110" s="175">
        <f t="shared" si="25"/>
        <v>57.333333333333336</v>
      </c>
      <c r="AE110" s="6">
        <v>80</v>
      </c>
      <c r="AF110" s="6">
        <v>120</v>
      </c>
      <c r="AG110" s="6">
        <f t="shared" si="31"/>
        <v>200</v>
      </c>
      <c r="AH110" s="6">
        <v>100</v>
      </c>
      <c r="AI110" s="6">
        <v>60</v>
      </c>
      <c r="AJ110" s="6"/>
      <c r="AK110" s="6">
        <v>60</v>
      </c>
      <c r="AL110" s="6">
        <v>60</v>
      </c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</row>
    <row r="111" spans="1:54" ht="15.75">
      <c r="A111" s="136">
        <v>103</v>
      </c>
      <c r="B111" s="186" t="s">
        <v>1509</v>
      </c>
      <c r="C111" s="187" t="s">
        <v>1488</v>
      </c>
      <c r="D111" s="136" t="s">
        <v>1510</v>
      </c>
      <c r="E111" s="181" t="s">
        <v>18</v>
      </c>
      <c r="F111" s="70">
        <v>25</v>
      </c>
      <c r="G111" s="6">
        <v>50</v>
      </c>
      <c r="H111" s="6"/>
      <c r="I111" s="1">
        <f t="shared" si="26"/>
        <v>50</v>
      </c>
      <c r="J111" s="6">
        <v>20</v>
      </c>
      <c r="K111" s="6"/>
      <c r="L111" s="1">
        <f t="shared" si="15"/>
        <v>20</v>
      </c>
      <c r="M111" s="6"/>
      <c r="N111" s="6">
        <v>18</v>
      </c>
      <c r="O111" s="6">
        <f t="shared" si="27"/>
        <v>18</v>
      </c>
      <c r="P111" s="6">
        <v>60</v>
      </c>
      <c r="Q111" s="6">
        <v>18</v>
      </c>
      <c r="R111" s="6">
        <f t="shared" si="32"/>
        <v>78</v>
      </c>
      <c r="S111" s="6"/>
      <c r="T111" s="6">
        <v>18</v>
      </c>
      <c r="U111" s="6">
        <f t="shared" si="33"/>
        <v>18</v>
      </c>
      <c r="V111" s="6">
        <v>50</v>
      </c>
      <c r="W111" s="6">
        <v>18</v>
      </c>
      <c r="X111" s="6">
        <f t="shared" si="34"/>
        <v>68</v>
      </c>
      <c r="Y111" s="174">
        <f t="shared" si="20"/>
        <v>180</v>
      </c>
      <c r="Z111" s="174">
        <f t="shared" si="21"/>
        <v>72</v>
      </c>
      <c r="AA111" s="174">
        <f t="shared" si="22"/>
        <v>252</v>
      </c>
      <c r="AB111" s="175">
        <f t="shared" si="23"/>
        <v>30</v>
      </c>
      <c r="AC111" s="175">
        <f t="shared" si="24"/>
        <v>12</v>
      </c>
      <c r="AD111" s="175">
        <f t="shared" si="25"/>
        <v>42</v>
      </c>
      <c r="AE111" s="6">
        <v>18</v>
      </c>
      <c r="AF111" s="6"/>
      <c r="AG111" s="6">
        <f t="shared" si="31"/>
        <v>18</v>
      </c>
      <c r="AH111" s="6">
        <v>162</v>
      </c>
      <c r="AI111" s="6">
        <v>18</v>
      </c>
      <c r="AJ111" s="6"/>
      <c r="AK111" s="6">
        <v>80</v>
      </c>
      <c r="AL111" s="6">
        <v>18</v>
      </c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</row>
    <row r="112" spans="1:54" ht="15.75">
      <c r="A112" s="190">
        <v>104</v>
      </c>
      <c r="B112" s="185" t="s">
        <v>1511</v>
      </c>
      <c r="C112" s="183" t="s">
        <v>1488</v>
      </c>
      <c r="D112" s="190" t="s">
        <v>1512</v>
      </c>
      <c r="E112" s="184" t="s">
        <v>15</v>
      </c>
      <c r="F112" s="46">
        <v>54</v>
      </c>
      <c r="G112" s="19">
        <v>0</v>
      </c>
      <c r="H112" s="19"/>
      <c r="I112" s="19">
        <f t="shared" si="26"/>
        <v>0</v>
      </c>
      <c r="J112" s="19">
        <v>0</v>
      </c>
      <c r="K112" s="19">
        <v>0</v>
      </c>
      <c r="L112" s="19">
        <f t="shared" si="15"/>
        <v>0</v>
      </c>
      <c r="M112" s="19">
        <v>0</v>
      </c>
      <c r="N112" s="19">
        <v>0</v>
      </c>
      <c r="O112" s="19">
        <f t="shared" si="27"/>
        <v>0</v>
      </c>
      <c r="P112" s="19">
        <v>0</v>
      </c>
      <c r="Q112" s="19">
        <v>0</v>
      </c>
      <c r="R112" s="19">
        <f t="shared" si="32"/>
        <v>0</v>
      </c>
      <c r="S112" s="19">
        <v>0</v>
      </c>
      <c r="T112" s="19">
        <v>64</v>
      </c>
      <c r="U112" s="19">
        <f t="shared" si="33"/>
        <v>64</v>
      </c>
      <c r="V112" s="19">
        <v>60</v>
      </c>
      <c r="W112" s="19">
        <v>0</v>
      </c>
      <c r="X112" s="19">
        <f t="shared" si="34"/>
        <v>60</v>
      </c>
      <c r="Y112" s="138">
        <f t="shared" si="20"/>
        <v>60</v>
      </c>
      <c r="Z112" s="138">
        <f t="shared" si="21"/>
        <v>64</v>
      </c>
      <c r="AA112" s="138">
        <f t="shared" si="22"/>
        <v>124</v>
      </c>
      <c r="AB112" s="139">
        <f t="shared" si="23"/>
        <v>10</v>
      </c>
      <c r="AC112" s="139">
        <f t="shared" si="24"/>
        <v>10.666666666666666</v>
      </c>
      <c r="AD112" s="139">
        <f t="shared" si="25"/>
        <v>20.666666666666668</v>
      </c>
      <c r="AE112" s="19">
        <v>0</v>
      </c>
      <c r="AF112" s="19"/>
      <c r="AG112" s="19">
        <f t="shared" ref="AG112:AG118" si="35">AE112+AF112</f>
        <v>0</v>
      </c>
      <c r="AH112" s="19"/>
      <c r="AI112" s="19">
        <v>44</v>
      </c>
      <c r="AJ112" s="19"/>
      <c r="AK112" s="19"/>
      <c r="AL112" s="19">
        <v>124</v>
      </c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</row>
    <row r="113" spans="1:54" ht="15.75">
      <c r="A113" s="190">
        <v>105</v>
      </c>
      <c r="B113" s="185" t="s">
        <v>1513</v>
      </c>
      <c r="C113" s="183" t="s">
        <v>1488</v>
      </c>
      <c r="D113" s="190" t="s">
        <v>1514</v>
      </c>
      <c r="E113" s="184" t="s">
        <v>15</v>
      </c>
      <c r="F113" s="46">
        <v>68</v>
      </c>
      <c r="G113" s="19">
        <v>20</v>
      </c>
      <c r="H113" s="19">
        <v>18</v>
      </c>
      <c r="I113" s="19">
        <f t="shared" si="26"/>
        <v>38</v>
      </c>
      <c r="J113" s="19">
        <v>0</v>
      </c>
      <c r="K113" s="19">
        <v>36</v>
      </c>
      <c r="L113" s="19">
        <f t="shared" si="15"/>
        <v>36</v>
      </c>
      <c r="M113" s="19">
        <v>100</v>
      </c>
      <c r="N113" s="19">
        <v>24</v>
      </c>
      <c r="O113" s="19">
        <f t="shared" si="27"/>
        <v>124</v>
      </c>
      <c r="P113" s="19">
        <v>0</v>
      </c>
      <c r="Q113" s="19">
        <v>0</v>
      </c>
      <c r="R113" s="19">
        <v>0</v>
      </c>
      <c r="S113" s="19">
        <v>120</v>
      </c>
      <c r="T113" s="19">
        <v>6</v>
      </c>
      <c r="U113" s="19">
        <f t="shared" si="33"/>
        <v>126</v>
      </c>
      <c r="V113" s="19">
        <v>236</v>
      </c>
      <c r="W113" s="19">
        <v>48</v>
      </c>
      <c r="X113" s="19">
        <f t="shared" si="34"/>
        <v>284</v>
      </c>
      <c r="Y113" s="138">
        <f t="shared" si="20"/>
        <v>476</v>
      </c>
      <c r="Z113" s="138">
        <f t="shared" si="21"/>
        <v>132</v>
      </c>
      <c r="AA113" s="138">
        <f t="shared" si="22"/>
        <v>608</v>
      </c>
      <c r="AB113" s="139">
        <f t="shared" si="23"/>
        <v>79.333333333333329</v>
      </c>
      <c r="AC113" s="139">
        <f t="shared" si="24"/>
        <v>22</v>
      </c>
      <c r="AD113" s="139">
        <f t="shared" si="25"/>
        <v>101.33333333333333</v>
      </c>
      <c r="AE113" s="19">
        <v>0</v>
      </c>
      <c r="AF113" s="19"/>
      <c r="AG113" s="19">
        <f t="shared" si="35"/>
        <v>0</v>
      </c>
      <c r="AH113" s="19">
        <v>140</v>
      </c>
      <c r="AI113" s="19">
        <v>36</v>
      </c>
      <c r="AJ113" s="19"/>
      <c r="AK113" s="19">
        <v>140</v>
      </c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</row>
    <row r="114" spans="1:54" ht="15.75">
      <c r="A114" s="190">
        <v>106</v>
      </c>
      <c r="B114" s="185" t="s">
        <v>1515</v>
      </c>
      <c r="C114" s="183" t="s">
        <v>1488</v>
      </c>
      <c r="D114" s="190" t="s">
        <v>1516</v>
      </c>
      <c r="E114" s="184" t="s">
        <v>15</v>
      </c>
      <c r="F114" s="46">
        <v>23</v>
      </c>
      <c r="G114" s="19">
        <v>0</v>
      </c>
      <c r="H114" s="19"/>
      <c r="I114" s="19">
        <f t="shared" si="26"/>
        <v>0</v>
      </c>
      <c r="J114" s="19">
        <v>0</v>
      </c>
      <c r="K114" s="19">
        <v>0</v>
      </c>
      <c r="L114" s="19">
        <f t="shared" si="15"/>
        <v>0</v>
      </c>
      <c r="M114" s="19">
        <v>0</v>
      </c>
      <c r="N114" s="19">
        <v>0</v>
      </c>
      <c r="O114" s="19">
        <f t="shared" si="27"/>
        <v>0</v>
      </c>
      <c r="P114" s="19">
        <v>0</v>
      </c>
      <c r="Q114" s="19">
        <v>0</v>
      </c>
      <c r="R114" s="19">
        <f t="shared" si="32"/>
        <v>0</v>
      </c>
      <c r="S114" s="19">
        <v>0</v>
      </c>
      <c r="T114" s="19">
        <v>0</v>
      </c>
      <c r="U114" s="19">
        <f t="shared" si="33"/>
        <v>0</v>
      </c>
      <c r="V114" s="19">
        <v>40</v>
      </c>
      <c r="W114" s="19">
        <v>0</v>
      </c>
      <c r="X114" s="19">
        <f t="shared" si="34"/>
        <v>40</v>
      </c>
      <c r="Y114" s="138">
        <f t="shared" si="20"/>
        <v>40</v>
      </c>
      <c r="Z114" s="138">
        <f t="shared" si="21"/>
        <v>0</v>
      </c>
      <c r="AA114" s="138">
        <f t="shared" si="22"/>
        <v>40</v>
      </c>
      <c r="AB114" s="139">
        <f t="shared" si="23"/>
        <v>6.666666666666667</v>
      </c>
      <c r="AC114" s="139">
        <f t="shared" si="24"/>
        <v>0</v>
      </c>
      <c r="AD114" s="139">
        <f t="shared" si="25"/>
        <v>6.666666666666667</v>
      </c>
      <c r="AE114" s="19">
        <v>0</v>
      </c>
      <c r="AF114" s="19"/>
      <c r="AG114" s="19">
        <f t="shared" si="35"/>
        <v>0</v>
      </c>
      <c r="AH114" s="19"/>
      <c r="AI114" s="19"/>
      <c r="AJ114" s="19"/>
      <c r="AK114" s="19">
        <v>50</v>
      </c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</row>
    <row r="115" spans="1:54" ht="15.75">
      <c r="A115" s="190">
        <v>107</v>
      </c>
      <c r="B115" s="185" t="s">
        <v>1517</v>
      </c>
      <c r="C115" s="183" t="s">
        <v>1488</v>
      </c>
      <c r="D115" s="190" t="s">
        <v>1518</v>
      </c>
      <c r="E115" s="184" t="s">
        <v>18</v>
      </c>
      <c r="F115" s="46">
        <v>188</v>
      </c>
      <c r="G115" s="19">
        <v>120</v>
      </c>
      <c r="H115" s="19">
        <v>40</v>
      </c>
      <c r="I115" s="19">
        <f t="shared" si="26"/>
        <v>160</v>
      </c>
      <c r="J115" s="19">
        <v>0</v>
      </c>
      <c r="K115" s="19">
        <v>96</v>
      </c>
      <c r="L115" s="19">
        <f t="shared" si="15"/>
        <v>96</v>
      </c>
      <c r="M115" s="19">
        <v>0</v>
      </c>
      <c r="N115" s="19">
        <v>54</v>
      </c>
      <c r="O115" s="19">
        <f t="shared" si="27"/>
        <v>54</v>
      </c>
      <c r="P115" s="19">
        <v>0</v>
      </c>
      <c r="Q115" s="19">
        <v>96</v>
      </c>
      <c r="R115" s="19">
        <f t="shared" si="32"/>
        <v>96</v>
      </c>
      <c r="S115" s="19">
        <v>0</v>
      </c>
      <c r="T115" s="19">
        <v>76</v>
      </c>
      <c r="U115" s="19">
        <f t="shared" si="33"/>
        <v>76</v>
      </c>
      <c r="V115" s="19">
        <v>0</v>
      </c>
      <c r="W115" s="19">
        <v>38</v>
      </c>
      <c r="X115" s="19">
        <f t="shared" si="34"/>
        <v>38</v>
      </c>
      <c r="Y115" s="138">
        <f t="shared" si="20"/>
        <v>120</v>
      </c>
      <c r="Z115" s="138">
        <f t="shared" si="21"/>
        <v>400</v>
      </c>
      <c r="AA115" s="138">
        <f t="shared" si="22"/>
        <v>520</v>
      </c>
      <c r="AB115" s="139">
        <f t="shared" si="23"/>
        <v>20</v>
      </c>
      <c r="AC115" s="139">
        <f t="shared" si="24"/>
        <v>66.666666666666671</v>
      </c>
      <c r="AD115" s="139">
        <f t="shared" si="25"/>
        <v>86.666666666666671</v>
      </c>
      <c r="AE115" s="19">
        <v>0</v>
      </c>
      <c r="AF115" s="19"/>
      <c r="AG115" s="19">
        <f t="shared" si="35"/>
        <v>0</v>
      </c>
      <c r="AH115" s="19">
        <v>250</v>
      </c>
      <c r="AI115" s="19"/>
      <c r="AJ115" s="19"/>
      <c r="AK115" s="19"/>
      <c r="AL115" s="19">
        <v>40</v>
      </c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</row>
    <row r="116" spans="1:54" ht="15.75">
      <c r="A116" s="190">
        <v>108</v>
      </c>
      <c r="B116" s="185" t="s">
        <v>1519</v>
      </c>
      <c r="C116" s="183" t="s">
        <v>1488</v>
      </c>
      <c r="D116" s="190" t="s">
        <v>1520</v>
      </c>
      <c r="E116" s="184" t="s">
        <v>18</v>
      </c>
      <c r="F116" s="46">
        <v>248</v>
      </c>
      <c r="G116" s="19">
        <v>366</v>
      </c>
      <c r="H116" s="19"/>
      <c r="I116" s="19">
        <f t="shared" si="26"/>
        <v>366</v>
      </c>
      <c r="J116" s="19">
        <v>1150</v>
      </c>
      <c r="K116" s="19">
        <v>36</v>
      </c>
      <c r="L116" s="19">
        <f t="shared" si="15"/>
        <v>1186</v>
      </c>
      <c r="M116" s="19">
        <v>0</v>
      </c>
      <c r="N116" s="19">
        <v>0</v>
      </c>
      <c r="O116" s="19">
        <f t="shared" si="27"/>
        <v>0</v>
      </c>
      <c r="P116" s="19">
        <v>200</v>
      </c>
      <c r="Q116" s="19">
        <v>0</v>
      </c>
      <c r="R116" s="19">
        <f t="shared" si="32"/>
        <v>200</v>
      </c>
      <c r="S116" s="19">
        <v>0</v>
      </c>
      <c r="T116" s="19">
        <v>0</v>
      </c>
      <c r="U116" s="19">
        <f t="shared" si="33"/>
        <v>0</v>
      </c>
      <c r="V116" s="19">
        <v>600</v>
      </c>
      <c r="W116" s="19">
        <v>0</v>
      </c>
      <c r="X116" s="19">
        <f t="shared" si="34"/>
        <v>600</v>
      </c>
      <c r="Y116" s="138">
        <f t="shared" si="20"/>
        <v>2316</v>
      </c>
      <c r="Z116" s="138">
        <f t="shared" si="21"/>
        <v>36</v>
      </c>
      <c r="AA116" s="138">
        <f t="shared" si="22"/>
        <v>2352</v>
      </c>
      <c r="AB116" s="139">
        <f t="shared" si="23"/>
        <v>386</v>
      </c>
      <c r="AC116" s="139">
        <f t="shared" si="24"/>
        <v>6</v>
      </c>
      <c r="AD116" s="139">
        <f t="shared" si="25"/>
        <v>392</v>
      </c>
      <c r="AE116" s="19">
        <v>320</v>
      </c>
      <c r="AF116" s="19"/>
      <c r="AG116" s="19">
        <f t="shared" si="35"/>
        <v>320</v>
      </c>
      <c r="AH116" s="19">
        <v>356</v>
      </c>
      <c r="AI116" s="19">
        <v>150</v>
      </c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</row>
    <row r="117" spans="1:54" ht="15.75">
      <c r="A117" s="190">
        <v>109</v>
      </c>
      <c r="B117" s="185" t="s">
        <v>1521</v>
      </c>
      <c r="C117" s="183" t="s">
        <v>1488</v>
      </c>
      <c r="D117" s="190" t="s">
        <v>1522</v>
      </c>
      <c r="E117" s="184" t="s">
        <v>15</v>
      </c>
      <c r="F117" s="46">
        <v>725</v>
      </c>
      <c r="G117" s="19">
        <v>770</v>
      </c>
      <c r="H117" s="19">
        <v>90</v>
      </c>
      <c r="I117" s="19">
        <f t="shared" si="26"/>
        <v>860</v>
      </c>
      <c r="J117" s="19">
        <v>1100</v>
      </c>
      <c r="K117" s="19">
        <v>90</v>
      </c>
      <c r="L117" s="19">
        <f t="shared" si="15"/>
        <v>1190</v>
      </c>
      <c r="M117" s="19">
        <v>444</v>
      </c>
      <c r="N117" s="19">
        <v>166</v>
      </c>
      <c r="O117" s="19">
        <f t="shared" si="27"/>
        <v>610</v>
      </c>
      <c r="P117" s="19">
        <v>1108</v>
      </c>
      <c r="Q117" s="19">
        <v>138</v>
      </c>
      <c r="R117" s="19">
        <f t="shared" si="32"/>
        <v>1246</v>
      </c>
      <c r="S117" s="19">
        <v>0</v>
      </c>
      <c r="T117" s="19">
        <v>0</v>
      </c>
      <c r="U117" s="19">
        <f t="shared" si="33"/>
        <v>0</v>
      </c>
      <c r="V117" s="19">
        <v>1100</v>
      </c>
      <c r="W117" s="19">
        <v>232</v>
      </c>
      <c r="X117" s="19">
        <f t="shared" si="34"/>
        <v>1332</v>
      </c>
      <c r="Y117" s="138">
        <f t="shared" si="20"/>
        <v>4522</v>
      </c>
      <c r="Z117" s="138">
        <f t="shared" si="21"/>
        <v>716</v>
      </c>
      <c r="AA117" s="138">
        <f t="shared" si="22"/>
        <v>5238</v>
      </c>
      <c r="AB117" s="139">
        <f t="shared" si="23"/>
        <v>753.66666666666663</v>
      </c>
      <c r="AC117" s="139">
        <f t="shared" si="24"/>
        <v>119.33333333333333</v>
      </c>
      <c r="AD117" s="139">
        <f t="shared" si="25"/>
        <v>873</v>
      </c>
      <c r="AE117" s="19">
        <v>1100</v>
      </c>
      <c r="AF117" s="19"/>
      <c r="AG117" s="19">
        <f t="shared" si="35"/>
        <v>1100</v>
      </c>
      <c r="AH117" s="19"/>
      <c r="AI117" s="19"/>
      <c r="AJ117" s="19"/>
      <c r="AK117" s="19">
        <v>600</v>
      </c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</row>
    <row r="118" spans="1:54" ht="15.75">
      <c r="A118" s="190">
        <v>110</v>
      </c>
      <c r="B118" s="185" t="s">
        <v>1523</v>
      </c>
      <c r="C118" s="183" t="s">
        <v>1524</v>
      </c>
      <c r="D118" s="190" t="s">
        <v>1525</v>
      </c>
      <c r="E118" s="184" t="s">
        <v>18</v>
      </c>
      <c r="F118" s="46">
        <v>1156</v>
      </c>
      <c r="G118" s="19">
        <v>1194</v>
      </c>
      <c r="H118" s="19">
        <v>54</v>
      </c>
      <c r="I118" s="19">
        <f t="shared" si="26"/>
        <v>1248</v>
      </c>
      <c r="J118" s="19">
        <v>1036</v>
      </c>
      <c r="K118" s="19">
        <v>0</v>
      </c>
      <c r="L118" s="19">
        <f t="shared" si="15"/>
        <v>1036</v>
      </c>
      <c r="M118" s="19">
        <v>742</v>
      </c>
      <c r="N118" s="19">
        <v>56</v>
      </c>
      <c r="O118" s="19">
        <f t="shared" si="27"/>
        <v>798</v>
      </c>
      <c r="P118" s="19">
        <v>0</v>
      </c>
      <c r="Q118" s="19">
        <v>0</v>
      </c>
      <c r="R118" s="19">
        <f t="shared" si="32"/>
        <v>0</v>
      </c>
      <c r="S118" s="19">
        <v>954</v>
      </c>
      <c r="T118" s="19">
        <v>56</v>
      </c>
      <c r="U118" s="19">
        <f t="shared" si="33"/>
        <v>1010</v>
      </c>
      <c r="V118" s="19">
        <v>1362</v>
      </c>
      <c r="W118" s="19">
        <v>0</v>
      </c>
      <c r="X118" s="19">
        <f t="shared" si="34"/>
        <v>1362</v>
      </c>
      <c r="Y118" s="138">
        <f t="shared" si="20"/>
        <v>5288</v>
      </c>
      <c r="Z118" s="138">
        <f t="shared" si="21"/>
        <v>166</v>
      </c>
      <c r="AA118" s="138">
        <f t="shared" si="22"/>
        <v>5454</v>
      </c>
      <c r="AB118" s="139">
        <f t="shared" si="23"/>
        <v>881.33333333333337</v>
      </c>
      <c r="AC118" s="139">
        <f t="shared" si="24"/>
        <v>27.666666666666668</v>
      </c>
      <c r="AD118" s="139">
        <f t="shared" si="25"/>
        <v>909</v>
      </c>
      <c r="AE118" s="19">
        <v>1200</v>
      </c>
      <c r="AF118" s="19">
        <v>76</v>
      </c>
      <c r="AG118" s="19">
        <f t="shared" si="35"/>
        <v>1276</v>
      </c>
      <c r="AH118" s="19">
        <v>776</v>
      </c>
      <c r="AI118" s="19">
        <v>56</v>
      </c>
      <c r="AJ118" s="19"/>
      <c r="AK118" s="19">
        <v>898</v>
      </c>
      <c r="AL118" s="19">
        <v>36</v>
      </c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</row>
    <row r="119" spans="1:54" ht="15.75">
      <c r="A119" s="136">
        <v>111</v>
      </c>
      <c r="B119" s="186" t="s">
        <v>1526</v>
      </c>
      <c r="C119" s="187" t="s">
        <v>1524</v>
      </c>
      <c r="D119" s="136" t="s">
        <v>1527</v>
      </c>
      <c r="E119" s="179" t="s">
        <v>15</v>
      </c>
      <c r="F119" s="70">
        <v>18</v>
      </c>
      <c r="G119" s="6">
        <v>0</v>
      </c>
      <c r="H119" s="6"/>
      <c r="I119" s="1">
        <f t="shared" si="26"/>
        <v>0</v>
      </c>
      <c r="J119" s="6"/>
      <c r="K119" s="6"/>
      <c r="L119" s="1">
        <f t="shared" si="15"/>
        <v>0</v>
      </c>
      <c r="M119" s="6"/>
      <c r="N119" s="6"/>
      <c r="O119" s="6">
        <f t="shared" si="27"/>
        <v>0</v>
      </c>
      <c r="P119" s="6"/>
      <c r="Q119" s="6"/>
      <c r="R119" s="6">
        <f t="shared" si="32"/>
        <v>0</v>
      </c>
      <c r="S119" s="6">
        <v>90</v>
      </c>
      <c r="T119" s="6"/>
      <c r="U119" s="6">
        <f t="shared" si="33"/>
        <v>90</v>
      </c>
      <c r="V119" s="6"/>
      <c r="W119" s="6"/>
      <c r="X119" s="6">
        <f t="shared" si="34"/>
        <v>0</v>
      </c>
      <c r="Y119" s="174">
        <f t="shared" si="20"/>
        <v>90</v>
      </c>
      <c r="Z119" s="174">
        <f t="shared" si="21"/>
        <v>0</v>
      </c>
      <c r="AA119" s="174">
        <f t="shared" si="22"/>
        <v>90</v>
      </c>
      <c r="AB119" s="175">
        <f t="shared" si="23"/>
        <v>15</v>
      </c>
      <c r="AC119" s="175">
        <f t="shared" si="24"/>
        <v>0</v>
      </c>
      <c r="AD119" s="175">
        <f t="shared" si="25"/>
        <v>15</v>
      </c>
      <c r="AE119" s="6"/>
      <c r="AF119" s="6"/>
      <c r="AG119" s="6">
        <f t="shared" ref="AG119:AG173" si="36">AE119+AF119</f>
        <v>0</v>
      </c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</row>
    <row r="120" spans="1:54" ht="15.75">
      <c r="A120" s="136">
        <v>112</v>
      </c>
      <c r="B120" s="186" t="s">
        <v>1528</v>
      </c>
      <c r="C120" s="187" t="s">
        <v>1524</v>
      </c>
      <c r="D120" s="136" t="s">
        <v>1529</v>
      </c>
      <c r="E120" s="179" t="s">
        <v>15</v>
      </c>
      <c r="F120" s="70">
        <v>12</v>
      </c>
      <c r="G120" s="6">
        <v>0</v>
      </c>
      <c r="H120" s="6"/>
      <c r="I120" s="1">
        <f t="shared" si="26"/>
        <v>0</v>
      </c>
      <c r="J120" s="6"/>
      <c r="K120" s="6"/>
      <c r="L120" s="1">
        <f t="shared" si="15"/>
        <v>0</v>
      </c>
      <c r="M120" s="6"/>
      <c r="N120" s="6"/>
      <c r="O120" s="6">
        <f t="shared" si="27"/>
        <v>0</v>
      </c>
      <c r="P120" s="6"/>
      <c r="Q120" s="6"/>
      <c r="R120" s="6">
        <f t="shared" si="32"/>
        <v>0</v>
      </c>
      <c r="S120" s="6">
        <v>50</v>
      </c>
      <c r="T120" s="6"/>
      <c r="U120" s="6">
        <f t="shared" si="33"/>
        <v>50</v>
      </c>
      <c r="V120" s="6"/>
      <c r="W120" s="6"/>
      <c r="X120" s="6">
        <f t="shared" si="34"/>
        <v>0</v>
      </c>
      <c r="Y120" s="174">
        <f t="shared" si="20"/>
        <v>50</v>
      </c>
      <c r="Z120" s="174">
        <f t="shared" si="21"/>
        <v>0</v>
      </c>
      <c r="AA120" s="174">
        <f t="shared" si="22"/>
        <v>50</v>
      </c>
      <c r="AB120" s="175">
        <f t="shared" si="23"/>
        <v>8.3333333333333339</v>
      </c>
      <c r="AC120" s="175">
        <f t="shared" si="24"/>
        <v>0</v>
      </c>
      <c r="AD120" s="175">
        <f t="shared" si="25"/>
        <v>8.3333333333333339</v>
      </c>
      <c r="AE120" s="6"/>
      <c r="AF120" s="6"/>
      <c r="AG120" s="6">
        <f t="shared" si="36"/>
        <v>0</v>
      </c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</row>
    <row r="121" spans="1:54" ht="15.75">
      <c r="A121" s="136">
        <v>113</v>
      </c>
      <c r="B121" s="186" t="s">
        <v>1344</v>
      </c>
      <c r="C121" s="187" t="s">
        <v>1524</v>
      </c>
      <c r="D121" s="136" t="s">
        <v>1530</v>
      </c>
      <c r="E121" s="181" t="s">
        <v>18</v>
      </c>
      <c r="F121" s="70">
        <v>15</v>
      </c>
      <c r="G121" s="6">
        <v>72</v>
      </c>
      <c r="H121" s="6"/>
      <c r="I121" s="1">
        <f t="shared" si="26"/>
        <v>72</v>
      </c>
      <c r="J121" s="6"/>
      <c r="K121" s="6"/>
      <c r="L121" s="1">
        <f t="shared" si="15"/>
        <v>0</v>
      </c>
      <c r="M121" s="6">
        <v>36</v>
      </c>
      <c r="N121" s="6"/>
      <c r="O121" s="6">
        <f t="shared" si="27"/>
        <v>36</v>
      </c>
      <c r="P121" s="6"/>
      <c r="Q121" s="6"/>
      <c r="R121" s="6">
        <f t="shared" si="32"/>
        <v>0</v>
      </c>
      <c r="S121" s="6"/>
      <c r="T121" s="6"/>
      <c r="U121" s="6">
        <f t="shared" si="33"/>
        <v>0</v>
      </c>
      <c r="V121" s="6"/>
      <c r="W121" s="6"/>
      <c r="X121" s="6">
        <f t="shared" si="34"/>
        <v>0</v>
      </c>
      <c r="Y121" s="174">
        <f t="shared" si="20"/>
        <v>108</v>
      </c>
      <c r="Z121" s="174">
        <f t="shared" si="21"/>
        <v>0</v>
      </c>
      <c r="AA121" s="174">
        <f t="shared" si="22"/>
        <v>108</v>
      </c>
      <c r="AB121" s="175">
        <f t="shared" si="23"/>
        <v>18</v>
      </c>
      <c r="AC121" s="175">
        <f t="shared" si="24"/>
        <v>0</v>
      </c>
      <c r="AD121" s="175">
        <f t="shared" si="25"/>
        <v>18</v>
      </c>
      <c r="AE121" s="6"/>
      <c r="AF121" s="6"/>
      <c r="AG121" s="6">
        <f t="shared" si="36"/>
        <v>0</v>
      </c>
      <c r="AH121" s="6"/>
      <c r="AI121" s="6"/>
      <c r="AJ121" s="6"/>
      <c r="AK121" s="6">
        <v>72</v>
      </c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</row>
    <row r="122" spans="1:54" ht="15.75">
      <c r="A122" s="136">
        <v>114</v>
      </c>
      <c r="B122" s="186" t="s">
        <v>1531</v>
      </c>
      <c r="C122" s="187" t="s">
        <v>1524</v>
      </c>
      <c r="D122" s="136" t="s">
        <v>1532</v>
      </c>
      <c r="E122" s="181" t="s">
        <v>18</v>
      </c>
      <c r="F122" s="70">
        <v>10</v>
      </c>
      <c r="G122" s="6">
        <v>0</v>
      </c>
      <c r="H122" s="6"/>
      <c r="I122" s="1">
        <f t="shared" si="26"/>
        <v>0</v>
      </c>
      <c r="J122" s="6"/>
      <c r="K122" s="6"/>
      <c r="L122" s="1">
        <f t="shared" si="15"/>
        <v>0</v>
      </c>
      <c r="M122" s="6"/>
      <c r="N122" s="6"/>
      <c r="O122" s="6">
        <f t="shared" si="27"/>
        <v>0</v>
      </c>
      <c r="P122" s="6"/>
      <c r="Q122" s="6"/>
      <c r="R122" s="6">
        <f t="shared" si="32"/>
        <v>0</v>
      </c>
      <c r="S122" s="6"/>
      <c r="T122" s="6"/>
      <c r="U122" s="6">
        <f t="shared" si="33"/>
        <v>0</v>
      </c>
      <c r="V122" s="6"/>
      <c r="W122" s="6"/>
      <c r="X122" s="6">
        <f t="shared" si="34"/>
        <v>0</v>
      </c>
      <c r="Y122" s="174">
        <f t="shared" si="20"/>
        <v>0</v>
      </c>
      <c r="Z122" s="174">
        <f t="shared" si="21"/>
        <v>0</v>
      </c>
      <c r="AA122" s="174">
        <f t="shared" si="22"/>
        <v>0</v>
      </c>
      <c r="AB122" s="175">
        <f t="shared" si="23"/>
        <v>0</v>
      </c>
      <c r="AC122" s="175">
        <f t="shared" si="24"/>
        <v>0</v>
      </c>
      <c r="AD122" s="175">
        <f t="shared" si="25"/>
        <v>0</v>
      </c>
      <c r="AE122" s="6"/>
      <c r="AF122" s="6"/>
      <c r="AG122" s="6">
        <f t="shared" si="36"/>
        <v>0</v>
      </c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</row>
    <row r="123" spans="1:54" ht="15.75">
      <c r="A123" s="136">
        <v>115</v>
      </c>
      <c r="B123" s="186" t="s">
        <v>1533</v>
      </c>
      <c r="C123" s="187" t="s">
        <v>1524</v>
      </c>
      <c r="D123" s="136" t="s">
        <v>1534</v>
      </c>
      <c r="E123" s="181" t="s">
        <v>18</v>
      </c>
      <c r="F123" s="70">
        <v>25</v>
      </c>
      <c r="G123" s="6">
        <v>0</v>
      </c>
      <c r="H123" s="6"/>
      <c r="I123" s="1">
        <f t="shared" si="26"/>
        <v>0</v>
      </c>
      <c r="J123" s="6"/>
      <c r="K123" s="6"/>
      <c r="L123" s="1">
        <f t="shared" si="15"/>
        <v>0</v>
      </c>
      <c r="M123" s="6">
        <v>256</v>
      </c>
      <c r="N123" s="6">
        <v>36</v>
      </c>
      <c r="O123" s="6">
        <f t="shared" si="27"/>
        <v>292</v>
      </c>
      <c r="P123" s="6"/>
      <c r="Q123" s="6"/>
      <c r="R123" s="6">
        <f t="shared" si="32"/>
        <v>0</v>
      </c>
      <c r="S123" s="6"/>
      <c r="T123" s="6"/>
      <c r="U123" s="6">
        <f t="shared" si="33"/>
        <v>0</v>
      </c>
      <c r="V123" s="6"/>
      <c r="W123" s="6"/>
      <c r="X123" s="6">
        <f t="shared" si="34"/>
        <v>0</v>
      </c>
      <c r="Y123" s="174">
        <f t="shared" si="20"/>
        <v>256</v>
      </c>
      <c r="Z123" s="174">
        <f t="shared" si="21"/>
        <v>36</v>
      </c>
      <c r="AA123" s="174">
        <f t="shared" si="22"/>
        <v>292</v>
      </c>
      <c r="AB123" s="175">
        <f t="shared" si="23"/>
        <v>42.666666666666664</v>
      </c>
      <c r="AC123" s="175">
        <f t="shared" si="24"/>
        <v>6</v>
      </c>
      <c r="AD123" s="175">
        <f t="shared" si="25"/>
        <v>48.666666666666664</v>
      </c>
      <c r="AE123" s="6"/>
      <c r="AF123" s="6"/>
      <c r="AG123" s="6">
        <f t="shared" si="36"/>
        <v>0</v>
      </c>
      <c r="AH123" s="6">
        <v>181</v>
      </c>
      <c r="AI123" s="6"/>
      <c r="AJ123" s="6"/>
      <c r="AK123" s="6">
        <v>86</v>
      </c>
      <c r="AL123" s="6">
        <v>18</v>
      </c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</row>
    <row r="124" spans="1:54" ht="15.75">
      <c r="A124" s="136">
        <v>116</v>
      </c>
      <c r="B124" s="186" t="s">
        <v>1535</v>
      </c>
      <c r="C124" s="187" t="s">
        <v>1524</v>
      </c>
      <c r="D124" s="136" t="s">
        <v>1536</v>
      </c>
      <c r="E124" s="181" t="s">
        <v>18</v>
      </c>
      <c r="F124" s="70">
        <v>300</v>
      </c>
      <c r="G124" s="6">
        <v>112</v>
      </c>
      <c r="H124" s="6"/>
      <c r="I124" s="1">
        <f t="shared" si="26"/>
        <v>112</v>
      </c>
      <c r="J124" s="6">
        <v>100</v>
      </c>
      <c r="K124" s="6"/>
      <c r="L124" s="1">
        <f t="shared" si="15"/>
        <v>100</v>
      </c>
      <c r="M124" s="6">
        <v>280</v>
      </c>
      <c r="N124" s="6"/>
      <c r="O124" s="6">
        <f t="shared" si="27"/>
        <v>280</v>
      </c>
      <c r="P124" s="6"/>
      <c r="Q124" s="6"/>
      <c r="R124" s="6">
        <f t="shared" si="32"/>
        <v>0</v>
      </c>
      <c r="S124" s="6">
        <v>322</v>
      </c>
      <c r="T124" s="6"/>
      <c r="U124" s="6">
        <f t="shared" si="33"/>
        <v>322</v>
      </c>
      <c r="V124" s="6"/>
      <c r="W124" s="6"/>
      <c r="X124" s="6">
        <f t="shared" si="34"/>
        <v>0</v>
      </c>
      <c r="Y124" s="174">
        <f t="shared" si="20"/>
        <v>814</v>
      </c>
      <c r="Z124" s="174">
        <f t="shared" si="21"/>
        <v>0</v>
      </c>
      <c r="AA124" s="174">
        <f t="shared" si="22"/>
        <v>814</v>
      </c>
      <c r="AB124" s="175">
        <f t="shared" si="23"/>
        <v>135.66666666666666</v>
      </c>
      <c r="AC124" s="175">
        <f t="shared" si="24"/>
        <v>0</v>
      </c>
      <c r="AD124" s="175">
        <f t="shared" si="25"/>
        <v>135.66666666666666</v>
      </c>
      <c r="AE124" s="6">
        <v>100</v>
      </c>
      <c r="AF124" s="6"/>
      <c r="AG124" s="6">
        <f t="shared" si="36"/>
        <v>100</v>
      </c>
      <c r="AH124" s="6">
        <v>290</v>
      </c>
      <c r="AI124" s="6"/>
      <c r="AJ124" s="6"/>
      <c r="AK124" s="6">
        <v>400</v>
      </c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</row>
    <row r="125" spans="1:54" ht="15.75">
      <c r="A125" s="136">
        <v>117</v>
      </c>
      <c r="B125" s="186" t="s">
        <v>1537</v>
      </c>
      <c r="C125" s="187" t="s">
        <v>1524</v>
      </c>
      <c r="D125" s="136" t="s">
        <v>1538</v>
      </c>
      <c r="E125" s="179" t="s">
        <v>15</v>
      </c>
      <c r="F125" s="70">
        <v>15</v>
      </c>
      <c r="G125" s="6">
        <v>54</v>
      </c>
      <c r="H125" s="6"/>
      <c r="I125" s="1">
        <f t="shared" si="26"/>
        <v>54</v>
      </c>
      <c r="J125" s="6"/>
      <c r="K125" s="6"/>
      <c r="L125" s="1">
        <f t="shared" si="15"/>
        <v>0</v>
      </c>
      <c r="M125" s="6">
        <v>36</v>
      </c>
      <c r="N125" s="6"/>
      <c r="O125" s="6">
        <f t="shared" si="27"/>
        <v>36</v>
      </c>
      <c r="P125" s="6"/>
      <c r="Q125" s="6"/>
      <c r="R125" s="6">
        <f t="shared" si="32"/>
        <v>0</v>
      </c>
      <c r="S125" s="6"/>
      <c r="T125" s="6"/>
      <c r="U125" s="6">
        <f t="shared" si="33"/>
        <v>0</v>
      </c>
      <c r="V125" s="6">
        <v>36</v>
      </c>
      <c r="W125" s="6">
        <v>72</v>
      </c>
      <c r="X125" s="6">
        <f t="shared" si="34"/>
        <v>108</v>
      </c>
      <c r="Y125" s="174">
        <f t="shared" si="20"/>
        <v>126</v>
      </c>
      <c r="Z125" s="174">
        <f t="shared" si="21"/>
        <v>72</v>
      </c>
      <c r="AA125" s="174">
        <f t="shared" si="22"/>
        <v>198</v>
      </c>
      <c r="AB125" s="175">
        <f t="shared" si="23"/>
        <v>21</v>
      </c>
      <c r="AC125" s="175">
        <f t="shared" si="24"/>
        <v>12</v>
      </c>
      <c r="AD125" s="175">
        <f t="shared" si="25"/>
        <v>33</v>
      </c>
      <c r="AE125" s="6">
        <v>36</v>
      </c>
      <c r="AF125" s="6"/>
      <c r="AG125" s="6">
        <f t="shared" si="36"/>
        <v>36</v>
      </c>
      <c r="AH125" s="6">
        <v>61</v>
      </c>
      <c r="AI125" s="6"/>
      <c r="AJ125" s="6"/>
      <c r="AK125" s="6">
        <v>80</v>
      </c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</row>
    <row r="126" spans="1:54" ht="15.75">
      <c r="A126" s="136">
        <v>118</v>
      </c>
      <c r="B126" s="186" t="s">
        <v>1539</v>
      </c>
      <c r="C126" s="187" t="s">
        <v>1524</v>
      </c>
      <c r="D126" s="136" t="s">
        <v>1540</v>
      </c>
      <c r="E126" s="179" t="s">
        <v>15</v>
      </c>
      <c r="F126" s="70">
        <v>6</v>
      </c>
      <c r="G126" s="6">
        <v>0</v>
      </c>
      <c r="H126" s="6"/>
      <c r="I126" s="1">
        <f t="shared" si="26"/>
        <v>0</v>
      </c>
      <c r="J126" s="6"/>
      <c r="K126" s="6"/>
      <c r="L126" s="1">
        <f t="shared" si="15"/>
        <v>0</v>
      </c>
      <c r="M126" s="6"/>
      <c r="N126" s="6"/>
      <c r="O126" s="6">
        <f t="shared" si="27"/>
        <v>0</v>
      </c>
      <c r="P126" s="6"/>
      <c r="Q126" s="6"/>
      <c r="R126" s="6">
        <f t="shared" si="32"/>
        <v>0</v>
      </c>
      <c r="S126" s="6"/>
      <c r="T126" s="6"/>
      <c r="U126" s="6">
        <f t="shared" si="33"/>
        <v>0</v>
      </c>
      <c r="V126" s="6"/>
      <c r="W126" s="6"/>
      <c r="X126" s="6">
        <f t="shared" si="34"/>
        <v>0</v>
      </c>
      <c r="Y126" s="174">
        <f t="shared" si="20"/>
        <v>0</v>
      </c>
      <c r="Z126" s="174">
        <f t="shared" si="21"/>
        <v>0</v>
      </c>
      <c r="AA126" s="174">
        <f t="shared" si="22"/>
        <v>0</v>
      </c>
      <c r="AB126" s="175">
        <f t="shared" si="23"/>
        <v>0</v>
      </c>
      <c r="AC126" s="175">
        <f t="shared" si="24"/>
        <v>0</v>
      </c>
      <c r="AD126" s="175">
        <f t="shared" si="25"/>
        <v>0</v>
      </c>
      <c r="AE126" s="6"/>
      <c r="AF126" s="6"/>
      <c r="AG126" s="6">
        <f t="shared" si="36"/>
        <v>0</v>
      </c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</row>
    <row r="127" spans="1:54" ht="15.75">
      <c r="A127" s="136">
        <v>119</v>
      </c>
      <c r="B127" s="186" t="s">
        <v>1541</v>
      </c>
      <c r="C127" s="187" t="s">
        <v>1524</v>
      </c>
      <c r="D127" s="136" t="s">
        <v>1542</v>
      </c>
      <c r="E127" s="179" t="s">
        <v>15</v>
      </c>
      <c r="F127" s="70">
        <v>3</v>
      </c>
      <c r="G127" s="6">
        <v>0</v>
      </c>
      <c r="H127" s="6"/>
      <c r="I127" s="1">
        <f t="shared" si="26"/>
        <v>0</v>
      </c>
      <c r="J127" s="6"/>
      <c r="K127" s="6"/>
      <c r="L127" s="1">
        <f t="shared" si="15"/>
        <v>0</v>
      </c>
      <c r="M127" s="6">
        <v>20</v>
      </c>
      <c r="N127" s="6"/>
      <c r="O127" s="6">
        <f t="shared" si="27"/>
        <v>20</v>
      </c>
      <c r="P127" s="6"/>
      <c r="Q127" s="6"/>
      <c r="R127" s="6">
        <f t="shared" si="32"/>
        <v>0</v>
      </c>
      <c r="S127" s="6"/>
      <c r="T127" s="6"/>
      <c r="U127" s="6">
        <f t="shared" si="33"/>
        <v>0</v>
      </c>
      <c r="V127" s="6"/>
      <c r="W127" s="6"/>
      <c r="X127" s="6">
        <f t="shared" si="34"/>
        <v>0</v>
      </c>
      <c r="Y127" s="174">
        <f t="shared" si="20"/>
        <v>20</v>
      </c>
      <c r="Z127" s="174">
        <f t="shared" si="21"/>
        <v>0</v>
      </c>
      <c r="AA127" s="174">
        <f t="shared" si="22"/>
        <v>20</v>
      </c>
      <c r="AB127" s="175">
        <f t="shared" si="23"/>
        <v>3.3333333333333335</v>
      </c>
      <c r="AC127" s="175">
        <f t="shared" si="24"/>
        <v>0</v>
      </c>
      <c r="AD127" s="175">
        <f t="shared" si="25"/>
        <v>3.3333333333333335</v>
      </c>
      <c r="AE127" s="6"/>
      <c r="AF127" s="6"/>
      <c r="AG127" s="6">
        <f t="shared" si="36"/>
        <v>0</v>
      </c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</row>
    <row r="128" spans="1:54" ht="15.75">
      <c r="A128" s="136">
        <v>120</v>
      </c>
      <c r="B128" s="186" t="s">
        <v>1543</v>
      </c>
      <c r="C128" s="187" t="s">
        <v>1524</v>
      </c>
      <c r="D128" s="136" t="s">
        <v>1544</v>
      </c>
      <c r="E128" s="179" t="s">
        <v>15</v>
      </c>
      <c r="F128" s="70">
        <v>10</v>
      </c>
      <c r="G128" s="6">
        <v>0</v>
      </c>
      <c r="H128" s="6"/>
      <c r="I128" s="1">
        <f t="shared" si="26"/>
        <v>0</v>
      </c>
      <c r="J128" s="6"/>
      <c r="K128" s="6"/>
      <c r="L128" s="1">
        <f t="shared" si="15"/>
        <v>0</v>
      </c>
      <c r="M128" s="6"/>
      <c r="N128" s="6"/>
      <c r="O128" s="6">
        <f t="shared" si="27"/>
        <v>0</v>
      </c>
      <c r="P128" s="6"/>
      <c r="Q128" s="6"/>
      <c r="R128" s="6">
        <f t="shared" si="32"/>
        <v>0</v>
      </c>
      <c r="S128" s="6"/>
      <c r="T128" s="6"/>
      <c r="U128" s="6">
        <f t="shared" si="33"/>
        <v>0</v>
      </c>
      <c r="V128" s="6"/>
      <c r="W128" s="6"/>
      <c r="X128" s="6">
        <f t="shared" si="34"/>
        <v>0</v>
      </c>
      <c r="Y128" s="174">
        <f t="shared" si="20"/>
        <v>0</v>
      </c>
      <c r="Z128" s="174">
        <f t="shared" si="21"/>
        <v>0</v>
      </c>
      <c r="AA128" s="174">
        <f t="shared" si="22"/>
        <v>0</v>
      </c>
      <c r="AB128" s="175">
        <f t="shared" si="23"/>
        <v>0</v>
      </c>
      <c r="AC128" s="175">
        <f t="shared" si="24"/>
        <v>0</v>
      </c>
      <c r="AD128" s="175">
        <f t="shared" si="25"/>
        <v>0</v>
      </c>
      <c r="AE128" s="6">
        <v>32</v>
      </c>
      <c r="AF128" s="6"/>
      <c r="AG128" s="6">
        <f t="shared" si="36"/>
        <v>32</v>
      </c>
      <c r="AH128" s="6">
        <v>50</v>
      </c>
      <c r="AI128" s="6"/>
      <c r="AJ128" s="6"/>
      <c r="AK128" s="6">
        <v>25</v>
      </c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</row>
    <row r="129" spans="1:54" ht="15.75">
      <c r="A129" s="136">
        <v>121</v>
      </c>
      <c r="B129" s="186" t="s">
        <v>1545</v>
      </c>
      <c r="C129" s="187" t="s">
        <v>1524</v>
      </c>
      <c r="D129" s="136" t="s">
        <v>1546</v>
      </c>
      <c r="E129" s="179" t="s">
        <v>15</v>
      </c>
      <c r="F129" s="70">
        <v>250</v>
      </c>
      <c r="G129" s="6">
        <v>356</v>
      </c>
      <c r="H129" s="6"/>
      <c r="I129" s="1">
        <f t="shared" si="26"/>
        <v>356</v>
      </c>
      <c r="J129" s="6">
        <v>150</v>
      </c>
      <c r="K129" s="6"/>
      <c r="L129" s="1">
        <f t="shared" si="15"/>
        <v>150</v>
      </c>
      <c r="M129" s="6">
        <v>140</v>
      </c>
      <c r="N129" s="6">
        <v>15</v>
      </c>
      <c r="O129" s="6">
        <f t="shared" si="27"/>
        <v>155</v>
      </c>
      <c r="P129" s="6">
        <v>180</v>
      </c>
      <c r="Q129" s="6"/>
      <c r="R129" s="6">
        <f t="shared" si="32"/>
        <v>180</v>
      </c>
      <c r="S129" s="6">
        <v>200</v>
      </c>
      <c r="T129" s="6">
        <v>100</v>
      </c>
      <c r="U129" s="6">
        <f t="shared" si="33"/>
        <v>300</v>
      </c>
      <c r="V129" s="6"/>
      <c r="W129" s="6"/>
      <c r="X129" s="6">
        <f t="shared" si="34"/>
        <v>0</v>
      </c>
      <c r="Y129" s="174">
        <f t="shared" si="20"/>
        <v>1026</v>
      </c>
      <c r="Z129" s="174">
        <f t="shared" si="21"/>
        <v>115</v>
      </c>
      <c r="AA129" s="174">
        <f t="shared" si="22"/>
        <v>1141</v>
      </c>
      <c r="AB129" s="175">
        <f t="shared" si="23"/>
        <v>171</v>
      </c>
      <c r="AC129" s="175">
        <f t="shared" si="24"/>
        <v>19.166666666666668</v>
      </c>
      <c r="AD129" s="175">
        <f t="shared" si="25"/>
        <v>190.16666666666666</v>
      </c>
      <c r="AE129" s="6">
        <v>45</v>
      </c>
      <c r="AF129" s="6">
        <v>36</v>
      </c>
      <c r="AG129" s="6">
        <f t="shared" si="36"/>
        <v>81</v>
      </c>
      <c r="AH129" s="6">
        <v>310</v>
      </c>
      <c r="AI129" s="6">
        <v>20</v>
      </c>
      <c r="AJ129" s="6"/>
      <c r="AK129" s="6">
        <v>400</v>
      </c>
      <c r="AL129" s="6">
        <v>36</v>
      </c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</row>
    <row r="130" spans="1:54" ht="15.75">
      <c r="A130" s="136">
        <v>122</v>
      </c>
      <c r="B130" s="186" t="s">
        <v>1547</v>
      </c>
      <c r="C130" s="187" t="s">
        <v>1524</v>
      </c>
      <c r="D130" s="136" t="s">
        <v>1548</v>
      </c>
      <c r="E130" s="179" t="s">
        <v>15</v>
      </c>
      <c r="F130" s="70">
        <v>5</v>
      </c>
      <c r="G130" s="6">
        <v>0</v>
      </c>
      <c r="H130" s="6"/>
      <c r="I130" s="1">
        <f t="shared" si="26"/>
        <v>0</v>
      </c>
      <c r="J130" s="6"/>
      <c r="K130" s="6"/>
      <c r="L130" s="1">
        <f t="shared" si="15"/>
        <v>0</v>
      </c>
      <c r="M130" s="6"/>
      <c r="N130" s="6"/>
      <c r="O130" s="6">
        <f t="shared" si="27"/>
        <v>0</v>
      </c>
      <c r="P130" s="6"/>
      <c r="Q130" s="6"/>
      <c r="R130" s="6">
        <f t="shared" si="32"/>
        <v>0</v>
      </c>
      <c r="S130" s="6"/>
      <c r="T130" s="6"/>
      <c r="U130" s="6">
        <f t="shared" si="33"/>
        <v>0</v>
      </c>
      <c r="V130" s="6"/>
      <c r="W130" s="6"/>
      <c r="X130" s="6">
        <f t="shared" si="34"/>
        <v>0</v>
      </c>
      <c r="Y130" s="174">
        <f t="shared" si="20"/>
        <v>0</v>
      </c>
      <c r="Z130" s="174">
        <f t="shared" si="21"/>
        <v>0</v>
      </c>
      <c r="AA130" s="174">
        <f t="shared" si="22"/>
        <v>0</v>
      </c>
      <c r="AB130" s="175">
        <f t="shared" si="23"/>
        <v>0</v>
      </c>
      <c r="AC130" s="175">
        <f t="shared" si="24"/>
        <v>0</v>
      </c>
      <c r="AD130" s="175">
        <f t="shared" si="25"/>
        <v>0</v>
      </c>
      <c r="AE130" s="6">
        <v>50</v>
      </c>
      <c r="AF130" s="6"/>
      <c r="AG130" s="6">
        <f t="shared" si="36"/>
        <v>50</v>
      </c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</row>
    <row r="131" spans="1:54" ht="15.75">
      <c r="A131" s="136">
        <v>123</v>
      </c>
      <c r="B131" s="186" t="s">
        <v>1549</v>
      </c>
      <c r="C131" s="187" t="s">
        <v>1524</v>
      </c>
      <c r="D131" s="136" t="s">
        <v>1550</v>
      </c>
      <c r="E131" s="179" t="s">
        <v>15</v>
      </c>
      <c r="F131" s="70">
        <v>10</v>
      </c>
      <c r="G131" s="6">
        <v>0</v>
      </c>
      <c r="H131" s="6"/>
      <c r="I131" s="1">
        <f t="shared" si="26"/>
        <v>0</v>
      </c>
      <c r="J131" s="6"/>
      <c r="K131" s="6"/>
      <c r="L131" s="1">
        <f t="shared" si="15"/>
        <v>0</v>
      </c>
      <c r="M131" s="6">
        <v>20</v>
      </c>
      <c r="N131" s="6"/>
      <c r="O131" s="6">
        <f t="shared" si="27"/>
        <v>20</v>
      </c>
      <c r="P131" s="6"/>
      <c r="Q131" s="6"/>
      <c r="R131" s="6">
        <f t="shared" si="32"/>
        <v>0</v>
      </c>
      <c r="S131" s="6"/>
      <c r="T131" s="6"/>
      <c r="U131" s="6">
        <f t="shared" si="33"/>
        <v>0</v>
      </c>
      <c r="V131" s="6"/>
      <c r="W131" s="6"/>
      <c r="X131" s="6">
        <f t="shared" si="34"/>
        <v>0</v>
      </c>
      <c r="Y131" s="174">
        <f t="shared" si="20"/>
        <v>20</v>
      </c>
      <c r="Z131" s="174">
        <f t="shared" si="21"/>
        <v>0</v>
      </c>
      <c r="AA131" s="174">
        <f t="shared" si="22"/>
        <v>20</v>
      </c>
      <c r="AB131" s="175">
        <f t="shared" si="23"/>
        <v>3.3333333333333335</v>
      </c>
      <c r="AC131" s="175">
        <f t="shared" si="24"/>
        <v>0</v>
      </c>
      <c r="AD131" s="175">
        <f t="shared" si="25"/>
        <v>3.3333333333333335</v>
      </c>
      <c r="AE131" s="6"/>
      <c r="AF131" s="6"/>
      <c r="AG131" s="6">
        <f t="shared" si="36"/>
        <v>0</v>
      </c>
      <c r="AH131" s="6">
        <v>25</v>
      </c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</row>
    <row r="132" spans="1:54" ht="15.75">
      <c r="A132" s="136">
        <v>124</v>
      </c>
      <c r="B132" s="186" t="s">
        <v>53</v>
      </c>
      <c r="C132" s="187" t="s">
        <v>1524</v>
      </c>
      <c r="D132" s="136" t="s">
        <v>1551</v>
      </c>
      <c r="E132" s="179" t="s">
        <v>15</v>
      </c>
      <c r="F132" s="70">
        <v>5</v>
      </c>
      <c r="G132" s="6">
        <v>0</v>
      </c>
      <c r="H132" s="6"/>
      <c r="I132" s="1">
        <f t="shared" si="26"/>
        <v>0</v>
      </c>
      <c r="J132" s="6"/>
      <c r="K132" s="6"/>
      <c r="L132" s="1">
        <f t="shared" si="15"/>
        <v>0</v>
      </c>
      <c r="M132" s="6"/>
      <c r="N132" s="6"/>
      <c r="O132" s="6">
        <f t="shared" si="27"/>
        <v>0</v>
      </c>
      <c r="P132" s="6"/>
      <c r="Q132" s="6"/>
      <c r="R132" s="6">
        <f t="shared" si="32"/>
        <v>0</v>
      </c>
      <c r="S132" s="6"/>
      <c r="T132" s="6"/>
      <c r="U132" s="6">
        <f t="shared" si="33"/>
        <v>0</v>
      </c>
      <c r="V132" s="6"/>
      <c r="W132" s="6"/>
      <c r="X132" s="6">
        <f t="shared" si="34"/>
        <v>0</v>
      </c>
      <c r="Y132" s="174">
        <f t="shared" si="20"/>
        <v>0</v>
      </c>
      <c r="Z132" s="174">
        <f t="shared" si="21"/>
        <v>0</v>
      </c>
      <c r="AA132" s="174">
        <f t="shared" si="22"/>
        <v>0</v>
      </c>
      <c r="AB132" s="175">
        <f t="shared" si="23"/>
        <v>0</v>
      </c>
      <c r="AC132" s="175">
        <f t="shared" si="24"/>
        <v>0</v>
      </c>
      <c r="AD132" s="175">
        <f t="shared" si="25"/>
        <v>0</v>
      </c>
      <c r="AE132" s="6"/>
      <c r="AF132" s="6">
        <v>40</v>
      </c>
      <c r="AG132" s="6">
        <f t="shared" si="36"/>
        <v>40</v>
      </c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</row>
    <row r="133" spans="1:54" ht="15.75">
      <c r="A133" s="136">
        <v>125</v>
      </c>
      <c r="B133" s="186" t="s">
        <v>1552</v>
      </c>
      <c r="C133" s="187" t="s">
        <v>1524</v>
      </c>
      <c r="D133" s="136" t="s">
        <v>1553</v>
      </c>
      <c r="E133" s="181" t="s">
        <v>18</v>
      </c>
      <c r="F133" s="70">
        <v>50</v>
      </c>
      <c r="G133" s="6">
        <v>0</v>
      </c>
      <c r="H133" s="6"/>
      <c r="I133" s="1">
        <f t="shared" si="26"/>
        <v>0</v>
      </c>
      <c r="J133" s="6"/>
      <c r="K133" s="6"/>
      <c r="L133" s="1">
        <f t="shared" si="15"/>
        <v>0</v>
      </c>
      <c r="M133" s="6"/>
      <c r="N133" s="6"/>
      <c r="O133" s="6">
        <f t="shared" si="27"/>
        <v>0</v>
      </c>
      <c r="P133" s="6"/>
      <c r="Q133" s="6"/>
      <c r="R133" s="6">
        <f t="shared" si="32"/>
        <v>0</v>
      </c>
      <c r="S133" s="6"/>
      <c r="T133" s="6"/>
      <c r="U133" s="6">
        <f t="shared" si="33"/>
        <v>0</v>
      </c>
      <c r="V133" s="6"/>
      <c r="W133" s="6"/>
      <c r="X133" s="6">
        <f t="shared" si="34"/>
        <v>0</v>
      </c>
      <c r="Y133" s="174">
        <f t="shared" si="20"/>
        <v>0</v>
      </c>
      <c r="Z133" s="174">
        <f t="shared" si="21"/>
        <v>0</v>
      </c>
      <c r="AA133" s="174">
        <f t="shared" si="22"/>
        <v>0</v>
      </c>
      <c r="AB133" s="175">
        <f t="shared" si="23"/>
        <v>0</v>
      </c>
      <c r="AC133" s="175">
        <f t="shared" si="24"/>
        <v>0</v>
      </c>
      <c r="AD133" s="175">
        <f t="shared" si="25"/>
        <v>0</v>
      </c>
      <c r="AE133" s="6"/>
      <c r="AF133" s="6"/>
      <c r="AG133" s="6">
        <f t="shared" si="36"/>
        <v>0</v>
      </c>
      <c r="AH133" s="6">
        <v>360</v>
      </c>
      <c r="AI133" s="6">
        <v>36</v>
      </c>
      <c r="AJ133" s="6"/>
      <c r="AK133" s="6">
        <v>255</v>
      </c>
      <c r="AL133" s="6">
        <v>24</v>
      </c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</row>
    <row r="134" spans="1:54" ht="15.75">
      <c r="A134" s="136">
        <v>126</v>
      </c>
      <c r="B134" s="186" t="s">
        <v>1554</v>
      </c>
      <c r="C134" s="187" t="s">
        <v>1524</v>
      </c>
      <c r="D134" s="136" t="s">
        <v>1555</v>
      </c>
      <c r="E134" s="181" t="s">
        <v>18</v>
      </c>
      <c r="F134" s="70">
        <v>25</v>
      </c>
      <c r="G134" s="6">
        <v>0</v>
      </c>
      <c r="H134" s="6"/>
      <c r="I134" s="1">
        <f t="shared" si="26"/>
        <v>0</v>
      </c>
      <c r="J134" s="6"/>
      <c r="K134" s="6"/>
      <c r="L134" s="1">
        <f t="shared" si="15"/>
        <v>0</v>
      </c>
      <c r="M134" s="6">
        <v>300</v>
      </c>
      <c r="N134" s="6"/>
      <c r="O134" s="6">
        <f t="shared" si="27"/>
        <v>300</v>
      </c>
      <c r="P134" s="6"/>
      <c r="Q134" s="6"/>
      <c r="R134" s="6">
        <f t="shared" si="32"/>
        <v>0</v>
      </c>
      <c r="S134" s="6"/>
      <c r="T134" s="6"/>
      <c r="U134" s="6">
        <f t="shared" si="33"/>
        <v>0</v>
      </c>
      <c r="V134" s="6">
        <v>158</v>
      </c>
      <c r="W134" s="6">
        <v>36</v>
      </c>
      <c r="X134" s="6">
        <f t="shared" si="34"/>
        <v>194</v>
      </c>
      <c r="Y134" s="174">
        <f t="shared" si="20"/>
        <v>458</v>
      </c>
      <c r="Z134" s="174">
        <f t="shared" si="21"/>
        <v>36</v>
      </c>
      <c r="AA134" s="174">
        <f t="shared" si="22"/>
        <v>494</v>
      </c>
      <c r="AB134" s="175">
        <f t="shared" si="23"/>
        <v>76.333333333333329</v>
      </c>
      <c r="AC134" s="175">
        <f t="shared" si="24"/>
        <v>6</v>
      </c>
      <c r="AD134" s="175">
        <f t="shared" si="25"/>
        <v>82.333333333333329</v>
      </c>
      <c r="AE134" s="6">
        <v>159</v>
      </c>
      <c r="AF134" s="6">
        <v>72</v>
      </c>
      <c r="AG134" s="6">
        <f t="shared" si="36"/>
        <v>231</v>
      </c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</row>
    <row r="135" spans="1:54" ht="15.75">
      <c r="A135" s="136">
        <v>127</v>
      </c>
      <c r="B135" s="186" t="s">
        <v>1556</v>
      </c>
      <c r="C135" s="187" t="s">
        <v>1524</v>
      </c>
      <c r="D135" s="136" t="s">
        <v>1557</v>
      </c>
      <c r="E135" s="181" t="s">
        <v>18</v>
      </c>
      <c r="F135" s="70">
        <v>60</v>
      </c>
      <c r="G135" s="6">
        <v>147</v>
      </c>
      <c r="H135" s="6"/>
      <c r="I135" s="1">
        <f t="shared" si="26"/>
        <v>147</v>
      </c>
      <c r="J135" s="6">
        <v>101</v>
      </c>
      <c r="K135" s="6"/>
      <c r="L135" s="1">
        <f t="shared" si="15"/>
        <v>101</v>
      </c>
      <c r="M135" s="6"/>
      <c r="N135" s="6"/>
      <c r="O135" s="6">
        <f t="shared" si="27"/>
        <v>0</v>
      </c>
      <c r="P135" s="6">
        <v>56</v>
      </c>
      <c r="Q135" s="6"/>
      <c r="R135" s="6">
        <f t="shared" si="32"/>
        <v>56</v>
      </c>
      <c r="S135" s="6"/>
      <c r="T135" s="6"/>
      <c r="U135" s="6">
        <f t="shared" si="33"/>
        <v>0</v>
      </c>
      <c r="V135" s="6"/>
      <c r="W135" s="6"/>
      <c r="X135" s="6">
        <f t="shared" si="34"/>
        <v>0</v>
      </c>
      <c r="Y135" s="174">
        <f t="shared" si="20"/>
        <v>304</v>
      </c>
      <c r="Z135" s="174">
        <f t="shared" si="21"/>
        <v>0</v>
      </c>
      <c r="AA135" s="174">
        <f t="shared" si="22"/>
        <v>304</v>
      </c>
      <c r="AB135" s="175">
        <f t="shared" si="23"/>
        <v>50.666666666666664</v>
      </c>
      <c r="AC135" s="175">
        <f t="shared" si="24"/>
        <v>0</v>
      </c>
      <c r="AD135" s="175">
        <f t="shared" si="25"/>
        <v>50.666666666666664</v>
      </c>
      <c r="AE135" s="6"/>
      <c r="AF135" s="6"/>
      <c r="AG135" s="6">
        <f t="shared" si="36"/>
        <v>0</v>
      </c>
      <c r="AH135" s="6">
        <v>36</v>
      </c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</row>
    <row r="136" spans="1:54" ht="15.75">
      <c r="A136" s="136">
        <v>128</v>
      </c>
      <c r="B136" s="186" t="s">
        <v>1558</v>
      </c>
      <c r="C136" s="187" t="s">
        <v>1559</v>
      </c>
      <c r="D136" s="136" t="s">
        <v>1560</v>
      </c>
      <c r="E136" s="181" t="s">
        <v>18</v>
      </c>
      <c r="F136" s="70">
        <v>5</v>
      </c>
      <c r="G136" s="6">
        <v>18</v>
      </c>
      <c r="H136" s="6"/>
      <c r="I136" s="1">
        <f t="shared" si="26"/>
        <v>18</v>
      </c>
      <c r="J136" s="6"/>
      <c r="K136" s="6"/>
      <c r="L136" s="1">
        <f t="shared" si="15"/>
        <v>0</v>
      </c>
      <c r="M136" s="6"/>
      <c r="N136" s="6"/>
      <c r="O136" s="6">
        <f t="shared" si="27"/>
        <v>0</v>
      </c>
      <c r="P136" s="6"/>
      <c r="Q136" s="6"/>
      <c r="R136" s="6">
        <f t="shared" si="32"/>
        <v>0</v>
      </c>
      <c r="S136" s="6"/>
      <c r="T136" s="6"/>
      <c r="U136" s="6">
        <f t="shared" si="33"/>
        <v>0</v>
      </c>
      <c r="V136" s="6"/>
      <c r="W136" s="6"/>
      <c r="X136" s="6">
        <f t="shared" si="34"/>
        <v>0</v>
      </c>
      <c r="Y136" s="174">
        <f t="shared" si="20"/>
        <v>18</v>
      </c>
      <c r="Z136" s="174">
        <f t="shared" si="21"/>
        <v>0</v>
      </c>
      <c r="AA136" s="174">
        <f t="shared" si="22"/>
        <v>18</v>
      </c>
      <c r="AB136" s="175">
        <f t="shared" si="23"/>
        <v>3</v>
      </c>
      <c r="AC136" s="175">
        <f t="shared" si="24"/>
        <v>0</v>
      </c>
      <c r="AD136" s="175">
        <f t="shared" si="25"/>
        <v>3</v>
      </c>
      <c r="AE136" s="6"/>
      <c r="AF136" s="6"/>
      <c r="AG136" s="6">
        <f t="shared" si="36"/>
        <v>0</v>
      </c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</row>
    <row r="137" spans="1:54" ht="15.75">
      <c r="A137" s="136">
        <v>129</v>
      </c>
      <c r="B137" s="186" t="s">
        <v>1561</v>
      </c>
      <c r="C137" s="187" t="s">
        <v>1559</v>
      </c>
      <c r="D137" s="136" t="s">
        <v>1562</v>
      </c>
      <c r="E137" s="181" t="s">
        <v>18</v>
      </c>
      <c r="F137" s="70">
        <v>30</v>
      </c>
      <c r="G137" s="6">
        <v>50</v>
      </c>
      <c r="H137" s="6"/>
      <c r="I137" s="1">
        <f t="shared" si="26"/>
        <v>50</v>
      </c>
      <c r="J137" s="6"/>
      <c r="K137" s="6"/>
      <c r="L137" s="1">
        <f t="shared" si="15"/>
        <v>0</v>
      </c>
      <c r="M137" s="6">
        <v>86</v>
      </c>
      <c r="N137" s="6"/>
      <c r="O137" s="6">
        <f t="shared" si="27"/>
        <v>86</v>
      </c>
      <c r="P137" s="6"/>
      <c r="Q137" s="6"/>
      <c r="R137" s="6">
        <f t="shared" si="32"/>
        <v>0</v>
      </c>
      <c r="S137" s="6">
        <v>86</v>
      </c>
      <c r="T137" s="6"/>
      <c r="U137" s="6">
        <f t="shared" si="33"/>
        <v>86</v>
      </c>
      <c r="V137" s="6"/>
      <c r="W137" s="6"/>
      <c r="X137" s="6">
        <f t="shared" si="34"/>
        <v>0</v>
      </c>
      <c r="Y137" s="174">
        <f t="shared" si="20"/>
        <v>222</v>
      </c>
      <c r="Z137" s="174">
        <f t="shared" si="21"/>
        <v>0</v>
      </c>
      <c r="AA137" s="174">
        <f t="shared" si="22"/>
        <v>222</v>
      </c>
      <c r="AB137" s="175">
        <f t="shared" si="23"/>
        <v>37</v>
      </c>
      <c r="AC137" s="175">
        <f t="shared" si="24"/>
        <v>0</v>
      </c>
      <c r="AD137" s="175">
        <f t="shared" si="25"/>
        <v>37</v>
      </c>
      <c r="AE137" s="6"/>
      <c r="AF137" s="6"/>
      <c r="AG137" s="6">
        <f t="shared" si="36"/>
        <v>0</v>
      </c>
      <c r="AH137" s="6">
        <v>111</v>
      </c>
      <c r="AI137" s="6"/>
      <c r="AJ137" s="6"/>
      <c r="AK137" s="6">
        <v>126</v>
      </c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</row>
    <row r="138" spans="1:54" ht="15.75">
      <c r="A138" s="136">
        <v>130</v>
      </c>
      <c r="B138" s="186" t="s">
        <v>1563</v>
      </c>
      <c r="C138" s="187" t="s">
        <v>1559</v>
      </c>
      <c r="D138" s="136" t="s">
        <v>1564</v>
      </c>
      <c r="E138" s="179" t="s">
        <v>15</v>
      </c>
      <c r="F138" s="70">
        <v>30</v>
      </c>
      <c r="G138" s="6">
        <v>100</v>
      </c>
      <c r="H138" s="6"/>
      <c r="I138" s="1">
        <f t="shared" si="26"/>
        <v>100</v>
      </c>
      <c r="J138" s="6">
        <v>75</v>
      </c>
      <c r="K138" s="6"/>
      <c r="L138" s="1">
        <f t="shared" ref="L138:L173" si="37">J138+K138</f>
        <v>75</v>
      </c>
      <c r="M138" s="6"/>
      <c r="N138" s="6"/>
      <c r="O138" s="6">
        <f t="shared" si="27"/>
        <v>0</v>
      </c>
      <c r="P138" s="6">
        <v>125</v>
      </c>
      <c r="Q138" s="6"/>
      <c r="R138" s="6">
        <f t="shared" si="32"/>
        <v>125</v>
      </c>
      <c r="S138" s="6"/>
      <c r="T138" s="6"/>
      <c r="U138" s="6">
        <f t="shared" si="33"/>
        <v>0</v>
      </c>
      <c r="V138" s="6">
        <v>118</v>
      </c>
      <c r="W138" s="6"/>
      <c r="X138" s="6">
        <f t="shared" si="34"/>
        <v>118</v>
      </c>
      <c r="Y138" s="174">
        <f t="shared" ref="Y138:Y174" si="38">G138+J138+M138+P138+S138+V138</f>
        <v>418</v>
      </c>
      <c r="Z138" s="174">
        <f t="shared" ref="Z138:Z174" si="39">H138+K138+N138+Q138+T138+W138</f>
        <v>0</v>
      </c>
      <c r="AA138" s="174">
        <f t="shared" ref="AA138:AA174" si="40">I138+L138+O138+R138+U138+X138</f>
        <v>418</v>
      </c>
      <c r="AB138" s="175">
        <f t="shared" ref="AB138:AB174" si="41">Y138/6</f>
        <v>69.666666666666671</v>
      </c>
      <c r="AC138" s="175">
        <f t="shared" ref="AC138:AC174" si="42">Z138/6</f>
        <v>0</v>
      </c>
      <c r="AD138" s="175">
        <f t="shared" ref="AD138:AD174" si="43">AA138/6</f>
        <v>69.666666666666671</v>
      </c>
      <c r="AE138" s="6"/>
      <c r="AF138" s="6"/>
      <c r="AG138" s="6">
        <f t="shared" si="36"/>
        <v>0</v>
      </c>
      <c r="AH138" s="6">
        <v>80</v>
      </c>
      <c r="AI138" s="6"/>
      <c r="AJ138" s="6"/>
      <c r="AK138" s="6">
        <v>100</v>
      </c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</row>
    <row r="139" spans="1:54" ht="15.75">
      <c r="A139" s="136">
        <v>131</v>
      </c>
      <c r="B139" s="186" t="s">
        <v>1565</v>
      </c>
      <c r="C139" s="187" t="s">
        <v>1559</v>
      </c>
      <c r="D139" s="136" t="s">
        <v>1566</v>
      </c>
      <c r="E139" s="179" t="s">
        <v>15</v>
      </c>
      <c r="F139" s="70">
        <v>15</v>
      </c>
      <c r="G139" s="6">
        <v>10</v>
      </c>
      <c r="H139" s="6"/>
      <c r="I139" s="1">
        <f t="shared" si="26"/>
        <v>10</v>
      </c>
      <c r="J139" s="6"/>
      <c r="K139" s="6"/>
      <c r="L139" s="1">
        <f t="shared" si="37"/>
        <v>0</v>
      </c>
      <c r="M139" s="6">
        <v>20</v>
      </c>
      <c r="N139" s="6"/>
      <c r="O139" s="6">
        <f t="shared" si="27"/>
        <v>20</v>
      </c>
      <c r="P139" s="6"/>
      <c r="Q139" s="6"/>
      <c r="R139" s="6">
        <f t="shared" si="32"/>
        <v>0</v>
      </c>
      <c r="S139" s="6">
        <v>10</v>
      </c>
      <c r="T139" s="6"/>
      <c r="U139" s="6">
        <f t="shared" si="33"/>
        <v>10</v>
      </c>
      <c r="V139" s="6"/>
      <c r="W139" s="6"/>
      <c r="X139" s="6">
        <f t="shared" si="34"/>
        <v>0</v>
      </c>
      <c r="Y139" s="174">
        <f t="shared" si="38"/>
        <v>40</v>
      </c>
      <c r="Z139" s="174">
        <f t="shared" si="39"/>
        <v>0</v>
      </c>
      <c r="AA139" s="174">
        <f t="shared" si="40"/>
        <v>40</v>
      </c>
      <c r="AB139" s="175">
        <f t="shared" si="41"/>
        <v>6.666666666666667</v>
      </c>
      <c r="AC139" s="175">
        <f t="shared" si="42"/>
        <v>0</v>
      </c>
      <c r="AD139" s="175">
        <f t="shared" si="43"/>
        <v>6.666666666666667</v>
      </c>
      <c r="AE139" s="6"/>
      <c r="AF139" s="6"/>
      <c r="AG139" s="6">
        <f t="shared" si="36"/>
        <v>0</v>
      </c>
      <c r="AH139" s="6"/>
      <c r="AI139" s="6"/>
      <c r="AJ139" s="6"/>
      <c r="AK139" s="6">
        <v>10</v>
      </c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</row>
    <row r="140" spans="1:54" ht="15.75">
      <c r="A140" s="136">
        <v>132</v>
      </c>
      <c r="B140" s="186" t="s">
        <v>1531</v>
      </c>
      <c r="C140" s="187" t="s">
        <v>1559</v>
      </c>
      <c r="D140" s="136" t="s">
        <v>1567</v>
      </c>
      <c r="E140" s="181" t="s">
        <v>18</v>
      </c>
      <c r="F140" s="70">
        <v>15</v>
      </c>
      <c r="G140" s="6">
        <v>0</v>
      </c>
      <c r="H140" s="6"/>
      <c r="I140" s="1">
        <f t="shared" ref="I140:I168" si="44">G140+H140</f>
        <v>0</v>
      </c>
      <c r="J140" s="6"/>
      <c r="K140" s="6"/>
      <c r="L140" s="1">
        <f t="shared" si="37"/>
        <v>0</v>
      </c>
      <c r="M140" s="6"/>
      <c r="N140" s="6"/>
      <c r="O140" s="6">
        <f t="shared" si="27"/>
        <v>0</v>
      </c>
      <c r="P140" s="6"/>
      <c r="Q140" s="6"/>
      <c r="R140" s="6">
        <f t="shared" si="32"/>
        <v>0</v>
      </c>
      <c r="S140" s="6"/>
      <c r="T140" s="6"/>
      <c r="U140" s="6">
        <f t="shared" si="33"/>
        <v>0</v>
      </c>
      <c r="V140" s="6"/>
      <c r="W140" s="6"/>
      <c r="X140" s="6">
        <f t="shared" si="34"/>
        <v>0</v>
      </c>
      <c r="Y140" s="174">
        <f t="shared" si="38"/>
        <v>0</v>
      </c>
      <c r="Z140" s="174">
        <f t="shared" si="39"/>
        <v>0</v>
      </c>
      <c r="AA140" s="174">
        <f t="shared" si="40"/>
        <v>0</v>
      </c>
      <c r="AB140" s="175">
        <f t="shared" si="41"/>
        <v>0</v>
      </c>
      <c r="AC140" s="175">
        <f t="shared" si="42"/>
        <v>0</v>
      </c>
      <c r="AD140" s="175">
        <f t="shared" si="43"/>
        <v>0</v>
      </c>
      <c r="AE140" s="6"/>
      <c r="AF140" s="6"/>
      <c r="AG140" s="6">
        <f t="shared" si="36"/>
        <v>0</v>
      </c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</row>
    <row r="141" spans="1:54" ht="15.75">
      <c r="A141" s="136">
        <v>133</v>
      </c>
      <c r="B141" s="186" t="s">
        <v>1568</v>
      </c>
      <c r="C141" s="187" t="s">
        <v>1559</v>
      </c>
      <c r="D141" s="136" t="s">
        <v>1569</v>
      </c>
      <c r="E141" s="181" t="s">
        <v>18</v>
      </c>
      <c r="F141" s="70">
        <v>55</v>
      </c>
      <c r="G141" s="6">
        <v>56</v>
      </c>
      <c r="H141" s="6">
        <v>6</v>
      </c>
      <c r="I141" s="1">
        <f t="shared" si="44"/>
        <v>62</v>
      </c>
      <c r="J141" s="6"/>
      <c r="K141" s="6"/>
      <c r="L141" s="1">
        <f t="shared" si="37"/>
        <v>0</v>
      </c>
      <c r="M141" s="6">
        <v>131</v>
      </c>
      <c r="N141" s="6"/>
      <c r="O141" s="6">
        <f t="shared" si="27"/>
        <v>131</v>
      </c>
      <c r="P141" s="6"/>
      <c r="Q141" s="6"/>
      <c r="R141" s="6">
        <f t="shared" si="32"/>
        <v>0</v>
      </c>
      <c r="S141" s="6">
        <v>106</v>
      </c>
      <c r="T141" s="6">
        <v>36</v>
      </c>
      <c r="U141" s="6">
        <f t="shared" si="33"/>
        <v>142</v>
      </c>
      <c r="V141" s="6"/>
      <c r="W141" s="6"/>
      <c r="X141" s="6">
        <f t="shared" si="34"/>
        <v>0</v>
      </c>
      <c r="Y141" s="174">
        <f t="shared" si="38"/>
        <v>293</v>
      </c>
      <c r="Z141" s="174">
        <f t="shared" si="39"/>
        <v>42</v>
      </c>
      <c r="AA141" s="174">
        <f t="shared" si="40"/>
        <v>335</v>
      </c>
      <c r="AB141" s="175">
        <f t="shared" si="41"/>
        <v>48.833333333333336</v>
      </c>
      <c r="AC141" s="175">
        <f t="shared" si="42"/>
        <v>7</v>
      </c>
      <c r="AD141" s="175">
        <f t="shared" si="43"/>
        <v>55.833333333333336</v>
      </c>
      <c r="AE141" s="6"/>
      <c r="AF141" s="6">
        <v>18</v>
      </c>
      <c r="AG141" s="6">
        <f t="shared" si="36"/>
        <v>18</v>
      </c>
      <c r="AH141" s="6">
        <v>126</v>
      </c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</row>
    <row r="142" spans="1:54" ht="15.75">
      <c r="A142" s="136">
        <v>134</v>
      </c>
      <c r="B142" s="186" t="s">
        <v>1570</v>
      </c>
      <c r="C142" s="187" t="s">
        <v>1559</v>
      </c>
      <c r="D142" s="136" t="s">
        <v>1571</v>
      </c>
      <c r="E142" s="181" t="s">
        <v>18</v>
      </c>
      <c r="F142" s="70">
        <v>25</v>
      </c>
      <c r="G142" s="6">
        <v>50</v>
      </c>
      <c r="H142" s="6"/>
      <c r="I142" s="1">
        <f t="shared" si="44"/>
        <v>50</v>
      </c>
      <c r="J142" s="6"/>
      <c r="K142" s="6"/>
      <c r="L142" s="1">
        <f t="shared" si="37"/>
        <v>0</v>
      </c>
      <c r="M142" s="6"/>
      <c r="N142" s="6"/>
      <c r="O142" s="6">
        <f t="shared" si="27"/>
        <v>0</v>
      </c>
      <c r="P142" s="6">
        <v>50</v>
      </c>
      <c r="Q142" s="6"/>
      <c r="R142" s="6">
        <f t="shared" si="32"/>
        <v>50</v>
      </c>
      <c r="S142" s="6"/>
      <c r="T142" s="6"/>
      <c r="U142" s="6">
        <f t="shared" si="33"/>
        <v>0</v>
      </c>
      <c r="V142" s="6">
        <v>50</v>
      </c>
      <c r="W142" s="6"/>
      <c r="X142" s="6">
        <f t="shared" si="34"/>
        <v>50</v>
      </c>
      <c r="Y142" s="174">
        <f t="shared" si="38"/>
        <v>150</v>
      </c>
      <c r="Z142" s="174">
        <f t="shared" si="39"/>
        <v>0</v>
      </c>
      <c r="AA142" s="174">
        <f t="shared" si="40"/>
        <v>150</v>
      </c>
      <c r="AB142" s="175">
        <f t="shared" si="41"/>
        <v>25</v>
      </c>
      <c r="AC142" s="175">
        <f t="shared" si="42"/>
        <v>0</v>
      </c>
      <c r="AD142" s="175">
        <f t="shared" si="43"/>
        <v>25</v>
      </c>
      <c r="AE142" s="6"/>
      <c r="AF142" s="6"/>
      <c r="AG142" s="6">
        <f t="shared" si="36"/>
        <v>0</v>
      </c>
      <c r="AH142" s="6">
        <v>50</v>
      </c>
      <c r="AI142" s="6"/>
      <c r="AJ142" s="6"/>
      <c r="AK142" s="6">
        <v>50</v>
      </c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</row>
    <row r="143" spans="1:54" ht="15.75">
      <c r="A143" s="136">
        <v>135</v>
      </c>
      <c r="B143" s="186" t="s">
        <v>1572</v>
      </c>
      <c r="C143" s="187" t="s">
        <v>1559</v>
      </c>
      <c r="D143" s="136" t="s">
        <v>1573</v>
      </c>
      <c r="E143" s="181" t="s">
        <v>18</v>
      </c>
      <c r="F143" s="70">
        <v>20</v>
      </c>
      <c r="G143" s="6">
        <v>0</v>
      </c>
      <c r="H143" s="6"/>
      <c r="I143" s="1">
        <f t="shared" si="44"/>
        <v>0</v>
      </c>
      <c r="J143" s="6"/>
      <c r="K143" s="6"/>
      <c r="L143" s="1">
        <f t="shared" si="37"/>
        <v>0</v>
      </c>
      <c r="M143" s="6"/>
      <c r="N143" s="6"/>
      <c r="O143" s="6">
        <f t="shared" si="27"/>
        <v>0</v>
      </c>
      <c r="P143" s="6"/>
      <c r="Q143" s="6"/>
      <c r="R143" s="6">
        <f t="shared" si="32"/>
        <v>0</v>
      </c>
      <c r="S143" s="6"/>
      <c r="T143" s="6"/>
      <c r="U143" s="6">
        <f t="shared" si="33"/>
        <v>0</v>
      </c>
      <c r="V143" s="6"/>
      <c r="W143" s="6"/>
      <c r="X143" s="6">
        <f t="shared" si="34"/>
        <v>0</v>
      </c>
      <c r="Y143" s="174">
        <f t="shared" si="38"/>
        <v>0</v>
      </c>
      <c r="Z143" s="174">
        <f t="shared" si="39"/>
        <v>0</v>
      </c>
      <c r="AA143" s="174">
        <f t="shared" si="40"/>
        <v>0</v>
      </c>
      <c r="AB143" s="175">
        <f t="shared" si="41"/>
        <v>0</v>
      </c>
      <c r="AC143" s="175">
        <f t="shared" si="42"/>
        <v>0</v>
      </c>
      <c r="AD143" s="175">
        <f t="shared" si="43"/>
        <v>0</v>
      </c>
      <c r="AE143" s="6"/>
      <c r="AF143" s="6"/>
      <c r="AG143" s="6">
        <f t="shared" si="36"/>
        <v>0</v>
      </c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</row>
    <row r="144" spans="1:54" ht="15.75">
      <c r="A144" s="136">
        <v>136</v>
      </c>
      <c r="B144" s="186" t="s">
        <v>1574</v>
      </c>
      <c r="C144" s="187" t="s">
        <v>1559</v>
      </c>
      <c r="D144" s="136" t="s">
        <v>1575</v>
      </c>
      <c r="E144" s="181" t="s">
        <v>18</v>
      </c>
      <c r="F144" s="70">
        <v>220</v>
      </c>
      <c r="G144" s="6">
        <v>380</v>
      </c>
      <c r="H144" s="6">
        <v>18</v>
      </c>
      <c r="I144" s="1">
        <f t="shared" si="44"/>
        <v>398</v>
      </c>
      <c r="J144" s="6">
        <v>150</v>
      </c>
      <c r="K144" s="6"/>
      <c r="L144" s="1">
        <f t="shared" si="37"/>
        <v>150</v>
      </c>
      <c r="M144" s="6"/>
      <c r="N144" s="6">
        <v>86</v>
      </c>
      <c r="O144" s="6">
        <f t="shared" si="27"/>
        <v>86</v>
      </c>
      <c r="P144" s="6">
        <v>260</v>
      </c>
      <c r="Q144" s="6"/>
      <c r="R144" s="6">
        <f t="shared" si="32"/>
        <v>260</v>
      </c>
      <c r="S144" s="6">
        <v>180</v>
      </c>
      <c r="T144" s="6">
        <v>100</v>
      </c>
      <c r="U144" s="6">
        <f t="shared" si="33"/>
        <v>280</v>
      </c>
      <c r="V144" s="6">
        <v>120</v>
      </c>
      <c r="W144" s="6">
        <v>36</v>
      </c>
      <c r="X144" s="6">
        <f t="shared" si="34"/>
        <v>156</v>
      </c>
      <c r="Y144" s="174">
        <f t="shared" si="38"/>
        <v>1090</v>
      </c>
      <c r="Z144" s="174">
        <f t="shared" si="39"/>
        <v>240</v>
      </c>
      <c r="AA144" s="174">
        <f t="shared" si="40"/>
        <v>1330</v>
      </c>
      <c r="AB144" s="175">
        <f t="shared" si="41"/>
        <v>181.66666666666666</v>
      </c>
      <c r="AC144" s="175">
        <f t="shared" si="42"/>
        <v>40</v>
      </c>
      <c r="AD144" s="175">
        <f t="shared" si="43"/>
        <v>221.66666666666666</v>
      </c>
      <c r="AE144" s="6">
        <v>186</v>
      </c>
      <c r="AF144" s="6">
        <v>100</v>
      </c>
      <c r="AG144" s="6">
        <f t="shared" si="36"/>
        <v>286</v>
      </c>
      <c r="AH144" s="6">
        <v>380</v>
      </c>
      <c r="AI144" s="6">
        <v>36</v>
      </c>
      <c r="AJ144" s="6"/>
      <c r="AK144" s="6">
        <v>320</v>
      </c>
      <c r="AL144" s="6">
        <v>36</v>
      </c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</row>
    <row r="145" spans="1:54" ht="15.75">
      <c r="A145" s="136">
        <v>137</v>
      </c>
      <c r="B145" s="186" t="s">
        <v>1576</v>
      </c>
      <c r="C145" s="187" t="s">
        <v>1559</v>
      </c>
      <c r="D145" s="136" t="s">
        <v>1577</v>
      </c>
      <c r="E145" s="179" t="s">
        <v>15</v>
      </c>
      <c r="F145" s="70">
        <v>20</v>
      </c>
      <c r="G145" s="6">
        <v>72</v>
      </c>
      <c r="H145" s="6"/>
      <c r="I145" s="1">
        <f t="shared" si="44"/>
        <v>72</v>
      </c>
      <c r="J145" s="6"/>
      <c r="K145" s="6"/>
      <c r="L145" s="1">
        <f t="shared" si="37"/>
        <v>0</v>
      </c>
      <c r="M145" s="6"/>
      <c r="N145" s="6"/>
      <c r="O145" s="6">
        <f t="shared" si="27"/>
        <v>0</v>
      </c>
      <c r="P145" s="6"/>
      <c r="Q145" s="6"/>
      <c r="R145" s="6">
        <f t="shared" si="32"/>
        <v>0</v>
      </c>
      <c r="S145" s="6">
        <v>61</v>
      </c>
      <c r="T145" s="6"/>
      <c r="U145" s="6">
        <f t="shared" si="33"/>
        <v>61</v>
      </c>
      <c r="V145" s="6">
        <v>36</v>
      </c>
      <c r="W145" s="6"/>
      <c r="X145" s="6">
        <f t="shared" si="34"/>
        <v>36</v>
      </c>
      <c r="Y145" s="174">
        <f t="shared" si="38"/>
        <v>169</v>
      </c>
      <c r="Z145" s="174">
        <f t="shared" si="39"/>
        <v>0</v>
      </c>
      <c r="AA145" s="174">
        <f t="shared" si="40"/>
        <v>169</v>
      </c>
      <c r="AB145" s="175">
        <f t="shared" si="41"/>
        <v>28.166666666666668</v>
      </c>
      <c r="AC145" s="175">
        <f t="shared" si="42"/>
        <v>0</v>
      </c>
      <c r="AD145" s="175">
        <f t="shared" si="43"/>
        <v>28.166666666666668</v>
      </c>
      <c r="AE145" s="6"/>
      <c r="AF145" s="6"/>
      <c r="AG145" s="6">
        <f t="shared" si="36"/>
        <v>0</v>
      </c>
      <c r="AH145" s="6"/>
      <c r="AI145" s="6"/>
      <c r="AJ145" s="6"/>
      <c r="AK145" s="6">
        <v>25</v>
      </c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</row>
    <row r="146" spans="1:54" ht="15.75">
      <c r="A146" s="136">
        <v>138</v>
      </c>
      <c r="B146" s="186" t="s">
        <v>1578</v>
      </c>
      <c r="C146" s="187" t="s">
        <v>1559</v>
      </c>
      <c r="D146" s="136" t="s">
        <v>1579</v>
      </c>
      <c r="E146" s="179" t="s">
        <v>15</v>
      </c>
      <c r="F146" s="70">
        <v>35</v>
      </c>
      <c r="G146" s="6">
        <v>112</v>
      </c>
      <c r="H146" s="6"/>
      <c r="I146" s="1">
        <f t="shared" si="44"/>
        <v>112</v>
      </c>
      <c r="J146" s="6">
        <v>36</v>
      </c>
      <c r="K146" s="6"/>
      <c r="L146" s="1">
        <f t="shared" si="37"/>
        <v>36</v>
      </c>
      <c r="M146" s="6">
        <v>50</v>
      </c>
      <c r="N146" s="6"/>
      <c r="O146" s="6">
        <f t="shared" si="27"/>
        <v>50</v>
      </c>
      <c r="P146" s="6">
        <v>156</v>
      </c>
      <c r="Q146" s="6"/>
      <c r="R146" s="6">
        <f t="shared" si="32"/>
        <v>156</v>
      </c>
      <c r="S146" s="6"/>
      <c r="T146" s="6"/>
      <c r="U146" s="6">
        <f t="shared" si="33"/>
        <v>0</v>
      </c>
      <c r="V146" s="6">
        <v>96</v>
      </c>
      <c r="W146" s="6"/>
      <c r="X146" s="6">
        <f t="shared" si="34"/>
        <v>96</v>
      </c>
      <c r="Y146" s="174">
        <f t="shared" si="38"/>
        <v>450</v>
      </c>
      <c r="Z146" s="174">
        <f t="shared" si="39"/>
        <v>0</v>
      </c>
      <c r="AA146" s="174">
        <f t="shared" si="40"/>
        <v>450</v>
      </c>
      <c r="AB146" s="175">
        <f t="shared" si="41"/>
        <v>75</v>
      </c>
      <c r="AC146" s="175">
        <f t="shared" si="42"/>
        <v>0</v>
      </c>
      <c r="AD146" s="175">
        <f t="shared" si="43"/>
        <v>75</v>
      </c>
      <c r="AE146" s="6">
        <v>152</v>
      </c>
      <c r="AF146" s="6"/>
      <c r="AG146" s="6">
        <f t="shared" si="36"/>
        <v>152</v>
      </c>
      <c r="AH146" s="6">
        <v>166</v>
      </c>
      <c r="AI146" s="6"/>
      <c r="AJ146" s="6"/>
      <c r="AK146" s="6">
        <v>72</v>
      </c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</row>
    <row r="147" spans="1:54" ht="15.75">
      <c r="A147" s="136">
        <v>139</v>
      </c>
      <c r="B147" s="186" t="s">
        <v>1580</v>
      </c>
      <c r="C147" s="187" t="s">
        <v>1559</v>
      </c>
      <c r="D147" s="136" t="s">
        <v>1581</v>
      </c>
      <c r="E147" s="179" t="s">
        <v>15</v>
      </c>
      <c r="F147" s="70">
        <v>30</v>
      </c>
      <c r="G147" s="6">
        <v>32</v>
      </c>
      <c r="H147" s="6"/>
      <c r="I147" s="1">
        <f t="shared" si="44"/>
        <v>32</v>
      </c>
      <c r="J147" s="6"/>
      <c r="K147" s="6"/>
      <c r="L147" s="1">
        <f t="shared" si="37"/>
        <v>0</v>
      </c>
      <c r="M147" s="6"/>
      <c r="N147" s="6"/>
      <c r="O147" s="6">
        <f t="shared" si="27"/>
        <v>0</v>
      </c>
      <c r="P147" s="6">
        <v>160</v>
      </c>
      <c r="Q147" s="6"/>
      <c r="R147" s="6">
        <f t="shared" si="32"/>
        <v>160</v>
      </c>
      <c r="S147" s="6"/>
      <c r="T147" s="6"/>
      <c r="U147" s="6">
        <f t="shared" si="33"/>
        <v>0</v>
      </c>
      <c r="V147" s="6">
        <v>86</v>
      </c>
      <c r="W147" s="6"/>
      <c r="X147" s="6">
        <f t="shared" si="34"/>
        <v>86</v>
      </c>
      <c r="Y147" s="174">
        <f t="shared" si="38"/>
        <v>278</v>
      </c>
      <c r="Z147" s="174">
        <f t="shared" si="39"/>
        <v>0</v>
      </c>
      <c r="AA147" s="174">
        <f t="shared" si="40"/>
        <v>278</v>
      </c>
      <c r="AB147" s="175">
        <f t="shared" si="41"/>
        <v>46.333333333333336</v>
      </c>
      <c r="AC147" s="175">
        <f t="shared" si="42"/>
        <v>0</v>
      </c>
      <c r="AD147" s="175">
        <f t="shared" si="43"/>
        <v>46.333333333333336</v>
      </c>
      <c r="AE147" s="6">
        <v>36</v>
      </c>
      <c r="AF147" s="6"/>
      <c r="AG147" s="6">
        <f t="shared" si="36"/>
        <v>36</v>
      </c>
      <c r="AH147" s="6">
        <v>50</v>
      </c>
      <c r="AI147" s="6"/>
      <c r="AJ147" s="6"/>
      <c r="AK147" s="6">
        <v>106</v>
      </c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</row>
    <row r="148" spans="1:54" ht="15.75">
      <c r="A148" s="136">
        <v>140</v>
      </c>
      <c r="B148" s="186" t="s">
        <v>1582</v>
      </c>
      <c r="C148" s="187" t="s">
        <v>1559</v>
      </c>
      <c r="D148" s="136" t="s">
        <v>1583</v>
      </c>
      <c r="E148" s="179" t="s">
        <v>15</v>
      </c>
      <c r="F148" s="70">
        <v>10</v>
      </c>
      <c r="G148" s="6">
        <v>0</v>
      </c>
      <c r="H148" s="6"/>
      <c r="I148" s="1">
        <f t="shared" si="44"/>
        <v>0</v>
      </c>
      <c r="J148" s="6"/>
      <c r="K148" s="6"/>
      <c r="L148" s="1">
        <f t="shared" si="37"/>
        <v>0</v>
      </c>
      <c r="M148" s="6"/>
      <c r="N148" s="6"/>
      <c r="O148" s="6">
        <f t="shared" si="27"/>
        <v>0</v>
      </c>
      <c r="P148" s="6"/>
      <c r="Q148" s="6"/>
      <c r="R148" s="6">
        <f t="shared" si="32"/>
        <v>0</v>
      </c>
      <c r="S148" s="6"/>
      <c r="T148" s="6"/>
      <c r="U148" s="6">
        <f t="shared" si="33"/>
        <v>0</v>
      </c>
      <c r="V148" s="6"/>
      <c r="W148" s="6"/>
      <c r="X148" s="6">
        <f t="shared" si="34"/>
        <v>0</v>
      </c>
      <c r="Y148" s="174">
        <f t="shared" si="38"/>
        <v>0</v>
      </c>
      <c r="Z148" s="174">
        <f t="shared" si="39"/>
        <v>0</v>
      </c>
      <c r="AA148" s="174">
        <f t="shared" si="40"/>
        <v>0</v>
      </c>
      <c r="AB148" s="175">
        <f t="shared" si="41"/>
        <v>0</v>
      </c>
      <c r="AC148" s="175">
        <f t="shared" si="42"/>
        <v>0</v>
      </c>
      <c r="AD148" s="175">
        <f t="shared" si="43"/>
        <v>0</v>
      </c>
      <c r="AE148" s="6"/>
      <c r="AF148" s="6"/>
      <c r="AG148" s="6">
        <f t="shared" si="36"/>
        <v>0</v>
      </c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</row>
    <row r="149" spans="1:54" ht="15.75">
      <c r="A149" s="136">
        <v>141</v>
      </c>
      <c r="B149" s="186" t="s">
        <v>1584</v>
      </c>
      <c r="C149" s="187" t="s">
        <v>1559</v>
      </c>
      <c r="D149" s="136" t="s">
        <v>1585</v>
      </c>
      <c r="E149" s="181" t="s">
        <v>18</v>
      </c>
      <c r="F149" s="70">
        <v>20</v>
      </c>
      <c r="G149" s="6">
        <v>156</v>
      </c>
      <c r="H149" s="6">
        <v>18</v>
      </c>
      <c r="I149" s="1">
        <f t="shared" si="44"/>
        <v>174</v>
      </c>
      <c r="J149" s="6">
        <v>250</v>
      </c>
      <c r="K149" s="6"/>
      <c r="L149" s="1">
        <f t="shared" si="37"/>
        <v>250</v>
      </c>
      <c r="M149" s="6"/>
      <c r="N149" s="6"/>
      <c r="O149" s="6">
        <f t="shared" si="27"/>
        <v>0</v>
      </c>
      <c r="P149" s="6">
        <v>150</v>
      </c>
      <c r="Q149" s="6"/>
      <c r="R149" s="6">
        <f t="shared" si="32"/>
        <v>150</v>
      </c>
      <c r="S149" s="6"/>
      <c r="T149" s="6">
        <v>36</v>
      </c>
      <c r="U149" s="6">
        <f t="shared" si="33"/>
        <v>36</v>
      </c>
      <c r="V149" s="6"/>
      <c r="W149" s="6"/>
      <c r="X149" s="6">
        <f t="shared" si="34"/>
        <v>0</v>
      </c>
      <c r="Y149" s="174">
        <f t="shared" si="38"/>
        <v>556</v>
      </c>
      <c r="Z149" s="174">
        <f t="shared" si="39"/>
        <v>54</v>
      </c>
      <c r="AA149" s="174">
        <f t="shared" si="40"/>
        <v>610</v>
      </c>
      <c r="AB149" s="175">
        <f t="shared" si="41"/>
        <v>92.666666666666671</v>
      </c>
      <c r="AC149" s="175">
        <f t="shared" si="42"/>
        <v>9</v>
      </c>
      <c r="AD149" s="175">
        <f t="shared" si="43"/>
        <v>101.66666666666667</v>
      </c>
      <c r="AE149" s="6"/>
      <c r="AF149" s="6">
        <v>36</v>
      </c>
      <c r="AG149" s="6">
        <f t="shared" si="36"/>
        <v>36</v>
      </c>
      <c r="AH149" s="6">
        <v>200</v>
      </c>
      <c r="AI149" s="6">
        <v>18</v>
      </c>
      <c r="AJ149" s="6"/>
      <c r="AK149" s="6">
        <v>216</v>
      </c>
      <c r="AL149" s="6">
        <v>18</v>
      </c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</row>
    <row r="150" spans="1:54" ht="15.75">
      <c r="A150" s="136">
        <v>142</v>
      </c>
      <c r="B150" s="186" t="s">
        <v>1586</v>
      </c>
      <c r="C150" s="187" t="s">
        <v>1559</v>
      </c>
      <c r="D150" s="136" t="s">
        <v>1587</v>
      </c>
      <c r="E150" s="181" t="s">
        <v>18</v>
      </c>
      <c r="F150" s="70">
        <v>16</v>
      </c>
      <c r="G150" s="6">
        <v>0</v>
      </c>
      <c r="H150" s="6"/>
      <c r="I150" s="1">
        <f t="shared" si="44"/>
        <v>0</v>
      </c>
      <c r="J150" s="6"/>
      <c r="K150" s="6"/>
      <c r="L150" s="1">
        <f t="shared" si="37"/>
        <v>0</v>
      </c>
      <c r="M150" s="6"/>
      <c r="N150" s="6"/>
      <c r="O150" s="6">
        <f t="shared" si="27"/>
        <v>0</v>
      </c>
      <c r="P150" s="6"/>
      <c r="Q150" s="6"/>
      <c r="R150" s="6">
        <f t="shared" si="32"/>
        <v>0</v>
      </c>
      <c r="S150" s="6"/>
      <c r="T150" s="6"/>
      <c r="U150" s="6">
        <f t="shared" si="33"/>
        <v>0</v>
      </c>
      <c r="V150" s="6"/>
      <c r="W150" s="6"/>
      <c r="X150" s="6">
        <f t="shared" si="34"/>
        <v>0</v>
      </c>
      <c r="Y150" s="174">
        <f t="shared" si="38"/>
        <v>0</v>
      </c>
      <c r="Z150" s="174">
        <f t="shared" si="39"/>
        <v>0</v>
      </c>
      <c r="AA150" s="174">
        <f t="shared" si="40"/>
        <v>0</v>
      </c>
      <c r="AB150" s="175">
        <f t="shared" si="41"/>
        <v>0</v>
      </c>
      <c r="AC150" s="175">
        <f t="shared" si="42"/>
        <v>0</v>
      </c>
      <c r="AD150" s="175">
        <f t="shared" si="43"/>
        <v>0</v>
      </c>
      <c r="AE150" s="6"/>
      <c r="AF150" s="6"/>
      <c r="AG150" s="6">
        <f t="shared" si="36"/>
        <v>0</v>
      </c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</row>
    <row r="151" spans="1:54" ht="15.75">
      <c r="A151" s="136">
        <v>143</v>
      </c>
      <c r="B151" s="186" t="s">
        <v>1588</v>
      </c>
      <c r="C151" s="187" t="s">
        <v>1559</v>
      </c>
      <c r="D151" s="136" t="s">
        <v>1589</v>
      </c>
      <c r="E151" s="181" t="s">
        <v>18</v>
      </c>
      <c r="F151" s="70">
        <v>12</v>
      </c>
      <c r="G151" s="6">
        <v>0</v>
      </c>
      <c r="H151" s="6"/>
      <c r="I151" s="1">
        <f t="shared" si="44"/>
        <v>0</v>
      </c>
      <c r="J151" s="6"/>
      <c r="K151" s="6"/>
      <c r="L151" s="1">
        <f t="shared" si="37"/>
        <v>0</v>
      </c>
      <c r="M151" s="6"/>
      <c r="N151" s="6"/>
      <c r="O151" s="6">
        <f t="shared" si="27"/>
        <v>0</v>
      </c>
      <c r="P151" s="6"/>
      <c r="Q151" s="6"/>
      <c r="R151" s="6">
        <f t="shared" si="32"/>
        <v>0</v>
      </c>
      <c r="S151" s="6"/>
      <c r="T151" s="6"/>
      <c r="U151" s="6">
        <f t="shared" si="33"/>
        <v>0</v>
      </c>
      <c r="V151" s="6"/>
      <c r="W151" s="6"/>
      <c r="X151" s="6">
        <f t="shared" si="34"/>
        <v>0</v>
      </c>
      <c r="Y151" s="174">
        <f t="shared" si="38"/>
        <v>0</v>
      </c>
      <c r="Z151" s="174">
        <f t="shared" si="39"/>
        <v>0</v>
      </c>
      <c r="AA151" s="174">
        <f t="shared" si="40"/>
        <v>0</v>
      </c>
      <c r="AB151" s="175">
        <f t="shared" si="41"/>
        <v>0</v>
      </c>
      <c r="AC151" s="175">
        <f t="shared" si="42"/>
        <v>0</v>
      </c>
      <c r="AD151" s="175">
        <f t="shared" si="43"/>
        <v>0</v>
      </c>
      <c r="AE151" s="6"/>
      <c r="AF151" s="6"/>
      <c r="AG151" s="6">
        <f t="shared" si="36"/>
        <v>0</v>
      </c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</row>
    <row r="152" spans="1:54" ht="15.75">
      <c r="A152" s="136">
        <v>144</v>
      </c>
      <c r="B152" s="186" t="s">
        <v>1590</v>
      </c>
      <c r="C152" s="187" t="s">
        <v>1559</v>
      </c>
      <c r="D152" s="136" t="s">
        <v>1591</v>
      </c>
      <c r="E152" s="179" t="s">
        <v>15</v>
      </c>
      <c r="F152" s="70">
        <v>100</v>
      </c>
      <c r="G152" s="6">
        <v>100</v>
      </c>
      <c r="H152" s="6"/>
      <c r="I152" s="1">
        <f t="shared" si="44"/>
        <v>100</v>
      </c>
      <c r="J152" s="6">
        <v>33</v>
      </c>
      <c r="K152" s="6"/>
      <c r="L152" s="1">
        <f t="shared" si="37"/>
        <v>33</v>
      </c>
      <c r="M152" s="6">
        <v>150</v>
      </c>
      <c r="N152" s="6"/>
      <c r="O152" s="6">
        <f t="shared" si="27"/>
        <v>150</v>
      </c>
      <c r="P152" s="6">
        <v>36</v>
      </c>
      <c r="Q152" s="6"/>
      <c r="R152" s="6">
        <f t="shared" si="32"/>
        <v>36</v>
      </c>
      <c r="S152" s="6">
        <v>240</v>
      </c>
      <c r="T152" s="6"/>
      <c r="U152" s="6">
        <f t="shared" si="33"/>
        <v>240</v>
      </c>
      <c r="V152" s="6">
        <v>200</v>
      </c>
      <c r="W152" s="6"/>
      <c r="X152" s="6">
        <f t="shared" si="34"/>
        <v>200</v>
      </c>
      <c r="Y152" s="174">
        <f t="shared" si="38"/>
        <v>759</v>
      </c>
      <c r="Z152" s="174">
        <f t="shared" si="39"/>
        <v>0</v>
      </c>
      <c r="AA152" s="174">
        <f t="shared" si="40"/>
        <v>759</v>
      </c>
      <c r="AB152" s="175">
        <f t="shared" si="41"/>
        <v>126.5</v>
      </c>
      <c r="AC152" s="175">
        <f t="shared" si="42"/>
        <v>0</v>
      </c>
      <c r="AD152" s="175">
        <f t="shared" si="43"/>
        <v>126.5</v>
      </c>
      <c r="AE152" s="6">
        <v>200</v>
      </c>
      <c r="AF152" s="6"/>
      <c r="AG152" s="6">
        <f t="shared" si="36"/>
        <v>200</v>
      </c>
      <c r="AH152" s="6">
        <v>194</v>
      </c>
      <c r="AI152" s="6"/>
      <c r="AJ152" s="6"/>
      <c r="AK152" s="6">
        <v>147</v>
      </c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</row>
    <row r="153" spans="1:54" ht="15.75">
      <c r="A153" s="136">
        <v>145</v>
      </c>
      <c r="B153" s="186" t="s">
        <v>80</v>
      </c>
      <c r="C153" s="187" t="s">
        <v>1559</v>
      </c>
      <c r="D153" s="136" t="s">
        <v>1592</v>
      </c>
      <c r="E153" s="179" t="s">
        <v>15</v>
      </c>
      <c r="F153" s="70">
        <v>60</v>
      </c>
      <c r="G153" s="6">
        <v>61</v>
      </c>
      <c r="H153" s="6"/>
      <c r="I153" s="1">
        <f t="shared" si="44"/>
        <v>61</v>
      </c>
      <c r="J153" s="6"/>
      <c r="K153" s="6"/>
      <c r="L153" s="1">
        <f t="shared" si="37"/>
        <v>0</v>
      </c>
      <c r="M153" s="6">
        <v>76</v>
      </c>
      <c r="N153" s="6"/>
      <c r="O153" s="6">
        <f t="shared" si="27"/>
        <v>76</v>
      </c>
      <c r="P153" s="6">
        <v>98</v>
      </c>
      <c r="Q153" s="6"/>
      <c r="R153" s="6">
        <f t="shared" si="32"/>
        <v>98</v>
      </c>
      <c r="S153" s="6">
        <v>101</v>
      </c>
      <c r="T153" s="6"/>
      <c r="U153" s="6">
        <f t="shared" si="33"/>
        <v>101</v>
      </c>
      <c r="V153" s="6">
        <v>100</v>
      </c>
      <c r="W153" s="6"/>
      <c r="X153" s="6">
        <f t="shared" si="34"/>
        <v>100</v>
      </c>
      <c r="Y153" s="174">
        <f t="shared" si="38"/>
        <v>436</v>
      </c>
      <c r="Z153" s="174">
        <f t="shared" si="39"/>
        <v>0</v>
      </c>
      <c r="AA153" s="174">
        <f t="shared" si="40"/>
        <v>436</v>
      </c>
      <c r="AB153" s="175">
        <f t="shared" si="41"/>
        <v>72.666666666666671</v>
      </c>
      <c r="AC153" s="175">
        <f t="shared" si="42"/>
        <v>0</v>
      </c>
      <c r="AD153" s="175">
        <f t="shared" si="43"/>
        <v>72.666666666666671</v>
      </c>
      <c r="AE153" s="6">
        <v>86</v>
      </c>
      <c r="AF153" s="6"/>
      <c r="AG153" s="6">
        <f t="shared" si="36"/>
        <v>86</v>
      </c>
      <c r="AH153" s="6"/>
      <c r="AI153" s="6"/>
      <c r="AJ153" s="6"/>
      <c r="AK153" s="6">
        <v>61</v>
      </c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</row>
    <row r="154" spans="1:54" ht="15.75">
      <c r="A154" s="136">
        <v>146</v>
      </c>
      <c r="B154" s="186" t="s">
        <v>1593</v>
      </c>
      <c r="C154" s="187" t="s">
        <v>1559</v>
      </c>
      <c r="D154" s="136" t="s">
        <v>1594</v>
      </c>
      <c r="E154" s="181" t="s">
        <v>18</v>
      </c>
      <c r="F154" s="70">
        <v>20</v>
      </c>
      <c r="G154" s="6">
        <v>20</v>
      </c>
      <c r="H154" s="6"/>
      <c r="I154" s="1">
        <f t="shared" si="44"/>
        <v>20</v>
      </c>
      <c r="J154" s="6">
        <v>20</v>
      </c>
      <c r="K154" s="6"/>
      <c r="L154" s="1">
        <f t="shared" si="37"/>
        <v>20</v>
      </c>
      <c r="M154" s="6">
        <v>20</v>
      </c>
      <c r="N154" s="6"/>
      <c r="O154" s="6">
        <f t="shared" si="27"/>
        <v>20</v>
      </c>
      <c r="P154" s="6"/>
      <c r="Q154" s="6"/>
      <c r="R154" s="6">
        <f t="shared" si="32"/>
        <v>0</v>
      </c>
      <c r="S154" s="6"/>
      <c r="T154" s="6"/>
      <c r="U154" s="6">
        <f t="shared" si="33"/>
        <v>0</v>
      </c>
      <c r="V154" s="6"/>
      <c r="W154" s="6"/>
      <c r="X154" s="6">
        <f t="shared" si="34"/>
        <v>0</v>
      </c>
      <c r="Y154" s="174">
        <f t="shared" si="38"/>
        <v>60</v>
      </c>
      <c r="Z154" s="174">
        <f t="shared" si="39"/>
        <v>0</v>
      </c>
      <c r="AA154" s="174">
        <f t="shared" si="40"/>
        <v>60</v>
      </c>
      <c r="AB154" s="175">
        <f t="shared" si="41"/>
        <v>10</v>
      </c>
      <c r="AC154" s="175">
        <f t="shared" si="42"/>
        <v>0</v>
      </c>
      <c r="AD154" s="175">
        <f t="shared" si="43"/>
        <v>10</v>
      </c>
      <c r="AE154" s="6"/>
      <c r="AF154" s="6"/>
      <c r="AG154" s="6">
        <f t="shared" si="36"/>
        <v>0</v>
      </c>
      <c r="AH154" s="6">
        <v>25</v>
      </c>
      <c r="AI154" s="6"/>
      <c r="AJ154" s="6"/>
      <c r="AK154" s="6">
        <v>10</v>
      </c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</row>
    <row r="155" spans="1:54" ht="15.75">
      <c r="A155" s="136">
        <v>147</v>
      </c>
      <c r="B155" s="186" t="s">
        <v>1595</v>
      </c>
      <c r="C155" s="187" t="s">
        <v>1559</v>
      </c>
      <c r="D155" s="136" t="s">
        <v>1596</v>
      </c>
      <c r="E155" s="179" t="s">
        <v>15</v>
      </c>
      <c r="F155" s="70">
        <v>16</v>
      </c>
      <c r="G155" s="6">
        <v>32</v>
      </c>
      <c r="H155" s="6"/>
      <c r="I155" s="1">
        <f t="shared" si="44"/>
        <v>32</v>
      </c>
      <c r="J155" s="6"/>
      <c r="K155" s="6"/>
      <c r="L155" s="1">
        <f t="shared" si="37"/>
        <v>0</v>
      </c>
      <c r="M155" s="6"/>
      <c r="N155" s="6"/>
      <c r="O155" s="6">
        <f t="shared" si="27"/>
        <v>0</v>
      </c>
      <c r="P155" s="6"/>
      <c r="Q155" s="6"/>
      <c r="R155" s="6">
        <f t="shared" si="32"/>
        <v>0</v>
      </c>
      <c r="S155" s="6">
        <v>160</v>
      </c>
      <c r="T155" s="6"/>
      <c r="U155" s="6">
        <f t="shared" si="33"/>
        <v>160</v>
      </c>
      <c r="V155" s="6">
        <f>254-9</f>
        <v>245</v>
      </c>
      <c r="W155" s="6"/>
      <c r="X155" s="6">
        <f t="shared" si="34"/>
        <v>245</v>
      </c>
      <c r="Y155" s="174">
        <f t="shared" si="38"/>
        <v>437</v>
      </c>
      <c r="Z155" s="174">
        <f t="shared" si="39"/>
        <v>0</v>
      </c>
      <c r="AA155" s="174">
        <f t="shared" si="40"/>
        <v>437</v>
      </c>
      <c r="AB155" s="175">
        <f t="shared" si="41"/>
        <v>72.833333333333329</v>
      </c>
      <c r="AC155" s="175">
        <f t="shared" si="42"/>
        <v>0</v>
      </c>
      <c r="AD155" s="175">
        <f t="shared" si="43"/>
        <v>72.833333333333329</v>
      </c>
      <c r="AE155" s="6"/>
      <c r="AF155" s="6"/>
      <c r="AG155" s="6">
        <f t="shared" si="36"/>
        <v>0</v>
      </c>
      <c r="AH155" s="6"/>
      <c r="AI155" s="6"/>
      <c r="AJ155" s="6"/>
      <c r="AK155" s="6">
        <v>80</v>
      </c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</row>
    <row r="156" spans="1:54" ht="15.75">
      <c r="A156" s="136">
        <v>148</v>
      </c>
      <c r="B156" s="186" t="s">
        <v>1597</v>
      </c>
      <c r="C156" s="187" t="s">
        <v>1559</v>
      </c>
      <c r="D156" s="136" t="s">
        <v>1598</v>
      </c>
      <c r="E156" s="179" t="s">
        <v>15</v>
      </c>
      <c r="F156" s="70">
        <v>10</v>
      </c>
      <c r="G156" s="6">
        <v>18</v>
      </c>
      <c r="H156" s="6"/>
      <c r="I156" s="1">
        <f t="shared" si="44"/>
        <v>18</v>
      </c>
      <c r="J156" s="6"/>
      <c r="K156" s="6"/>
      <c r="L156" s="1">
        <f t="shared" si="37"/>
        <v>0</v>
      </c>
      <c r="M156" s="6">
        <v>20</v>
      </c>
      <c r="N156" s="6"/>
      <c r="O156" s="6">
        <f t="shared" si="27"/>
        <v>20</v>
      </c>
      <c r="P156" s="6"/>
      <c r="Q156" s="6"/>
      <c r="R156" s="6">
        <f t="shared" si="32"/>
        <v>0</v>
      </c>
      <c r="S156" s="6">
        <v>18</v>
      </c>
      <c r="T156" s="6"/>
      <c r="U156" s="6">
        <f t="shared" si="33"/>
        <v>18</v>
      </c>
      <c r="V156" s="6"/>
      <c r="W156" s="6"/>
      <c r="X156" s="6">
        <f t="shared" si="34"/>
        <v>0</v>
      </c>
      <c r="Y156" s="174">
        <f t="shared" si="38"/>
        <v>56</v>
      </c>
      <c r="Z156" s="174">
        <f t="shared" si="39"/>
        <v>0</v>
      </c>
      <c r="AA156" s="174">
        <f t="shared" si="40"/>
        <v>56</v>
      </c>
      <c r="AB156" s="175">
        <f t="shared" si="41"/>
        <v>9.3333333333333339</v>
      </c>
      <c r="AC156" s="175">
        <f t="shared" si="42"/>
        <v>0</v>
      </c>
      <c r="AD156" s="175">
        <f t="shared" si="43"/>
        <v>9.3333333333333339</v>
      </c>
      <c r="AE156" s="6"/>
      <c r="AF156" s="6"/>
      <c r="AG156" s="6">
        <f t="shared" si="36"/>
        <v>0</v>
      </c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</row>
    <row r="157" spans="1:54" ht="15.75">
      <c r="A157" s="136">
        <v>149</v>
      </c>
      <c r="B157" s="186" t="s">
        <v>1599</v>
      </c>
      <c r="C157" s="187" t="s">
        <v>1559</v>
      </c>
      <c r="D157" s="136" t="s">
        <v>1600</v>
      </c>
      <c r="E157" s="181" t="s">
        <v>18</v>
      </c>
      <c r="F157" s="70">
        <v>5</v>
      </c>
      <c r="G157" s="6">
        <v>25</v>
      </c>
      <c r="H157" s="6"/>
      <c r="I157" s="1">
        <f t="shared" si="44"/>
        <v>25</v>
      </c>
      <c r="J157" s="6"/>
      <c r="K157" s="6"/>
      <c r="L157" s="1">
        <f t="shared" si="37"/>
        <v>0</v>
      </c>
      <c r="M157" s="6">
        <v>20</v>
      </c>
      <c r="N157" s="6"/>
      <c r="O157" s="6">
        <f t="shared" si="27"/>
        <v>20</v>
      </c>
      <c r="P157" s="6"/>
      <c r="Q157" s="6"/>
      <c r="R157" s="6">
        <f t="shared" si="32"/>
        <v>0</v>
      </c>
      <c r="S157" s="6"/>
      <c r="T157" s="6"/>
      <c r="U157" s="6">
        <f t="shared" si="33"/>
        <v>0</v>
      </c>
      <c r="V157" s="6"/>
      <c r="W157" s="6"/>
      <c r="X157" s="6">
        <f t="shared" si="34"/>
        <v>0</v>
      </c>
      <c r="Y157" s="174">
        <f t="shared" si="38"/>
        <v>45</v>
      </c>
      <c r="Z157" s="174">
        <f t="shared" si="39"/>
        <v>0</v>
      </c>
      <c r="AA157" s="174">
        <f t="shared" si="40"/>
        <v>45</v>
      </c>
      <c r="AB157" s="175">
        <f t="shared" si="41"/>
        <v>7.5</v>
      </c>
      <c r="AC157" s="175">
        <f t="shared" si="42"/>
        <v>0</v>
      </c>
      <c r="AD157" s="175">
        <f t="shared" si="43"/>
        <v>7.5</v>
      </c>
      <c r="AE157" s="6"/>
      <c r="AF157" s="6"/>
      <c r="AG157" s="6">
        <f t="shared" si="36"/>
        <v>0</v>
      </c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</row>
    <row r="158" spans="1:54" ht="15.75">
      <c r="A158" s="136">
        <v>150</v>
      </c>
      <c r="B158" s="186" t="s">
        <v>1570</v>
      </c>
      <c r="C158" s="187" t="s">
        <v>1559</v>
      </c>
      <c r="D158" s="136" t="s">
        <v>1601</v>
      </c>
      <c r="E158" s="181" t="s">
        <v>18</v>
      </c>
      <c r="F158" s="70">
        <v>10</v>
      </c>
      <c r="G158" s="6">
        <v>20</v>
      </c>
      <c r="H158" s="6"/>
      <c r="I158" s="1">
        <f t="shared" si="44"/>
        <v>20</v>
      </c>
      <c r="J158" s="6">
        <v>20</v>
      </c>
      <c r="K158" s="6"/>
      <c r="L158" s="1">
        <f t="shared" si="37"/>
        <v>20</v>
      </c>
      <c r="M158" s="6"/>
      <c r="N158" s="6"/>
      <c r="O158" s="6">
        <f t="shared" si="27"/>
        <v>0</v>
      </c>
      <c r="P158" s="6">
        <v>50</v>
      </c>
      <c r="Q158" s="6"/>
      <c r="R158" s="6">
        <f t="shared" si="32"/>
        <v>50</v>
      </c>
      <c r="S158" s="6"/>
      <c r="T158" s="6"/>
      <c r="U158" s="6">
        <f t="shared" si="33"/>
        <v>0</v>
      </c>
      <c r="V158" s="6"/>
      <c r="W158" s="6"/>
      <c r="X158" s="6">
        <f t="shared" si="34"/>
        <v>0</v>
      </c>
      <c r="Y158" s="174">
        <f t="shared" si="38"/>
        <v>90</v>
      </c>
      <c r="Z158" s="174">
        <f t="shared" si="39"/>
        <v>0</v>
      </c>
      <c r="AA158" s="174">
        <f t="shared" si="40"/>
        <v>90</v>
      </c>
      <c r="AB158" s="175">
        <f t="shared" si="41"/>
        <v>15</v>
      </c>
      <c r="AC158" s="175">
        <f t="shared" si="42"/>
        <v>0</v>
      </c>
      <c r="AD158" s="175">
        <f t="shared" si="43"/>
        <v>15</v>
      </c>
      <c r="AE158" s="6">
        <v>50</v>
      </c>
      <c r="AF158" s="6"/>
      <c r="AG158" s="6">
        <f t="shared" si="36"/>
        <v>50</v>
      </c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</row>
    <row r="159" spans="1:54" ht="15.75">
      <c r="A159" s="136">
        <v>151</v>
      </c>
      <c r="B159" s="186" t="s">
        <v>1602</v>
      </c>
      <c r="C159" s="187" t="s">
        <v>1559</v>
      </c>
      <c r="D159" s="136" t="s">
        <v>1603</v>
      </c>
      <c r="E159" s="179" t="s">
        <v>15</v>
      </c>
      <c r="F159" s="70">
        <v>10</v>
      </c>
      <c r="G159" s="6">
        <v>20</v>
      </c>
      <c r="H159" s="6"/>
      <c r="I159" s="1">
        <f t="shared" si="44"/>
        <v>20</v>
      </c>
      <c r="J159" s="6"/>
      <c r="K159" s="6"/>
      <c r="L159" s="1">
        <f t="shared" si="37"/>
        <v>0</v>
      </c>
      <c r="M159" s="6"/>
      <c r="N159" s="6"/>
      <c r="O159" s="6">
        <f t="shared" si="27"/>
        <v>0</v>
      </c>
      <c r="P159" s="6"/>
      <c r="Q159" s="6"/>
      <c r="R159" s="6">
        <f t="shared" si="32"/>
        <v>0</v>
      </c>
      <c r="S159" s="6"/>
      <c r="T159" s="6"/>
      <c r="U159" s="6">
        <f t="shared" si="33"/>
        <v>0</v>
      </c>
      <c r="V159" s="6"/>
      <c r="W159" s="6"/>
      <c r="X159" s="6">
        <f t="shared" si="34"/>
        <v>0</v>
      </c>
      <c r="Y159" s="174">
        <f t="shared" si="38"/>
        <v>20</v>
      </c>
      <c r="Z159" s="174">
        <f t="shared" si="39"/>
        <v>0</v>
      </c>
      <c r="AA159" s="174">
        <f t="shared" si="40"/>
        <v>20</v>
      </c>
      <c r="AB159" s="175">
        <f t="shared" si="41"/>
        <v>3.3333333333333335</v>
      </c>
      <c r="AC159" s="175">
        <f t="shared" si="42"/>
        <v>0</v>
      </c>
      <c r="AD159" s="175">
        <f t="shared" si="43"/>
        <v>3.3333333333333335</v>
      </c>
      <c r="AE159" s="6"/>
      <c r="AF159" s="6"/>
      <c r="AG159" s="6">
        <f t="shared" si="36"/>
        <v>0</v>
      </c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</row>
    <row r="160" spans="1:54" ht="15.75">
      <c r="A160" s="136">
        <v>152</v>
      </c>
      <c r="B160" s="186" t="s">
        <v>1604</v>
      </c>
      <c r="C160" s="187" t="s">
        <v>1559</v>
      </c>
      <c r="D160" s="136" t="s">
        <v>1605</v>
      </c>
      <c r="E160" s="181" t="s">
        <v>18</v>
      </c>
      <c r="F160" s="70">
        <v>10</v>
      </c>
      <c r="G160" s="6">
        <v>38</v>
      </c>
      <c r="H160" s="6"/>
      <c r="I160" s="1">
        <f t="shared" si="44"/>
        <v>38</v>
      </c>
      <c r="J160" s="6">
        <v>20</v>
      </c>
      <c r="K160" s="6"/>
      <c r="L160" s="1">
        <f t="shared" si="37"/>
        <v>20</v>
      </c>
      <c r="M160" s="6"/>
      <c r="N160" s="6"/>
      <c r="O160" s="6">
        <f t="shared" si="27"/>
        <v>0</v>
      </c>
      <c r="P160" s="6">
        <v>20</v>
      </c>
      <c r="Q160" s="6"/>
      <c r="R160" s="6">
        <f t="shared" si="32"/>
        <v>20</v>
      </c>
      <c r="S160" s="6"/>
      <c r="T160" s="6"/>
      <c r="U160" s="6">
        <f t="shared" si="33"/>
        <v>0</v>
      </c>
      <c r="V160" s="6"/>
      <c r="W160" s="6"/>
      <c r="X160" s="6">
        <f t="shared" si="34"/>
        <v>0</v>
      </c>
      <c r="Y160" s="174">
        <f t="shared" si="38"/>
        <v>78</v>
      </c>
      <c r="Z160" s="174">
        <f t="shared" si="39"/>
        <v>0</v>
      </c>
      <c r="AA160" s="174">
        <f t="shared" si="40"/>
        <v>78</v>
      </c>
      <c r="AB160" s="175">
        <f t="shared" si="41"/>
        <v>13</v>
      </c>
      <c r="AC160" s="175">
        <f t="shared" si="42"/>
        <v>0</v>
      </c>
      <c r="AD160" s="175">
        <f t="shared" si="43"/>
        <v>13</v>
      </c>
      <c r="AE160" s="6"/>
      <c r="AF160" s="6"/>
      <c r="AG160" s="6">
        <f t="shared" si="36"/>
        <v>0</v>
      </c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</row>
    <row r="161" spans="1:54" ht="15.75">
      <c r="A161" s="136">
        <v>153</v>
      </c>
      <c r="B161" s="186" t="s">
        <v>1606</v>
      </c>
      <c r="C161" s="187" t="s">
        <v>1559</v>
      </c>
      <c r="D161" s="136" t="s">
        <v>1607</v>
      </c>
      <c r="E161" s="179" t="s">
        <v>15</v>
      </c>
      <c r="F161" s="70">
        <v>120</v>
      </c>
      <c r="G161" s="6">
        <v>0</v>
      </c>
      <c r="H161" s="6"/>
      <c r="I161" s="1">
        <f t="shared" si="44"/>
        <v>0</v>
      </c>
      <c r="J161" s="6"/>
      <c r="K161" s="6"/>
      <c r="L161" s="1">
        <f t="shared" si="37"/>
        <v>0</v>
      </c>
      <c r="M161" s="6"/>
      <c r="N161" s="6"/>
      <c r="O161" s="6">
        <f t="shared" si="27"/>
        <v>0</v>
      </c>
      <c r="P161" s="6"/>
      <c r="Q161" s="6"/>
      <c r="R161" s="6">
        <f t="shared" si="32"/>
        <v>0</v>
      </c>
      <c r="S161" s="6"/>
      <c r="T161" s="6"/>
      <c r="U161" s="6">
        <f t="shared" si="33"/>
        <v>0</v>
      </c>
      <c r="V161" s="6"/>
      <c r="W161" s="6"/>
      <c r="X161" s="6">
        <f t="shared" si="34"/>
        <v>0</v>
      </c>
      <c r="Y161" s="174">
        <f t="shared" si="38"/>
        <v>0</v>
      </c>
      <c r="Z161" s="174">
        <f t="shared" si="39"/>
        <v>0</v>
      </c>
      <c r="AA161" s="174">
        <f t="shared" si="40"/>
        <v>0</v>
      </c>
      <c r="AB161" s="175">
        <f t="shared" si="41"/>
        <v>0</v>
      </c>
      <c r="AC161" s="175">
        <f t="shared" si="42"/>
        <v>0</v>
      </c>
      <c r="AD161" s="175">
        <f t="shared" si="43"/>
        <v>0</v>
      </c>
      <c r="AE161" s="6"/>
      <c r="AF161" s="6"/>
      <c r="AG161" s="6">
        <f t="shared" si="36"/>
        <v>0</v>
      </c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</row>
    <row r="162" spans="1:54" ht="15.75">
      <c r="A162" s="136">
        <v>154</v>
      </c>
      <c r="B162" s="186" t="s">
        <v>1608</v>
      </c>
      <c r="C162" s="187" t="s">
        <v>1559</v>
      </c>
      <c r="D162" s="136" t="s">
        <v>1609</v>
      </c>
      <c r="E162" s="179" t="s">
        <v>15</v>
      </c>
      <c r="F162" s="70">
        <v>10</v>
      </c>
      <c r="G162" s="6">
        <v>0</v>
      </c>
      <c r="H162" s="6"/>
      <c r="I162" s="1">
        <f t="shared" si="44"/>
        <v>0</v>
      </c>
      <c r="J162" s="6"/>
      <c r="K162" s="6"/>
      <c r="L162" s="1">
        <f t="shared" si="37"/>
        <v>0</v>
      </c>
      <c r="M162" s="6"/>
      <c r="N162" s="6"/>
      <c r="O162" s="6">
        <f t="shared" si="27"/>
        <v>0</v>
      </c>
      <c r="P162" s="6"/>
      <c r="Q162" s="6"/>
      <c r="R162" s="6">
        <f t="shared" si="32"/>
        <v>0</v>
      </c>
      <c r="S162" s="6"/>
      <c r="T162" s="6"/>
      <c r="U162" s="6">
        <f t="shared" si="33"/>
        <v>0</v>
      </c>
      <c r="V162" s="6"/>
      <c r="W162" s="6"/>
      <c r="X162" s="6">
        <f t="shared" si="34"/>
        <v>0</v>
      </c>
      <c r="Y162" s="174">
        <f t="shared" si="38"/>
        <v>0</v>
      </c>
      <c r="Z162" s="174">
        <f t="shared" si="39"/>
        <v>0</v>
      </c>
      <c r="AA162" s="174">
        <f t="shared" si="40"/>
        <v>0</v>
      </c>
      <c r="AB162" s="175">
        <f t="shared" si="41"/>
        <v>0</v>
      </c>
      <c r="AC162" s="175">
        <f t="shared" si="42"/>
        <v>0</v>
      </c>
      <c r="AD162" s="175">
        <f t="shared" si="43"/>
        <v>0</v>
      </c>
      <c r="AE162" s="6"/>
      <c r="AF162" s="6"/>
      <c r="AG162" s="6">
        <f t="shared" si="36"/>
        <v>0</v>
      </c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</row>
    <row r="163" spans="1:54" ht="15.75">
      <c r="A163" s="136">
        <v>155</v>
      </c>
      <c r="B163" s="186" t="s">
        <v>1610</v>
      </c>
      <c r="C163" s="187" t="s">
        <v>1559</v>
      </c>
      <c r="D163" s="136" t="s">
        <v>1611</v>
      </c>
      <c r="E163" s="179" t="s">
        <v>15</v>
      </c>
      <c r="F163" s="70">
        <v>18</v>
      </c>
      <c r="G163" s="6">
        <v>20</v>
      </c>
      <c r="H163" s="6"/>
      <c r="I163" s="1">
        <f t="shared" si="44"/>
        <v>20</v>
      </c>
      <c r="J163" s="6"/>
      <c r="K163" s="6"/>
      <c r="L163" s="1">
        <f t="shared" si="37"/>
        <v>0</v>
      </c>
      <c r="M163" s="6"/>
      <c r="N163" s="6"/>
      <c r="O163" s="6">
        <f t="shared" ref="O163:O173" si="45">M163+N163</f>
        <v>0</v>
      </c>
      <c r="P163" s="6"/>
      <c r="Q163" s="6"/>
      <c r="R163" s="6">
        <f t="shared" si="32"/>
        <v>0</v>
      </c>
      <c r="S163" s="6"/>
      <c r="T163" s="6"/>
      <c r="U163" s="6">
        <f t="shared" si="33"/>
        <v>0</v>
      </c>
      <c r="V163" s="6"/>
      <c r="W163" s="6"/>
      <c r="X163" s="6">
        <f t="shared" si="34"/>
        <v>0</v>
      </c>
      <c r="Y163" s="174">
        <f t="shared" si="38"/>
        <v>20</v>
      </c>
      <c r="Z163" s="174">
        <f t="shared" si="39"/>
        <v>0</v>
      </c>
      <c r="AA163" s="174">
        <f t="shared" si="40"/>
        <v>20</v>
      </c>
      <c r="AB163" s="175">
        <f t="shared" si="41"/>
        <v>3.3333333333333335</v>
      </c>
      <c r="AC163" s="175">
        <f t="shared" si="42"/>
        <v>0</v>
      </c>
      <c r="AD163" s="175">
        <f t="shared" si="43"/>
        <v>3.3333333333333335</v>
      </c>
      <c r="AE163" s="6"/>
      <c r="AF163" s="6"/>
      <c r="AG163" s="6">
        <f t="shared" si="36"/>
        <v>0</v>
      </c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</row>
    <row r="164" spans="1:54" ht="15.75">
      <c r="A164" s="136">
        <v>156</v>
      </c>
      <c r="B164" s="186" t="s">
        <v>1612</v>
      </c>
      <c r="C164" s="187" t="s">
        <v>1559</v>
      </c>
      <c r="D164" s="136" t="s">
        <v>1613</v>
      </c>
      <c r="E164" s="179" t="s">
        <v>15</v>
      </c>
      <c r="F164" s="70">
        <v>10</v>
      </c>
      <c r="G164" s="6">
        <v>15</v>
      </c>
      <c r="H164" s="6"/>
      <c r="I164" s="1">
        <f t="shared" si="44"/>
        <v>15</v>
      </c>
      <c r="J164" s="6"/>
      <c r="K164" s="6"/>
      <c r="L164" s="1">
        <f t="shared" si="37"/>
        <v>0</v>
      </c>
      <c r="M164" s="6"/>
      <c r="N164" s="6"/>
      <c r="O164" s="6">
        <f t="shared" si="45"/>
        <v>0</v>
      </c>
      <c r="P164" s="6"/>
      <c r="Q164" s="6"/>
      <c r="R164" s="6">
        <f t="shared" si="32"/>
        <v>0</v>
      </c>
      <c r="S164" s="6"/>
      <c r="T164" s="6"/>
      <c r="U164" s="6">
        <f t="shared" si="33"/>
        <v>0</v>
      </c>
      <c r="V164" s="6"/>
      <c r="W164" s="6"/>
      <c r="X164" s="6">
        <f t="shared" si="34"/>
        <v>0</v>
      </c>
      <c r="Y164" s="174">
        <f t="shared" si="38"/>
        <v>15</v>
      </c>
      <c r="Z164" s="174">
        <f t="shared" si="39"/>
        <v>0</v>
      </c>
      <c r="AA164" s="174">
        <f t="shared" si="40"/>
        <v>15</v>
      </c>
      <c r="AB164" s="175">
        <f t="shared" si="41"/>
        <v>2.5</v>
      </c>
      <c r="AC164" s="175">
        <f t="shared" si="42"/>
        <v>0</v>
      </c>
      <c r="AD164" s="175">
        <f t="shared" si="43"/>
        <v>2.5</v>
      </c>
      <c r="AE164" s="6"/>
      <c r="AF164" s="6"/>
      <c r="AG164" s="6">
        <f t="shared" si="36"/>
        <v>0</v>
      </c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</row>
    <row r="165" spans="1:54" ht="15.75">
      <c r="A165" s="136">
        <v>157</v>
      </c>
      <c r="B165" s="186" t="s">
        <v>1614</v>
      </c>
      <c r="C165" s="187" t="s">
        <v>1559</v>
      </c>
      <c r="D165" s="136" t="s">
        <v>1615</v>
      </c>
      <c r="E165" s="179" t="s">
        <v>15</v>
      </c>
      <c r="F165" s="70">
        <v>177</v>
      </c>
      <c r="G165" s="6">
        <v>250</v>
      </c>
      <c r="H165" s="6"/>
      <c r="I165" s="1">
        <f t="shared" si="44"/>
        <v>250</v>
      </c>
      <c r="J165" s="6">
        <v>48</v>
      </c>
      <c r="K165" s="6"/>
      <c r="L165" s="1">
        <f t="shared" si="37"/>
        <v>48</v>
      </c>
      <c r="M165" s="6">
        <v>250</v>
      </c>
      <c r="N165" s="6"/>
      <c r="O165" s="6">
        <f t="shared" si="45"/>
        <v>250</v>
      </c>
      <c r="P165" s="6">
        <v>256</v>
      </c>
      <c r="Q165" s="6"/>
      <c r="R165" s="6">
        <f t="shared" si="32"/>
        <v>256</v>
      </c>
      <c r="S165" s="6">
        <v>296</v>
      </c>
      <c r="T165" s="6">
        <v>72</v>
      </c>
      <c r="U165" s="6">
        <f t="shared" si="33"/>
        <v>368</v>
      </c>
      <c r="V165" s="6">
        <v>300</v>
      </c>
      <c r="W165" s="6"/>
      <c r="X165" s="6">
        <f t="shared" si="34"/>
        <v>300</v>
      </c>
      <c r="Y165" s="174">
        <f t="shared" si="38"/>
        <v>1400</v>
      </c>
      <c r="Z165" s="174">
        <f t="shared" si="39"/>
        <v>72</v>
      </c>
      <c r="AA165" s="174">
        <f t="shared" si="40"/>
        <v>1472</v>
      </c>
      <c r="AB165" s="175">
        <f t="shared" si="41"/>
        <v>233.33333333333334</v>
      </c>
      <c r="AC165" s="175">
        <f t="shared" si="42"/>
        <v>12</v>
      </c>
      <c r="AD165" s="175">
        <f t="shared" si="43"/>
        <v>245.33333333333334</v>
      </c>
      <c r="AE165" s="6">
        <v>150</v>
      </c>
      <c r="AF165" s="6">
        <v>30</v>
      </c>
      <c r="AG165" s="6">
        <f t="shared" si="36"/>
        <v>180</v>
      </c>
      <c r="AH165" s="6">
        <v>200</v>
      </c>
      <c r="AI165" s="6">
        <v>18</v>
      </c>
      <c r="AJ165" s="6"/>
      <c r="AK165" s="6">
        <v>266</v>
      </c>
      <c r="AL165" s="6">
        <v>18</v>
      </c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</row>
    <row r="166" spans="1:54" ht="15.75">
      <c r="A166" s="136">
        <v>158</v>
      </c>
      <c r="B166" s="186" t="s">
        <v>1616</v>
      </c>
      <c r="C166" s="187" t="s">
        <v>1559</v>
      </c>
      <c r="D166" s="136" t="s">
        <v>1617</v>
      </c>
      <c r="E166" s="179" t="s">
        <v>15</v>
      </c>
      <c r="F166" s="70">
        <v>33</v>
      </c>
      <c r="G166" s="6">
        <v>50</v>
      </c>
      <c r="H166" s="6"/>
      <c r="I166" s="1">
        <f t="shared" si="44"/>
        <v>50</v>
      </c>
      <c r="J166" s="6"/>
      <c r="K166" s="6"/>
      <c r="L166" s="1">
        <f t="shared" si="37"/>
        <v>0</v>
      </c>
      <c r="M166" s="6">
        <v>198</v>
      </c>
      <c r="N166" s="6"/>
      <c r="O166" s="6">
        <f t="shared" si="45"/>
        <v>198</v>
      </c>
      <c r="P166" s="6">
        <v>144</v>
      </c>
      <c r="Q166" s="6"/>
      <c r="R166" s="6">
        <f t="shared" si="32"/>
        <v>144</v>
      </c>
      <c r="S166" s="6">
        <v>250</v>
      </c>
      <c r="T166" s="6"/>
      <c r="U166" s="6">
        <f t="shared" si="33"/>
        <v>250</v>
      </c>
      <c r="V166" s="6"/>
      <c r="W166" s="6"/>
      <c r="X166" s="6">
        <f t="shared" si="34"/>
        <v>0</v>
      </c>
      <c r="Y166" s="174">
        <f t="shared" si="38"/>
        <v>642</v>
      </c>
      <c r="Z166" s="174">
        <f t="shared" si="39"/>
        <v>0</v>
      </c>
      <c r="AA166" s="174">
        <f t="shared" si="40"/>
        <v>642</v>
      </c>
      <c r="AB166" s="175">
        <f t="shared" si="41"/>
        <v>107</v>
      </c>
      <c r="AC166" s="175">
        <f t="shared" si="42"/>
        <v>0</v>
      </c>
      <c r="AD166" s="175">
        <f t="shared" si="43"/>
        <v>107</v>
      </c>
      <c r="AE166" s="6"/>
      <c r="AF166" s="6"/>
      <c r="AG166" s="6">
        <f t="shared" si="36"/>
        <v>0</v>
      </c>
      <c r="AH166" s="6"/>
      <c r="AI166" s="6"/>
      <c r="AJ166" s="6"/>
      <c r="AK166" s="6">
        <v>160</v>
      </c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</row>
    <row r="167" spans="1:54" ht="15.75">
      <c r="A167" s="136">
        <v>159</v>
      </c>
      <c r="B167" s="186" t="s">
        <v>1618</v>
      </c>
      <c r="C167" s="187" t="s">
        <v>1559</v>
      </c>
      <c r="D167" s="136" t="s">
        <v>1619</v>
      </c>
      <c r="E167" s="179" t="s">
        <v>15</v>
      </c>
      <c r="F167" s="70">
        <v>10</v>
      </c>
      <c r="G167" s="6">
        <v>10</v>
      </c>
      <c r="H167" s="6"/>
      <c r="I167" s="1">
        <f t="shared" si="44"/>
        <v>10</v>
      </c>
      <c r="J167" s="6"/>
      <c r="K167" s="6"/>
      <c r="L167" s="1">
        <f t="shared" si="37"/>
        <v>0</v>
      </c>
      <c r="M167" s="6"/>
      <c r="N167" s="6"/>
      <c r="O167" s="6">
        <f t="shared" si="45"/>
        <v>0</v>
      </c>
      <c r="P167" s="6"/>
      <c r="Q167" s="6"/>
      <c r="R167" s="6">
        <f t="shared" si="32"/>
        <v>0</v>
      </c>
      <c r="S167" s="6"/>
      <c r="T167" s="6"/>
      <c r="U167" s="6">
        <f t="shared" si="33"/>
        <v>0</v>
      </c>
      <c r="V167" s="6"/>
      <c r="W167" s="6"/>
      <c r="X167" s="6">
        <f t="shared" si="34"/>
        <v>0</v>
      </c>
      <c r="Y167" s="174">
        <f t="shared" si="38"/>
        <v>10</v>
      </c>
      <c r="Z167" s="174">
        <f t="shared" si="39"/>
        <v>0</v>
      </c>
      <c r="AA167" s="174">
        <f t="shared" si="40"/>
        <v>10</v>
      </c>
      <c r="AB167" s="175">
        <f t="shared" si="41"/>
        <v>1.6666666666666667</v>
      </c>
      <c r="AC167" s="175">
        <f t="shared" si="42"/>
        <v>0</v>
      </c>
      <c r="AD167" s="175">
        <f t="shared" si="43"/>
        <v>1.6666666666666667</v>
      </c>
      <c r="AE167" s="6"/>
      <c r="AF167" s="6"/>
      <c r="AG167" s="6">
        <f t="shared" si="36"/>
        <v>0</v>
      </c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</row>
    <row r="168" spans="1:54" ht="15.75">
      <c r="A168" s="136">
        <v>160</v>
      </c>
      <c r="B168" s="186" t="s">
        <v>1620</v>
      </c>
      <c r="C168" s="187" t="s">
        <v>1559</v>
      </c>
      <c r="D168" s="136" t="s">
        <v>1621</v>
      </c>
      <c r="E168" s="181" t="s">
        <v>18</v>
      </c>
      <c r="F168" s="70">
        <v>25</v>
      </c>
      <c r="G168" s="6">
        <v>20</v>
      </c>
      <c r="H168" s="6"/>
      <c r="I168" s="1">
        <f t="shared" si="44"/>
        <v>20</v>
      </c>
      <c r="J168" s="6"/>
      <c r="K168" s="6"/>
      <c r="L168" s="1">
        <f t="shared" si="37"/>
        <v>0</v>
      </c>
      <c r="M168" s="6"/>
      <c r="N168" s="6"/>
      <c r="O168" s="6">
        <f t="shared" si="45"/>
        <v>0</v>
      </c>
      <c r="P168" s="6"/>
      <c r="Q168" s="6"/>
      <c r="R168" s="6">
        <f t="shared" si="32"/>
        <v>0</v>
      </c>
      <c r="S168" s="6">
        <v>74</v>
      </c>
      <c r="T168" s="6"/>
      <c r="U168" s="6">
        <f t="shared" si="33"/>
        <v>74</v>
      </c>
      <c r="V168" s="6"/>
      <c r="W168" s="6"/>
      <c r="X168" s="6">
        <f t="shared" si="34"/>
        <v>0</v>
      </c>
      <c r="Y168" s="174">
        <f t="shared" si="38"/>
        <v>94</v>
      </c>
      <c r="Z168" s="174">
        <f t="shared" si="39"/>
        <v>0</v>
      </c>
      <c r="AA168" s="174">
        <f t="shared" si="40"/>
        <v>94</v>
      </c>
      <c r="AB168" s="175">
        <f t="shared" si="41"/>
        <v>15.666666666666666</v>
      </c>
      <c r="AC168" s="175">
        <f t="shared" si="42"/>
        <v>0</v>
      </c>
      <c r="AD168" s="175">
        <f t="shared" si="43"/>
        <v>15.666666666666666</v>
      </c>
      <c r="AE168" s="6"/>
      <c r="AF168" s="6"/>
      <c r="AG168" s="6">
        <f t="shared" si="36"/>
        <v>0</v>
      </c>
      <c r="AH168" s="6">
        <v>20</v>
      </c>
      <c r="AI168" s="6"/>
      <c r="AJ168" s="6"/>
      <c r="AK168" s="6">
        <v>16</v>
      </c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</row>
    <row r="169" spans="1:54" ht="15.75">
      <c r="A169" s="136">
        <v>161</v>
      </c>
      <c r="B169" s="186" t="s">
        <v>1622</v>
      </c>
      <c r="C169" s="6" t="s">
        <v>1488</v>
      </c>
      <c r="D169" s="136" t="s">
        <v>1623</v>
      </c>
      <c r="E169" s="179" t="s">
        <v>909</v>
      </c>
      <c r="F169" s="70">
        <v>90</v>
      </c>
      <c r="G169" s="188">
        <v>36</v>
      </c>
      <c r="H169" s="6"/>
      <c r="I169" s="6"/>
      <c r="J169" s="188"/>
      <c r="K169" s="6"/>
      <c r="L169" s="1">
        <f t="shared" si="37"/>
        <v>0</v>
      </c>
      <c r="M169" s="188"/>
      <c r="N169" s="6"/>
      <c r="O169" s="6">
        <f t="shared" si="45"/>
        <v>0</v>
      </c>
      <c r="P169" s="188"/>
      <c r="Q169" s="6"/>
      <c r="R169" s="6">
        <f t="shared" si="32"/>
        <v>0</v>
      </c>
      <c r="S169" s="188"/>
      <c r="T169" s="6"/>
      <c r="U169" s="6">
        <f t="shared" si="33"/>
        <v>0</v>
      </c>
      <c r="V169" s="188"/>
      <c r="W169" s="6"/>
      <c r="X169" s="6">
        <f t="shared" si="34"/>
        <v>0</v>
      </c>
      <c r="Y169" s="174">
        <f t="shared" si="38"/>
        <v>36</v>
      </c>
      <c r="Z169" s="174">
        <f t="shared" si="39"/>
        <v>0</v>
      </c>
      <c r="AA169" s="174">
        <f t="shared" si="40"/>
        <v>0</v>
      </c>
      <c r="AB169" s="175">
        <f t="shared" si="41"/>
        <v>6</v>
      </c>
      <c r="AC169" s="175">
        <f t="shared" si="42"/>
        <v>0</v>
      </c>
      <c r="AD169" s="175">
        <f t="shared" si="43"/>
        <v>0</v>
      </c>
      <c r="AE169" s="6"/>
      <c r="AF169" s="6"/>
      <c r="AG169" s="6">
        <f t="shared" si="36"/>
        <v>0</v>
      </c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</row>
    <row r="170" spans="1:54" ht="15.75">
      <c r="A170" s="136">
        <v>162</v>
      </c>
      <c r="B170" s="186" t="s">
        <v>1624</v>
      </c>
      <c r="C170" s="6" t="s">
        <v>1625</v>
      </c>
      <c r="D170" s="136" t="s">
        <v>1626</v>
      </c>
      <c r="E170" s="179" t="s">
        <v>15</v>
      </c>
      <c r="F170" s="70">
        <v>20</v>
      </c>
      <c r="G170" s="188">
        <v>100</v>
      </c>
      <c r="H170" s="6"/>
      <c r="I170" s="6"/>
      <c r="J170" s="188"/>
      <c r="K170" s="6"/>
      <c r="L170" s="1">
        <f t="shared" si="37"/>
        <v>0</v>
      </c>
      <c r="M170" s="188"/>
      <c r="N170" s="6"/>
      <c r="O170" s="6">
        <f t="shared" si="45"/>
        <v>0</v>
      </c>
      <c r="P170" s="188">
        <v>250</v>
      </c>
      <c r="Q170" s="6">
        <v>45</v>
      </c>
      <c r="R170" s="6">
        <f t="shared" si="32"/>
        <v>295</v>
      </c>
      <c r="S170" s="188"/>
      <c r="T170" s="6"/>
      <c r="U170" s="6">
        <f t="shared" si="33"/>
        <v>0</v>
      </c>
      <c r="V170" s="188"/>
      <c r="W170" s="6"/>
      <c r="X170" s="6">
        <f t="shared" si="34"/>
        <v>0</v>
      </c>
      <c r="Y170" s="174">
        <f t="shared" si="38"/>
        <v>350</v>
      </c>
      <c r="Z170" s="174">
        <f t="shared" si="39"/>
        <v>45</v>
      </c>
      <c r="AA170" s="174">
        <f t="shared" si="40"/>
        <v>295</v>
      </c>
      <c r="AB170" s="175">
        <f t="shared" si="41"/>
        <v>58.333333333333336</v>
      </c>
      <c r="AC170" s="175">
        <f t="shared" si="42"/>
        <v>7.5</v>
      </c>
      <c r="AD170" s="175">
        <f t="shared" si="43"/>
        <v>49.166666666666664</v>
      </c>
      <c r="AE170" s="6"/>
      <c r="AF170" s="6"/>
      <c r="AG170" s="6">
        <f t="shared" si="36"/>
        <v>0</v>
      </c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</row>
    <row r="171" spans="1:54">
      <c r="A171" s="136">
        <v>163</v>
      </c>
      <c r="B171" s="136" t="s">
        <v>1627</v>
      </c>
      <c r="C171" s="136" t="s">
        <v>1628</v>
      </c>
      <c r="D171" s="136" t="s">
        <v>1629</v>
      </c>
      <c r="E171" s="136"/>
      <c r="F171" s="70"/>
      <c r="G171" s="172">
        <f>144-25</f>
        <v>119</v>
      </c>
      <c r="H171" s="136"/>
      <c r="I171" s="136"/>
      <c r="J171" s="172"/>
      <c r="K171" s="136"/>
      <c r="L171" s="1">
        <f t="shared" si="37"/>
        <v>0</v>
      </c>
      <c r="M171" s="172">
        <v>184</v>
      </c>
      <c r="N171" s="136"/>
      <c r="O171" s="136">
        <f t="shared" si="45"/>
        <v>184</v>
      </c>
      <c r="P171" s="172"/>
      <c r="Q171" s="136"/>
      <c r="R171" s="136">
        <f t="shared" ref="R171:R173" si="46">P171+Q171</f>
        <v>0</v>
      </c>
      <c r="S171" s="172">
        <v>180</v>
      </c>
      <c r="T171" s="136"/>
      <c r="U171" s="136">
        <f t="shared" ref="U171:U173" si="47">S171+T171</f>
        <v>180</v>
      </c>
      <c r="V171" s="172"/>
      <c r="W171" s="136"/>
      <c r="X171" s="136">
        <f t="shared" ref="X171:X173" si="48">V171+W171</f>
        <v>0</v>
      </c>
      <c r="Y171" s="174">
        <f t="shared" si="38"/>
        <v>483</v>
      </c>
      <c r="Z171" s="174">
        <f t="shared" si="39"/>
        <v>0</v>
      </c>
      <c r="AA171" s="174">
        <f t="shared" si="40"/>
        <v>364</v>
      </c>
      <c r="AB171" s="175">
        <f t="shared" si="41"/>
        <v>80.5</v>
      </c>
      <c r="AC171" s="175">
        <f t="shared" si="42"/>
        <v>0</v>
      </c>
      <c r="AD171" s="175">
        <f t="shared" si="43"/>
        <v>60.666666666666664</v>
      </c>
      <c r="AE171" s="6"/>
      <c r="AF171" s="6"/>
      <c r="AG171" s="6">
        <f t="shared" si="36"/>
        <v>0</v>
      </c>
      <c r="AH171" s="6">
        <v>90</v>
      </c>
      <c r="AI171" s="6"/>
      <c r="AJ171" s="6"/>
      <c r="AK171" s="6">
        <v>80</v>
      </c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</row>
    <row r="172" spans="1:54">
      <c r="A172" s="136">
        <v>164</v>
      </c>
      <c r="B172" s="136" t="s">
        <v>3353</v>
      </c>
      <c r="C172" s="136" t="s">
        <v>1559</v>
      </c>
      <c r="D172" s="136" t="s">
        <v>1630</v>
      </c>
      <c r="E172" s="136"/>
      <c r="F172" s="70"/>
      <c r="G172" s="136">
        <v>0</v>
      </c>
      <c r="H172" s="136"/>
      <c r="I172" s="136"/>
      <c r="J172" s="136"/>
      <c r="K172" s="136"/>
      <c r="L172" s="1">
        <f t="shared" si="37"/>
        <v>0</v>
      </c>
      <c r="M172" s="136"/>
      <c r="N172" s="136"/>
      <c r="O172" s="136">
        <f t="shared" si="45"/>
        <v>0</v>
      </c>
      <c r="P172" s="136"/>
      <c r="Q172" s="136"/>
      <c r="R172" s="136">
        <f t="shared" si="46"/>
        <v>0</v>
      </c>
      <c r="S172" s="136"/>
      <c r="T172" s="136"/>
      <c r="U172" s="136">
        <f t="shared" si="47"/>
        <v>0</v>
      </c>
      <c r="V172" s="136"/>
      <c r="W172" s="136"/>
      <c r="X172" s="136">
        <f t="shared" si="48"/>
        <v>0</v>
      </c>
      <c r="Y172" s="174">
        <f t="shared" si="38"/>
        <v>0</v>
      </c>
      <c r="Z172" s="174">
        <f t="shared" si="39"/>
        <v>0</v>
      </c>
      <c r="AA172" s="174">
        <f t="shared" si="40"/>
        <v>0</v>
      </c>
      <c r="AB172" s="175">
        <f t="shared" si="41"/>
        <v>0</v>
      </c>
      <c r="AC172" s="175">
        <f t="shared" si="42"/>
        <v>0</v>
      </c>
      <c r="AD172" s="175">
        <f t="shared" si="43"/>
        <v>0</v>
      </c>
      <c r="AE172" s="6"/>
      <c r="AF172" s="6"/>
      <c r="AG172" s="6">
        <f t="shared" si="36"/>
        <v>0</v>
      </c>
      <c r="AH172" s="6">
        <v>240</v>
      </c>
      <c r="AI172" s="6">
        <v>38</v>
      </c>
      <c r="AJ172" s="6"/>
      <c r="AK172" s="6">
        <v>296</v>
      </c>
      <c r="AL172" s="6">
        <v>36</v>
      </c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</row>
    <row r="173" spans="1:54">
      <c r="A173" s="136">
        <v>165</v>
      </c>
      <c r="B173" s="136" t="s">
        <v>3355</v>
      </c>
      <c r="C173" s="136" t="s">
        <v>1524</v>
      </c>
      <c r="D173" s="136" t="s">
        <v>1631</v>
      </c>
      <c r="E173" s="136"/>
      <c r="F173" s="160"/>
      <c r="G173" s="136">
        <v>0</v>
      </c>
      <c r="H173" s="136"/>
      <c r="I173" s="136"/>
      <c r="J173" s="136"/>
      <c r="K173" s="136"/>
      <c r="L173" s="1">
        <f t="shared" si="37"/>
        <v>0</v>
      </c>
      <c r="M173" s="136"/>
      <c r="N173" s="136"/>
      <c r="O173" s="136">
        <f t="shared" si="45"/>
        <v>0</v>
      </c>
      <c r="P173" s="136"/>
      <c r="Q173" s="136"/>
      <c r="R173" s="136">
        <f t="shared" si="46"/>
        <v>0</v>
      </c>
      <c r="S173" s="136"/>
      <c r="T173" s="136"/>
      <c r="U173" s="136">
        <f t="shared" si="47"/>
        <v>0</v>
      </c>
      <c r="V173" s="136"/>
      <c r="W173" s="136"/>
      <c r="X173" s="136">
        <f t="shared" si="48"/>
        <v>0</v>
      </c>
      <c r="Y173" s="174">
        <f t="shared" si="38"/>
        <v>0</v>
      </c>
      <c r="Z173" s="174">
        <f t="shared" si="39"/>
        <v>0</v>
      </c>
      <c r="AA173" s="174">
        <f t="shared" si="40"/>
        <v>0</v>
      </c>
      <c r="AB173" s="175">
        <f t="shared" si="41"/>
        <v>0</v>
      </c>
      <c r="AC173" s="175">
        <f t="shared" si="42"/>
        <v>0</v>
      </c>
      <c r="AD173" s="175">
        <f t="shared" si="43"/>
        <v>0</v>
      </c>
      <c r="AE173" s="6"/>
      <c r="AF173" s="6"/>
      <c r="AG173" s="6">
        <f t="shared" si="36"/>
        <v>0</v>
      </c>
      <c r="AH173" s="6"/>
      <c r="AI173" s="6"/>
      <c r="AJ173" s="6"/>
      <c r="AK173" s="6">
        <v>160</v>
      </c>
      <c r="AL173" s="6">
        <v>104</v>
      </c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</row>
    <row r="174" spans="1:54">
      <c r="A174" s="992" t="s">
        <v>11</v>
      </c>
      <c r="B174" s="993"/>
      <c r="C174" s="163"/>
      <c r="D174" s="163"/>
      <c r="E174" s="163"/>
      <c r="F174" s="165">
        <f t="shared" ref="F174:X174" si="49">SUM(F9:F173)</f>
        <v>5965</v>
      </c>
      <c r="G174" s="165">
        <f t="shared" si="49"/>
        <v>8080</v>
      </c>
      <c r="H174" s="165">
        <f t="shared" si="49"/>
        <v>336</v>
      </c>
      <c r="I174" s="165">
        <f t="shared" si="49"/>
        <v>8161</v>
      </c>
      <c r="J174" s="165">
        <f t="shared" si="49"/>
        <v>7170</v>
      </c>
      <c r="K174" s="165">
        <f t="shared" si="49"/>
        <v>710</v>
      </c>
      <c r="L174" s="165">
        <f t="shared" si="49"/>
        <v>7880</v>
      </c>
      <c r="M174" s="165">
        <f t="shared" si="49"/>
        <v>4559</v>
      </c>
      <c r="N174" s="165">
        <f t="shared" si="49"/>
        <v>547</v>
      </c>
      <c r="O174" s="165">
        <f t="shared" si="49"/>
        <v>5106</v>
      </c>
      <c r="P174" s="165">
        <f t="shared" si="49"/>
        <v>5686</v>
      </c>
      <c r="Q174" s="165">
        <f t="shared" si="49"/>
        <v>697</v>
      </c>
      <c r="R174" s="165">
        <f t="shared" si="49"/>
        <v>6383</v>
      </c>
      <c r="S174" s="165">
        <f t="shared" si="49"/>
        <v>5585</v>
      </c>
      <c r="T174" s="165">
        <f t="shared" si="49"/>
        <v>1038</v>
      </c>
      <c r="U174" s="165">
        <f t="shared" si="49"/>
        <v>6623</v>
      </c>
      <c r="V174" s="165">
        <f t="shared" si="49"/>
        <v>7260</v>
      </c>
      <c r="W174" s="165">
        <f t="shared" si="49"/>
        <v>870</v>
      </c>
      <c r="X174" s="165">
        <f t="shared" si="49"/>
        <v>8130</v>
      </c>
      <c r="Y174" s="138">
        <f t="shared" si="38"/>
        <v>38340</v>
      </c>
      <c r="Z174" s="138">
        <f t="shared" si="39"/>
        <v>4198</v>
      </c>
      <c r="AA174" s="138">
        <f t="shared" si="40"/>
        <v>42283</v>
      </c>
      <c r="AB174" s="139">
        <f t="shared" si="41"/>
        <v>6390</v>
      </c>
      <c r="AC174" s="139">
        <f t="shared" si="42"/>
        <v>699.66666666666663</v>
      </c>
      <c r="AD174" s="139">
        <f t="shared" si="43"/>
        <v>7047.166666666667</v>
      </c>
      <c r="AE174" s="897">
        <f t="shared" ref="AE174:BB174" si="50">SUM(AE9:AE173)</f>
        <v>6209</v>
      </c>
      <c r="AF174" s="897">
        <f t="shared" si="50"/>
        <v>890</v>
      </c>
      <c r="AG174" s="897">
        <f t="shared" si="50"/>
        <v>7099</v>
      </c>
      <c r="AH174" s="897">
        <f t="shared" si="50"/>
        <v>8580</v>
      </c>
      <c r="AI174" s="897">
        <f t="shared" si="50"/>
        <v>980</v>
      </c>
      <c r="AJ174" s="897">
        <f t="shared" si="50"/>
        <v>0</v>
      </c>
      <c r="AK174" s="897">
        <f t="shared" si="50"/>
        <v>9840</v>
      </c>
      <c r="AL174" s="897">
        <f t="shared" si="50"/>
        <v>850</v>
      </c>
      <c r="AM174" s="897">
        <f t="shared" si="50"/>
        <v>0</v>
      </c>
      <c r="AN174" s="897">
        <f t="shared" si="50"/>
        <v>0</v>
      </c>
      <c r="AO174" s="897">
        <f t="shared" si="50"/>
        <v>0</v>
      </c>
      <c r="AP174" s="897">
        <f t="shared" si="50"/>
        <v>0</v>
      </c>
      <c r="AQ174" s="897">
        <f t="shared" si="50"/>
        <v>0</v>
      </c>
      <c r="AR174" s="897">
        <f t="shared" si="50"/>
        <v>0</v>
      </c>
      <c r="AS174" s="897">
        <f t="shared" si="50"/>
        <v>0</v>
      </c>
      <c r="AT174" s="897">
        <f t="shared" si="50"/>
        <v>0</v>
      </c>
      <c r="AU174" s="897">
        <f t="shared" si="50"/>
        <v>0</v>
      </c>
      <c r="AV174" s="897">
        <f t="shared" si="50"/>
        <v>0</v>
      </c>
      <c r="AW174" s="897">
        <f t="shared" si="50"/>
        <v>0</v>
      </c>
      <c r="AX174" s="897">
        <f t="shared" si="50"/>
        <v>0</v>
      </c>
      <c r="AY174" s="897">
        <f t="shared" si="50"/>
        <v>0</v>
      </c>
      <c r="AZ174" s="897">
        <f t="shared" si="50"/>
        <v>0</v>
      </c>
      <c r="BA174" s="897">
        <f t="shared" si="50"/>
        <v>0</v>
      </c>
      <c r="BB174" s="897">
        <f t="shared" si="50"/>
        <v>0</v>
      </c>
    </row>
    <row r="175" spans="1:54" ht="14.65" thickBot="1"/>
    <row r="176" spans="1:54" ht="15.75">
      <c r="A176" s="104"/>
      <c r="B176" s="76" t="s">
        <v>338</v>
      </c>
      <c r="C176" s="77"/>
      <c r="D176" s="83"/>
      <c r="E176" s="213"/>
      <c r="F176" s="210">
        <v>2680</v>
      </c>
      <c r="G176" s="205">
        <v>2674</v>
      </c>
      <c r="H176" s="206">
        <v>202</v>
      </c>
      <c r="I176" s="206">
        <f>G176+H176</f>
        <v>2876</v>
      </c>
      <c r="J176" s="206">
        <v>3784</v>
      </c>
      <c r="K176" s="206">
        <v>386</v>
      </c>
      <c r="L176" s="206">
        <f>J176+K176</f>
        <v>4170</v>
      </c>
      <c r="M176" s="206">
        <v>1446</v>
      </c>
      <c r="N176" s="206">
        <v>300</v>
      </c>
      <c r="O176" s="206">
        <f>M176+N176</f>
        <v>1746</v>
      </c>
      <c r="P176" s="206">
        <v>1567</v>
      </c>
      <c r="Q176" s="206">
        <v>272</v>
      </c>
      <c r="R176" s="206">
        <f>P176+Q176</f>
        <v>1839</v>
      </c>
      <c r="S176" s="206">
        <v>1074</v>
      </c>
      <c r="T176" s="206">
        <v>202</v>
      </c>
      <c r="U176" s="206">
        <f>S176+T176</f>
        <v>1276</v>
      </c>
      <c r="V176" s="206">
        <v>3398</v>
      </c>
      <c r="W176" s="206">
        <v>318</v>
      </c>
      <c r="X176" s="206">
        <f>V176+W176</f>
        <v>3716</v>
      </c>
      <c r="Y176" s="206">
        <f>G176+J176+M176+P176+S176+V176</f>
        <v>13943</v>
      </c>
      <c r="Z176" s="206">
        <f>H176+K176+N176+Q176+T176+W176</f>
        <v>1680</v>
      </c>
      <c r="AA176" s="206">
        <f>Y176+Z176</f>
        <v>15623</v>
      </c>
      <c r="AB176" s="207">
        <f t="shared" ref="AB176:AD177" si="51">Y176/6</f>
        <v>2323.8333333333335</v>
      </c>
      <c r="AC176" s="207">
        <f t="shared" si="51"/>
        <v>280</v>
      </c>
      <c r="AD176" s="208">
        <f t="shared" si="51"/>
        <v>2603.8333333333335</v>
      </c>
      <c r="AE176" s="206"/>
      <c r="AF176" s="206"/>
      <c r="AG176" s="206">
        <f>AE176+AF176</f>
        <v>0</v>
      </c>
      <c r="AH176" s="206"/>
      <c r="AI176" s="206"/>
      <c r="AJ176" s="206">
        <f>AH176+AI176</f>
        <v>0</v>
      </c>
      <c r="AK176" s="206"/>
      <c r="AL176" s="206"/>
      <c r="AM176" s="206">
        <f>AK176+AL176</f>
        <v>0</v>
      </c>
      <c r="AN176" s="206"/>
      <c r="AO176" s="206"/>
      <c r="AP176" s="206">
        <f>AN176+AO176</f>
        <v>0</v>
      </c>
      <c r="AQ176" s="206"/>
      <c r="AR176" s="206"/>
      <c r="AS176" s="206">
        <f>AQ176+AR176</f>
        <v>0</v>
      </c>
      <c r="AT176" s="206"/>
      <c r="AU176" s="206"/>
      <c r="AV176" s="206">
        <f>AT176+AU176</f>
        <v>0</v>
      </c>
      <c r="AW176" s="206"/>
      <c r="AX176" s="206"/>
      <c r="AY176" s="206">
        <f>AW176+AX176</f>
        <v>0</v>
      </c>
      <c r="AZ176" s="206"/>
      <c r="BA176" s="206"/>
      <c r="BB176" s="206">
        <f>AZ176+BA176</f>
        <v>0</v>
      </c>
    </row>
    <row r="177" spans="1:54">
      <c r="A177" s="78"/>
      <c r="B177" s="7" t="s">
        <v>339</v>
      </c>
      <c r="C177" s="6"/>
      <c r="D177" s="15"/>
      <c r="E177" s="211"/>
      <c r="F177" s="212">
        <f>F174-F176</f>
        <v>3285</v>
      </c>
      <c r="G177" s="106">
        <f>G174-G176</f>
        <v>5406</v>
      </c>
      <c r="H177" s="102">
        <f>H174-H176</f>
        <v>134</v>
      </c>
      <c r="I177" s="102">
        <f t="shared" ref="I177:AA177" si="52">I174-I176</f>
        <v>5285</v>
      </c>
      <c r="J177" s="102">
        <f t="shared" si="52"/>
        <v>3386</v>
      </c>
      <c r="K177" s="102">
        <f t="shared" si="52"/>
        <v>324</v>
      </c>
      <c r="L177" s="102">
        <f t="shared" si="52"/>
        <v>3710</v>
      </c>
      <c r="M177" s="102">
        <f t="shared" si="52"/>
        <v>3113</v>
      </c>
      <c r="N177" s="102">
        <f t="shared" si="52"/>
        <v>247</v>
      </c>
      <c r="O177" s="102">
        <f t="shared" si="52"/>
        <v>3360</v>
      </c>
      <c r="P177" s="102">
        <f t="shared" si="52"/>
        <v>4119</v>
      </c>
      <c r="Q177" s="102">
        <f t="shared" si="52"/>
        <v>425</v>
      </c>
      <c r="R177" s="102">
        <f t="shared" si="52"/>
        <v>4544</v>
      </c>
      <c r="S177" s="102">
        <f t="shared" si="52"/>
        <v>4511</v>
      </c>
      <c r="T177" s="102">
        <f t="shared" si="52"/>
        <v>836</v>
      </c>
      <c r="U177" s="102">
        <f t="shared" si="52"/>
        <v>5347</v>
      </c>
      <c r="V177" s="102">
        <f t="shared" si="52"/>
        <v>3862</v>
      </c>
      <c r="W177" s="102">
        <f t="shared" si="52"/>
        <v>552</v>
      </c>
      <c r="X177" s="102">
        <f t="shared" si="52"/>
        <v>4414</v>
      </c>
      <c r="Y177" s="102">
        <f t="shared" si="52"/>
        <v>24397</v>
      </c>
      <c r="Z177" s="102">
        <f t="shared" si="52"/>
        <v>2518</v>
      </c>
      <c r="AA177" s="102">
        <f t="shared" si="52"/>
        <v>26660</v>
      </c>
      <c r="AB177" s="71">
        <f t="shared" si="51"/>
        <v>4066.1666666666665</v>
      </c>
      <c r="AC177" s="71">
        <f t="shared" si="51"/>
        <v>419.66666666666669</v>
      </c>
      <c r="AD177" s="72">
        <f t="shared" si="51"/>
        <v>4443.333333333333</v>
      </c>
      <c r="AE177" s="102">
        <f t="shared" ref="AE177:BB177" si="53">AE174-AE176</f>
        <v>6209</v>
      </c>
      <c r="AF177" s="102">
        <f t="shared" si="53"/>
        <v>890</v>
      </c>
      <c r="AG177" s="102">
        <f t="shared" si="53"/>
        <v>7099</v>
      </c>
      <c r="AH177" s="102">
        <f t="shared" si="53"/>
        <v>8580</v>
      </c>
      <c r="AI177" s="102">
        <f t="shared" si="53"/>
        <v>980</v>
      </c>
      <c r="AJ177" s="102">
        <f t="shared" si="53"/>
        <v>0</v>
      </c>
      <c r="AK177" s="102">
        <f t="shared" si="53"/>
        <v>9840</v>
      </c>
      <c r="AL177" s="102">
        <f t="shared" si="53"/>
        <v>850</v>
      </c>
      <c r="AM177" s="102">
        <f t="shared" si="53"/>
        <v>0</v>
      </c>
      <c r="AN177" s="102">
        <f t="shared" si="53"/>
        <v>0</v>
      </c>
      <c r="AO177" s="102">
        <f t="shared" si="53"/>
        <v>0</v>
      </c>
      <c r="AP177" s="102">
        <f t="shared" si="53"/>
        <v>0</v>
      </c>
      <c r="AQ177" s="102">
        <f t="shared" si="53"/>
        <v>0</v>
      </c>
      <c r="AR177" s="102">
        <f t="shared" si="53"/>
        <v>0</v>
      </c>
      <c r="AS177" s="102">
        <f t="shared" si="53"/>
        <v>0</v>
      </c>
      <c r="AT177" s="102">
        <f t="shared" si="53"/>
        <v>0</v>
      </c>
      <c r="AU177" s="102">
        <f t="shared" si="53"/>
        <v>0</v>
      </c>
      <c r="AV177" s="102">
        <f t="shared" si="53"/>
        <v>0</v>
      </c>
      <c r="AW177" s="102">
        <f t="shared" si="53"/>
        <v>0</v>
      </c>
      <c r="AX177" s="102">
        <f t="shared" si="53"/>
        <v>0</v>
      </c>
      <c r="AY177" s="102">
        <f t="shared" si="53"/>
        <v>0</v>
      </c>
      <c r="AZ177" s="102">
        <f t="shared" si="53"/>
        <v>0</v>
      </c>
      <c r="BA177" s="102">
        <f t="shared" si="53"/>
        <v>0</v>
      </c>
      <c r="BB177" s="102">
        <f t="shared" si="53"/>
        <v>0</v>
      </c>
    </row>
    <row r="178" spans="1:54">
      <c r="A178" s="78"/>
      <c r="B178" s="7" t="s">
        <v>340</v>
      </c>
      <c r="C178" s="6"/>
      <c r="D178" s="15"/>
      <c r="E178" s="96"/>
      <c r="F178" s="86">
        <f>F177/F174%</f>
        <v>55.071248952221289</v>
      </c>
      <c r="G178" s="107">
        <f t="shared" ref="G178:AD178" si="54">G177/G174%</f>
        <v>66.905940594059402</v>
      </c>
      <c r="H178" s="96">
        <f t="shared" si="54"/>
        <v>39.88095238095238</v>
      </c>
      <c r="I178" s="96">
        <f t="shared" si="54"/>
        <v>64.759220683739741</v>
      </c>
      <c r="J178" s="96">
        <f t="shared" si="54"/>
        <v>47.224546722454669</v>
      </c>
      <c r="K178" s="96">
        <f t="shared" si="54"/>
        <v>45.633802816901408</v>
      </c>
      <c r="L178" s="96">
        <f t="shared" si="54"/>
        <v>47.081218274111677</v>
      </c>
      <c r="M178" s="96">
        <f t="shared" si="54"/>
        <v>68.282518096073701</v>
      </c>
      <c r="N178" s="96">
        <f t="shared" si="54"/>
        <v>45.155393053016454</v>
      </c>
      <c r="O178" s="96">
        <f t="shared" si="54"/>
        <v>65.804935370152762</v>
      </c>
      <c r="P178" s="96">
        <f t="shared" si="54"/>
        <v>72.441083362645088</v>
      </c>
      <c r="Q178" s="96">
        <f t="shared" si="54"/>
        <v>60.975609756097562</v>
      </c>
      <c r="R178" s="96">
        <f t="shared" si="54"/>
        <v>71.189096036346541</v>
      </c>
      <c r="S178" s="96">
        <f t="shared" si="54"/>
        <v>80.769919427036697</v>
      </c>
      <c r="T178" s="96">
        <f t="shared" si="54"/>
        <v>80.539499036608859</v>
      </c>
      <c r="U178" s="96">
        <f t="shared" si="54"/>
        <v>80.73380643213045</v>
      </c>
      <c r="V178" s="96">
        <f t="shared" si="54"/>
        <v>53.19559228650138</v>
      </c>
      <c r="W178" s="96">
        <f t="shared" si="54"/>
        <v>63.448275862068968</v>
      </c>
      <c r="X178" s="96">
        <f t="shared" si="54"/>
        <v>54.292742927429273</v>
      </c>
      <c r="Y178" s="96">
        <f t="shared" si="54"/>
        <v>63.633281168492438</v>
      </c>
      <c r="Z178" s="96">
        <f t="shared" si="54"/>
        <v>59.980943306336357</v>
      </c>
      <c r="AA178" s="96">
        <f t="shared" si="54"/>
        <v>63.051344511978812</v>
      </c>
      <c r="AB178" s="96">
        <f t="shared" si="54"/>
        <v>63.633281168492438</v>
      </c>
      <c r="AC178" s="96">
        <f t="shared" si="54"/>
        <v>59.980943306336357</v>
      </c>
      <c r="AD178" s="86">
        <f t="shared" si="54"/>
        <v>63.051344511978805</v>
      </c>
      <c r="AE178" s="96">
        <f t="shared" ref="AE178:BB178" si="55">AE177/AE174%</f>
        <v>100</v>
      </c>
      <c r="AF178" s="96">
        <f t="shared" si="55"/>
        <v>100</v>
      </c>
      <c r="AG178" s="96">
        <f t="shared" si="55"/>
        <v>100.00000000000001</v>
      </c>
      <c r="AH178" s="96">
        <f t="shared" si="55"/>
        <v>100</v>
      </c>
      <c r="AI178" s="96">
        <f t="shared" si="55"/>
        <v>99.999999999999986</v>
      </c>
      <c r="AJ178" s="96" t="e">
        <f t="shared" si="55"/>
        <v>#DIV/0!</v>
      </c>
      <c r="AK178" s="96">
        <f t="shared" si="55"/>
        <v>100</v>
      </c>
      <c r="AL178" s="96">
        <f t="shared" si="55"/>
        <v>100</v>
      </c>
      <c r="AM178" s="96" t="e">
        <f t="shared" si="55"/>
        <v>#DIV/0!</v>
      </c>
      <c r="AN178" s="96" t="e">
        <f t="shared" si="55"/>
        <v>#DIV/0!</v>
      </c>
      <c r="AO178" s="96" t="e">
        <f t="shared" si="55"/>
        <v>#DIV/0!</v>
      </c>
      <c r="AP178" s="96" t="e">
        <f t="shared" si="55"/>
        <v>#DIV/0!</v>
      </c>
      <c r="AQ178" s="96" t="e">
        <f t="shared" si="55"/>
        <v>#DIV/0!</v>
      </c>
      <c r="AR178" s="96" t="e">
        <f t="shared" si="55"/>
        <v>#DIV/0!</v>
      </c>
      <c r="AS178" s="96" t="e">
        <f t="shared" si="55"/>
        <v>#DIV/0!</v>
      </c>
      <c r="AT178" s="96" t="e">
        <f t="shared" si="55"/>
        <v>#DIV/0!</v>
      </c>
      <c r="AU178" s="96" t="e">
        <f t="shared" si="55"/>
        <v>#DIV/0!</v>
      </c>
      <c r="AV178" s="96" t="e">
        <f t="shared" si="55"/>
        <v>#DIV/0!</v>
      </c>
      <c r="AW178" s="96" t="e">
        <f t="shared" si="55"/>
        <v>#DIV/0!</v>
      </c>
      <c r="AX178" s="96" t="e">
        <f t="shared" si="55"/>
        <v>#DIV/0!</v>
      </c>
      <c r="AY178" s="96" t="e">
        <f t="shared" si="55"/>
        <v>#DIV/0!</v>
      </c>
      <c r="AZ178" s="96" t="e">
        <f t="shared" si="55"/>
        <v>#DIV/0!</v>
      </c>
      <c r="BA178" s="96" t="e">
        <f t="shared" si="55"/>
        <v>#DIV/0!</v>
      </c>
      <c r="BB178" s="96" t="e">
        <f t="shared" si="55"/>
        <v>#DIV/0!</v>
      </c>
    </row>
    <row r="179" spans="1:54" ht="14.65" thickBot="1">
      <c r="A179" s="80"/>
      <c r="B179" s="81" t="s">
        <v>341</v>
      </c>
      <c r="C179" s="82"/>
      <c r="D179" s="85"/>
      <c r="E179" s="97"/>
      <c r="F179" s="87">
        <f>F176/F174%</f>
        <v>44.928751047778711</v>
      </c>
      <c r="G179" s="108">
        <f t="shared" ref="G179:AD179" si="56">G176/G174%</f>
        <v>33.094059405940598</v>
      </c>
      <c r="H179" s="97">
        <f t="shared" si="56"/>
        <v>60.11904761904762</v>
      </c>
      <c r="I179" s="97">
        <f t="shared" si="56"/>
        <v>35.240779316260266</v>
      </c>
      <c r="J179" s="97">
        <f t="shared" si="56"/>
        <v>52.775453277545324</v>
      </c>
      <c r="K179" s="97">
        <f t="shared" si="56"/>
        <v>54.366197183098592</v>
      </c>
      <c r="L179" s="97">
        <f t="shared" si="56"/>
        <v>52.91878172588833</v>
      </c>
      <c r="M179" s="97">
        <f t="shared" si="56"/>
        <v>31.717481903926299</v>
      </c>
      <c r="N179" s="97">
        <f t="shared" si="56"/>
        <v>54.844606946983546</v>
      </c>
      <c r="O179" s="97">
        <f t="shared" si="56"/>
        <v>34.195064629847238</v>
      </c>
      <c r="P179" s="97">
        <f t="shared" si="56"/>
        <v>27.558916637354908</v>
      </c>
      <c r="Q179" s="97">
        <f t="shared" si="56"/>
        <v>39.024390243902438</v>
      </c>
      <c r="R179" s="97">
        <f t="shared" si="56"/>
        <v>28.810903963653455</v>
      </c>
      <c r="S179" s="97">
        <f t="shared" si="56"/>
        <v>19.230080572963296</v>
      </c>
      <c r="T179" s="97">
        <f t="shared" si="56"/>
        <v>19.460500963391134</v>
      </c>
      <c r="U179" s="97">
        <f t="shared" si="56"/>
        <v>19.266193567869543</v>
      </c>
      <c r="V179" s="97">
        <f t="shared" si="56"/>
        <v>46.804407713498627</v>
      </c>
      <c r="W179" s="97">
        <f t="shared" si="56"/>
        <v>36.551724137931039</v>
      </c>
      <c r="X179" s="97">
        <f t="shared" si="56"/>
        <v>45.707257072570727</v>
      </c>
      <c r="Y179" s="97">
        <f t="shared" si="56"/>
        <v>36.366718831507569</v>
      </c>
      <c r="Z179" s="97">
        <f t="shared" si="56"/>
        <v>40.01905669366365</v>
      </c>
      <c r="AA179" s="97">
        <f t="shared" si="56"/>
        <v>36.948655488021195</v>
      </c>
      <c r="AB179" s="97">
        <f t="shared" si="56"/>
        <v>36.366718831507569</v>
      </c>
      <c r="AC179" s="97">
        <f t="shared" si="56"/>
        <v>40.01905669366365</v>
      </c>
      <c r="AD179" s="87">
        <f t="shared" si="56"/>
        <v>36.948655488021195</v>
      </c>
      <c r="AE179" s="97">
        <f t="shared" ref="AE179:BB179" si="57">AE176/AE174%</f>
        <v>0</v>
      </c>
      <c r="AF179" s="97">
        <f t="shared" si="57"/>
        <v>0</v>
      </c>
      <c r="AG179" s="97">
        <f t="shared" si="57"/>
        <v>0</v>
      </c>
      <c r="AH179" s="97">
        <f t="shared" si="57"/>
        <v>0</v>
      </c>
      <c r="AI179" s="97">
        <f t="shared" si="57"/>
        <v>0</v>
      </c>
      <c r="AJ179" s="97" t="e">
        <f t="shared" si="57"/>
        <v>#DIV/0!</v>
      </c>
      <c r="AK179" s="97">
        <f t="shared" si="57"/>
        <v>0</v>
      </c>
      <c r="AL179" s="97">
        <f t="shared" si="57"/>
        <v>0</v>
      </c>
      <c r="AM179" s="97" t="e">
        <f t="shared" si="57"/>
        <v>#DIV/0!</v>
      </c>
      <c r="AN179" s="97" t="e">
        <f t="shared" si="57"/>
        <v>#DIV/0!</v>
      </c>
      <c r="AO179" s="97" t="e">
        <f t="shared" si="57"/>
        <v>#DIV/0!</v>
      </c>
      <c r="AP179" s="97" t="e">
        <f t="shared" si="57"/>
        <v>#DIV/0!</v>
      </c>
      <c r="AQ179" s="97" t="e">
        <f t="shared" si="57"/>
        <v>#DIV/0!</v>
      </c>
      <c r="AR179" s="97" t="e">
        <f t="shared" si="57"/>
        <v>#DIV/0!</v>
      </c>
      <c r="AS179" s="97" t="e">
        <f t="shared" si="57"/>
        <v>#DIV/0!</v>
      </c>
      <c r="AT179" s="97" t="e">
        <f t="shared" si="57"/>
        <v>#DIV/0!</v>
      </c>
      <c r="AU179" s="97" t="e">
        <f t="shared" si="57"/>
        <v>#DIV/0!</v>
      </c>
      <c r="AV179" s="97" t="e">
        <f t="shared" si="57"/>
        <v>#DIV/0!</v>
      </c>
      <c r="AW179" s="97" t="e">
        <f t="shared" si="57"/>
        <v>#DIV/0!</v>
      </c>
      <c r="AX179" s="97" t="e">
        <f t="shared" si="57"/>
        <v>#DIV/0!</v>
      </c>
      <c r="AY179" s="97" t="e">
        <f t="shared" si="57"/>
        <v>#DIV/0!</v>
      </c>
      <c r="AZ179" s="97" t="e">
        <f t="shared" si="57"/>
        <v>#DIV/0!</v>
      </c>
      <c r="BA179" s="97" t="e">
        <f t="shared" si="57"/>
        <v>#DIV/0!</v>
      </c>
      <c r="BB179" s="97" t="e">
        <f t="shared" si="57"/>
        <v>#DIV/0!</v>
      </c>
    </row>
    <row r="183" spans="1:54">
      <c r="AE183">
        <v>6209</v>
      </c>
      <c r="AF183">
        <v>890</v>
      </c>
      <c r="AG183">
        <f>AE183+AF183</f>
        <v>7099</v>
      </c>
    </row>
  </sheetData>
  <autoFilter ref="A8:AD8"/>
  <mergeCells count="18">
    <mergeCell ref="P7:R7"/>
    <mergeCell ref="A2:F2"/>
    <mergeCell ref="A174:B174"/>
    <mergeCell ref="G7:I7"/>
    <mergeCell ref="J7:L7"/>
    <mergeCell ref="M7:O7"/>
    <mergeCell ref="AT7:AV7"/>
    <mergeCell ref="AW7:AY7"/>
    <mergeCell ref="AZ7:BB7"/>
    <mergeCell ref="S7:U7"/>
    <mergeCell ref="V7:X7"/>
    <mergeCell ref="Y7:AA7"/>
    <mergeCell ref="AB7:AD7"/>
    <mergeCell ref="AE7:AG7"/>
    <mergeCell ref="AH7:AJ7"/>
    <mergeCell ref="AK7:AM7"/>
    <mergeCell ref="AN7:AP7"/>
    <mergeCell ref="AQ7:AS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3:AM174"/>
  <sheetViews>
    <sheetView workbookViewId="0">
      <pane xSplit="6" ySplit="7" topLeftCell="AE137" activePane="bottomRight" state="frozen"/>
      <selection pane="topRight" activeCell="G1" sqref="G1"/>
      <selection pane="bottomLeft" activeCell="A8" sqref="A8"/>
      <selection pane="bottomRight" activeCell="AE137" sqref="AE137"/>
    </sheetView>
  </sheetViews>
  <sheetFormatPr defaultRowHeight="14.25"/>
  <cols>
    <col min="1" max="1" width="8.265625" customWidth="1"/>
    <col min="2" max="2" width="23" bestFit="1" customWidth="1"/>
    <col min="3" max="3" width="15.1328125" bestFit="1" customWidth="1"/>
    <col min="4" max="4" width="11.265625" bestFit="1" customWidth="1"/>
  </cols>
  <sheetData>
    <row r="3" spans="1:39">
      <c r="A3" s="149" t="s">
        <v>1308</v>
      </c>
      <c r="B3" s="149"/>
      <c r="C3" s="151" t="s">
        <v>1084</v>
      </c>
      <c r="D3" s="149"/>
      <c r="E3" s="149"/>
      <c r="F3" s="150"/>
    </row>
    <row r="4" spans="1:39">
      <c r="A4" s="149"/>
      <c r="B4" s="149"/>
      <c r="C4" s="151" t="s">
        <v>8</v>
      </c>
      <c r="D4" s="149" t="s">
        <v>1637</v>
      </c>
      <c r="E4" s="149"/>
      <c r="F4" s="176" t="s">
        <v>1638</v>
      </c>
    </row>
    <row r="5" spans="1:39">
      <c r="A5" s="149" t="s">
        <v>1639</v>
      </c>
      <c r="B5" s="149"/>
      <c r="C5" s="151"/>
      <c r="D5" s="149"/>
      <c r="E5" s="149"/>
      <c r="F5" s="150"/>
    </row>
    <row r="6" spans="1:39" ht="28.5">
      <c r="A6" s="153"/>
      <c r="B6" s="153"/>
      <c r="C6" s="153"/>
      <c r="D6" s="153"/>
      <c r="E6" s="114" t="s">
        <v>903</v>
      </c>
      <c r="F6" s="154" t="s">
        <v>904</v>
      </c>
      <c r="G6" s="990" t="s">
        <v>1077</v>
      </c>
      <c r="H6" s="985"/>
      <c r="I6" s="985"/>
      <c r="J6" s="990" t="s">
        <v>1078</v>
      </c>
      <c r="K6" s="999"/>
      <c r="L6" s="999"/>
      <c r="M6" s="990" t="s">
        <v>1959</v>
      </c>
      <c r="N6" s="999"/>
      <c r="O6" s="999"/>
      <c r="P6" s="990" t="s">
        <v>1960</v>
      </c>
      <c r="Q6" s="999"/>
      <c r="R6" s="999"/>
      <c r="S6" s="990" t="s">
        <v>1635</v>
      </c>
      <c r="T6" s="999"/>
      <c r="U6" s="999"/>
      <c r="V6" s="994" t="s">
        <v>1636</v>
      </c>
      <c r="W6" s="995"/>
      <c r="X6" s="996"/>
      <c r="Y6" s="994" t="s">
        <v>3327</v>
      </c>
      <c r="Z6" s="995"/>
      <c r="AA6" s="996"/>
      <c r="AB6" s="994" t="s">
        <v>3334</v>
      </c>
      <c r="AC6" s="995"/>
      <c r="AD6" s="996"/>
      <c r="AE6" s="994" t="s">
        <v>3329</v>
      </c>
      <c r="AF6" s="995"/>
      <c r="AG6" s="996"/>
      <c r="AH6" s="968" t="s">
        <v>3330</v>
      </c>
      <c r="AI6" s="968"/>
      <c r="AJ6" s="968"/>
      <c r="AK6" s="968" t="s">
        <v>3331</v>
      </c>
      <c r="AL6" s="968"/>
      <c r="AM6" s="968"/>
    </row>
    <row r="7" spans="1:39">
      <c r="A7" s="156" t="s">
        <v>5</v>
      </c>
      <c r="B7" s="156" t="s">
        <v>6</v>
      </c>
      <c r="C7" s="156" t="s">
        <v>7</v>
      </c>
      <c r="D7" s="156" t="s">
        <v>8</v>
      </c>
      <c r="E7" s="157" t="s">
        <v>905</v>
      </c>
      <c r="F7" s="156" t="s">
        <v>3</v>
      </c>
      <c r="G7" s="156" t="s">
        <v>9</v>
      </c>
      <c r="H7" s="156" t="s">
        <v>10</v>
      </c>
      <c r="I7" s="156" t="s">
        <v>11</v>
      </c>
      <c r="J7" s="156" t="s">
        <v>9</v>
      </c>
      <c r="K7" s="156" t="s">
        <v>10</v>
      </c>
      <c r="L7" s="156" t="s">
        <v>11</v>
      </c>
      <c r="M7" s="156" t="s">
        <v>9</v>
      </c>
      <c r="N7" s="156" t="s">
        <v>10</v>
      </c>
      <c r="O7" s="156" t="s">
        <v>11</v>
      </c>
      <c r="P7" s="156" t="s">
        <v>9</v>
      </c>
      <c r="Q7" s="156" t="s">
        <v>10</v>
      </c>
      <c r="R7" s="156" t="s">
        <v>11</v>
      </c>
      <c r="S7" s="156" t="s">
        <v>9</v>
      </c>
      <c r="T7" s="156" t="s">
        <v>10</v>
      </c>
      <c r="U7" s="156" t="s">
        <v>11</v>
      </c>
      <c r="V7" s="51" t="s">
        <v>9</v>
      </c>
      <c r="W7" s="51" t="s">
        <v>10</v>
      </c>
      <c r="X7" s="51" t="s">
        <v>11</v>
      </c>
      <c r="Y7" s="51" t="s">
        <v>9</v>
      </c>
      <c r="Z7" s="51" t="s">
        <v>10</v>
      </c>
      <c r="AA7" s="51" t="s">
        <v>11</v>
      </c>
      <c r="AB7" s="51" t="s">
        <v>9</v>
      </c>
      <c r="AC7" s="51" t="s">
        <v>10</v>
      </c>
      <c r="AD7" s="51" t="s">
        <v>11</v>
      </c>
      <c r="AE7" s="51" t="s">
        <v>9</v>
      </c>
      <c r="AF7" s="51" t="s">
        <v>10</v>
      </c>
      <c r="AG7" s="51" t="s">
        <v>11</v>
      </c>
      <c r="AH7" s="40" t="s">
        <v>9</v>
      </c>
      <c r="AI7" s="40" t="s">
        <v>10</v>
      </c>
      <c r="AJ7" s="40" t="s">
        <v>11</v>
      </c>
      <c r="AK7" s="40" t="s">
        <v>9</v>
      </c>
      <c r="AL7" s="40" t="s">
        <v>10</v>
      </c>
      <c r="AM7" s="40" t="s">
        <v>11</v>
      </c>
    </row>
    <row r="8" spans="1:39">
      <c r="A8" s="136">
        <v>1</v>
      </c>
      <c r="B8" s="136" t="s">
        <v>1640</v>
      </c>
      <c r="C8" s="136" t="s">
        <v>1641</v>
      </c>
      <c r="D8" s="136" t="s">
        <v>1642</v>
      </c>
      <c r="E8" s="160" t="s">
        <v>15</v>
      </c>
      <c r="F8" s="160">
        <v>50</v>
      </c>
      <c r="G8" s="136"/>
      <c r="H8" s="136"/>
      <c r="I8" s="136">
        <f>G8+H8</f>
        <v>0</v>
      </c>
      <c r="J8" s="199"/>
      <c r="K8" s="156"/>
      <c r="L8" s="156">
        <f>J8+K8</f>
        <v>0</v>
      </c>
      <c r="M8" s="156"/>
      <c r="N8" s="156"/>
      <c r="O8" s="156">
        <f>M8+N8</f>
        <v>0</v>
      </c>
      <c r="P8" s="156"/>
      <c r="Q8" s="156"/>
      <c r="R8" s="156">
        <f>P8+Q8</f>
        <v>0</v>
      </c>
      <c r="S8" s="156"/>
      <c r="T8" s="156"/>
      <c r="U8" s="156">
        <f>S8+T8</f>
        <v>0</v>
      </c>
      <c r="V8" s="51"/>
      <c r="W8" s="51"/>
      <c r="X8" s="51">
        <f>V8+W8</f>
        <v>0</v>
      </c>
      <c r="Y8" s="51"/>
      <c r="Z8" s="51"/>
      <c r="AA8" s="51"/>
      <c r="AB8" s="51">
        <v>25</v>
      </c>
      <c r="AC8" s="51"/>
      <c r="AD8" s="51"/>
      <c r="AE8" s="51"/>
      <c r="AF8" s="51"/>
      <c r="AG8" s="51"/>
      <c r="AH8" s="174">
        <f>G8+J8+M8+P8+S8+V8</f>
        <v>0</v>
      </c>
      <c r="AI8" s="174">
        <f>H8+K8+N8+Q8+T8+W8</f>
        <v>0</v>
      </c>
      <c r="AJ8" s="174">
        <f>I8+L8+O8+R8+U8+X8</f>
        <v>0</v>
      </c>
      <c r="AK8" s="175">
        <f>AH8/6</f>
        <v>0</v>
      </c>
      <c r="AL8" s="175">
        <f>AI8/6</f>
        <v>0</v>
      </c>
      <c r="AM8" s="175">
        <f>AJ8/6</f>
        <v>0</v>
      </c>
    </row>
    <row r="9" spans="1:39">
      <c r="A9" s="136">
        <v>2</v>
      </c>
      <c r="B9" s="136" t="s">
        <v>1643</v>
      </c>
      <c r="C9" s="136" t="s">
        <v>1641</v>
      </c>
      <c r="D9" s="136" t="s">
        <v>1644</v>
      </c>
      <c r="E9" s="160" t="s">
        <v>15</v>
      </c>
      <c r="F9" s="160">
        <v>6</v>
      </c>
      <c r="G9" s="136">
        <v>50</v>
      </c>
      <c r="H9" s="136">
        <v>18</v>
      </c>
      <c r="I9" s="136">
        <f t="shared" ref="I9:I72" si="0">G9+H9</f>
        <v>68</v>
      </c>
      <c r="J9" s="156"/>
      <c r="K9" s="156"/>
      <c r="L9" s="156">
        <f t="shared" ref="L9:L72" si="1">J9+K9</f>
        <v>0</v>
      </c>
      <c r="M9" s="156"/>
      <c r="N9" s="156"/>
      <c r="O9" s="156">
        <f t="shared" ref="O9:O72" si="2">M9+N9</f>
        <v>0</v>
      </c>
      <c r="P9" s="156"/>
      <c r="Q9" s="156"/>
      <c r="R9" s="156">
        <f t="shared" ref="R9:R72" si="3">P9+Q9</f>
        <v>0</v>
      </c>
      <c r="S9" s="156"/>
      <c r="T9" s="156"/>
      <c r="U9" s="156">
        <f t="shared" ref="U9:U72" si="4">S9+T9</f>
        <v>0</v>
      </c>
      <c r="V9" s="51"/>
      <c r="W9" s="51"/>
      <c r="X9" s="51">
        <f t="shared" ref="X9:X72" si="5">V9+W9</f>
        <v>0</v>
      </c>
      <c r="Y9" s="51"/>
      <c r="Z9" s="51"/>
      <c r="AA9" s="51"/>
      <c r="AB9" s="51">
        <v>30</v>
      </c>
      <c r="AC9" s="51"/>
      <c r="AD9" s="51"/>
      <c r="AE9" s="51"/>
      <c r="AF9" s="51"/>
      <c r="AG9" s="51"/>
      <c r="AH9" s="174">
        <f t="shared" ref="AH9:AH72" si="6">G9+J9+M9+P9+S9+V9</f>
        <v>50</v>
      </c>
      <c r="AI9" s="174">
        <f t="shared" ref="AI9:AI72" si="7">H9+K9+N9+Q9+T9+W9</f>
        <v>18</v>
      </c>
      <c r="AJ9" s="174">
        <f t="shared" ref="AJ9:AJ72" si="8">I9+L9+O9+R9+U9+X9</f>
        <v>68</v>
      </c>
      <c r="AK9" s="175">
        <f t="shared" ref="AK9:AK72" si="9">AH9/6</f>
        <v>8.3333333333333339</v>
      </c>
      <c r="AL9" s="175">
        <f t="shared" ref="AL9:AL72" si="10">AI9/6</f>
        <v>3</v>
      </c>
      <c r="AM9" s="175">
        <f t="shared" ref="AM9:AM72" si="11">AJ9/6</f>
        <v>11.333333333333334</v>
      </c>
    </row>
    <row r="10" spans="1:39">
      <c r="A10" s="136">
        <v>3</v>
      </c>
      <c r="B10" s="136" t="s">
        <v>1645</v>
      </c>
      <c r="C10" s="136" t="s">
        <v>1641</v>
      </c>
      <c r="D10" s="136" t="s">
        <v>1646</v>
      </c>
      <c r="E10" s="160" t="s">
        <v>15</v>
      </c>
      <c r="F10" s="160">
        <v>50</v>
      </c>
      <c r="G10" s="136">
        <v>20</v>
      </c>
      <c r="H10" s="136"/>
      <c r="I10" s="136">
        <f t="shared" si="0"/>
        <v>20</v>
      </c>
      <c r="J10" s="156"/>
      <c r="K10" s="156"/>
      <c r="L10" s="156">
        <f t="shared" si="1"/>
        <v>0</v>
      </c>
      <c r="M10" s="156"/>
      <c r="N10" s="156"/>
      <c r="O10" s="156">
        <f t="shared" si="2"/>
        <v>0</v>
      </c>
      <c r="P10" s="156"/>
      <c r="Q10" s="156"/>
      <c r="R10" s="156">
        <f t="shared" si="3"/>
        <v>0</v>
      </c>
      <c r="S10" s="156"/>
      <c r="T10" s="156"/>
      <c r="U10" s="156">
        <f t="shared" si="4"/>
        <v>0</v>
      </c>
      <c r="V10" s="51"/>
      <c r="W10" s="51"/>
      <c r="X10" s="51">
        <f t="shared" si="5"/>
        <v>0</v>
      </c>
      <c r="Y10" s="51"/>
      <c r="Z10" s="51"/>
      <c r="AA10" s="51"/>
      <c r="AB10" s="51">
        <v>10</v>
      </c>
      <c r="AC10" s="51">
        <v>36</v>
      </c>
      <c r="AD10" s="51"/>
      <c r="AE10" s="51"/>
      <c r="AF10" s="51"/>
      <c r="AG10" s="51"/>
      <c r="AH10" s="174">
        <f t="shared" si="6"/>
        <v>20</v>
      </c>
      <c r="AI10" s="174">
        <f t="shared" si="7"/>
        <v>0</v>
      </c>
      <c r="AJ10" s="174">
        <f t="shared" si="8"/>
        <v>20</v>
      </c>
      <c r="AK10" s="175">
        <f t="shared" si="9"/>
        <v>3.3333333333333335</v>
      </c>
      <c r="AL10" s="175">
        <f t="shared" si="10"/>
        <v>0</v>
      </c>
      <c r="AM10" s="175">
        <f t="shared" si="11"/>
        <v>3.3333333333333335</v>
      </c>
    </row>
    <row r="11" spans="1:39">
      <c r="A11" s="136">
        <v>4</v>
      </c>
      <c r="B11" s="136" t="s">
        <v>1647</v>
      </c>
      <c r="C11" s="136" t="s">
        <v>1641</v>
      </c>
      <c r="D11" s="136" t="s">
        <v>1648</v>
      </c>
      <c r="E11" s="160" t="s">
        <v>15</v>
      </c>
      <c r="F11" s="160">
        <v>10</v>
      </c>
      <c r="G11" s="136">
        <v>23</v>
      </c>
      <c r="H11" s="136"/>
      <c r="I11" s="136">
        <f t="shared" si="0"/>
        <v>23</v>
      </c>
      <c r="J11" s="156"/>
      <c r="K11" s="156"/>
      <c r="L11" s="156">
        <f t="shared" si="1"/>
        <v>0</v>
      </c>
      <c r="M11" s="156"/>
      <c r="N11" s="156"/>
      <c r="O11" s="156">
        <f t="shared" si="2"/>
        <v>0</v>
      </c>
      <c r="P11" s="156"/>
      <c r="Q11" s="156"/>
      <c r="R11" s="156">
        <f t="shared" si="3"/>
        <v>0</v>
      </c>
      <c r="S11" s="156"/>
      <c r="T11" s="156"/>
      <c r="U11" s="156">
        <f t="shared" si="4"/>
        <v>0</v>
      </c>
      <c r="V11" s="51"/>
      <c r="W11" s="51"/>
      <c r="X11" s="51">
        <f t="shared" si="5"/>
        <v>0</v>
      </c>
      <c r="Y11" s="51"/>
      <c r="Z11" s="51"/>
      <c r="AA11" s="51"/>
      <c r="AB11" s="51"/>
      <c r="AC11" s="51"/>
      <c r="AD11" s="51"/>
      <c r="AE11" s="51"/>
      <c r="AF11" s="51"/>
      <c r="AG11" s="51"/>
      <c r="AH11" s="174">
        <f t="shared" si="6"/>
        <v>23</v>
      </c>
      <c r="AI11" s="174">
        <f t="shared" si="7"/>
        <v>0</v>
      </c>
      <c r="AJ11" s="174">
        <f t="shared" si="8"/>
        <v>23</v>
      </c>
      <c r="AK11" s="175">
        <f t="shared" si="9"/>
        <v>3.8333333333333335</v>
      </c>
      <c r="AL11" s="175">
        <f t="shared" si="10"/>
        <v>0</v>
      </c>
      <c r="AM11" s="175">
        <f t="shared" si="11"/>
        <v>3.8333333333333335</v>
      </c>
    </row>
    <row r="12" spans="1:39">
      <c r="A12" s="136">
        <v>5</v>
      </c>
      <c r="B12" s="136" t="s">
        <v>1649</v>
      </c>
      <c r="C12" s="136" t="s">
        <v>1641</v>
      </c>
      <c r="D12" s="136" t="s">
        <v>1650</v>
      </c>
      <c r="E12" s="160" t="s">
        <v>15</v>
      </c>
      <c r="F12" s="160">
        <v>9</v>
      </c>
      <c r="G12" s="136"/>
      <c r="H12" s="136"/>
      <c r="I12" s="136">
        <f t="shared" si="0"/>
        <v>0</v>
      </c>
      <c r="J12" s="156"/>
      <c r="K12" s="156"/>
      <c r="L12" s="156">
        <f t="shared" si="1"/>
        <v>0</v>
      </c>
      <c r="M12" s="156"/>
      <c r="N12" s="156"/>
      <c r="O12" s="156">
        <f t="shared" si="2"/>
        <v>0</v>
      </c>
      <c r="P12" s="156"/>
      <c r="Q12" s="156"/>
      <c r="R12" s="156">
        <f t="shared" si="3"/>
        <v>0</v>
      </c>
      <c r="S12" s="156"/>
      <c r="T12" s="156"/>
      <c r="U12" s="156">
        <f t="shared" si="4"/>
        <v>0</v>
      </c>
      <c r="V12" s="51"/>
      <c r="W12" s="51"/>
      <c r="X12" s="51">
        <f t="shared" si="5"/>
        <v>0</v>
      </c>
      <c r="Y12" s="51"/>
      <c r="Z12" s="51"/>
      <c r="AA12" s="51"/>
      <c r="AB12" s="51">
        <v>50</v>
      </c>
      <c r="AC12" s="51"/>
      <c r="AD12" s="51"/>
      <c r="AE12" s="51"/>
      <c r="AF12" s="51"/>
      <c r="AG12" s="51"/>
      <c r="AH12" s="174">
        <f t="shared" si="6"/>
        <v>0</v>
      </c>
      <c r="AI12" s="174">
        <f t="shared" si="7"/>
        <v>0</v>
      </c>
      <c r="AJ12" s="174">
        <f t="shared" si="8"/>
        <v>0</v>
      </c>
      <c r="AK12" s="175">
        <f t="shared" si="9"/>
        <v>0</v>
      </c>
      <c r="AL12" s="175">
        <f t="shared" si="10"/>
        <v>0</v>
      </c>
      <c r="AM12" s="175">
        <f t="shared" si="11"/>
        <v>0</v>
      </c>
    </row>
    <row r="13" spans="1:39">
      <c r="A13" s="136">
        <v>6</v>
      </c>
      <c r="B13" s="136" t="s">
        <v>1651</v>
      </c>
      <c r="C13" s="136" t="s">
        <v>1641</v>
      </c>
      <c r="D13" s="136" t="s">
        <v>1652</v>
      </c>
      <c r="E13" s="160" t="s">
        <v>15</v>
      </c>
      <c r="F13" s="160">
        <v>6</v>
      </c>
      <c r="G13" s="136">
        <v>36</v>
      </c>
      <c r="H13" s="136">
        <v>18</v>
      </c>
      <c r="I13" s="136">
        <f t="shared" si="0"/>
        <v>54</v>
      </c>
      <c r="J13" s="156"/>
      <c r="K13" s="156"/>
      <c r="L13" s="156">
        <f t="shared" si="1"/>
        <v>0</v>
      </c>
      <c r="M13" s="156"/>
      <c r="N13" s="156"/>
      <c r="O13" s="156">
        <f t="shared" si="2"/>
        <v>0</v>
      </c>
      <c r="P13" s="156"/>
      <c r="Q13" s="156"/>
      <c r="R13" s="156">
        <f t="shared" si="3"/>
        <v>0</v>
      </c>
      <c r="S13" s="156"/>
      <c r="T13" s="156"/>
      <c r="U13" s="156">
        <f t="shared" si="4"/>
        <v>0</v>
      </c>
      <c r="V13" s="51"/>
      <c r="W13" s="51"/>
      <c r="X13" s="51">
        <f t="shared" si="5"/>
        <v>0</v>
      </c>
      <c r="Y13" s="51"/>
      <c r="Z13" s="51"/>
      <c r="AA13" s="51"/>
      <c r="AB13" s="51"/>
      <c r="AC13" s="51"/>
      <c r="AD13" s="51"/>
      <c r="AE13" s="51"/>
      <c r="AF13" s="51"/>
      <c r="AG13" s="51"/>
      <c r="AH13" s="174">
        <f t="shared" si="6"/>
        <v>36</v>
      </c>
      <c r="AI13" s="174">
        <f t="shared" si="7"/>
        <v>18</v>
      </c>
      <c r="AJ13" s="174">
        <f t="shared" si="8"/>
        <v>54</v>
      </c>
      <c r="AK13" s="175">
        <f t="shared" si="9"/>
        <v>6</v>
      </c>
      <c r="AL13" s="175">
        <f t="shared" si="10"/>
        <v>3</v>
      </c>
      <c r="AM13" s="175">
        <f t="shared" si="11"/>
        <v>9</v>
      </c>
    </row>
    <row r="14" spans="1:39">
      <c r="A14" s="136">
        <v>7</v>
      </c>
      <c r="B14" s="136" t="s">
        <v>1653</v>
      </c>
      <c r="C14" s="136" t="s">
        <v>1641</v>
      </c>
      <c r="D14" s="136" t="s">
        <v>1654</v>
      </c>
      <c r="E14" s="160" t="s">
        <v>15</v>
      </c>
      <c r="F14" s="160">
        <v>60</v>
      </c>
      <c r="G14" s="136">
        <v>20</v>
      </c>
      <c r="H14" s="136"/>
      <c r="I14" s="136">
        <f t="shared" si="0"/>
        <v>20</v>
      </c>
      <c r="J14" s="156"/>
      <c r="K14" s="156"/>
      <c r="L14" s="156">
        <f t="shared" si="1"/>
        <v>0</v>
      </c>
      <c r="M14" s="156"/>
      <c r="N14" s="156"/>
      <c r="O14" s="156">
        <f t="shared" si="2"/>
        <v>0</v>
      </c>
      <c r="P14" s="156"/>
      <c r="Q14" s="156"/>
      <c r="R14" s="156">
        <f t="shared" si="3"/>
        <v>0</v>
      </c>
      <c r="S14" s="156"/>
      <c r="T14" s="156"/>
      <c r="U14" s="156">
        <f t="shared" si="4"/>
        <v>0</v>
      </c>
      <c r="V14" s="51"/>
      <c r="W14" s="51"/>
      <c r="X14" s="51">
        <f t="shared" si="5"/>
        <v>0</v>
      </c>
      <c r="Y14" s="51"/>
      <c r="Z14" s="51"/>
      <c r="AA14" s="51"/>
      <c r="AB14" s="51">
        <v>36</v>
      </c>
      <c r="AC14" s="51"/>
      <c r="AD14" s="51"/>
      <c r="AE14" s="51"/>
      <c r="AF14" s="51"/>
      <c r="AG14" s="51"/>
      <c r="AH14" s="174">
        <f t="shared" si="6"/>
        <v>20</v>
      </c>
      <c r="AI14" s="174">
        <f t="shared" si="7"/>
        <v>0</v>
      </c>
      <c r="AJ14" s="174">
        <f t="shared" si="8"/>
        <v>20</v>
      </c>
      <c r="AK14" s="175">
        <f t="shared" si="9"/>
        <v>3.3333333333333335</v>
      </c>
      <c r="AL14" s="175">
        <f t="shared" si="10"/>
        <v>0</v>
      </c>
      <c r="AM14" s="175">
        <f t="shared" si="11"/>
        <v>3.3333333333333335</v>
      </c>
    </row>
    <row r="15" spans="1:39">
      <c r="A15" s="136">
        <v>8</v>
      </c>
      <c r="B15" s="136" t="s">
        <v>1655</v>
      </c>
      <c r="C15" s="136" t="s">
        <v>1641</v>
      </c>
      <c r="D15" s="136" t="s">
        <v>1656</v>
      </c>
      <c r="E15" s="160" t="s">
        <v>15</v>
      </c>
      <c r="F15" s="160">
        <v>20</v>
      </c>
      <c r="G15" s="136"/>
      <c r="H15" s="136"/>
      <c r="I15" s="136">
        <f t="shared" si="0"/>
        <v>0</v>
      </c>
      <c r="J15" s="156"/>
      <c r="K15" s="156"/>
      <c r="L15" s="156">
        <f t="shared" si="1"/>
        <v>0</v>
      </c>
      <c r="M15" s="156"/>
      <c r="N15" s="156"/>
      <c r="O15" s="156">
        <f t="shared" si="2"/>
        <v>0</v>
      </c>
      <c r="P15" s="156"/>
      <c r="Q15" s="156"/>
      <c r="R15" s="156">
        <f t="shared" si="3"/>
        <v>0</v>
      </c>
      <c r="S15" s="156"/>
      <c r="T15" s="156"/>
      <c r="U15" s="156">
        <f t="shared" si="4"/>
        <v>0</v>
      </c>
      <c r="V15" s="51"/>
      <c r="W15" s="51"/>
      <c r="X15" s="51">
        <f t="shared" si="5"/>
        <v>0</v>
      </c>
      <c r="Y15" s="51"/>
      <c r="Z15" s="51"/>
      <c r="AA15" s="51"/>
      <c r="AB15" s="51">
        <v>20</v>
      </c>
      <c r="AC15" s="51"/>
      <c r="AD15" s="51"/>
      <c r="AE15" s="51"/>
      <c r="AF15" s="51"/>
      <c r="AG15" s="51"/>
      <c r="AH15" s="174">
        <f t="shared" si="6"/>
        <v>0</v>
      </c>
      <c r="AI15" s="174">
        <f t="shared" si="7"/>
        <v>0</v>
      </c>
      <c r="AJ15" s="174">
        <f t="shared" si="8"/>
        <v>0</v>
      </c>
      <c r="AK15" s="175">
        <f t="shared" si="9"/>
        <v>0</v>
      </c>
      <c r="AL15" s="175">
        <f t="shared" si="10"/>
        <v>0</v>
      </c>
      <c r="AM15" s="175">
        <f t="shared" si="11"/>
        <v>0</v>
      </c>
    </row>
    <row r="16" spans="1:39">
      <c r="A16" s="136">
        <v>9</v>
      </c>
      <c r="B16" s="136" t="s">
        <v>1657</v>
      </c>
      <c r="C16" s="136" t="s">
        <v>1641</v>
      </c>
      <c r="D16" s="136" t="s">
        <v>1658</v>
      </c>
      <c r="E16" s="160" t="s">
        <v>15</v>
      </c>
      <c r="F16" s="160">
        <v>16</v>
      </c>
      <c r="G16" s="136"/>
      <c r="H16" s="136"/>
      <c r="I16" s="136">
        <f t="shared" si="0"/>
        <v>0</v>
      </c>
      <c r="J16" s="156"/>
      <c r="K16" s="156"/>
      <c r="L16" s="156">
        <f t="shared" si="1"/>
        <v>0</v>
      </c>
      <c r="M16" s="156"/>
      <c r="N16" s="156"/>
      <c r="O16" s="156">
        <f t="shared" si="2"/>
        <v>0</v>
      </c>
      <c r="P16" s="156"/>
      <c r="Q16" s="156"/>
      <c r="R16" s="156">
        <f t="shared" si="3"/>
        <v>0</v>
      </c>
      <c r="S16" s="156"/>
      <c r="T16" s="156"/>
      <c r="U16" s="156">
        <f t="shared" si="4"/>
        <v>0</v>
      </c>
      <c r="V16" s="51"/>
      <c r="W16" s="51"/>
      <c r="X16" s="51">
        <f t="shared" si="5"/>
        <v>0</v>
      </c>
      <c r="Y16" s="51"/>
      <c r="Z16" s="51"/>
      <c r="AA16" s="51"/>
      <c r="AB16" s="51">
        <v>20</v>
      </c>
      <c r="AC16" s="51"/>
      <c r="AD16" s="51"/>
      <c r="AE16" s="51"/>
      <c r="AF16" s="51"/>
      <c r="AG16" s="51"/>
      <c r="AH16" s="174">
        <f t="shared" si="6"/>
        <v>0</v>
      </c>
      <c r="AI16" s="174">
        <f t="shared" si="7"/>
        <v>0</v>
      </c>
      <c r="AJ16" s="174">
        <f t="shared" si="8"/>
        <v>0</v>
      </c>
      <c r="AK16" s="175">
        <f t="shared" si="9"/>
        <v>0</v>
      </c>
      <c r="AL16" s="175">
        <f t="shared" si="10"/>
        <v>0</v>
      </c>
      <c r="AM16" s="175">
        <f t="shared" si="11"/>
        <v>0</v>
      </c>
    </row>
    <row r="17" spans="1:39">
      <c r="A17" s="136">
        <v>10</v>
      </c>
      <c r="B17" s="136" t="s">
        <v>1659</v>
      </c>
      <c r="C17" s="136" t="s">
        <v>1641</v>
      </c>
      <c r="D17" s="136" t="s">
        <v>1660</v>
      </c>
      <c r="E17" s="160" t="s">
        <v>15</v>
      </c>
      <c r="F17" s="160">
        <v>20</v>
      </c>
      <c r="G17" s="136">
        <v>18</v>
      </c>
      <c r="H17" s="136"/>
      <c r="I17" s="136">
        <f t="shared" si="0"/>
        <v>18</v>
      </c>
      <c r="J17" s="156"/>
      <c r="K17" s="156"/>
      <c r="L17" s="156">
        <f t="shared" si="1"/>
        <v>0</v>
      </c>
      <c r="M17" s="156"/>
      <c r="N17" s="156"/>
      <c r="O17" s="156">
        <f t="shared" si="2"/>
        <v>0</v>
      </c>
      <c r="P17" s="156"/>
      <c r="Q17" s="156"/>
      <c r="R17" s="156">
        <f t="shared" si="3"/>
        <v>0</v>
      </c>
      <c r="S17" s="156"/>
      <c r="T17" s="156"/>
      <c r="U17" s="156">
        <f t="shared" si="4"/>
        <v>0</v>
      </c>
      <c r="V17" s="51"/>
      <c r="W17" s="51"/>
      <c r="X17" s="51">
        <f t="shared" si="5"/>
        <v>0</v>
      </c>
      <c r="Y17" s="51"/>
      <c r="Z17" s="51"/>
      <c r="AA17" s="51"/>
      <c r="AB17" s="51">
        <v>50</v>
      </c>
      <c r="AC17" s="51"/>
      <c r="AD17" s="51"/>
      <c r="AE17" s="51"/>
      <c r="AF17" s="51"/>
      <c r="AG17" s="51"/>
      <c r="AH17" s="174">
        <f t="shared" si="6"/>
        <v>18</v>
      </c>
      <c r="AI17" s="174">
        <f t="shared" si="7"/>
        <v>0</v>
      </c>
      <c r="AJ17" s="174">
        <f t="shared" si="8"/>
        <v>18</v>
      </c>
      <c r="AK17" s="175">
        <f t="shared" si="9"/>
        <v>3</v>
      </c>
      <c r="AL17" s="175">
        <f t="shared" si="10"/>
        <v>0</v>
      </c>
      <c r="AM17" s="175">
        <f t="shared" si="11"/>
        <v>3</v>
      </c>
    </row>
    <row r="18" spans="1:39">
      <c r="A18" s="136">
        <v>11</v>
      </c>
      <c r="B18" s="136" t="s">
        <v>1661</v>
      </c>
      <c r="C18" s="136" t="s">
        <v>1641</v>
      </c>
      <c r="D18" s="136" t="s">
        <v>1662</v>
      </c>
      <c r="E18" s="160" t="s">
        <v>15</v>
      </c>
      <c r="F18" s="160">
        <v>10</v>
      </c>
      <c r="G18" s="136"/>
      <c r="H18" s="136"/>
      <c r="I18" s="136">
        <f t="shared" si="0"/>
        <v>0</v>
      </c>
      <c r="J18" s="156"/>
      <c r="K18" s="156"/>
      <c r="L18" s="156">
        <f t="shared" si="1"/>
        <v>0</v>
      </c>
      <c r="M18" s="156"/>
      <c r="N18" s="156"/>
      <c r="O18" s="156">
        <f t="shared" si="2"/>
        <v>0</v>
      </c>
      <c r="P18" s="156"/>
      <c r="Q18" s="156"/>
      <c r="R18" s="156">
        <f t="shared" si="3"/>
        <v>0</v>
      </c>
      <c r="S18" s="156"/>
      <c r="T18" s="156"/>
      <c r="U18" s="156">
        <f t="shared" si="4"/>
        <v>0</v>
      </c>
      <c r="V18" s="51"/>
      <c r="W18" s="51"/>
      <c r="X18" s="51">
        <f t="shared" si="5"/>
        <v>0</v>
      </c>
      <c r="Y18" s="51"/>
      <c r="Z18" s="51"/>
      <c r="AA18" s="51"/>
      <c r="AB18" s="51"/>
      <c r="AC18" s="51"/>
      <c r="AD18" s="51"/>
      <c r="AE18" s="51"/>
      <c r="AF18" s="51"/>
      <c r="AG18" s="51"/>
      <c r="AH18" s="174">
        <f t="shared" si="6"/>
        <v>0</v>
      </c>
      <c r="AI18" s="174">
        <f t="shared" si="7"/>
        <v>0</v>
      </c>
      <c r="AJ18" s="174">
        <f t="shared" si="8"/>
        <v>0</v>
      </c>
      <c r="AK18" s="175">
        <f t="shared" si="9"/>
        <v>0</v>
      </c>
      <c r="AL18" s="175">
        <f t="shared" si="10"/>
        <v>0</v>
      </c>
      <c r="AM18" s="175">
        <f t="shared" si="11"/>
        <v>0</v>
      </c>
    </row>
    <row r="19" spans="1:39">
      <c r="A19" s="136">
        <v>12</v>
      </c>
      <c r="B19" s="136" t="s">
        <v>1663</v>
      </c>
      <c r="C19" s="136" t="s">
        <v>1641</v>
      </c>
      <c r="D19" s="136" t="s">
        <v>1664</v>
      </c>
      <c r="E19" s="160" t="s">
        <v>15</v>
      </c>
      <c r="F19" s="160">
        <v>10</v>
      </c>
      <c r="G19" s="136">
        <v>20</v>
      </c>
      <c r="H19" s="136"/>
      <c r="I19" s="136">
        <f t="shared" si="0"/>
        <v>20</v>
      </c>
      <c r="J19" s="156"/>
      <c r="K19" s="156"/>
      <c r="L19" s="156">
        <f t="shared" si="1"/>
        <v>0</v>
      </c>
      <c r="M19" s="156"/>
      <c r="N19" s="156"/>
      <c r="O19" s="156">
        <f t="shared" si="2"/>
        <v>0</v>
      </c>
      <c r="P19" s="156"/>
      <c r="Q19" s="156"/>
      <c r="R19" s="156">
        <f t="shared" si="3"/>
        <v>0</v>
      </c>
      <c r="S19" s="156"/>
      <c r="T19" s="156"/>
      <c r="U19" s="156">
        <f t="shared" si="4"/>
        <v>0</v>
      </c>
      <c r="V19" s="51"/>
      <c r="W19" s="51"/>
      <c r="X19" s="51">
        <f t="shared" si="5"/>
        <v>0</v>
      </c>
      <c r="Y19" s="51"/>
      <c r="Z19" s="51"/>
      <c r="AA19" s="51"/>
      <c r="AB19" s="51">
        <v>25</v>
      </c>
      <c r="AC19" s="51"/>
      <c r="AD19" s="51"/>
      <c r="AE19" s="51"/>
      <c r="AF19" s="51"/>
      <c r="AG19" s="51"/>
      <c r="AH19" s="174">
        <f t="shared" si="6"/>
        <v>20</v>
      </c>
      <c r="AI19" s="174">
        <f t="shared" si="7"/>
        <v>0</v>
      </c>
      <c r="AJ19" s="174">
        <f t="shared" si="8"/>
        <v>20</v>
      </c>
      <c r="AK19" s="175">
        <f t="shared" si="9"/>
        <v>3.3333333333333335</v>
      </c>
      <c r="AL19" s="175">
        <f t="shared" si="10"/>
        <v>0</v>
      </c>
      <c r="AM19" s="175">
        <f t="shared" si="11"/>
        <v>3.3333333333333335</v>
      </c>
    </row>
    <row r="20" spans="1:39">
      <c r="A20" s="136">
        <v>13</v>
      </c>
      <c r="B20" s="136" t="s">
        <v>1665</v>
      </c>
      <c r="C20" s="136" t="s">
        <v>1641</v>
      </c>
      <c r="D20" s="136" t="s">
        <v>1666</v>
      </c>
      <c r="E20" s="160" t="s">
        <v>15</v>
      </c>
      <c r="F20" s="160">
        <v>5</v>
      </c>
      <c r="G20" s="136">
        <v>45</v>
      </c>
      <c r="H20" s="136"/>
      <c r="I20" s="136">
        <f t="shared" si="0"/>
        <v>45</v>
      </c>
      <c r="J20" s="156"/>
      <c r="K20" s="156"/>
      <c r="L20" s="156">
        <f t="shared" si="1"/>
        <v>0</v>
      </c>
      <c r="M20" s="156"/>
      <c r="N20" s="156"/>
      <c r="O20" s="156">
        <f t="shared" si="2"/>
        <v>0</v>
      </c>
      <c r="P20" s="156"/>
      <c r="Q20" s="156"/>
      <c r="R20" s="156">
        <f t="shared" si="3"/>
        <v>0</v>
      </c>
      <c r="S20" s="156"/>
      <c r="T20" s="156"/>
      <c r="U20" s="156">
        <f t="shared" si="4"/>
        <v>0</v>
      </c>
      <c r="V20" s="51"/>
      <c r="W20" s="51"/>
      <c r="X20" s="51">
        <f t="shared" si="5"/>
        <v>0</v>
      </c>
      <c r="Y20" s="51"/>
      <c r="Z20" s="51"/>
      <c r="AA20" s="51"/>
      <c r="AB20" s="51"/>
      <c r="AC20" s="51"/>
      <c r="AD20" s="51"/>
      <c r="AE20" s="51"/>
      <c r="AF20" s="51"/>
      <c r="AG20" s="51"/>
      <c r="AH20" s="174">
        <f t="shared" si="6"/>
        <v>45</v>
      </c>
      <c r="AI20" s="174">
        <f t="shared" si="7"/>
        <v>0</v>
      </c>
      <c r="AJ20" s="174">
        <f t="shared" si="8"/>
        <v>45</v>
      </c>
      <c r="AK20" s="175">
        <f t="shared" si="9"/>
        <v>7.5</v>
      </c>
      <c r="AL20" s="175">
        <f t="shared" si="10"/>
        <v>0</v>
      </c>
      <c r="AM20" s="175">
        <f t="shared" si="11"/>
        <v>7.5</v>
      </c>
    </row>
    <row r="21" spans="1:39">
      <c r="A21" s="136">
        <v>14</v>
      </c>
      <c r="B21" s="136" t="s">
        <v>1667</v>
      </c>
      <c r="C21" s="136" t="s">
        <v>1641</v>
      </c>
      <c r="D21" s="136" t="s">
        <v>1668</v>
      </c>
      <c r="E21" s="160" t="s">
        <v>15</v>
      </c>
      <c r="F21" s="160">
        <v>20</v>
      </c>
      <c r="G21" s="136"/>
      <c r="H21" s="136"/>
      <c r="I21" s="136">
        <f t="shared" si="0"/>
        <v>0</v>
      </c>
      <c r="J21" s="156"/>
      <c r="K21" s="156"/>
      <c r="L21" s="156">
        <f t="shared" si="1"/>
        <v>0</v>
      </c>
      <c r="M21" s="156"/>
      <c r="N21" s="156"/>
      <c r="O21" s="156">
        <f t="shared" si="2"/>
        <v>0</v>
      </c>
      <c r="P21" s="156"/>
      <c r="Q21" s="156"/>
      <c r="R21" s="156">
        <f t="shared" si="3"/>
        <v>0</v>
      </c>
      <c r="S21" s="156"/>
      <c r="T21" s="156"/>
      <c r="U21" s="156">
        <f t="shared" si="4"/>
        <v>0</v>
      </c>
      <c r="V21" s="51"/>
      <c r="W21" s="51"/>
      <c r="X21" s="51">
        <f t="shared" si="5"/>
        <v>0</v>
      </c>
      <c r="Y21" s="51"/>
      <c r="Z21" s="51"/>
      <c r="AA21" s="51"/>
      <c r="AB21" s="51">
        <v>25</v>
      </c>
      <c r="AC21" s="51"/>
      <c r="AD21" s="51"/>
      <c r="AE21" s="51"/>
      <c r="AF21" s="51"/>
      <c r="AG21" s="51"/>
      <c r="AH21" s="174">
        <f t="shared" si="6"/>
        <v>0</v>
      </c>
      <c r="AI21" s="174">
        <f t="shared" si="7"/>
        <v>0</v>
      </c>
      <c r="AJ21" s="174">
        <f t="shared" si="8"/>
        <v>0</v>
      </c>
      <c r="AK21" s="175">
        <f t="shared" si="9"/>
        <v>0</v>
      </c>
      <c r="AL21" s="175">
        <f t="shared" si="10"/>
        <v>0</v>
      </c>
      <c r="AM21" s="175">
        <f t="shared" si="11"/>
        <v>0</v>
      </c>
    </row>
    <row r="22" spans="1:39">
      <c r="A22" s="136">
        <v>15</v>
      </c>
      <c r="B22" s="136" t="s">
        <v>1669</v>
      </c>
      <c r="C22" s="136" t="s">
        <v>1641</v>
      </c>
      <c r="D22" s="136" t="s">
        <v>1670</v>
      </c>
      <c r="E22" s="160" t="s">
        <v>15</v>
      </c>
      <c r="F22" s="160">
        <v>3</v>
      </c>
      <c r="G22" s="136"/>
      <c r="H22" s="136"/>
      <c r="I22" s="136">
        <f t="shared" si="0"/>
        <v>0</v>
      </c>
      <c r="J22" s="156"/>
      <c r="K22" s="156"/>
      <c r="L22" s="156">
        <f t="shared" si="1"/>
        <v>0</v>
      </c>
      <c r="M22" s="156"/>
      <c r="N22" s="156"/>
      <c r="O22" s="156">
        <f t="shared" si="2"/>
        <v>0</v>
      </c>
      <c r="P22" s="156"/>
      <c r="Q22" s="156"/>
      <c r="R22" s="156">
        <f t="shared" si="3"/>
        <v>0</v>
      </c>
      <c r="S22" s="156"/>
      <c r="T22" s="156"/>
      <c r="U22" s="156">
        <f t="shared" si="4"/>
        <v>0</v>
      </c>
      <c r="V22" s="51"/>
      <c r="W22" s="51"/>
      <c r="X22" s="51">
        <f t="shared" si="5"/>
        <v>0</v>
      </c>
      <c r="Y22" s="51"/>
      <c r="Z22" s="51"/>
      <c r="AA22" s="51"/>
      <c r="AB22" s="51"/>
      <c r="AC22" s="51"/>
      <c r="AD22" s="51"/>
      <c r="AE22" s="51"/>
      <c r="AF22" s="51"/>
      <c r="AG22" s="51"/>
      <c r="AH22" s="174">
        <f t="shared" si="6"/>
        <v>0</v>
      </c>
      <c r="AI22" s="174">
        <f t="shared" si="7"/>
        <v>0</v>
      </c>
      <c r="AJ22" s="174">
        <f t="shared" si="8"/>
        <v>0</v>
      </c>
      <c r="AK22" s="175">
        <f t="shared" si="9"/>
        <v>0</v>
      </c>
      <c r="AL22" s="175">
        <f t="shared" si="10"/>
        <v>0</v>
      </c>
      <c r="AM22" s="175">
        <f t="shared" si="11"/>
        <v>0</v>
      </c>
    </row>
    <row r="23" spans="1:39">
      <c r="A23" s="136">
        <v>16</v>
      </c>
      <c r="B23" s="136" t="s">
        <v>1671</v>
      </c>
      <c r="C23" s="136" t="s">
        <v>1641</v>
      </c>
      <c r="D23" s="136" t="s">
        <v>1672</v>
      </c>
      <c r="E23" s="160" t="s">
        <v>15</v>
      </c>
      <c r="F23" s="160">
        <v>50</v>
      </c>
      <c r="G23" s="136">
        <v>25</v>
      </c>
      <c r="H23" s="136"/>
      <c r="I23" s="136">
        <f t="shared" si="0"/>
        <v>25</v>
      </c>
      <c r="J23" s="156"/>
      <c r="K23" s="156"/>
      <c r="L23" s="156">
        <f t="shared" si="1"/>
        <v>0</v>
      </c>
      <c r="M23" s="156"/>
      <c r="N23" s="156"/>
      <c r="O23" s="156">
        <f t="shared" si="2"/>
        <v>0</v>
      </c>
      <c r="P23" s="156"/>
      <c r="Q23" s="156"/>
      <c r="R23" s="156">
        <f t="shared" si="3"/>
        <v>0</v>
      </c>
      <c r="S23" s="156"/>
      <c r="T23" s="156"/>
      <c r="U23" s="156">
        <f t="shared" si="4"/>
        <v>0</v>
      </c>
      <c r="V23" s="51"/>
      <c r="W23" s="51"/>
      <c r="X23" s="51">
        <f t="shared" si="5"/>
        <v>0</v>
      </c>
      <c r="Y23" s="51"/>
      <c r="Z23" s="51"/>
      <c r="AA23" s="51"/>
      <c r="AB23" s="51">
        <v>50</v>
      </c>
      <c r="AC23" s="51"/>
      <c r="AD23" s="51"/>
      <c r="AE23" s="51"/>
      <c r="AF23" s="51"/>
      <c r="AG23" s="51"/>
      <c r="AH23" s="174">
        <f t="shared" si="6"/>
        <v>25</v>
      </c>
      <c r="AI23" s="174">
        <f t="shared" si="7"/>
        <v>0</v>
      </c>
      <c r="AJ23" s="174">
        <f t="shared" si="8"/>
        <v>25</v>
      </c>
      <c r="AK23" s="175">
        <f t="shared" si="9"/>
        <v>4.166666666666667</v>
      </c>
      <c r="AL23" s="175">
        <f t="shared" si="10"/>
        <v>0</v>
      </c>
      <c r="AM23" s="175">
        <f t="shared" si="11"/>
        <v>4.166666666666667</v>
      </c>
    </row>
    <row r="24" spans="1:39">
      <c r="A24" s="136">
        <v>17</v>
      </c>
      <c r="B24" s="136" t="s">
        <v>1673</v>
      </c>
      <c r="C24" s="136" t="s">
        <v>1641</v>
      </c>
      <c r="D24" s="136" t="s">
        <v>1674</v>
      </c>
      <c r="E24" s="160" t="s">
        <v>15</v>
      </c>
      <c r="F24" s="160">
        <v>3</v>
      </c>
      <c r="G24" s="136"/>
      <c r="H24" s="136"/>
      <c r="I24" s="136">
        <f t="shared" si="0"/>
        <v>0</v>
      </c>
      <c r="J24" s="156"/>
      <c r="K24" s="156"/>
      <c r="L24" s="156">
        <f t="shared" si="1"/>
        <v>0</v>
      </c>
      <c r="M24" s="156"/>
      <c r="N24" s="156"/>
      <c r="O24" s="156">
        <f t="shared" si="2"/>
        <v>0</v>
      </c>
      <c r="P24" s="156"/>
      <c r="Q24" s="156"/>
      <c r="R24" s="156">
        <f t="shared" si="3"/>
        <v>0</v>
      </c>
      <c r="S24" s="156"/>
      <c r="T24" s="156"/>
      <c r="U24" s="156">
        <f t="shared" si="4"/>
        <v>0</v>
      </c>
      <c r="V24" s="51"/>
      <c r="W24" s="51"/>
      <c r="X24" s="51">
        <f t="shared" si="5"/>
        <v>0</v>
      </c>
      <c r="Y24" s="51"/>
      <c r="Z24" s="51"/>
      <c r="AA24" s="51"/>
      <c r="AB24" s="51"/>
      <c r="AC24" s="51"/>
      <c r="AD24" s="51"/>
      <c r="AE24" s="51"/>
      <c r="AF24" s="51"/>
      <c r="AG24" s="51"/>
      <c r="AH24" s="174">
        <f t="shared" si="6"/>
        <v>0</v>
      </c>
      <c r="AI24" s="174">
        <f t="shared" si="7"/>
        <v>0</v>
      </c>
      <c r="AJ24" s="174">
        <f t="shared" si="8"/>
        <v>0</v>
      </c>
      <c r="AK24" s="175">
        <f t="shared" si="9"/>
        <v>0</v>
      </c>
      <c r="AL24" s="175">
        <f t="shared" si="10"/>
        <v>0</v>
      </c>
      <c r="AM24" s="175">
        <f t="shared" si="11"/>
        <v>0</v>
      </c>
    </row>
    <row r="25" spans="1:39">
      <c r="A25" s="136">
        <v>18</v>
      </c>
      <c r="B25" s="136" t="s">
        <v>1675</v>
      </c>
      <c r="C25" s="136" t="s">
        <v>1641</v>
      </c>
      <c r="D25" s="136" t="s">
        <v>1676</v>
      </c>
      <c r="E25" s="160" t="s">
        <v>15</v>
      </c>
      <c r="F25" s="160">
        <v>6</v>
      </c>
      <c r="G25" s="136">
        <v>100</v>
      </c>
      <c r="H25" s="136"/>
      <c r="I25" s="136">
        <f t="shared" si="0"/>
        <v>100</v>
      </c>
      <c r="J25" s="156"/>
      <c r="K25" s="156"/>
      <c r="L25" s="156">
        <f t="shared" si="1"/>
        <v>0</v>
      </c>
      <c r="M25" s="156">
        <v>25</v>
      </c>
      <c r="N25" s="156"/>
      <c r="O25" s="156">
        <f t="shared" si="2"/>
        <v>25</v>
      </c>
      <c r="P25" s="156"/>
      <c r="Q25" s="156"/>
      <c r="R25" s="156">
        <f t="shared" si="3"/>
        <v>0</v>
      </c>
      <c r="S25" s="156"/>
      <c r="T25" s="156"/>
      <c r="U25" s="156">
        <f t="shared" si="4"/>
        <v>0</v>
      </c>
      <c r="V25" s="51"/>
      <c r="W25" s="51"/>
      <c r="X25" s="51">
        <f t="shared" si="5"/>
        <v>0</v>
      </c>
      <c r="Y25" s="51"/>
      <c r="Z25" s="51"/>
      <c r="AA25" s="51"/>
      <c r="AB25" s="51">
        <v>25</v>
      </c>
      <c r="AC25" s="51"/>
      <c r="AD25" s="51"/>
      <c r="AE25" s="51"/>
      <c r="AF25" s="51"/>
      <c r="AG25" s="51"/>
      <c r="AH25" s="174">
        <f t="shared" si="6"/>
        <v>125</v>
      </c>
      <c r="AI25" s="174">
        <f t="shared" si="7"/>
        <v>0</v>
      </c>
      <c r="AJ25" s="174">
        <f t="shared" si="8"/>
        <v>125</v>
      </c>
      <c r="AK25" s="175">
        <f t="shared" si="9"/>
        <v>20.833333333333332</v>
      </c>
      <c r="AL25" s="175">
        <f t="shared" si="10"/>
        <v>0</v>
      </c>
      <c r="AM25" s="175">
        <f t="shared" si="11"/>
        <v>20.833333333333332</v>
      </c>
    </row>
    <row r="26" spans="1:39">
      <c r="A26" s="136">
        <v>19</v>
      </c>
      <c r="B26" s="136" t="s">
        <v>1677</v>
      </c>
      <c r="C26" s="136" t="s">
        <v>1641</v>
      </c>
      <c r="D26" s="136" t="s">
        <v>1678</v>
      </c>
      <c r="E26" s="160" t="s">
        <v>15</v>
      </c>
      <c r="F26" s="160">
        <v>10</v>
      </c>
      <c r="G26" s="136"/>
      <c r="H26" s="136"/>
      <c r="I26" s="136">
        <f t="shared" si="0"/>
        <v>0</v>
      </c>
      <c r="J26" s="156"/>
      <c r="K26" s="156"/>
      <c r="L26" s="156">
        <f t="shared" si="1"/>
        <v>0</v>
      </c>
      <c r="M26" s="156">
        <v>56</v>
      </c>
      <c r="N26" s="156"/>
      <c r="O26" s="156">
        <f t="shared" si="2"/>
        <v>56</v>
      </c>
      <c r="P26" s="156"/>
      <c r="Q26" s="156"/>
      <c r="R26" s="156">
        <f t="shared" si="3"/>
        <v>0</v>
      </c>
      <c r="S26" s="156"/>
      <c r="T26" s="156"/>
      <c r="U26" s="156">
        <f t="shared" si="4"/>
        <v>0</v>
      </c>
      <c r="V26" s="51"/>
      <c r="W26" s="51"/>
      <c r="X26" s="51">
        <f t="shared" si="5"/>
        <v>0</v>
      </c>
      <c r="Y26" s="51"/>
      <c r="Z26" s="51"/>
      <c r="AA26" s="51"/>
      <c r="AB26" s="51">
        <v>36</v>
      </c>
      <c r="AC26" s="51"/>
      <c r="AD26" s="51"/>
      <c r="AE26" s="51"/>
      <c r="AF26" s="51"/>
      <c r="AG26" s="51"/>
      <c r="AH26" s="174">
        <f t="shared" si="6"/>
        <v>56</v>
      </c>
      <c r="AI26" s="174">
        <f t="shared" si="7"/>
        <v>0</v>
      </c>
      <c r="AJ26" s="174">
        <f t="shared" si="8"/>
        <v>56</v>
      </c>
      <c r="AK26" s="175">
        <f t="shared" si="9"/>
        <v>9.3333333333333339</v>
      </c>
      <c r="AL26" s="175">
        <f t="shared" si="10"/>
        <v>0</v>
      </c>
      <c r="AM26" s="175">
        <f t="shared" si="11"/>
        <v>9.3333333333333339</v>
      </c>
    </row>
    <row r="27" spans="1:39">
      <c r="A27" s="136">
        <v>20</v>
      </c>
      <c r="B27" s="136" t="s">
        <v>1679</v>
      </c>
      <c r="C27" s="136" t="s">
        <v>1641</v>
      </c>
      <c r="D27" s="136" t="s">
        <v>1680</v>
      </c>
      <c r="E27" s="160" t="s">
        <v>15</v>
      </c>
      <c r="F27" s="160">
        <v>3</v>
      </c>
      <c r="G27" s="136">
        <v>35</v>
      </c>
      <c r="H27" s="136"/>
      <c r="I27" s="136">
        <f t="shared" si="0"/>
        <v>35</v>
      </c>
      <c r="J27" s="156"/>
      <c r="K27" s="156"/>
      <c r="L27" s="156">
        <f t="shared" si="1"/>
        <v>0</v>
      </c>
      <c r="M27" s="156"/>
      <c r="N27" s="156"/>
      <c r="O27" s="156">
        <f t="shared" si="2"/>
        <v>0</v>
      </c>
      <c r="P27" s="156"/>
      <c r="Q27" s="156"/>
      <c r="R27" s="156">
        <f t="shared" si="3"/>
        <v>0</v>
      </c>
      <c r="S27" s="156"/>
      <c r="T27" s="156"/>
      <c r="U27" s="156">
        <f t="shared" si="4"/>
        <v>0</v>
      </c>
      <c r="V27" s="51"/>
      <c r="W27" s="51"/>
      <c r="X27" s="51">
        <f t="shared" si="5"/>
        <v>0</v>
      </c>
      <c r="Y27" s="51"/>
      <c r="Z27" s="51"/>
      <c r="AA27" s="51"/>
      <c r="AB27" s="51">
        <v>36</v>
      </c>
      <c r="AC27" s="51"/>
      <c r="AD27" s="51"/>
      <c r="AE27" s="51"/>
      <c r="AF27" s="51"/>
      <c r="AG27" s="51"/>
      <c r="AH27" s="174">
        <f t="shared" si="6"/>
        <v>35</v>
      </c>
      <c r="AI27" s="174">
        <f t="shared" si="7"/>
        <v>0</v>
      </c>
      <c r="AJ27" s="174">
        <f t="shared" si="8"/>
        <v>35</v>
      </c>
      <c r="AK27" s="175">
        <f t="shared" si="9"/>
        <v>5.833333333333333</v>
      </c>
      <c r="AL27" s="175">
        <f t="shared" si="10"/>
        <v>0</v>
      </c>
      <c r="AM27" s="175">
        <f t="shared" si="11"/>
        <v>5.833333333333333</v>
      </c>
    </row>
    <row r="28" spans="1:39">
      <c r="A28" s="136">
        <v>21</v>
      </c>
      <c r="B28" s="136" t="s">
        <v>1681</v>
      </c>
      <c r="C28" s="136" t="s">
        <v>1641</v>
      </c>
      <c r="D28" s="136" t="s">
        <v>1682</v>
      </c>
      <c r="E28" s="160" t="s">
        <v>15</v>
      </c>
      <c r="F28" s="160">
        <v>5</v>
      </c>
      <c r="G28" s="136"/>
      <c r="H28" s="136"/>
      <c r="I28" s="136">
        <f t="shared" si="0"/>
        <v>0</v>
      </c>
      <c r="J28" s="156"/>
      <c r="K28" s="156"/>
      <c r="L28" s="156">
        <f t="shared" si="1"/>
        <v>0</v>
      </c>
      <c r="M28" s="156">
        <v>65</v>
      </c>
      <c r="N28" s="156"/>
      <c r="O28" s="156">
        <f t="shared" si="2"/>
        <v>65</v>
      </c>
      <c r="P28" s="156"/>
      <c r="Q28" s="156"/>
      <c r="R28" s="156">
        <f t="shared" si="3"/>
        <v>0</v>
      </c>
      <c r="S28" s="156"/>
      <c r="T28" s="156"/>
      <c r="U28" s="156">
        <f t="shared" si="4"/>
        <v>0</v>
      </c>
      <c r="V28" s="51"/>
      <c r="W28" s="51"/>
      <c r="X28" s="51">
        <f t="shared" si="5"/>
        <v>0</v>
      </c>
      <c r="Y28" s="51"/>
      <c r="Z28" s="51"/>
      <c r="AA28" s="51"/>
      <c r="AB28" s="51">
        <v>100</v>
      </c>
      <c r="AC28" s="51"/>
      <c r="AD28" s="51"/>
      <c r="AE28" s="51"/>
      <c r="AF28" s="51"/>
      <c r="AG28" s="51"/>
      <c r="AH28" s="174">
        <f t="shared" si="6"/>
        <v>65</v>
      </c>
      <c r="AI28" s="174">
        <f t="shared" si="7"/>
        <v>0</v>
      </c>
      <c r="AJ28" s="174">
        <f t="shared" si="8"/>
        <v>65</v>
      </c>
      <c r="AK28" s="175">
        <f t="shared" si="9"/>
        <v>10.833333333333334</v>
      </c>
      <c r="AL28" s="175">
        <f t="shared" si="10"/>
        <v>0</v>
      </c>
      <c r="AM28" s="175">
        <f t="shared" si="11"/>
        <v>10.833333333333334</v>
      </c>
    </row>
    <row r="29" spans="1:39">
      <c r="A29" s="136">
        <v>22</v>
      </c>
      <c r="B29" s="136" t="s">
        <v>1683</v>
      </c>
      <c r="C29" s="136" t="s">
        <v>1641</v>
      </c>
      <c r="D29" s="136" t="s">
        <v>1684</v>
      </c>
      <c r="E29" s="160" t="s">
        <v>15</v>
      </c>
      <c r="F29" s="160">
        <v>5</v>
      </c>
      <c r="G29" s="136">
        <v>20</v>
      </c>
      <c r="H29" s="136"/>
      <c r="I29" s="136">
        <f t="shared" si="0"/>
        <v>20</v>
      </c>
      <c r="J29" s="156"/>
      <c r="K29" s="156"/>
      <c r="L29" s="156">
        <f t="shared" si="1"/>
        <v>0</v>
      </c>
      <c r="M29" s="156">
        <v>30</v>
      </c>
      <c r="N29" s="156"/>
      <c r="O29" s="156">
        <f t="shared" si="2"/>
        <v>30</v>
      </c>
      <c r="P29" s="156"/>
      <c r="Q29" s="156"/>
      <c r="R29" s="156">
        <f t="shared" si="3"/>
        <v>0</v>
      </c>
      <c r="S29" s="156"/>
      <c r="T29" s="156"/>
      <c r="U29" s="156">
        <f t="shared" si="4"/>
        <v>0</v>
      </c>
      <c r="V29" s="51"/>
      <c r="W29" s="51"/>
      <c r="X29" s="51">
        <f t="shared" si="5"/>
        <v>0</v>
      </c>
      <c r="Y29" s="51"/>
      <c r="Z29" s="51"/>
      <c r="AA29" s="51"/>
      <c r="AB29" s="51">
        <v>10</v>
      </c>
      <c r="AC29" s="51"/>
      <c r="AD29" s="51"/>
      <c r="AE29" s="51"/>
      <c r="AF29" s="51"/>
      <c r="AG29" s="51"/>
      <c r="AH29" s="174">
        <f t="shared" si="6"/>
        <v>50</v>
      </c>
      <c r="AI29" s="174">
        <f t="shared" si="7"/>
        <v>0</v>
      </c>
      <c r="AJ29" s="174">
        <f t="shared" si="8"/>
        <v>50</v>
      </c>
      <c r="AK29" s="175">
        <f t="shared" si="9"/>
        <v>8.3333333333333339</v>
      </c>
      <c r="AL29" s="175">
        <f t="shared" si="10"/>
        <v>0</v>
      </c>
      <c r="AM29" s="175">
        <f t="shared" si="11"/>
        <v>8.3333333333333339</v>
      </c>
    </row>
    <row r="30" spans="1:39">
      <c r="A30" s="136">
        <v>23</v>
      </c>
      <c r="B30" s="136" t="s">
        <v>1685</v>
      </c>
      <c r="C30" s="136" t="s">
        <v>1641</v>
      </c>
      <c r="D30" s="136" t="s">
        <v>1686</v>
      </c>
      <c r="E30" s="160" t="s">
        <v>15</v>
      </c>
      <c r="F30" s="160">
        <v>3</v>
      </c>
      <c r="G30" s="136"/>
      <c r="H30" s="136"/>
      <c r="I30" s="136">
        <f t="shared" si="0"/>
        <v>0</v>
      </c>
      <c r="J30" s="156"/>
      <c r="K30" s="156"/>
      <c r="L30" s="156">
        <f t="shared" si="1"/>
        <v>0</v>
      </c>
      <c r="M30" s="156">
        <v>20</v>
      </c>
      <c r="N30" s="156"/>
      <c r="O30" s="156">
        <f t="shared" si="2"/>
        <v>20</v>
      </c>
      <c r="P30" s="156"/>
      <c r="Q30" s="156"/>
      <c r="R30" s="156">
        <f t="shared" si="3"/>
        <v>0</v>
      </c>
      <c r="S30" s="156"/>
      <c r="T30" s="156"/>
      <c r="U30" s="156">
        <f t="shared" si="4"/>
        <v>0</v>
      </c>
      <c r="V30" s="51"/>
      <c r="W30" s="51"/>
      <c r="X30" s="51">
        <f t="shared" si="5"/>
        <v>0</v>
      </c>
      <c r="Y30" s="51"/>
      <c r="Z30" s="51"/>
      <c r="AA30" s="51"/>
      <c r="AB30" s="51">
        <v>20</v>
      </c>
      <c r="AC30" s="51"/>
      <c r="AD30" s="51"/>
      <c r="AE30" s="51"/>
      <c r="AF30" s="51"/>
      <c r="AG30" s="51"/>
      <c r="AH30" s="174">
        <f t="shared" si="6"/>
        <v>20</v>
      </c>
      <c r="AI30" s="174">
        <f t="shared" si="7"/>
        <v>0</v>
      </c>
      <c r="AJ30" s="174">
        <f t="shared" si="8"/>
        <v>20</v>
      </c>
      <c r="AK30" s="175">
        <f t="shared" si="9"/>
        <v>3.3333333333333335</v>
      </c>
      <c r="AL30" s="175">
        <f t="shared" si="10"/>
        <v>0</v>
      </c>
      <c r="AM30" s="175">
        <f t="shared" si="11"/>
        <v>3.3333333333333335</v>
      </c>
    </row>
    <row r="31" spans="1:39">
      <c r="A31" s="136">
        <v>24</v>
      </c>
      <c r="B31" s="136" t="s">
        <v>1687</v>
      </c>
      <c r="C31" s="136" t="s">
        <v>1641</v>
      </c>
      <c r="D31" s="136" t="s">
        <v>1688</v>
      </c>
      <c r="E31" s="160" t="s">
        <v>15</v>
      </c>
      <c r="F31" s="160">
        <v>15</v>
      </c>
      <c r="G31" s="136"/>
      <c r="H31" s="136"/>
      <c r="I31" s="136">
        <f t="shared" si="0"/>
        <v>0</v>
      </c>
      <c r="J31" s="156"/>
      <c r="K31" s="156"/>
      <c r="L31" s="156">
        <f t="shared" si="1"/>
        <v>0</v>
      </c>
      <c r="M31" s="156">
        <v>60</v>
      </c>
      <c r="N31" s="156">
        <v>10</v>
      </c>
      <c r="O31" s="156">
        <f t="shared" si="2"/>
        <v>70</v>
      </c>
      <c r="P31" s="156"/>
      <c r="Q31" s="156"/>
      <c r="R31" s="156">
        <f t="shared" si="3"/>
        <v>0</v>
      </c>
      <c r="S31" s="156"/>
      <c r="T31" s="156"/>
      <c r="U31" s="156">
        <f t="shared" si="4"/>
        <v>0</v>
      </c>
      <c r="V31" s="51"/>
      <c r="W31" s="51"/>
      <c r="X31" s="51">
        <f t="shared" si="5"/>
        <v>0</v>
      </c>
      <c r="Y31" s="51"/>
      <c r="Z31" s="51"/>
      <c r="AA31" s="51"/>
      <c r="AB31" s="51">
        <v>15</v>
      </c>
      <c r="AC31" s="51"/>
      <c r="AD31" s="51"/>
      <c r="AE31" s="51"/>
      <c r="AF31" s="51"/>
      <c r="AG31" s="51"/>
      <c r="AH31" s="174">
        <f t="shared" si="6"/>
        <v>60</v>
      </c>
      <c r="AI31" s="174">
        <f t="shared" si="7"/>
        <v>10</v>
      </c>
      <c r="AJ31" s="174">
        <f t="shared" si="8"/>
        <v>70</v>
      </c>
      <c r="AK31" s="175">
        <f t="shared" si="9"/>
        <v>10</v>
      </c>
      <c r="AL31" s="175">
        <f t="shared" si="10"/>
        <v>1.6666666666666667</v>
      </c>
      <c r="AM31" s="175">
        <f t="shared" si="11"/>
        <v>11.666666666666666</v>
      </c>
    </row>
    <row r="32" spans="1:39">
      <c r="A32" s="136">
        <v>25</v>
      </c>
      <c r="B32" s="136" t="s">
        <v>1689</v>
      </c>
      <c r="C32" s="136" t="s">
        <v>1641</v>
      </c>
      <c r="D32" s="136" t="s">
        <v>1690</v>
      </c>
      <c r="E32" s="160" t="s">
        <v>15</v>
      </c>
      <c r="F32" s="160">
        <v>50</v>
      </c>
      <c r="G32" s="136"/>
      <c r="H32" s="136"/>
      <c r="I32" s="136">
        <f t="shared" si="0"/>
        <v>0</v>
      </c>
      <c r="J32" s="156"/>
      <c r="K32" s="156"/>
      <c r="L32" s="156">
        <f t="shared" si="1"/>
        <v>0</v>
      </c>
      <c r="M32" s="156"/>
      <c r="N32" s="156"/>
      <c r="O32" s="156">
        <f t="shared" si="2"/>
        <v>0</v>
      </c>
      <c r="P32" s="156"/>
      <c r="Q32" s="156"/>
      <c r="R32" s="156">
        <f t="shared" si="3"/>
        <v>0</v>
      </c>
      <c r="S32" s="156"/>
      <c r="T32" s="156"/>
      <c r="U32" s="156">
        <f t="shared" si="4"/>
        <v>0</v>
      </c>
      <c r="V32" s="51"/>
      <c r="W32" s="51"/>
      <c r="X32" s="51">
        <f t="shared" si="5"/>
        <v>0</v>
      </c>
      <c r="Y32" s="51"/>
      <c r="Z32" s="51"/>
      <c r="AA32" s="51"/>
      <c r="AB32" s="51"/>
      <c r="AC32" s="51"/>
      <c r="AD32" s="51"/>
      <c r="AE32" s="51"/>
      <c r="AF32" s="51"/>
      <c r="AG32" s="51"/>
      <c r="AH32" s="174">
        <f t="shared" si="6"/>
        <v>0</v>
      </c>
      <c r="AI32" s="174">
        <f t="shared" si="7"/>
        <v>0</v>
      </c>
      <c r="AJ32" s="174">
        <f t="shared" si="8"/>
        <v>0</v>
      </c>
      <c r="AK32" s="175">
        <f t="shared" si="9"/>
        <v>0</v>
      </c>
      <c r="AL32" s="175">
        <f t="shared" si="10"/>
        <v>0</v>
      </c>
      <c r="AM32" s="175">
        <f t="shared" si="11"/>
        <v>0</v>
      </c>
    </row>
    <row r="33" spans="1:39">
      <c r="A33" s="136">
        <v>26</v>
      </c>
      <c r="B33" s="136" t="s">
        <v>1691</v>
      </c>
      <c r="C33" s="136" t="s">
        <v>1641</v>
      </c>
      <c r="D33" s="136" t="s">
        <v>1692</v>
      </c>
      <c r="E33" s="160" t="s">
        <v>15</v>
      </c>
      <c r="F33" s="160">
        <v>25</v>
      </c>
      <c r="G33" s="136">
        <v>55</v>
      </c>
      <c r="H33" s="136"/>
      <c r="I33" s="136">
        <f t="shared" si="0"/>
        <v>55</v>
      </c>
      <c r="J33" s="156"/>
      <c r="K33" s="156"/>
      <c r="L33" s="156">
        <f t="shared" si="1"/>
        <v>0</v>
      </c>
      <c r="M33" s="156">
        <v>25</v>
      </c>
      <c r="N33" s="156"/>
      <c r="O33" s="156">
        <f t="shared" si="2"/>
        <v>25</v>
      </c>
      <c r="P33" s="156"/>
      <c r="Q33" s="156"/>
      <c r="R33" s="156">
        <f t="shared" si="3"/>
        <v>0</v>
      </c>
      <c r="S33" s="156"/>
      <c r="T33" s="156"/>
      <c r="U33" s="156">
        <f t="shared" si="4"/>
        <v>0</v>
      </c>
      <c r="V33" s="51"/>
      <c r="W33" s="51"/>
      <c r="X33" s="51">
        <f t="shared" si="5"/>
        <v>0</v>
      </c>
      <c r="Y33" s="51"/>
      <c r="Z33" s="51"/>
      <c r="AA33" s="51"/>
      <c r="AB33" s="51">
        <v>10</v>
      </c>
      <c r="AC33" s="51"/>
      <c r="AD33" s="51"/>
      <c r="AE33" s="51"/>
      <c r="AF33" s="51"/>
      <c r="AG33" s="51"/>
      <c r="AH33" s="174">
        <f t="shared" si="6"/>
        <v>80</v>
      </c>
      <c r="AI33" s="174">
        <f t="shared" si="7"/>
        <v>0</v>
      </c>
      <c r="AJ33" s="174">
        <f t="shared" si="8"/>
        <v>80</v>
      </c>
      <c r="AK33" s="175">
        <f t="shared" si="9"/>
        <v>13.333333333333334</v>
      </c>
      <c r="AL33" s="175">
        <f t="shared" si="10"/>
        <v>0</v>
      </c>
      <c r="AM33" s="175">
        <f t="shared" si="11"/>
        <v>13.333333333333334</v>
      </c>
    </row>
    <row r="34" spans="1:39">
      <c r="A34" s="136">
        <v>27</v>
      </c>
      <c r="B34" s="136" t="s">
        <v>1693</v>
      </c>
      <c r="C34" s="136" t="s">
        <v>1641</v>
      </c>
      <c r="D34" s="136" t="s">
        <v>1694</v>
      </c>
      <c r="E34" s="160" t="s">
        <v>15</v>
      </c>
      <c r="F34" s="160">
        <v>3</v>
      </c>
      <c r="G34" s="136"/>
      <c r="H34" s="136"/>
      <c r="I34" s="136">
        <f t="shared" si="0"/>
        <v>0</v>
      </c>
      <c r="J34" s="156"/>
      <c r="K34" s="156"/>
      <c r="L34" s="156">
        <f t="shared" si="1"/>
        <v>0</v>
      </c>
      <c r="M34" s="156">
        <v>10</v>
      </c>
      <c r="N34" s="156"/>
      <c r="O34" s="156">
        <f t="shared" si="2"/>
        <v>10</v>
      </c>
      <c r="P34" s="156"/>
      <c r="Q34" s="156"/>
      <c r="R34" s="156">
        <f t="shared" si="3"/>
        <v>0</v>
      </c>
      <c r="S34" s="156"/>
      <c r="T34" s="156"/>
      <c r="U34" s="156">
        <f t="shared" si="4"/>
        <v>0</v>
      </c>
      <c r="V34" s="51"/>
      <c r="W34" s="51"/>
      <c r="X34" s="51">
        <f t="shared" si="5"/>
        <v>0</v>
      </c>
      <c r="Y34" s="51"/>
      <c r="Z34" s="51"/>
      <c r="AA34" s="51"/>
      <c r="AB34" s="51"/>
      <c r="AC34" s="51"/>
      <c r="AD34" s="51"/>
      <c r="AE34" s="51"/>
      <c r="AF34" s="51"/>
      <c r="AG34" s="51"/>
      <c r="AH34" s="174">
        <f t="shared" si="6"/>
        <v>10</v>
      </c>
      <c r="AI34" s="174">
        <f t="shared" si="7"/>
        <v>0</v>
      </c>
      <c r="AJ34" s="174">
        <f t="shared" si="8"/>
        <v>10</v>
      </c>
      <c r="AK34" s="175">
        <f t="shared" si="9"/>
        <v>1.6666666666666667</v>
      </c>
      <c r="AL34" s="175">
        <f t="shared" si="10"/>
        <v>0</v>
      </c>
      <c r="AM34" s="175">
        <f t="shared" si="11"/>
        <v>1.6666666666666667</v>
      </c>
    </row>
    <row r="35" spans="1:39">
      <c r="A35" s="136">
        <v>28</v>
      </c>
      <c r="B35" s="136" t="s">
        <v>1695</v>
      </c>
      <c r="C35" s="136" t="s">
        <v>1641</v>
      </c>
      <c r="D35" s="136" t="s">
        <v>1696</v>
      </c>
      <c r="E35" s="160" t="s">
        <v>15</v>
      </c>
      <c r="F35" s="160">
        <v>20</v>
      </c>
      <c r="G35" s="136">
        <v>36</v>
      </c>
      <c r="H35" s="136"/>
      <c r="I35" s="136">
        <f t="shared" si="0"/>
        <v>36</v>
      </c>
      <c r="J35" s="156"/>
      <c r="K35" s="156"/>
      <c r="L35" s="156">
        <f t="shared" si="1"/>
        <v>0</v>
      </c>
      <c r="M35" s="156"/>
      <c r="N35" s="156"/>
      <c r="O35" s="156">
        <f t="shared" si="2"/>
        <v>0</v>
      </c>
      <c r="P35" s="156"/>
      <c r="Q35" s="156"/>
      <c r="R35" s="156">
        <f t="shared" si="3"/>
        <v>0</v>
      </c>
      <c r="S35" s="156"/>
      <c r="T35" s="156"/>
      <c r="U35" s="156">
        <f t="shared" si="4"/>
        <v>0</v>
      </c>
      <c r="V35" s="51"/>
      <c r="W35" s="51"/>
      <c r="X35" s="51">
        <f t="shared" si="5"/>
        <v>0</v>
      </c>
      <c r="Y35" s="51"/>
      <c r="Z35" s="51"/>
      <c r="AA35" s="51"/>
      <c r="AB35" s="51"/>
      <c r="AC35" s="51"/>
      <c r="AD35" s="51"/>
      <c r="AE35" s="51"/>
      <c r="AF35" s="51"/>
      <c r="AG35" s="51"/>
      <c r="AH35" s="174">
        <f t="shared" si="6"/>
        <v>36</v>
      </c>
      <c r="AI35" s="174">
        <f t="shared" si="7"/>
        <v>0</v>
      </c>
      <c r="AJ35" s="174">
        <f t="shared" si="8"/>
        <v>36</v>
      </c>
      <c r="AK35" s="175">
        <f t="shared" si="9"/>
        <v>6</v>
      </c>
      <c r="AL35" s="175">
        <f t="shared" si="10"/>
        <v>0</v>
      </c>
      <c r="AM35" s="175">
        <f t="shared" si="11"/>
        <v>6</v>
      </c>
    </row>
    <row r="36" spans="1:39">
      <c r="A36" s="136">
        <v>29</v>
      </c>
      <c r="B36" s="136" t="s">
        <v>1697</v>
      </c>
      <c r="C36" s="136" t="s">
        <v>1641</v>
      </c>
      <c r="D36" s="136" t="s">
        <v>1698</v>
      </c>
      <c r="E36" s="160" t="s">
        <v>15</v>
      </c>
      <c r="F36" s="160">
        <v>10</v>
      </c>
      <c r="G36" s="136"/>
      <c r="H36" s="136"/>
      <c r="I36" s="136">
        <f t="shared" si="0"/>
        <v>0</v>
      </c>
      <c r="J36" s="156"/>
      <c r="K36" s="156"/>
      <c r="L36" s="156">
        <f t="shared" si="1"/>
        <v>0</v>
      </c>
      <c r="M36" s="156"/>
      <c r="N36" s="156"/>
      <c r="O36" s="156">
        <f t="shared" si="2"/>
        <v>0</v>
      </c>
      <c r="P36" s="156"/>
      <c r="Q36" s="156"/>
      <c r="R36" s="156">
        <f t="shared" si="3"/>
        <v>0</v>
      </c>
      <c r="S36" s="156"/>
      <c r="T36" s="156"/>
      <c r="U36" s="156">
        <f t="shared" si="4"/>
        <v>0</v>
      </c>
      <c r="V36" s="51"/>
      <c r="W36" s="51"/>
      <c r="X36" s="51">
        <f t="shared" si="5"/>
        <v>0</v>
      </c>
      <c r="Y36" s="51"/>
      <c r="Z36" s="51"/>
      <c r="AA36" s="51"/>
      <c r="AB36" s="51"/>
      <c r="AC36" s="51"/>
      <c r="AD36" s="51"/>
      <c r="AE36" s="51"/>
      <c r="AF36" s="51"/>
      <c r="AG36" s="51"/>
      <c r="AH36" s="174">
        <f t="shared" si="6"/>
        <v>0</v>
      </c>
      <c r="AI36" s="174">
        <f t="shared" si="7"/>
        <v>0</v>
      </c>
      <c r="AJ36" s="174">
        <f t="shared" si="8"/>
        <v>0</v>
      </c>
      <c r="AK36" s="175">
        <f t="shared" si="9"/>
        <v>0</v>
      </c>
      <c r="AL36" s="175">
        <f t="shared" si="10"/>
        <v>0</v>
      </c>
      <c r="AM36" s="175">
        <f t="shared" si="11"/>
        <v>0</v>
      </c>
    </row>
    <row r="37" spans="1:39">
      <c r="A37" s="136">
        <v>30</v>
      </c>
      <c r="B37" s="136" t="s">
        <v>1699</v>
      </c>
      <c r="C37" s="136" t="s">
        <v>1641</v>
      </c>
      <c r="D37" s="136" t="s">
        <v>1700</v>
      </c>
      <c r="E37" s="160" t="s">
        <v>15</v>
      </c>
      <c r="F37" s="160">
        <v>3</v>
      </c>
      <c r="G37" s="136"/>
      <c r="H37" s="136"/>
      <c r="I37" s="136">
        <f t="shared" si="0"/>
        <v>0</v>
      </c>
      <c r="J37" s="156"/>
      <c r="K37" s="156"/>
      <c r="L37" s="156">
        <f t="shared" si="1"/>
        <v>0</v>
      </c>
      <c r="M37" s="156"/>
      <c r="N37" s="156"/>
      <c r="O37" s="156">
        <f t="shared" si="2"/>
        <v>0</v>
      </c>
      <c r="P37" s="156"/>
      <c r="Q37" s="156"/>
      <c r="R37" s="156">
        <f t="shared" si="3"/>
        <v>0</v>
      </c>
      <c r="S37" s="156"/>
      <c r="T37" s="156"/>
      <c r="U37" s="156">
        <f t="shared" si="4"/>
        <v>0</v>
      </c>
      <c r="V37" s="51"/>
      <c r="W37" s="51"/>
      <c r="X37" s="51">
        <f t="shared" si="5"/>
        <v>0</v>
      </c>
      <c r="Y37" s="51"/>
      <c r="Z37" s="51"/>
      <c r="AA37" s="51"/>
      <c r="AB37" s="51">
        <v>15</v>
      </c>
      <c r="AC37" s="51"/>
      <c r="AD37" s="51"/>
      <c r="AE37" s="51"/>
      <c r="AF37" s="51"/>
      <c r="AG37" s="51"/>
      <c r="AH37" s="174">
        <f t="shared" si="6"/>
        <v>0</v>
      </c>
      <c r="AI37" s="174">
        <f t="shared" si="7"/>
        <v>0</v>
      </c>
      <c r="AJ37" s="174">
        <f t="shared" si="8"/>
        <v>0</v>
      </c>
      <c r="AK37" s="175">
        <f t="shared" si="9"/>
        <v>0</v>
      </c>
      <c r="AL37" s="175">
        <f t="shared" si="10"/>
        <v>0</v>
      </c>
      <c r="AM37" s="175">
        <f t="shared" si="11"/>
        <v>0</v>
      </c>
    </row>
    <row r="38" spans="1:39">
      <c r="A38" s="136">
        <v>31</v>
      </c>
      <c r="B38" s="136" t="s">
        <v>1701</v>
      </c>
      <c r="C38" s="136" t="s">
        <v>1702</v>
      </c>
      <c r="D38" s="136" t="s">
        <v>1703</v>
      </c>
      <c r="E38" s="160" t="s">
        <v>15</v>
      </c>
      <c r="F38" s="160">
        <v>50</v>
      </c>
      <c r="G38" s="136">
        <v>150</v>
      </c>
      <c r="H38" s="136"/>
      <c r="I38" s="136">
        <f t="shared" si="0"/>
        <v>150</v>
      </c>
      <c r="J38" s="156"/>
      <c r="K38" s="156"/>
      <c r="L38" s="156">
        <f t="shared" si="1"/>
        <v>0</v>
      </c>
      <c r="M38" s="156">
        <v>150</v>
      </c>
      <c r="N38" s="156"/>
      <c r="O38" s="156">
        <f t="shared" si="2"/>
        <v>150</v>
      </c>
      <c r="P38" s="156"/>
      <c r="Q38" s="156"/>
      <c r="R38" s="156">
        <f t="shared" si="3"/>
        <v>0</v>
      </c>
      <c r="S38" s="156"/>
      <c r="T38" s="156"/>
      <c r="U38" s="156">
        <f t="shared" si="4"/>
        <v>0</v>
      </c>
      <c r="V38" s="51"/>
      <c r="W38" s="51"/>
      <c r="X38" s="51">
        <f t="shared" si="5"/>
        <v>0</v>
      </c>
      <c r="Y38" s="51"/>
      <c r="Z38" s="51"/>
      <c r="AA38" s="51"/>
      <c r="AB38" s="51">
        <v>60</v>
      </c>
      <c r="AC38" s="51"/>
      <c r="AD38" s="51"/>
      <c r="AE38" s="51"/>
      <c r="AF38" s="51"/>
      <c r="AG38" s="51"/>
      <c r="AH38" s="174">
        <f t="shared" si="6"/>
        <v>300</v>
      </c>
      <c r="AI38" s="174">
        <f t="shared" si="7"/>
        <v>0</v>
      </c>
      <c r="AJ38" s="174">
        <f t="shared" si="8"/>
        <v>300</v>
      </c>
      <c r="AK38" s="175">
        <f t="shared" si="9"/>
        <v>50</v>
      </c>
      <c r="AL38" s="175">
        <f t="shared" si="10"/>
        <v>0</v>
      </c>
      <c r="AM38" s="175">
        <f t="shared" si="11"/>
        <v>50</v>
      </c>
    </row>
    <row r="39" spans="1:39">
      <c r="A39" s="136">
        <v>32</v>
      </c>
      <c r="B39" s="136" t="s">
        <v>1704</v>
      </c>
      <c r="C39" s="136" t="s">
        <v>1702</v>
      </c>
      <c r="D39" s="136" t="s">
        <v>1705</v>
      </c>
      <c r="E39" s="160" t="s">
        <v>15</v>
      </c>
      <c r="F39" s="160">
        <v>10</v>
      </c>
      <c r="G39" s="136"/>
      <c r="H39" s="136"/>
      <c r="I39" s="136">
        <f t="shared" si="0"/>
        <v>0</v>
      </c>
      <c r="J39" s="156"/>
      <c r="K39" s="156"/>
      <c r="L39" s="156">
        <f t="shared" si="1"/>
        <v>0</v>
      </c>
      <c r="M39" s="156">
        <v>15</v>
      </c>
      <c r="N39" s="156"/>
      <c r="O39" s="156">
        <f t="shared" si="2"/>
        <v>15</v>
      </c>
      <c r="P39" s="156"/>
      <c r="Q39" s="156"/>
      <c r="R39" s="156">
        <f t="shared" si="3"/>
        <v>0</v>
      </c>
      <c r="S39" s="156"/>
      <c r="T39" s="156"/>
      <c r="U39" s="156">
        <f t="shared" si="4"/>
        <v>0</v>
      </c>
      <c r="V39" s="51"/>
      <c r="W39" s="51"/>
      <c r="X39" s="51">
        <f t="shared" si="5"/>
        <v>0</v>
      </c>
      <c r="Y39" s="51"/>
      <c r="Z39" s="51"/>
      <c r="AA39" s="51"/>
      <c r="AB39" s="51">
        <v>10</v>
      </c>
      <c r="AC39" s="51"/>
      <c r="AD39" s="51"/>
      <c r="AE39" s="51"/>
      <c r="AF39" s="51"/>
      <c r="AG39" s="51"/>
      <c r="AH39" s="174">
        <f t="shared" si="6"/>
        <v>15</v>
      </c>
      <c r="AI39" s="174">
        <f t="shared" si="7"/>
        <v>0</v>
      </c>
      <c r="AJ39" s="174">
        <f t="shared" si="8"/>
        <v>15</v>
      </c>
      <c r="AK39" s="175">
        <f t="shared" si="9"/>
        <v>2.5</v>
      </c>
      <c r="AL39" s="175">
        <f t="shared" si="10"/>
        <v>0</v>
      </c>
      <c r="AM39" s="175">
        <f t="shared" si="11"/>
        <v>2.5</v>
      </c>
    </row>
    <row r="40" spans="1:39">
      <c r="A40" s="136">
        <v>33</v>
      </c>
      <c r="B40" s="136" t="s">
        <v>1706</v>
      </c>
      <c r="C40" s="136" t="s">
        <v>1702</v>
      </c>
      <c r="D40" s="136" t="s">
        <v>1707</v>
      </c>
      <c r="E40" s="160" t="s">
        <v>15</v>
      </c>
      <c r="F40" s="160">
        <v>50</v>
      </c>
      <c r="G40" s="136">
        <v>66</v>
      </c>
      <c r="H40" s="136"/>
      <c r="I40" s="136">
        <f t="shared" si="0"/>
        <v>66</v>
      </c>
      <c r="J40" s="156"/>
      <c r="K40" s="156"/>
      <c r="L40" s="156">
        <f t="shared" si="1"/>
        <v>0</v>
      </c>
      <c r="M40" s="156"/>
      <c r="N40" s="156"/>
      <c r="O40" s="156">
        <f t="shared" si="2"/>
        <v>0</v>
      </c>
      <c r="P40" s="156"/>
      <c r="Q40" s="156"/>
      <c r="R40" s="156">
        <f t="shared" si="3"/>
        <v>0</v>
      </c>
      <c r="S40" s="156"/>
      <c r="T40" s="156"/>
      <c r="U40" s="156">
        <f t="shared" si="4"/>
        <v>0</v>
      </c>
      <c r="V40" s="51"/>
      <c r="W40" s="51"/>
      <c r="X40" s="51">
        <f t="shared" si="5"/>
        <v>0</v>
      </c>
      <c r="Y40" s="51"/>
      <c r="Z40" s="51"/>
      <c r="AA40" s="51"/>
      <c r="AB40" s="51"/>
      <c r="AC40" s="51">
        <v>6</v>
      </c>
      <c r="AD40" s="51"/>
      <c r="AE40" s="51"/>
      <c r="AF40" s="51"/>
      <c r="AG40" s="51"/>
      <c r="AH40" s="174">
        <f t="shared" si="6"/>
        <v>66</v>
      </c>
      <c r="AI40" s="174">
        <f t="shared" si="7"/>
        <v>0</v>
      </c>
      <c r="AJ40" s="174">
        <f t="shared" si="8"/>
        <v>66</v>
      </c>
      <c r="AK40" s="175">
        <f t="shared" si="9"/>
        <v>11</v>
      </c>
      <c r="AL40" s="175">
        <f t="shared" si="10"/>
        <v>0</v>
      </c>
      <c r="AM40" s="175">
        <f t="shared" si="11"/>
        <v>11</v>
      </c>
    </row>
    <row r="41" spans="1:39">
      <c r="A41" s="136">
        <v>34</v>
      </c>
      <c r="B41" s="136" t="s">
        <v>1708</v>
      </c>
      <c r="C41" s="136" t="s">
        <v>1702</v>
      </c>
      <c r="D41" s="136" t="s">
        <v>1709</v>
      </c>
      <c r="E41" s="160" t="s">
        <v>15</v>
      </c>
      <c r="F41" s="160">
        <v>50</v>
      </c>
      <c r="G41" s="136"/>
      <c r="H41" s="136"/>
      <c r="I41" s="136">
        <f t="shared" si="0"/>
        <v>0</v>
      </c>
      <c r="J41" s="156"/>
      <c r="K41" s="156"/>
      <c r="L41" s="156">
        <f t="shared" si="1"/>
        <v>0</v>
      </c>
      <c r="M41" s="156"/>
      <c r="N41" s="156"/>
      <c r="O41" s="156">
        <f t="shared" si="2"/>
        <v>0</v>
      </c>
      <c r="P41" s="156"/>
      <c r="Q41" s="156"/>
      <c r="R41" s="156">
        <f t="shared" si="3"/>
        <v>0</v>
      </c>
      <c r="S41" s="156"/>
      <c r="T41" s="156"/>
      <c r="U41" s="156">
        <f t="shared" si="4"/>
        <v>0</v>
      </c>
      <c r="V41" s="51"/>
      <c r="W41" s="51"/>
      <c r="X41" s="51">
        <f t="shared" si="5"/>
        <v>0</v>
      </c>
      <c r="Y41" s="51"/>
      <c r="Z41" s="51"/>
      <c r="AA41" s="51"/>
      <c r="AB41" s="51">
        <v>80</v>
      </c>
      <c r="AC41" s="51">
        <v>3</v>
      </c>
      <c r="AD41" s="51"/>
      <c r="AE41" s="51"/>
      <c r="AF41" s="51"/>
      <c r="AG41" s="51"/>
      <c r="AH41" s="174">
        <f t="shared" si="6"/>
        <v>0</v>
      </c>
      <c r="AI41" s="174">
        <f t="shared" si="7"/>
        <v>0</v>
      </c>
      <c r="AJ41" s="174">
        <f t="shared" si="8"/>
        <v>0</v>
      </c>
      <c r="AK41" s="175">
        <f t="shared" si="9"/>
        <v>0</v>
      </c>
      <c r="AL41" s="175">
        <f t="shared" si="10"/>
        <v>0</v>
      </c>
      <c r="AM41" s="175">
        <f t="shared" si="11"/>
        <v>0</v>
      </c>
    </row>
    <row r="42" spans="1:39">
      <c r="A42" s="136">
        <v>35</v>
      </c>
      <c r="B42" s="136" t="s">
        <v>1710</v>
      </c>
      <c r="C42" s="136" t="s">
        <v>1702</v>
      </c>
      <c r="D42" s="136" t="s">
        <v>1711</v>
      </c>
      <c r="E42" s="160" t="s">
        <v>15</v>
      </c>
      <c r="F42" s="160">
        <v>15</v>
      </c>
      <c r="G42" s="136">
        <v>86</v>
      </c>
      <c r="H42" s="136"/>
      <c r="I42" s="136">
        <f t="shared" si="0"/>
        <v>86</v>
      </c>
      <c r="J42" s="156"/>
      <c r="K42" s="156"/>
      <c r="L42" s="156">
        <f t="shared" si="1"/>
        <v>0</v>
      </c>
      <c r="M42" s="156"/>
      <c r="N42" s="156"/>
      <c r="O42" s="156">
        <f t="shared" si="2"/>
        <v>0</v>
      </c>
      <c r="P42" s="156"/>
      <c r="Q42" s="156"/>
      <c r="R42" s="156">
        <f t="shared" si="3"/>
        <v>0</v>
      </c>
      <c r="S42" s="156"/>
      <c r="T42" s="156"/>
      <c r="U42" s="156">
        <f t="shared" si="4"/>
        <v>0</v>
      </c>
      <c r="V42" s="51"/>
      <c r="W42" s="51"/>
      <c r="X42" s="51">
        <f t="shared" si="5"/>
        <v>0</v>
      </c>
      <c r="Y42" s="51"/>
      <c r="Z42" s="51"/>
      <c r="AA42" s="51"/>
      <c r="AB42" s="51"/>
      <c r="AC42" s="51"/>
      <c r="AD42" s="51"/>
      <c r="AE42" s="51"/>
      <c r="AF42" s="51"/>
      <c r="AG42" s="51"/>
      <c r="AH42" s="174">
        <f t="shared" si="6"/>
        <v>86</v>
      </c>
      <c r="AI42" s="174">
        <f t="shared" si="7"/>
        <v>0</v>
      </c>
      <c r="AJ42" s="174">
        <f t="shared" si="8"/>
        <v>86</v>
      </c>
      <c r="AK42" s="175">
        <f t="shared" si="9"/>
        <v>14.333333333333334</v>
      </c>
      <c r="AL42" s="175">
        <f t="shared" si="10"/>
        <v>0</v>
      </c>
      <c r="AM42" s="175">
        <f t="shared" si="11"/>
        <v>14.333333333333334</v>
      </c>
    </row>
    <row r="43" spans="1:39">
      <c r="A43" s="136">
        <v>36</v>
      </c>
      <c r="B43" s="136" t="s">
        <v>1712</v>
      </c>
      <c r="C43" s="136" t="s">
        <v>1702</v>
      </c>
      <c r="D43" s="136" t="s">
        <v>1713</v>
      </c>
      <c r="E43" s="160" t="s">
        <v>15</v>
      </c>
      <c r="F43" s="160">
        <v>10</v>
      </c>
      <c r="G43" s="136"/>
      <c r="H43" s="136"/>
      <c r="I43" s="136">
        <f t="shared" si="0"/>
        <v>0</v>
      </c>
      <c r="J43" s="156"/>
      <c r="K43" s="156"/>
      <c r="L43" s="156">
        <f t="shared" si="1"/>
        <v>0</v>
      </c>
      <c r="M43" s="156"/>
      <c r="N43" s="156"/>
      <c r="O43" s="156">
        <f t="shared" si="2"/>
        <v>0</v>
      </c>
      <c r="P43" s="156"/>
      <c r="Q43" s="156"/>
      <c r="R43" s="156">
        <f t="shared" si="3"/>
        <v>0</v>
      </c>
      <c r="S43" s="156"/>
      <c r="T43" s="156"/>
      <c r="U43" s="156">
        <f t="shared" si="4"/>
        <v>0</v>
      </c>
      <c r="V43" s="51"/>
      <c r="W43" s="51"/>
      <c r="X43" s="51">
        <f t="shared" si="5"/>
        <v>0</v>
      </c>
      <c r="Y43" s="51"/>
      <c r="Z43" s="51"/>
      <c r="AA43" s="51"/>
      <c r="AB43" s="51"/>
      <c r="AC43" s="51"/>
      <c r="AD43" s="51"/>
      <c r="AE43" s="51"/>
      <c r="AF43" s="51"/>
      <c r="AG43" s="51"/>
      <c r="AH43" s="174">
        <f t="shared" si="6"/>
        <v>0</v>
      </c>
      <c r="AI43" s="174">
        <f t="shared" si="7"/>
        <v>0</v>
      </c>
      <c r="AJ43" s="174">
        <f t="shared" si="8"/>
        <v>0</v>
      </c>
      <c r="AK43" s="175">
        <f t="shared" si="9"/>
        <v>0</v>
      </c>
      <c r="AL43" s="175">
        <f t="shared" si="10"/>
        <v>0</v>
      </c>
      <c r="AM43" s="175">
        <f t="shared" si="11"/>
        <v>0</v>
      </c>
    </row>
    <row r="44" spans="1:39">
      <c r="A44" s="136">
        <v>37</v>
      </c>
      <c r="B44" s="136" t="s">
        <v>1714</v>
      </c>
      <c r="C44" s="136" t="s">
        <v>1702</v>
      </c>
      <c r="D44" s="136" t="s">
        <v>1715</v>
      </c>
      <c r="E44" s="160" t="s">
        <v>15</v>
      </c>
      <c r="F44" s="160">
        <v>10</v>
      </c>
      <c r="G44" s="136">
        <v>96</v>
      </c>
      <c r="H44" s="136"/>
      <c r="I44" s="136">
        <f t="shared" si="0"/>
        <v>96</v>
      </c>
      <c r="J44" s="156"/>
      <c r="K44" s="156"/>
      <c r="L44" s="156">
        <f t="shared" si="1"/>
        <v>0</v>
      </c>
      <c r="M44" s="156">
        <v>40</v>
      </c>
      <c r="N44" s="156"/>
      <c r="O44" s="156">
        <f t="shared" si="2"/>
        <v>40</v>
      </c>
      <c r="P44" s="156"/>
      <c r="Q44" s="156"/>
      <c r="R44" s="156">
        <f t="shared" si="3"/>
        <v>0</v>
      </c>
      <c r="S44" s="156"/>
      <c r="T44" s="156"/>
      <c r="U44" s="156">
        <f t="shared" si="4"/>
        <v>0</v>
      </c>
      <c r="V44" s="51"/>
      <c r="W44" s="51"/>
      <c r="X44" s="51">
        <f t="shared" si="5"/>
        <v>0</v>
      </c>
      <c r="Y44" s="51"/>
      <c r="Z44" s="51"/>
      <c r="AA44" s="51"/>
      <c r="AB44" s="51">
        <v>30</v>
      </c>
      <c r="AC44" s="51"/>
      <c r="AD44" s="51"/>
      <c r="AE44" s="51"/>
      <c r="AF44" s="51"/>
      <c r="AG44" s="51"/>
      <c r="AH44" s="174">
        <f t="shared" si="6"/>
        <v>136</v>
      </c>
      <c r="AI44" s="174">
        <f t="shared" si="7"/>
        <v>0</v>
      </c>
      <c r="AJ44" s="174">
        <f t="shared" si="8"/>
        <v>136</v>
      </c>
      <c r="AK44" s="175">
        <f t="shared" si="9"/>
        <v>22.666666666666668</v>
      </c>
      <c r="AL44" s="175">
        <f t="shared" si="10"/>
        <v>0</v>
      </c>
      <c r="AM44" s="175">
        <f t="shared" si="11"/>
        <v>22.666666666666668</v>
      </c>
    </row>
    <row r="45" spans="1:39">
      <c r="A45" s="136">
        <v>38</v>
      </c>
      <c r="B45" s="158" t="s">
        <v>1716</v>
      </c>
      <c r="C45" s="136" t="s">
        <v>1702</v>
      </c>
      <c r="D45" s="136" t="s">
        <v>1717</v>
      </c>
      <c r="E45" s="160" t="s">
        <v>18</v>
      </c>
      <c r="F45" s="160">
        <v>10</v>
      </c>
      <c r="G45" s="136"/>
      <c r="H45" s="136"/>
      <c r="I45" s="136">
        <f t="shared" si="0"/>
        <v>0</v>
      </c>
      <c r="J45" s="156"/>
      <c r="K45" s="156"/>
      <c r="L45" s="156">
        <f t="shared" si="1"/>
        <v>0</v>
      </c>
      <c r="M45" s="156"/>
      <c r="N45" s="156"/>
      <c r="O45" s="156">
        <f t="shared" si="2"/>
        <v>0</v>
      </c>
      <c r="P45" s="156"/>
      <c r="Q45" s="156"/>
      <c r="R45" s="156">
        <f t="shared" si="3"/>
        <v>0</v>
      </c>
      <c r="S45" s="156"/>
      <c r="T45" s="156"/>
      <c r="U45" s="156">
        <f t="shared" si="4"/>
        <v>0</v>
      </c>
      <c r="V45" s="51"/>
      <c r="W45" s="51"/>
      <c r="X45" s="51">
        <f t="shared" si="5"/>
        <v>0</v>
      </c>
      <c r="Y45" s="51"/>
      <c r="Z45" s="51"/>
      <c r="AA45" s="51"/>
      <c r="AB45" s="51"/>
      <c r="AC45" s="51"/>
      <c r="AD45" s="51"/>
      <c r="AE45" s="51"/>
      <c r="AF45" s="51"/>
      <c r="AG45" s="51"/>
      <c r="AH45" s="174">
        <f t="shared" si="6"/>
        <v>0</v>
      </c>
      <c r="AI45" s="174">
        <f t="shared" si="7"/>
        <v>0</v>
      </c>
      <c r="AJ45" s="174">
        <f t="shared" si="8"/>
        <v>0</v>
      </c>
      <c r="AK45" s="175">
        <f t="shared" si="9"/>
        <v>0</v>
      </c>
      <c r="AL45" s="175">
        <f t="shared" si="10"/>
        <v>0</v>
      </c>
      <c r="AM45" s="175">
        <f t="shared" si="11"/>
        <v>0</v>
      </c>
    </row>
    <row r="46" spans="1:39">
      <c r="A46" s="136">
        <v>39</v>
      </c>
      <c r="B46" s="136" t="s">
        <v>1659</v>
      </c>
      <c r="C46" s="136" t="s">
        <v>1702</v>
      </c>
      <c r="D46" s="136" t="s">
        <v>1718</v>
      </c>
      <c r="E46" s="160" t="s">
        <v>15</v>
      </c>
      <c r="F46" s="160">
        <v>10</v>
      </c>
      <c r="G46" s="136"/>
      <c r="H46" s="136"/>
      <c r="I46" s="136">
        <f t="shared" si="0"/>
        <v>0</v>
      </c>
      <c r="J46" s="156"/>
      <c r="K46" s="156"/>
      <c r="L46" s="156">
        <f t="shared" si="1"/>
        <v>0</v>
      </c>
      <c r="M46" s="156">
        <v>60</v>
      </c>
      <c r="N46" s="156"/>
      <c r="O46" s="156">
        <f t="shared" si="2"/>
        <v>60</v>
      </c>
      <c r="P46" s="156"/>
      <c r="Q46" s="156"/>
      <c r="R46" s="156">
        <f t="shared" si="3"/>
        <v>0</v>
      </c>
      <c r="S46" s="156"/>
      <c r="T46" s="156"/>
      <c r="U46" s="156">
        <f t="shared" si="4"/>
        <v>0</v>
      </c>
      <c r="V46" s="51"/>
      <c r="W46" s="51"/>
      <c r="X46" s="51">
        <f t="shared" si="5"/>
        <v>0</v>
      </c>
      <c r="Y46" s="51"/>
      <c r="Z46" s="51"/>
      <c r="AA46" s="51"/>
      <c r="AB46" s="51"/>
      <c r="AC46" s="51"/>
      <c r="AD46" s="51"/>
      <c r="AE46" s="51"/>
      <c r="AF46" s="51"/>
      <c r="AG46" s="51"/>
      <c r="AH46" s="174">
        <f t="shared" si="6"/>
        <v>60</v>
      </c>
      <c r="AI46" s="174">
        <f t="shared" si="7"/>
        <v>0</v>
      </c>
      <c r="AJ46" s="174">
        <f t="shared" si="8"/>
        <v>60</v>
      </c>
      <c r="AK46" s="175">
        <f t="shared" si="9"/>
        <v>10</v>
      </c>
      <c r="AL46" s="175">
        <f t="shared" si="10"/>
        <v>0</v>
      </c>
      <c r="AM46" s="175">
        <f t="shared" si="11"/>
        <v>10</v>
      </c>
    </row>
    <row r="47" spans="1:39">
      <c r="A47" s="136">
        <v>40</v>
      </c>
      <c r="B47" s="136" t="s">
        <v>1719</v>
      </c>
      <c r="C47" s="136" t="s">
        <v>1702</v>
      </c>
      <c r="D47" s="136" t="s">
        <v>1720</v>
      </c>
      <c r="E47" s="160" t="s">
        <v>15</v>
      </c>
      <c r="F47" s="160">
        <v>3</v>
      </c>
      <c r="G47" s="136">
        <v>30</v>
      </c>
      <c r="H47" s="136">
        <v>18</v>
      </c>
      <c r="I47" s="136">
        <f t="shared" si="0"/>
        <v>48</v>
      </c>
      <c r="J47" s="156"/>
      <c r="K47" s="156"/>
      <c r="L47" s="156">
        <f t="shared" si="1"/>
        <v>0</v>
      </c>
      <c r="M47" s="156">
        <v>35</v>
      </c>
      <c r="N47" s="156"/>
      <c r="O47" s="156">
        <f t="shared" si="2"/>
        <v>35</v>
      </c>
      <c r="P47" s="156"/>
      <c r="Q47" s="156"/>
      <c r="R47" s="156">
        <f t="shared" si="3"/>
        <v>0</v>
      </c>
      <c r="S47" s="156"/>
      <c r="T47" s="156"/>
      <c r="U47" s="156">
        <f t="shared" si="4"/>
        <v>0</v>
      </c>
      <c r="V47" s="51"/>
      <c r="W47" s="51"/>
      <c r="X47" s="51">
        <f t="shared" si="5"/>
        <v>0</v>
      </c>
      <c r="Y47" s="51"/>
      <c r="Z47" s="51"/>
      <c r="AA47" s="51"/>
      <c r="AB47" s="51">
        <v>20</v>
      </c>
      <c r="AC47" s="51"/>
      <c r="AD47" s="51"/>
      <c r="AE47" s="51"/>
      <c r="AF47" s="51"/>
      <c r="AG47" s="51"/>
      <c r="AH47" s="174">
        <f t="shared" si="6"/>
        <v>65</v>
      </c>
      <c r="AI47" s="174">
        <f t="shared" si="7"/>
        <v>18</v>
      </c>
      <c r="AJ47" s="174">
        <f t="shared" si="8"/>
        <v>83</v>
      </c>
      <c r="AK47" s="175">
        <f t="shared" si="9"/>
        <v>10.833333333333334</v>
      </c>
      <c r="AL47" s="175">
        <f t="shared" si="10"/>
        <v>3</v>
      </c>
      <c r="AM47" s="175">
        <f t="shared" si="11"/>
        <v>13.833333333333334</v>
      </c>
    </row>
    <row r="48" spans="1:39">
      <c r="A48" s="136">
        <v>41</v>
      </c>
      <c r="B48" s="136" t="s">
        <v>1721</v>
      </c>
      <c r="C48" s="191" t="s">
        <v>1702</v>
      </c>
      <c r="D48" s="136" t="s">
        <v>1722</v>
      </c>
      <c r="E48" s="160" t="s">
        <v>15</v>
      </c>
      <c r="F48" s="160">
        <v>3</v>
      </c>
      <c r="G48" s="136"/>
      <c r="H48" s="136"/>
      <c r="I48" s="136">
        <f t="shared" si="0"/>
        <v>0</v>
      </c>
      <c r="J48" s="156"/>
      <c r="K48" s="156"/>
      <c r="L48" s="156">
        <f t="shared" si="1"/>
        <v>0</v>
      </c>
      <c r="M48" s="156">
        <v>40</v>
      </c>
      <c r="N48" s="156"/>
      <c r="O48" s="156">
        <f t="shared" si="2"/>
        <v>40</v>
      </c>
      <c r="P48" s="156"/>
      <c r="Q48" s="156"/>
      <c r="R48" s="156">
        <f t="shared" si="3"/>
        <v>0</v>
      </c>
      <c r="S48" s="156"/>
      <c r="T48" s="156"/>
      <c r="U48" s="156">
        <f t="shared" si="4"/>
        <v>0</v>
      </c>
      <c r="V48" s="51"/>
      <c r="W48" s="51"/>
      <c r="X48" s="51">
        <f t="shared" si="5"/>
        <v>0</v>
      </c>
      <c r="Y48" s="51"/>
      <c r="Z48" s="51"/>
      <c r="AA48" s="51"/>
      <c r="AB48" s="51">
        <v>10</v>
      </c>
      <c r="AC48" s="51"/>
      <c r="AD48" s="51"/>
      <c r="AE48" s="51"/>
      <c r="AF48" s="51"/>
      <c r="AG48" s="51"/>
      <c r="AH48" s="174">
        <f t="shared" si="6"/>
        <v>40</v>
      </c>
      <c r="AI48" s="174">
        <f t="shared" si="7"/>
        <v>0</v>
      </c>
      <c r="AJ48" s="174">
        <f t="shared" si="8"/>
        <v>40</v>
      </c>
      <c r="AK48" s="175">
        <f t="shared" si="9"/>
        <v>6.666666666666667</v>
      </c>
      <c r="AL48" s="175">
        <f t="shared" si="10"/>
        <v>0</v>
      </c>
      <c r="AM48" s="175">
        <f t="shared" si="11"/>
        <v>6.666666666666667</v>
      </c>
    </row>
    <row r="49" spans="1:39">
      <c r="A49" s="136">
        <v>42</v>
      </c>
      <c r="B49" s="136" t="s">
        <v>1723</v>
      </c>
      <c r="C49" s="191" t="s">
        <v>1702</v>
      </c>
      <c r="D49" s="136" t="s">
        <v>1724</v>
      </c>
      <c r="E49" s="160" t="s">
        <v>15</v>
      </c>
      <c r="F49" s="160">
        <v>10</v>
      </c>
      <c r="G49" s="136">
        <v>56</v>
      </c>
      <c r="H49" s="136"/>
      <c r="I49" s="136">
        <f t="shared" si="0"/>
        <v>56</v>
      </c>
      <c r="J49" s="156"/>
      <c r="K49" s="156"/>
      <c r="L49" s="156">
        <f t="shared" si="1"/>
        <v>0</v>
      </c>
      <c r="M49" s="156">
        <v>60</v>
      </c>
      <c r="N49" s="156"/>
      <c r="O49" s="156">
        <f t="shared" si="2"/>
        <v>60</v>
      </c>
      <c r="P49" s="156"/>
      <c r="Q49" s="156"/>
      <c r="R49" s="156">
        <f t="shared" si="3"/>
        <v>0</v>
      </c>
      <c r="S49" s="156"/>
      <c r="T49" s="156"/>
      <c r="U49" s="156">
        <f t="shared" si="4"/>
        <v>0</v>
      </c>
      <c r="V49" s="51"/>
      <c r="W49" s="51"/>
      <c r="X49" s="51">
        <f t="shared" si="5"/>
        <v>0</v>
      </c>
      <c r="Y49" s="51"/>
      <c r="Z49" s="51"/>
      <c r="AA49" s="51"/>
      <c r="AB49" s="51"/>
      <c r="AC49" s="51"/>
      <c r="AD49" s="51"/>
      <c r="AE49" s="51"/>
      <c r="AF49" s="51"/>
      <c r="AG49" s="51"/>
      <c r="AH49" s="174">
        <f t="shared" si="6"/>
        <v>116</v>
      </c>
      <c r="AI49" s="174">
        <f t="shared" si="7"/>
        <v>0</v>
      </c>
      <c r="AJ49" s="174">
        <f t="shared" si="8"/>
        <v>116</v>
      </c>
      <c r="AK49" s="175">
        <f t="shared" si="9"/>
        <v>19.333333333333332</v>
      </c>
      <c r="AL49" s="175">
        <f t="shared" si="10"/>
        <v>0</v>
      </c>
      <c r="AM49" s="175">
        <f t="shared" si="11"/>
        <v>19.333333333333332</v>
      </c>
    </row>
    <row r="50" spans="1:39">
      <c r="A50" s="136">
        <v>43</v>
      </c>
      <c r="B50" s="136" t="s">
        <v>1725</v>
      </c>
      <c r="C50" s="191" t="s">
        <v>1702</v>
      </c>
      <c r="D50" s="136" t="s">
        <v>1726</v>
      </c>
      <c r="E50" s="160" t="s">
        <v>15</v>
      </c>
      <c r="F50" s="160">
        <v>10</v>
      </c>
      <c r="G50" s="136"/>
      <c r="H50" s="136"/>
      <c r="I50" s="136">
        <f t="shared" si="0"/>
        <v>0</v>
      </c>
      <c r="J50" s="156"/>
      <c r="K50" s="156"/>
      <c r="L50" s="156">
        <f t="shared" si="1"/>
        <v>0</v>
      </c>
      <c r="M50" s="156"/>
      <c r="N50" s="156"/>
      <c r="O50" s="156">
        <f t="shared" si="2"/>
        <v>0</v>
      </c>
      <c r="P50" s="156"/>
      <c r="Q50" s="156"/>
      <c r="R50" s="156">
        <f t="shared" si="3"/>
        <v>0</v>
      </c>
      <c r="S50" s="156"/>
      <c r="T50" s="156"/>
      <c r="U50" s="156">
        <f t="shared" si="4"/>
        <v>0</v>
      </c>
      <c r="V50" s="51"/>
      <c r="W50" s="51"/>
      <c r="X50" s="51">
        <f t="shared" si="5"/>
        <v>0</v>
      </c>
      <c r="Y50" s="51"/>
      <c r="Z50" s="51"/>
      <c r="AA50" s="51"/>
      <c r="AB50" s="51"/>
      <c r="AC50" s="51"/>
      <c r="AD50" s="51"/>
      <c r="AE50" s="51"/>
      <c r="AF50" s="51"/>
      <c r="AG50" s="51"/>
      <c r="AH50" s="174">
        <f t="shared" si="6"/>
        <v>0</v>
      </c>
      <c r="AI50" s="174">
        <f t="shared" si="7"/>
        <v>0</v>
      </c>
      <c r="AJ50" s="174">
        <f t="shared" si="8"/>
        <v>0</v>
      </c>
      <c r="AK50" s="175">
        <f t="shared" si="9"/>
        <v>0</v>
      </c>
      <c r="AL50" s="175">
        <f t="shared" si="10"/>
        <v>0</v>
      </c>
      <c r="AM50" s="175">
        <f t="shared" si="11"/>
        <v>0</v>
      </c>
    </row>
    <row r="51" spans="1:39">
      <c r="A51" s="136">
        <v>44</v>
      </c>
      <c r="B51" s="136" t="s">
        <v>1727</v>
      </c>
      <c r="C51" s="191" t="s">
        <v>1702</v>
      </c>
      <c r="D51" s="136" t="s">
        <v>1728</v>
      </c>
      <c r="E51" s="160" t="s">
        <v>15</v>
      </c>
      <c r="F51" s="160">
        <v>9</v>
      </c>
      <c r="G51" s="136"/>
      <c r="H51" s="136"/>
      <c r="I51" s="136">
        <f t="shared" si="0"/>
        <v>0</v>
      </c>
      <c r="J51" s="156"/>
      <c r="K51" s="156"/>
      <c r="L51" s="156">
        <f t="shared" si="1"/>
        <v>0</v>
      </c>
      <c r="M51" s="156"/>
      <c r="N51" s="156"/>
      <c r="O51" s="156">
        <f t="shared" si="2"/>
        <v>0</v>
      </c>
      <c r="P51" s="156"/>
      <c r="Q51" s="156"/>
      <c r="R51" s="156">
        <f t="shared" si="3"/>
        <v>0</v>
      </c>
      <c r="S51" s="156"/>
      <c r="T51" s="156"/>
      <c r="U51" s="156">
        <f t="shared" si="4"/>
        <v>0</v>
      </c>
      <c r="V51" s="51"/>
      <c r="W51" s="51"/>
      <c r="X51" s="51">
        <f t="shared" si="5"/>
        <v>0</v>
      </c>
      <c r="Y51" s="51"/>
      <c r="Z51" s="51"/>
      <c r="AA51" s="51"/>
      <c r="AB51" s="51">
        <v>10</v>
      </c>
      <c r="AC51" s="51"/>
      <c r="AD51" s="51"/>
      <c r="AE51" s="51"/>
      <c r="AF51" s="51"/>
      <c r="AG51" s="51"/>
      <c r="AH51" s="174">
        <f t="shared" si="6"/>
        <v>0</v>
      </c>
      <c r="AI51" s="174">
        <f t="shared" si="7"/>
        <v>0</v>
      </c>
      <c r="AJ51" s="174">
        <f t="shared" si="8"/>
        <v>0</v>
      </c>
      <c r="AK51" s="175">
        <f t="shared" si="9"/>
        <v>0</v>
      </c>
      <c r="AL51" s="175">
        <f t="shared" si="10"/>
        <v>0</v>
      </c>
      <c r="AM51" s="175">
        <f t="shared" si="11"/>
        <v>0</v>
      </c>
    </row>
    <row r="52" spans="1:39">
      <c r="A52" s="136">
        <v>45</v>
      </c>
      <c r="B52" s="136" t="s">
        <v>1729</v>
      </c>
      <c r="C52" s="191" t="s">
        <v>1702</v>
      </c>
      <c r="D52" s="136" t="s">
        <v>1730</v>
      </c>
      <c r="E52" s="160" t="s">
        <v>15</v>
      </c>
      <c r="F52" s="160">
        <v>6</v>
      </c>
      <c r="G52" s="136"/>
      <c r="H52" s="136"/>
      <c r="I52" s="136">
        <f t="shared" si="0"/>
        <v>0</v>
      </c>
      <c r="J52" s="156"/>
      <c r="K52" s="156"/>
      <c r="L52" s="156">
        <f t="shared" si="1"/>
        <v>0</v>
      </c>
      <c r="M52" s="156"/>
      <c r="N52" s="156"/>
      <c r="O52" s="156">
        <f t="shared" si="2"/>
        <v>0</v>
      </c>
      <c r="P52" s="156"/>
      <c r="Q52" s="156"/>
      <c r="R52" s="156">
        <f t="shared" si="3"/>
        <v>0</v>
      </c>
      <c r="S52" s="156"/>
      <c r="T52" s="156"/>
      <c r="U52" s="156">
        <f t="shared" si="4"/>
        <v>0</v>
      </c>
      <c r="V52" s="51"/>
      <c r="W52" s="51"/>
      <c r="X52" s="51">
        <f t="shared" si="5"/>
        <v>0</v>
      </c>
      <c r="Y52" s="51"/>
      <c r="Z52" s="51"/>
      <c r="AA52" s="51"/>
      <c r="AB52" s="51"/>
      <c r="AC52" s="51"/>
      <c r="AD52" s="51"/>
      <c r="AE52" s="51"/>
      <c r="AF52" s="51"/>
      <c r="AG52" s="51"/>
      <c r="AH52" s="174">
        <f t="shared" si="6"/>
        <v>0</v>
      </c>
      <c r="AI52" s="174">
        <f t="shared" si="7"/>
        <v>0</v>
      </c>
      <c r="AJ52" s="174">
        <f t="shared" si="8"/>
        <v>0</v>
      </c>
      <c r="AK52" s="175">
        <f t="shared" si="9"/>
        <v>0</v>
      </c>
      <c r="AL52" s="175">
        <f t="shared" si="10"/>
        <v>0</v>
      </c>
      <c r="AM52" s="175">
        <f t="shared" si="11"/>
        <v>0</v>
      </c>
    </row>
    <row r="53" spans="1:39">
      <c r="A53" s="136">
        <v>46</v>
      </c>
      <c r="B53" s="136" t="s">
        <v>1731</v>
      </c>
      <c r="C53" s="191" t="s">
        <v>1702</v>
      </c>
      <c r="D53" s="136" t="s">
        <v>1732</v>
      </c>
      <c r="E53" s="160" t="s">
        <v>15</v>
      </c>
      <c r="F53" s="160">
        <v>3</v>
      </c>
      <c r="G53" s="136"/>
      <c r="H53" s="136"/>
      <c r="I53" s="136">
        <f t="shared" si="0"/>
        <v>0</v>
      </c>
      <c r="J53" s="156"/>
      <c r="K53" s="156"/>
      <c r="L53" s="156">
        <f t="shared" si="1"/>
        <v>0</v>
      </c>
      <c r="M53" s="156"/>
      <c r="N53" s="156"/>
      <c r="O53" s="156">
        <f t="shared" si="2"/>
        <v>0</v>
      </c>
      <c r="P53" s="156"/>
      <c r="Q53" s="156"/>
      <c r="R53" s="156">
        <f t="shared" si="3"/>
        <v>0</v>
      </c>
      <c r="S53" s="156"/>
      <c r="T53" s="156"/>
      <c r="U53" s="156">
        <f t="shared" si="4"/>
        <v>0</v>
      </c>
      <c r="V53" s="51"/>
      <c r="W53" s="51"/>
      <c r="X53" s="51">
        <f t="shared" si="5"/>
        <v>0</v>
      </c>
      <c r="Y53" s="51"/>
      <c r="Z53" s="51"/>
      <c r="AA53" s="51"/>
      <c r="AB53" s="51"/>
      <c r="AC53" s="51"/>
      <c r="AD53" s="51"/>
      <c r="AE53" s="51"/>
      <c r="AF53" s="51"/>
      <c r="AG53" s="51"/>
      <c r="AH53" s="174">
        <f t="shared" si="6"/>
        <v>0</v>
      </c>
      <c r="AI53" s="174">
        <f t="shared" si="7"/>
        <v>0</v>
      </c>
      <c r="AJ53" s="174">
        <f t="shared" si="8"/>
        <v>0</v>
      </c>
      <c r="AK53" s="175">
        <f t="shared" si="9"/>
        <v>0</v>
      </c>
      <c r="AL53" s="175">
        <f t="shared" si="10"/>
        <v>0</v>
      </c>
      <c r="AM53" s="175">
        <f t="shared" si="11"/>
        <v>0</v>
      </c>
    </row>
    <row r="54" spans="1:39">
      <c r="A54" s="136">
        <v>47</v>
      </c>
      <c r="B54" s="136" t="s">
        <v>1733</v>
      </c>
      <c r="C54" s="191" t="s">
        <v>1702</v>
      </c>
      <c r="D54" s="136" t="s">
        <v>1734</v>
      </c>
      <c r="E54" s="160" t="s">
        <v>15</v>
      </c>
      <c r="F54" s="160">
        <v>3</v>
      </c>
      <c r="G54" s="136">
        <v>36</v>
      </c>
      <c r="H54" s="136">
        <v>20</v>
      </c>
      <c r="I54" s="136">
        <f t="shared" si="0"/>
        <v>56</v>
      </c>
      <c r="J54" s="156"/>
      <c r="K54" s="156"/>
      <c r="L54" s="156">
        <f t="shared" si="1"/>
        <v>0</v>
      </c>
      <c r="M54" s="156"/>
      <c r="N54" s="156"/>
      <c r="O54" s="156">
        <f t="shared" si="2"/>
        <v>0</v>
      </c>
      <c r="P54" s="156"/>
      <c r="Q54" s="156"/>
      <c r="R54" s="156">
        <f t="shared" si="3"/>
        <v>0</v>
      </c>
      <c r="S54" s="156"/>
      <c r="T54" s="156"/>
      <c r="U54" s="156">
        <f t="shared" si="4"/>
        <v>0</v>
      </c>
      <c r="V54" s="51"/>
      <c r="W54" s="51"/>
      <c r="X54" s="51">
        <f t="shared" si="5"/>
        <v>0</v>
      </c>
      <c r="Y54" s="51"/>
      <c r="Z54" s="51"/>
      <c r="AA54" s="51"/>
      <c r="AB54" s="51"/>
      <c r="AC54" s="51"/>
      <c r="AD54" s="51"/>
      <c r="AE54" s="51"/>
      <c r="AF54" s="51"/>
      <c r="AG54" s="51"/>
      <c r="AH54" s="174">
        <f t="shared" si="6"/>
        <v>36</v>
      </c>
      <c r="AI54" s="174">
        <f t="shared" si="7"/>
        <v>20</v>
      </c>
      <c r="AJ54" s="174">
        <f t="shared" si="8"/>
        <v>56</v>
      </c>
      <c r="AK54" s="175">
        <f t="shared" si="9"/>
        <v>6</v>
      </c>
      <c r="AL54" s="175">
        <f t="shared" si="10"/>
        <v>3.3333333333333335</v>
      </c>
      <c r="AM54" s="175">
        <f t="shared" si="11"/>
        <v>9.3333333333333339</v>
      </c>
    </row>
    <row r="55" spans="1:39">
      <c r="A55" s="136">
        <v>48</v>
      </c>
      <c r="B55" s="136" t="s">
        <v>1735</v>
      </c>
      <c r="C55" s="191" t="s">
        <v>1702</v>
      </c>
      <c r="D55" s="136" t="s">
        <v>1736</v>
      </c>
      <c r="E55" s="160" t="s">
        <v>15</v>
      </c>
      <c r="F55" s="160">
        <v>50</v>
      </c>
      <c r="G55" s="136">
        <v>32</v>
      </c>
      <c r="H55" s="136"/>
      <c r="I55" s="136">
        <f t="shared" si="0"/>
        <v>32</v>
      </c>
      <c r="J55" s="156"/>
      <c r="K55" s="156"/>
      <c r="L55" s="156">
        <f t="shared" si="1"/>
        <v>0</v>
      </c>
      <c r="M55" s="156"/>
      <c r="N55" s="156"/>
      <c r="O55" s="156">
        <f t="shared" si="2"/>
        <v>0</v>
      </c>
      <c r="P55" s="156"/>
      <c r="Q55" s="156"/>
      <c r="R55" s="156">
        <f t="shared" si="3"/>
        <v>0</v>
      </c>
      <c r="S55" s="156"/>
      <c r="T55" s="156"/>
      <c r="U55" s="156">
        <f t="shared" si="4"/>
        <v>0</v>
      </c>
      <c r="V55" s="51"/>
      <c r="W55" s="51"/>
      <c r="X55" s="51">
        <f t="shared" si="5"/>
        <v>0</v>
      </c>
      <c r="Y55" s="51"/>
      <c r="Z55" s="51"/>
      <c r="AA55" s="51"/>
      <c r="AB55" s="51">
        <v>60</v>
      </c>
      <c r="AC55" s="51"/>
      <c r="AD55" s="51"/>
      <c r="AE55" s="51"/>
      <c r="AF55" s="51"/>
      <c r="AG55" s="51"/>
      <c r="AH55" s="174">
        <f t="shared" si="6"/>
        <v>32</v>
      </c>
      <c r="AI55" s="174">
        <f t="shared" si="7"/>
        <v>0</v>
      </c>
      <c r="AJ55" s="174">
        <f t="shared" si="8"/>
        <v>32</v>
      </c>
      <c r="AK55" s="175">
        <f t="shared" si="9"/>
        <v>5.333333333333333</v>
      </c>
      <c r="AL55" s="175">
        <f t="shared" si="10"/>
        <v>0</v>
      </c>
      <c r="AM55" s="175">
        <f t="shared" si="11"/>
        <v>5.333333333333333</v>
      </c>
    </row>
    <row r="56" spans="1:39">
      <c r="A56" s="136">
        <v>49</v>
      </c>
      <c r="B56" s="136" t="s">
        <v>1737</v>
      </c>
      <c r="C56" s="191" t="s">
        <v>1702</v>
      </c>
      <c r="D56" s="136" t="s">
        <v>1738</v>
      </c>
      <c r="E56" s="160" t="s">
        <v>15</v>
      </c>
      <c r="F56" s="160">
        <v>3</v>
      </c>
      <c r="G56" s="136"/>
      <c r="H56" s="136"/>
      <c r="I56" s="136">
        <f t="shared" si="0"/>
        <v>0</v>
      </c>
      <c r="J56" s="156"/>
      <c r="K56" s="156"/>
      <c r="L56" s="156">
        <f t="shared" si="1"/>
        <v>0</v>
      </c>
      <c r="M56" s="156"/>
      <c r="N56" s="156"/>
      <c r="O56" s="156">
        <f t="shared" si="2"/>
        <v>0</v>
      </c>
      <c r="P56" s="156"/>
      <c r="Q56" s="156"/>
      <c r="R56" s="156">
        <f t="shared" si="3"/>
        <v>0</v>
      </c>
      <c r="S56" s="156"/>
      <c r="T56" s="156"/>
      <c r="U56" s="156">
        <f t="shared" si="4"/>
        <v>0</v>
      </c>
      <c r="V56" s="51"/>
      <c r="W56" s="51"/>
      <c r="X56" s="51">
        <f t="shared" si="5"/>
        <v>0</v>
      </c>
      <c r="Y56" s="51"/>
      <c r="Z56" s="51"/>
      <c r="AA56" s="51"/>
      <c r="AB56" s="51"/>
      <c r="AC56" s="51"/>
      <c r="AD56" s="51"/>
      <c r="AE56" s="51"/>
      <c r="AF56" s="51"/>
      <c r="AG56" s="51"/>
      <c r="AH56" s="174">
        <f t="shared" si="6"/>
        <v>0</v>
      </c>
      <c r="AI56" s="174">
        <f t="shared" si="7"/>
        <v>0</v>
      </c>
      <c r="AJ56" s="174">
        <f t="shared" si="8"/>
        <v>0</v>
      </c>
      <c r="AK56" s="175">
        <f t="shared" si="9"/>
        <v>0</v>
      </c>
      <c r="AL56" s="175">
        <f t="shared" si="10"/>
        <v>0</v>
      </c>
      <c r="AM56" s="175">
        <f t="shared" si="11"/>
        <v>0</v>
      </c>
    </row>
    <row r="57" spans="1:39">
      <c r="A57" s="136">
        <v>50</v>
      </c>
      <c r="B57" s="136" t="s">
        <v>1739</v>
      </c>
      <c r="C57" s="191" t="s">
        <v>1702</v>
      </c>
      <c r="D57" s="136" t="s">
        <v>1740</v>
      </c>
      <c r="E57" s="160" t="s">
        <v>15</v>
      </c>
      <c r="F57" s="160">
        <v>6</v>
      </c>
      <c r="G57" s="136"/>
      <c r="H57" s="136"/>
      <c r="I57" s="136">
        <f t="shared" si="0"/>
        <v>0</v>
      </c>
      <c r="J57" s="156"/>
      <c r="K57" s="156"/>
      <c r="L57" s="156">
        <f t="shared" si="1"/>
        <v>0</v>
      </c>
      <c r="M57" s="156"/>
      <c r="N57" s="156"/>
      <c r="O57" s="156">
        <f t="shared" si="2"/>
        <v>0</v>
      </c>
      <c r="P57" s="156"/>
      <c r="Q57" s="156"/>
      <c r="R57" s="156">
        <f t="shared" si="3"/>
        <v>0</v>
      </c>
      <c r="S57" s="156"/>
      <c r="T57" s="156"/>
      <c r="U57" s="156">
        <f t="shared" si="4"/>
        <v>0</v>
      </c>
      <c r="V57" s="51"/>
      <c r="W57" s="51"/>
      <c r="X57" s="51">
        <f t="shared" si="5"/>
        <v>0</v>
      </c>
      <c r="Y57" s="51"/>
      <c r="Z57" s="51"/>
      <c r="AA57" s="51"/>
      <c r="AB57" s="51"/>
      <c r="AC57" s="51"/>
      <c r="AD57" s="51"/>
      <c r="AE57" s="51"/>
      <c r="AF57" s="51"/>
      <c r="AG57" s="51"/>
      <c r="AH57" s="174">
        <f t="shared" si="6"/>
        <v>0</v>
      </c>
      <c r="AI57" s="174">
        <f t="shared" si="7"/>
        <v>0</v>
      </c>
      <c r="AJ57" s="174">
        <f t="shared" si="8"/>
        <v>0</v>
      </c>
      <c r="AK57" s="175">
        <f t="shared" si="9"/>
        <v>0</v>
      </c>
      <c r="AL57" s="175">
        <f t="shared" si="10"/>
        <v>0</v>
      </c>
      <c r="AM57" s="175">
        <f t="shared" si="11"/>
        <v>0</v>
      </c>
    </row>
    <row r="58" spans="1:39">
      <c r="A58" s="190">
        <v>51</v>
      </c>
      <c r="B58" s="194" t="s">
        <v>1741</v>
      </c>
      <c r="C58" s="193" t="s">
        <v>1702</v>
      </c>
      <c r="D58" s="190" t="s">
        <v>1742</v>
      </c>
      <c r="E58" s="189" t="s">
        <v>15</v>
      </c>
      <c r="F58" s="189">
        <v>923</v>
      </c>
      <c r="G58" s="190">
        <v>443</v>
      </c>
      <c r="H58" s="190">
        <v>72</v>
      </c>
      <c r="I58" s="190">
        <f t="shared" si="0"/>
        <v>515</v>
      </c>
      <c r="J58" s="196">
        <v>392</v>
      </c>
      <c r="K58" s="196"/>
      <c r="L58" s="196">
        <f t="shared" si="1"/>
        <v>392</v>
      </c>
      <c r="M58" s="196">
        <v>530</v>
      </c>
      <c r="N58" s="196">
        <v>140</v>
      </c>
      <c r="O58" s="196">
        <v>530</v>
      </c>
      <c r="P58" s="196">
        <v>414</v>
      </c>
      <c r="Q58" s="196">
        <v>126</v>
      </c>
      <c r="R58" s="196">
        <f t="shared" si="3"/>
        <v>540</v>
      </c>
      <c r="S58" s="196">
        <v>169</v>
      </c>
      <c r="T58" s="196">
        <v>78</v>
      </c>
      <c r="U58" s="196">
        <f t="shared" si="4"/>
        <v>247</v>
      </c>
      <c r="V58" s="198">
        <v>2864</v>
      </c>
      <c r="W58" s="198">
        <v>42</v>
      </c>
      <c r="X58" s="198">
        <f t="shared" si="5"/>
        <v>2906</v>
      </c>
      <c r="Y58" s="198"/>
      <c r="Z58" s="198"/>
      <c r="AA58" s="198"/>
      <c r="AB58" s="198">
        <v>320</v>
      </c>
      <c r="AC58" s="198"/>
      <c r="AD58" s="198"/>
      <c r="AE58" s="198"/>
      <c r="AF58" s="198"/>
      <c r="AG58" s="198"/>
      <c r="AH58" s="138">
        <f t="shared" si="6"/>
        <v>4812</v>
      </c>
      <c r="AI58" s="138">
        <f t="shared" si="7"/>
        <v>458</v>
      </c>
      <c r="AJ58" s="138">
        <f t="shared" si="8"/>
        <v>5130</v>
      </c>
      <c r="AK58" s="139">
        <f t="shared" si="9"/>
        <v>802</v>
      </c>
      <c r="AL58" s="139">
        <f t="shared" si="10"/>
        <v>76.333333333333329</v>
      </c>
      <c r="AM58" s="139">
        <f t="shared" si="11"/>
        <v>855</v>
      </c>
    </row>
    <row r="59" spans="1:39">
      <c r="A59" s="190">
        <v>52</v>
      </c>
      <c r="B59" s="194" t="s">
        <v>1743</v>
      </c>
      <c r="C59" s="190" t="s">
        <v>1702</v>
      </c>
      <c r="D59" s="190" t="s">
        <v>1744</v>
      </c>
      <c r="E59" s="189" t="s">
        <v>15</v>
      </c>
      <c r="F59" s="189">
        <v>14</v>
      </c>
      <c r="G59" s="190">
        <v>0</v>
      </c>
      <c r="H59" s="190">
        <v>0</v>
      </c>
      <c r="I59" s="190">
        <f t="shared" si="0"/>
        <v>0</v>
      </c>
      <c r="J59" s="196"/>
      <c r="K59" s="196"/>
      <c r="L59" s="196">
        <f t="shared" si="1"/>
        <v>0</v>
      </c>
      <c r="M59" s="196"/>
      <c r="N59" s="196"/>
      <c r="O59" s="196">
        <f t="shared" si="2"/>
        <v>0</v>
      </c>
      <c r="P59" s="196"/>
      <c r="Q59" s="196"/>
      <c r="R59" s="196">
        <f t="shared" si="3"/>
        <v>0</v>
      </c>
      <c r="S59" s="196"/>
      <c r="T59" s="196"/>
      <c r="U59" s="196">
        <f t="shared" si="4"/>
        <v>0</v>
      </c>
      <c r="V59" s="198"/>
      <c r="W59" s="198"/>
      <c r="X59" s="198">
        <f t="shared" si="5"/>
        <v>0</v>
      </c>
      <c r="Y59" s="198"/>
      <c r="Z59" s="198"/>
      <c r="AA59" s="198"/>
      <c r="AB59" s="198"/>
      <c r="AC59" s="198"/>
      <c r="AD59" s="198"/>
      <c r="AE59" s="198"/>
      <c r="AF59" s="198"/>
      <c r="AG59" s="198"/>
      <c r="AH59" s="138">
        <f t="shared" si="6"/>
        <v>0</v>
      </c>
      <c r="AI59" s="138">
        <f t="shared" si="7"/>
        <v>0</v>
      </c>
      <c r="AJ59" s="138">
        <f t="shared" si="8"/>
        <v>0</v>
      </c>
      <c r="AK59" s="139">
        <f t="shared" si="9"/>
        <v>0</v>
      </c>
      <c r="AL59" s="139">
        <f t="shared" si="10"/>
        <v>0</v>
      </c>
      <c r="AM59" s="139">
        <f t="shared" si="11"/>
        <v>0</v>
      </c>
    </row>
    <row r="60" spans="1:39">
      <c r="A60" s="136">
        <v>53</v>
      </c>
      <c r="B60" s="136" t="s">
        <v>1745</v>
      </c>
      <c r="C60" s="136" t="s">
        <v>1746</v>
      </c>
      <c r="D60" s="136" t="s">
        <v>1747</v>
      </c>
      <c r="E60" s="160" t="s">
        <v>15</v>
      </c>
      <c r="F60" s="160">
        <v>40</v>
      </c>
      <c r="G60" s="136"/>
      <c r="H60" s="136"/>
      <c r="I60" s="136">
        <f t="shared" si="0"/>
        <v>0</v>
      </c>
      <c r="J60" s="156"/>
      <c r="K60" s="156"/>
      <c r="L60" s="156">
        <f t="shared" si="1"/>
        <v>0</v>
      </c>
      <c r="M60" s="156"/>
      <c r="N60" s="156"/>
      <c r="O60" s="156">
        <f t="shared" si="2"/>
        <v>0</v>
      </c>
      <c r="P60" s="156"/>
      <c r="Q60" s="156"/>
      <c r="R60" s="156">
        <f t="shared" si="3"/>
        <v>0</v>
      </c>
      <c r="S60" s="156"/>
      <c r="T60" s="156"/>
      <c r="U60" s="156">
        <f t="shared" si="4"/>
        <v>0</v>
      </c>
      <c r="V60" s="51"/>
      <c r="W60" s="51"/>
      <c r="X60" s="51">
        <f t="shared" si="5"/>
        <v>0</v>
      </c>
      <c r="Y60" s="51"/>
      <c r="Z60" s="51"/>
      <c r="AA60" s="51"/>
      <c r="AB60" s="51">
        <v>20</v>
      </c>
      <c r="AC60" s="51"/>
      <c r="AD60" s="51"/>
      <c r="AE60" s="51"/>
      <c r="AF60" s="51"/>
      <c r="AG60" s="51"/>
      <c r="AH60" s="174">
        <f t="shared" si="6"/>
        <v>0</v>
      </c>
      <c r="AI60" s="174">
        <f t="shared" si="7"/>
        <v>0</v>
      </c>
      <c r="AJ60" s="174">
        <f t="shared" si="8"/>
        <v>0</v>
      </c>
      <c r="AK60" s="175">
        <f t="shared" si="9"/>
        <v>0</v>
      </c>
      <c r="AL60" s="175">
        <f t="shared" si="10"/>
        <v>0</v>
      </c>
      <c r="AM60" s="175">
        <f t="shared" si="11"/>
        <v>0</v>
      </c>
    </row>
    <row r="61" spans="1:39">
      <c r="A61" s="136">
        <v>54</v>
      </c>
      <c r="B61" s="136" t="s">
        <v>1748</v>
      </c>
      <c r="C61" s="136" t="s">
        <v>1746</v>
      </c>
      <c r="D61" s="136" t="s">
        <v>1749</v>
      </c>
      <c r="E61" s="160" t="s">
        <v>15</v>
      </c>
      <c r="F61" s="160">
        <v>80</v>
      </c>
      <c r="G61" s="136"/>
      <c r="H61" s="136"/>
      <c r="I61" s="136">
        <f t="shared" si="0"/>
        <v>0</v>
      </c>
      <c r="J61" s="156"/>
      <c r="K61" s="156"/>
      <c r="L61" s="156">
        <f t="shared" si="1"/>
        <v>0</v>
      </c>
      <c r="M61" s="156"/>
      <c r="N61" s="156"/>
      <c r="O61" s="156">
        <f t="shared" si="2"/>
        <v>0</v>
      </c>
      <c r="P61" s="156"/>
      <c r="Q61" s="156"/>
      <c r="R61" s="156">
        <f t="shared" si="3"/>
        <v>0</v>
      </c>
      <c r="S61" s="156"/>
      <c r="T61" s="156"/>
      <c r="U61" s="156">
        <f t="shared" si="4"/>
        <v>0</v>
      </c>
      <c r="V61" s="51"/>
      <c r="W61" s="51"/>
      <c r="X61" s="51">
        <f t="shared" si="5"/>
        <v>0</v>
      </c>
      <c r="Y61" s="51"/>
      <c r="Z61" s="51"/>
      <c r="AA61" s="51"/>
      <c r="AB61" s="51"/>
      <c r="AC61" s="51"/>
      <c r="AD61" s="51"/>
      <c r="AE61" s="51"/>
      <c r="AF61" s="51"/>
      <c r="AG61" s="51"/>
      <c r="AH61" s="174">
        <f t="shared" si="6"/>
        <v>0</v>
      </c>
      <c r="AI61" s="174">
        <f t="shared" si="7"/>
        <v>0</v>
      </c>
      <c r="AJ61" s="174">
        <f t="shared" si="8"/>
        <v>0</v>
      </c>
      <c r="AK61" s="175">
        <f t="shared" si="9"/>
        <v>0</v>
      </c>
      <c r="AL61" s="175">
        <f t="shared" si="10"/>
        <v>0</v>
      </c>
      <c r="AM61" s="175">
        <f t="shared" si="11"/>
        <v>0</v>
      </c>
    </row>
    <row r="62" spans="1:39">
      <c r="A62" s="136">
        <v>55</v>
      </c>
      <c r="B62" s="136" t="s">
        <v>1750</v>
      </c>
      <c r="C62" s="136" t="s">
        <v>1746</v>
      </c>
      <c r="D62" s="136" t="s">
        <v>1751</v>
      </c>
      <c r="E62" s="160" t="s">
        <v>15</v>
      </c>
      <c r="F62" s="160">
        <v>100</v>
      </c>
      <c r="G62" s="136">
        <v>60</v>
      </c>
      <c r="H62" s="136"/>
      <c r="I62" s="136">
        <f t="shared" si="0"/>
        <v>60</v>
      </c>
      <c r="J62" s="156"/>
      <c r="K62" s="156"/>
      <c r="L62" s="156">
        <f t="shared" si="1"/>
        <v>0</v>
      </c>
      <c r="M62" s="156"/>
      <c r="N62" s="156">
        <v>70</v>
      </c>
      <c r="O62" s="156">
        <f t="shared" si="2"/>
        <v>70</v>
      </c>
      <c r="P62" s="156"/>
      <c r="Q62" s="156"/>
      <c r="R62" s="156">
        <f t="shared" si="3"/>
        <v>0</v>
      </c>
      <c r="S62" s="156"/>
      <c r="T62" s="156"/>
      <c r="U62" s="156">
        <f t="shared" si="4"/>
        <v>0</v>
      </c>
      <c r="V62" s="51"/>
      <c r="W62" s="51"/>
      <c r="X62" s="51">
        <f t="shared" si="5"/>
        <v>0</v>
      </c>
      <c r="Y62" s="51"/>
      <c r="Z62" s="51"/>
      <c r="AA62" s="51"/>
      <c r="AB62" s="51">
        <v>100</v>
      </c>
      <c r="AC62" s="51">
        <v>36</v>
      </c>
      <c r="AD62" s="51"/>
      <c r="AE62" s="51"/>
      <c r="AF62" s="51"/>
      <c r="AG62" s="51"/>
      <c r="AH62" s="174">
        <f t="shared" si="6"/>
        <v>60</v>
      </c>
      <c r="AI62" s="174">
        <f t="shared" si="7"/>
        <v>70</v>
      </c>
      <c r="AJ62" s="174">
        <f t="shared" si="8"/>
        <v>130</v>
      </c>
      <c r="AK62" s="175">
        <f t="shared" si="9"/>
        <v>10</v>
      </c>
      <c r="AL62" s="175">
        <f t="shared" si="10"/>
        <v>11.666666666666666</v>
      </c>
      <c r="AM62" s="175">
        <f t="shared" si="11"/>
        <v>21.666666666666668</v>
      </c>
    </row>
    <row r="63" spans="1:39">
      <c r="A63" s="136">
        <v>56</v>
      </c>
      <c r="B63" s="158" t="s">
        <v>1752</v>
      </c>
      <c r="C63" s="136" t="s">
        <v>1746</v>
      </c>
      <c r="D63" s="136" t="s">
        <v>1753</v>
      </c>
      <c r="E63" s="160" t="s">
        <v>15</v>
      </c>
      <c r="F63" s="160">
        <v>30</v>
      </c>
      <c r="G63" s="136"/>
      <c r="H63" s="136"/>
      <c r="I63" s="136">
        <f t="shared" si="0"/>
        <v>0</v>
      </c>
      <c r="J63" s="156"/>
      <c r="K63" s="156"/>
      <c r="L63" s="156">
        <f t="shared" si="1"/>
        <v>0</v>
      </c>
      <c r="M63" s="156">
        <v>35</v>
      </c>
      <c r="N63" s="156"/>
      <c r="O63" s="156">
        <f t="shared" si="2"/>
        <v>35</v>
      </c>
      <c r="P63" s="156"/>
      <c r="Q63" s="156"/>
      <c r="R63" s="156">
        <f t="shared" si="3"/>
        <v>0</v>
      </c>
      <c r="S63" s="156"/>
      <c r="T63" s="156"/>
      <c r="U63" s="156">
        <f t="shared" si="4"/>
        <v>0</v>
      </c>
      <c r="V63" s="51"/>
      <c r="W63" s="51"/>
      <c r="X63" s="51">
        <f t="shared" si="5"/>
        <v>0</v>
      </c>
      <c r="Y63" s="51"/>
      <c r="Z63" s="51"/>
      <c r="AA63" s="51"/>
      <c r="AB63" s="51">
        <v>35</v>
      </c>
      <c r="AC63" s="51"/>
      <c r="AD63" s="51"/>
      <c r="AE63" s="51"/>
      <c r="AF63" s="51"/>
      <c r="AG63" s="51"/>
      <c r="AH63" s="174">
        <f t="shared" si="6"/>
        <v>35</v>
      </c>
      <c r="AI63" s="174">
        <f t="shared" si="7"/>
        <v>0</v>
      </c>
      <c r="AJ63" s="174">
        <f t="shared" si="8"/>
        <v>35</v>
      </c>
      <c r="AK63" s="175">
        <f t="shared" si="9"/>
        <v>5.833333333333333</v>
      </c>
      <c r="AL63" s="175">
        <f t="shared" si="10"/>
        <v>0</v>
      </c>
      <c r="AM63" s="175">
        <f t="shared" si="11"/>
        <v>5.833333333333333</v>
      </c>
    </row>
    <row r="64" spans="1:39">
      <c r="A64" s="136">
        <v>57</v>
      </c>
      <c r="B64" s="136" t="s">
        <v>1754</v>
      </c>
      <c r="C64" s="136" t="s">
        <v>1746</v>
      </c>
      <c r="D64" s="136" t="s">
        <v>1755</v>
      </c>
      <c r="E64" s="160" t="s">
        <v>15</v>
      </c>
      <c r="F64" s="160">
        <v>3</v>
      </c>
      <c r="G64" s="136"/>
      <c r="H64" s="136"/>
      <c r="I64" s="136">
        <f t="shared" si="0"/>
        <v>0</v>
      </c>
      <c r="J64" s="156"/>
      <c r="K64" s="156"/>
      <c r="L64" s="156">
        <f t="shared" si="1"/>
        <v>0</v>
      </c>
      <c r="M64" s="156"/>
      <c r="N64" s="156"/>
      <c r="O64" s="156">
        <f t="shared" si="2"/>
        <v>0</v>
      </c>
      <c r="P64" s="156"/>
      <c r="Q64" s="156"/>
      <c r="R64" s="156">
        <f t="shared" si="3"/>
        <v>0</v>
      </c>
      <c r="S64" s="156"/>
      <c r="T64" s="156"/>
      <c r="U64" s="156">
        <f t="shared" si="4"/>
        <v>0</v>
      </c>
      <c r="V64" s="51"/>
      <c r="W64" s="51"/>
      <c r="X64" s="51">
        <f t="shared" si="5"/>
        <v>0</v>
      </c>
      <c r="Y64" s="51"/>
      <c r="Z64" s="51"/>
      <c r="AA64" s="51"/>
      <c r="AB64" s="51"/>
      <c r="AC64" s="51"/>
      <c r="AD64" s="51"/>
      <c r="AE64" s="51"/>
      <c r="AF64" s="51"/>
      <c r="AG64" s="51"/>
      <c r="AH64" s="174">
        <f t="shared" si="6"/>
        <v>0</v>
      </c>
      <c r="AI64" s="174">
        <f t="shared" si="7"/>
        <v>0</v>
      </c>
      <c r="AJ64" s="174">
        <f t="shared" si="8"/>
        <v>0</v>
      </c>
      <c r="AK64" s="175">
        <f t="shared" si="9"/>
        <v>0</v>
      </c>
      <c r="AL64" s="175">
        <f t="shared" si="10"/>
        <v>0</v>
      </c>
      <c r="AM64" s="175">
        <f t="shared" si="11"/>
        <v>0</v>
      </c>
    </row>
    <row r="65" spans="1:39">
      <c r="A65" s="136">
        <v>58</v>
      </c>
      <c r="B65" s="136" t="s">
        <v>1756</v>
      </c>
      <c r="C65" s="136" t="s">
        <v>1746</v>
      </c>
      <c r="D65" s="136" t="s">
        <v>1757</v>
      </c>
      <c r="E65" s="160" t="s">
        <v>15</v>
      </c>
      <c r="F65" s="160">
        <v>10</v>
      </c>
      <c r="G65" s="136"/>
      <c r="H65" s="136"/>
      <c r="I65" s="136">
        <f t="shared" si="0"/>
        <v>0</v>
      </c>
      <c r="J65" s="156"/>
      <c r="K65" s="156"/>
      <c r="L65" s="156">
        <f t="shared" si="1"/>
        <v>0</v>
      </c>
      <c r="M65" s="156">
        <v>60</v>
      </c>
      <c r="N65" s="156"/>
      <c r="O65" s="156">
        <f t="shared" si="2"/>
        <v>60</v>
      </c>
      <c r="P65" s="156"/>
      <c r="Q65" s="156"/>
      <c r="R65" s="156">
        <f t="shared" si="3"/>
        <v>0</v>
      </c>
      <c r="S65" s="156"/>
      <c r="T65" s="156"/>
      <c r="U65" s="156">
        <f t="shared" si="4"/>
        <v>0</v>
      </c>
      <c r="V65" s="51"/>
      <c r="W65" s="51"/>
      <c r="X65" s="51">
        <f t="shared" si="5"/>
        <v>0</v>
      </c>
      <c r="Y65" s="51"/>
      <c r="Z65" s="51"/>
      <c r="AA65" s="51"/>
      <c r="AB65" s="51"/>
      <c r="AC65" s="51"/>
      <c r="AD65" s="51"/>
      <c r="AE65" s="51"/>
      <c r="AF65" s="51"/>
      <c r="AG65" s="51"/>
      <c r="AH65" s="174">
        <f t="shared" si="6"/>
        <v>60</v>
      </c>
      <c r="AI65" s="174">
        <f t="shared" si="7"/>
        <v>0</v>
      </c>
      <c r="AJ65" s="174">
        <f t="shared" si="8"/>
        <v>60</v>
      </c>
      <c r="AK65" s="175">
        <f t="shared" si="9"/>
        <v>10</v>
      </c>
      <c r="AL65" s="175">
        <f t="shared" si="10"/>
        <v>0</v>
      </c>
      <c r="AM65" s="175">
        <f t="shared" si="11"/>
        <v>10</v>
      </c>
    </row>
    <row r="66" spans="1:39">
      <c r="A66" s="136">
        <v>59</v>
      </c>
      <c r="B66" s="136" t="s">
        <v>1758</v>
      </c>
      <c r="C66" s="136" t="s">
        <v>1746</v>
      </c>
      <c r="D66" s="136" t="s">
        <v>1759</v>
      </c>
      <c r="E66" s="160" t="s">
        <v>15</v>
      </c>
      <c r="F66" s="160">
        <v>10</v>
      </c>
      <c r="G66" s="136"/>
      <c r="H66" s="136"/>
      <c r="I66" s="136">
        <f t="shared" si="0"/>
        <v>0</v>
      </c>
      <c r="J66" s="156"/>
      <c r="K66" s="156"/>
      <c r="L66" s="156">
        <f t="shared" si="1"/>
        <v>0</v>
      </c>
      <c r="M66" s="156">
        <v>50</v>
      </c>
      <c r="N66" s="156"/>
      <c r="O66" s="156">
        <f t="shared" si="2"/>
        <v>50</v>
      </c>
      <c r="P66" s="156"/>
      <c r="Q66" s="156"/>
      <c r="R66" s="156">
        <f t="shared" si="3"/>
        <v>0</v>
      </c>
      <c r="S66" s="156"/>
      <c r="T66" s="156"/>
      <c r="U66" s="156">
        <f t="shared" si="4"/>
        <v>0</v>
      </c>
      <c r="V66" s="51"/>
      <c r="W66" s="51"/>
      <c r="X66" s="51">
        <f t="shared" si="5"/>
        <v>0</v>
      </c>
      <c r="Y66" s="51"/>
      <c r="Z66" s="51"/>
      <c r="AA66" s="51"/>
      <c r="AB66" s="51"/>
      <c r="AC66" s="51"/>
      <c r="AD66" s="51"/>
      <c r="AE66" s="51"/>
      <c r="AF66" s="51"/>
      <c r="AG66" s="51"/>
      <c r="AH66" s="174">
        <f t="shared" si="6"/>
        <v>50</v>
      </c>
      <c r="AI66" s="174">
        <f t="shared" si="7"/>
        <v>0</v>
      </c>
      <c r="AJ66" s="174">
        <f t="shared" si="8"/>
        <v>50</v>
      </c>
      <c r="AK66" s="175">
        <f t="shared" si="9"/>
        <v>8.3333333333333339</v>
      </c>
      <c r="AL66" s="175">
        <f t="shared" si="10"/>
        <v>0</v>
      </c>
      <c r="AM66" s="175">
        <f t="shared" si="11"/>
        <v>8.3333333333333339</v>
      </c>
    </row>
    <row r="67" spans="1:39">
      <c r="A67" s="136">
        <v>60</v>
      </c>
      <c r="B67" s="136" t="s">
        <v>1760</v>
      </c>
      <c r="C67" s="136" t="s">
        <v>1746</v>
      </c>
      <c r="D67" s="136" t="s">
        <v>1761</v>
      </c>
      <c r="E67" s="160" t="s">
        <v>15</v>
      </c>
      <c r="F67" s="160">
        <v>25</v>
      </c>
      <c r="G67" s="136">
        <v>15</v>
      </c>
      <c r="H67" s="136"/>
      <c r="I67" s="136">
        <f t="shared" si="0"/>
        <v>15</v>
      </c>
      <c r="J67" s="156">
        <v>60</v>
      </c>
      <c r="K67" s="156"/>
      <c r="L67" s="156">
        <f t="shared" si="1"/>
        <v>60</v>
      </c>
      <c r="M67" s="156">
        <v>65</v>
      </c>
      <c r="N67" s="156"/>
      <c r="O67" s="156">
        <f t="shared" si="2"/>
        <v>65</v>
      </c>
      <c r="P67" s="156"/>
      <c r="Q67" s="156"/>
      <c r="R67" s="156">
        <f t="shared" si="3"/>
        <v>0</v>
      </c>
      <c r="S67" s="156">
        <v>10</v>
      </c>
      <c r="T67" s="156"/>
      <c r="U67" s="156">
        <f t="shared" si="4"/>
        <v>10</v>
      </c>
      <c r="V67" s="51"/>
      <c r="W67" s="51">
        <v>6</v>
      </c>
      <c r="X67" s="51">
        <f t="shared" si="5"/>
        <v>6</v>
      </c>
      <c r="Y67" s="51"/>
      <c r="Z67" s="51"/>
      <c r="AA67" s="51"/>
      <c r="AB67" s="51">
        <v>25</v>
      </c>
      <c r="AC67" s="51"/>
      <c r="AD67" s="51"/>
      <c r="AE67" s="51"/>
      <c r="AF67" s="51"/>
      <c r="AG67" s="51"/>
      <c r="AH67" s="174">
        <f t="shared" si="6"/>
        <v>150</v>
      </c>
      <c r="AI67" s="174">
        <f t="shared" si="7"/>
        <v>6</v>
      </c>
      <c r="AJ67" s="174">
        <f t="shared" si="8"/>
        <v>156</v>
      </c>
      <c r="AK67" s="175">
        <f t="shared" si="9"/>
        <v>25</v>
      </c>
      <c r="AL67" s="175">
        <f t="shared" si="10"/>
        <v>1</v>
      </c>
      <c r="AM67" s="175">
        <f t="shared" si="11"/>
        <v>26</v>
      </c>
    </row>
    <row r="68" spans="1:39">
      <c r="A68" s="136">
        <v>61</v>
      </c>
      <c r="B68" s="136" t="s">
        <v>1762</v>
      </c>
      <c r="C68" s="136" t="s">
        <v>1746</v>
      </c>
      <c r="D68" s="136" t="s">
        <v>1763</v>
      </c>
      <c r="E68" s="160" t="s">
        <v>15</v>
      </c>
      <c r="F68" s="160">
        <v>50</v>
      </c>
      <c r="G68" s="136">
        <v>80</v>
      </c>
      <c r="H68" s="136"/>
      <c r="I68" s="136">
        <f t="shared" si="0"/>
        <v>80</v>
      </c>
      <c r="J68" s="156">
        <v>250</v>
      </c>
      <c r="K68" s="156"/>
      <c r="L68" s="156">
        <f t="shared" si="1"/>
        <v>250</v>
      </c>
      <c r="M68" s="156">
        <v>100</v>
      </c>
      <c r="N68" s="156"/>
      <c r="O68" s="156">
        <f t="shared" si="2"/>
        <v>100</v>
      </c>
      <c r="P68" s="156"/>
      <c r="Q68" s="156"/>
      <c r="R68" s="156">
        <f t="shared" si="3"/>
        <v>0</v>
      </c>
      <c r="S68" s="156">
        <v>100</v>
      </c>
      <c r="T68" s="156"/>
      <c r="U68" s="156">
        <f t="shared" si="4"/>
        <v>100</v>
      </c>
      <c r="V68" s="51"/>
      <c r="W68" s="51">
        <v>30</v>
      </c>
      <c r="X68" s="51">
        <f t="shared" si="5"/>
        <v>30</v>
      </c>
      <c r="Y68" s="51"/>
      <c r="Z68" s="51"/>
      <c r="AA68" s="51"/>
      <c r="AB68" s="51">
        <v>200</v>
      </c>
      <c r="AC68" s="51"/>
      <c r="AD68" s="51"/>
      <c r="AE68" s="51"/>
      <c r="AF68" s="51"/>
      <c r="AG68" s="51"/>
      <c r="AH68" s="174">
        <f t="shared" si="6"/>
        <v>530</v>
      </c>
      <c r="AI68" s="174">
        <f t="shared" si="7"/>
        <v>30</v>
      </c>
      <c r="AJ68" s="174">
        <f t="shared" si="8"/>
        <v>560</v>
      </c>
      <c r="AK68" s="175">
        <f t="shared" si="9"/>
        <v>88.333333333333329</v>
      </c>
      <c r="AL68" s="175">
        <f t="shared" si="10"/>
        <v>5</v>
      </c>
      <c r="AM68" s="175">
        <f t="shared" si="11"/>
        <v>93.333333333333329</v>
      </c>
    </row>
    <row r="69" spans="1:39">
      <c r="A69" s="136">
        <v>62</v>
      </c>
      <c r="B69" s="136" t="s">
        <v>1764</v>
      </c>
      <c r="C69" s="136" t="s">
        <v>1746</v>
      </c>
      <c r="D69" s="136" t="s">
        <v>1765</v>
      </c>
      <c r="E69" s="160" t="s">
        <v>15</v>
      </c>
      <c r="F69" s="160">
        <v>25</v>
      </c>
      <c r="G69" s="136"/>
      <c r="H69" s="136"/>
      <c r="I69" s="136">
        <f t="shared" si="0"/>
        <v>0</v>
      </c>
      <c r="J69" s="156">
        <v>25</v>
      </c>
      <c r="K69" s="156"/>
      <c r="L69" s="156">
        <f t="shared" si="1"/>
        <v>25</v>
      </c>
      <c r="M69" s="156">
        <v>50</v>
      </c>
      <c r="N69" s="156">
        <v>30</v>
      </c>
      <c r="O69" s="156">
        <f t="shared" si="2"/>
        <v>80</v>
      </c>
      <c r="P69" s="156"/>
      <c r="Q69" s="156"/>
      <c r="R69" s="156">
        <f t="shared" si="3"/>
        <v>0</v>
      </c>
      <c r="S69" s="156"/>
      <c r="T69" s="156"/>
      <c r="U69" s="156">
        <f t="shared" si="4"/>
        <v>0</v>
      </c>
      <c r="V69" s="51"/>
      <c r="W69" s="51">
        <v>20</v>
      </c>
      <c r="X69" s="51">
        <f t="shared" si="5"/>
        <v>20</v>
      </c>
      <c r="Y69" s="51"/>
      <c r="Z69" s="51"/>
      <c r="AA69" s="51"/>
      <c r="AB69" s="51">
        <v>20</v>
      </c>
      <c r="AC69" s="51"/>
      <c r="AD69" s="51"/>
      <c r="AE69" s="51"/>
      <c r="AF69" s="51"/>
      <c r="AG69" s="51"/>
      <c r="AH69" s="174">
        <f t="shared" si="6"/>
        <v>75</v>
      </c>
      <c r="AI69" s="174">
        <f t="shared" si="7"/>
        <v>50</v>
      </c>
      <c r="AJ69" s="174">
        <f t="shared" si="8"/>
        <v>125</v>
      </c>
      <c r="AK69" s="175">
        <f t="shared" si="9"/>
        <v>12.5</v>
      </c>
      <c r="AL69" s="175">
        <f t="shared" si="10"/>
        <v>8.3333333333333339</v>
      </c>
      <c r="AM69" s="175">
        <f t="shared" si="11"/>
        <v>20.833333333333332</v>
      </c>
    </row>
    <row r="70" spans="1:39">
      <c r="A70" s="136">
        <v>63</v>
      </c>
      <c r="B70" s="136" t="s">
        <v>1766</v>
      </c>
      <c r="C70" s="136" t="s">
        <v>1746</v>
      </c>
      <c r="D70" s="136" t="s">
        <v>1767</v>
      </c>
      <c r="E70" s="160" t="s">
        <v>15</v>
      </c>
      <c r="F70" s="160">
        <v>6</v>
      </c>
      <c r="G70" s="136"/>
      <c r="H70" s="136"/>
      <c r="I70" s="136">
        <f t="shared" si="0"/>
        <v>0</v>
      </c>
      <c r="J70" s="156"/>
      <c r="K70" s="156"/>
      <c r="L70" s="156">
        <f t="shared" si="1"/>
        <v>0</v>
      </c>
      <c r="M70" s="156"/>
      <c r="N70" s="156"/>
      <c r="O70" s="156">
        <f t="shared" si="2"/>
        <v>0</v>
      </c>
      <c r="P70" s="156"/>
      <c r="Q70" s="156"/>
      <c r="R70" s="156">
        <f t="shared" si="3"/>
        <v>0</v>
      </c>
      <c r="S70" s="156"/>
      <c r="T70" s="156"/>
      <c r="U70" s="156">
        <f t="shared" si="4"/>
        <v>0</v>
      </c>
      <c r="V70" s="51"/>
      <c r="W70" s="51"/>
      <c r="X70" s="51">
        <f t="shared" si="5"/>
        <v>0</v>
      </c>
      <c r="Y70" s="51"/>
      <c r="Z70" s="51"/>
      <c r="AA70" s="51"/>
      <c r="AB70" s="51"/>
      <c r="AC70" s="51"/>
      <c r="AD70" s="51"/>
      <c r="AE70" s="51"/>
      <c r="AF70" s="51"/>
      <c r="AG70" s="51"/>
      <c r="AH70" s="174">
        <f t="shared" si="6"/>
        <v>0</v>
      </c>
      <c r="AI70" s="174">
        <f t="shared" si="7"/>
        <v>0</v>
      </c>
      <c r="AJ70" s="174">
        <f t="shared" si="8"/>
        <v>0</v>
      </c>
      <c r="AK70" s="175">
        <f t="shared" si="9"/>
        <v>0</v>
      </c>
      <c r="AL70" s="175">
        <f t="shared" si="10"/>
        <v>0</v>
      </c>
      <c r="AM70" s="175">
        <f t="shared" si="11"/>
        <v>0</v>
      </c>
    </row>
    <row r="71" spans="1:39">
      <c r="A71" s="136">
        <v>64</v>
      </c>
      <c r="B71" s="136" t="s">
        <v>1768</v>
      </c>
      <c r="C71" s="136" t="s">
        <v>1746</v>
      </c>
      <c r="D71" s="136" t="s">
        <v>1769</v>
      </c>
      <c r="E71" s="160" t="s">
        <v>15</v>
      </c>
      <c r="F71" s="160">
        <v>3</v>
      </c>
      <c r="G71" s="136"/>
      <c r="H71" s="136"/>
      <c r="I71" s="136">
        <f t="shared" si="0"/>
        <v>0</v>
      </c>
      <c r="J71" s="156"/>
      <c r="K71" s="156"/>
      <c r="L71" s="156">
        <f t="shared" si="1"/>
        <v>0</v>
      </c>
      <c r="M71" s="156"/>
      <c r="N71" s="156"/>
      <c r="O71" s="156">
        <f t="shared" si="2"/>
        <v>0</v>
      </c>
      <c r="P71" s="156"/>
      <c r="Q71" s="156"/>
      <c r="R71" s="156">
        <f t="shared" si="3"/>
        <v>0</v>
      </c>
      <c r="S71" s="156"/>
      <c r="T71" s="156"/>
      <c r="U71" s="156">
        <f t="shared" si="4"/>
        <v>0</v>
      </c>
      <c r="V71" s="51"/>
      <c r="W71" s="51"/>
      <c r="X71" s="51">
        <f t="shared" si="5"/>
        <v>0</v>
      </c>
      <c r="Y71" s="51"/>
      <c r="Z71" s="51"/>
      <c r="AA71" s="51"/>
      <c r="AB71" s="51"/>
      <c r="AC71" s="51"/>
      <c r="AD71" s="51"/>
      <c r="AE71" s="51"/>
      <c r="AF71" s="51"/>
      <c r="AG71" s="51"/>
      <c r="AH71" s="174">
        <f t="shared" si="6"/>
        <v>0</v>
      </c>
      <c r="AI71" s="174">
        <f t="shared" si="7"/>
        <v>0</v>
      </c>
      <c r="AJ71" s="174">
        <f t="shared" si="8"/>
        <v>0</v>
      </c>
      <c r="AK71" s="175">
        <f t="shared" si="9"/>
        <v>0</v>
      </c>
      <c r="AL71" s="175">
        <f t="shared" si="10"/>
        <v>0</v>
      </c>
      <c r="AM71" s="175">
        <f t="shared" si="11"/>
        <v>0</v>
      </c>
    </row>
    <row r="72" spans="1:39">
      <c r="A72" s="136">
        <v>65</v>
      </c>
      <c r="B72" s="136" t="s">
        <v>1770</v>
      </c>
      <c r="C72" s="136" t="s">
        <v>1746</v>
      </c>
      <c r="D72" s="136" t="s">
        <v>1771</v>
      </c>
      <c r="E72" s="160" t="s">
        <v>15</v>
      </c>
      <c r="F72" s="160">
        <v>10</v>
      </c>
      <c r="G72" s="136"/>
      <c r="H72" s="136"/>
      <c r="I72" s="136">
        <f t="shared" si="0"/>
        <v>0</v>
      </c>
      <c r="J72" s="156"/>
      <c r="K72" s="156"/>
      <c r="L72" s="156">
        <f t="shared" si="1"/>
        <v>0</v>
      </c>
      <c r="M72" s="156"/>
      <c r="N72" s="156"/>
      <c r="O72" s="156">
        <f t="shared" si="2"/>
        <v>0</v>
      </c>
      <c r="P72" s="156"/>
      <c r="Q72" s="156"/>
      <c r="R72" s="156">
        <f t="shared" si="3"/>
        <v>0</v>
      </c>
      <c r="S72" s="156"/>
      <c r="T72" s="156"/>
      <c r="U72" s="156">
        <f t="shared" si="4"/>
        <v>0</v>
      </c>
      <c r="V72" s="51"/>
      <c r="W72" s="51"/>
      <c r="X72" s="51">
        <f t="shared" si="5"/>
        <v>0</v>
      </c>
      <c r="Y72" s="51"/>
      <c r="Z72" s="51"/>
      <c r="AA72" s="51"/>
      <c r="AB72" s="51"/>
      <c r="AC72" s="51"/>
      <c r="AD72" s="51"/>
      <c r="AE72" s="51"/>
      <c r="AF72" s="51"/>
      <c r="AG72" s="51"/>
      <c r="AH72" s="174">
        <f t="shared" si="6"/>
        <v>0</v>
      </c>
      <c r="AI72" s="174">
        <f t="shared" si="7"/>
        <v>0</v>
      </c>
      <c r="AJ72" s="174">
        <f t="shared" si="8"/>
        <v>0</v>
      </c>
      <c r="AK72" s="175">
        <f t="shared" si="9"/>
        <v>0</v>
      </c>
      <c r="AL72" s="175">
        <f t="shared" si="10"/>
        <v>0</v>
      </c>
      <c r="AM72" s="175">
        <f t="shared" si="11"/>
        <v>0</v>
      </c>
    </row>
    <row r="73" spans="1:39">
      <c r="A73" s="136">
        <v>66</v>
      </c>
      <c r="B73" s="136" t="s">
        <v>1772</v>
      </c>
      <c r="C73" s="136" t="s">
        <v>1746</v>
      </c>
      <c r="D73" s="136" t="s">
        <v>1773</v>
      </c>
      <c r="E73" s="160" t="s">
        <v>15</v>
      </c>
      <c r="F73" s="160">
        <v>6</v>
      </c>
      <c r="G73" s="136"/>
      <c r="H73" s="136"/>
      <c r="I73" s="136">
        <f t="shared" ref="I73:I136" si="12">G73+H73</f>
        <v>0</v>
      </c>
      <c r="J73" s="156"/>
      <c r="K73" s="156"/>
      <c r="L73" s="156">
        <f t="shared" ref="L73:L136" si="13">J73+K73</f>
        <v>0</v>
      </c>
      <c r="M73" s="156"/>
      <c r="N73" s="156"/>
      <c r="O73" s="156">
        <f t="shared" ref="O73:O136" si="14">M73+N73</f>
        <v>0</v>
      </c>
      <c r="P73" s="156"/>
      <c r="Q73" s="156"/>
      <c r="R73" s="156">
        <f t="shared" ref="R73:R136" si="15">P73+Q73</f>
        <v>0</v>
      </c>
      <c r="S73" s="156"/>
      <c r="T73" s="156"/>
      <c r="U73" s="156">
        <f t="shared" ref="U73:U136" si="16">S73+T73</f>
        <v>0</v>
      </c>
      <c r="V73" s="51"/>
      <c r="W73" s="51"/>
      <c r="X73" s="51">
        <f t="shared" ref="X73:X136" si="17">V73+W73</f>
        <v>0</v>
      </c>
      <c r="Y73" s="51"/>
      <c r="Z73" s="51"/>
      <c r="AA73" s="51"/>
      <c r="AB73" s="51"/>
      <c r="AC73" s="51"/>
      <c r="AD73" s="51"/>
      <c r="AE73" s="51"/>
      <c r="AF73" s="51"/>
      <c r="AG73" s="51"/>
      <c r="AH73" s="174">
        <f t="shared" ref="AH73:AH136" si="18">G73+J73+M73+P73+S73+V73</f>
        <v>0</v>
      </c>
      <c r="AI73" s="174">
        <f t="shared" ref="AI73:AI136" si="19">H73+K73+N73+Q73+T73+W73</f>
        <v>0</v>
      </c>
      <c r="AJ73" s="174">
        <f t="shared" ref="AJ73:AJ136" si="20">I73+L73+O73+R73+U73+X73</f>
        <v>0</v>
      </c>
      <c r="AK73" s="175">
        <f t="shared" ref="AK73:AK136" si="21">AH73/6</f>
        <v>0</v>
      </c>
      <c r="AL73" s="175">
        <f t="shared" ref="AL73:AL136" si="22">AI73/6</f>
        <v>0</v>
      </c>
      <c r="AM73" s="175">
        <f t="shared" ref="AM73:AM136" si="23">AJ73/6</f>
        <v>0</v>
      </c>
    </row>
    <row r="74" spans="1:39">
      <c r="A74" s="136">
        <v>67</v>
      </c>
      <c r="B74" s="136" t="s">
        <v>1774</v>
      </c>
      <c r="C74" s="136" t="s">
        <v>1746</v>
      </c>
      <c r="D74" s="136" t="s">
        <v>1775</v>
      </c>
      <c r="E74" s="160" t="s">
        <v>15</v>
      </c>
      <c r="F74" s="160">
        <v>10</v>
      </c>
      <c r="G74" s="136"/>
      <c r="H74" s="136"/>
      <c r="I74" s="136">
        <f t="shared" si="12"/>
        <v>0</v>
      </c>
      <c r="J74" s="156">
        <v>20</v>
      </c>
      <c r="K74" s="156">
        <v>10</v>
      </c>
      <c r="L74" s="156">
        <f t="shared" si="13"/>
        <v>30</v>
      </c>
      <c r="M74" s="156"/>
      <c r="N74" s="156">
        <v>30</v>
      </c>
      <c r="O74" s="156">
        <f t="shared" si="14"/>
        <v>30</v>
      </c>
      <c r="P74" s="156"/>
      <c r="Q74" s="156"/>
      <c r="R74" s="156">
        <f t="shared" si="15"/>
        <v>0</v>
      </c>
      <c r="S74" s="156"/>
      <c r="T74" s="156"/>
      <c r="U74" s="156">
        <f t="shared" si="16"/>
        <v>0</v>
      </c>
      <c r="V74" s="51"/>
      <c r="W74" s="51">
        <v>20</v>
      </c>
      <c r="X74" s="51">
        <f t="shared" si="17"/>
        <v>20</v>
      </c>
      <c r="Y74" s="51"/>
      <c r="Z74" s="51"/>
      <c r="AA74" s="51"/>
      <c r="AB74" s="51">
        <v>20</v>
      </c>
      <c r="AC74" s="51"/>
      <c r="AD74" s="51"/>
      <c r="AE74" s="51"/>
      <c r="AF74" s="51"/>
      <c r="AG74" s="51"/>
      <c r="AH74" s="174">
        <f t="shared" si="18"/>
        <v>20</v>
      </c>
      <c r="AI74" s="174">
        <f t="shared" si="19"/>
        <v>60</v>
      </c>
      <c r="AJ74" s="174">
        <f t="shared" si="20"/>
        <v>80</v>
      </c>
      <c r="AK74" s="175">
        <f t="shared" si="21"/>
        <v>3.3333333333333335</v>
      </c>
      <c r="AL74" s="175">
        <f t="shared" si="22"/>
        <v>10</v>
      </c>
      <c r="AM74" s="175">
        <f t="shared" si="23"/>
        <v>13.333333333333334</v>
      </c>
    </row>
    <row r="75" spans="1:39">
      <c r="A75" s="136">
        <v>68</v>
      </c>
      <c r="B75" s="136" t="s">
        <v>1776</v>
      </c>
      <c r="C75" s="136" t="s">
        <v>1746</v>
      </c>
      <c r="D75" s="136" t="s">
        <v>1777</v>
      </c>
      <c r="E75" s="160" t="s">
        <v>15</v>
      </c>
      <c r="F75" s="160">
        <v>6</v>
      </c>
      <c r="G75" s="136">
        <v>108</v>
      </c>
      <c r="H75" s="136"/>
      <c r="I75" s="136">
        <f t="shared" si="12"/>
        <v>108</v>
      </c>
      <c r="J75" s="156">
        <v>35</v>
      </c>
      <c r="K75" s="156">
        <v>20</v>
      </c>
      <c r="L75" s="156">
        <f t="shared" si="13"/>
        <v>55</v>
      </c>
      <c r="M75" s="156">
        <v>76</v>
      </c>
      <c r="N75" s="156">
        <v>20</v>
      </c>
      <c r="O75" s="156">
        <f t="shared" si="14"/>
        <v>96</v>
      </c>
      <c r="P75" s="156"/>
      <c r="Q75" s="156"/>
      <c r="R75" s="156">
        <f t="shared" si="15"/>
        <v>0</v>
      </c>
      <c r="S75" s="156"/>
      <c r="T75" s="156"/>
      <c r="U75" s="156">
        <f t="shared" si="16"/>
        <v>0</v>
      </c>
      <c r="V75" s="51"/>
      <c r="W75" s="51">
        <v>50</v>
      </c>
      <c r="X75" s="51">
        <f t="shared" si="17"/>
        <v>50</v>
      </c>
      <c r="Y75" s="51"/>
      <c r="Z75" s="51"/>
      <c r="AA75" s="51"/>
      <c r="AB75" s="51">
        <v>20</v>
      </c>
      <c r="AC75" s="51">
        <v>10</v>
      </c>
      <c r="AD75" s="51"/>
      <c r="AE75" s="51"/>
      <c r="AF75" s="51"/>
      <c r="AG75" s="51"/>
      <c r="AH75" s="174">
        <f t="shared" si="18"/>
        <v>219</v>
      </c>
      <c r="AI75" s="174">
        <f t="shared" si="19"/>
        <v>90</v>
      </c>
      <c r="AJ75" s="174">
        <f t="shared" si="20"/>
        <v>309</v>
      </c>
      <c r="AK75" s="175">
        <f t="shared" si="21"/>
        <v>36.5</v>
      </c>
      <c r="AL75" s="175">
        <f t="shared" si="22"/>
        <v>15</v>
      </c>
      <c r="AM75" s="175">
        <f t="shared" si="23"/>
        <v>51.5</v>
      </c>
    </row>
    <row r="76" spans="1:39">
      <c r="A76" s="136">
        <v>69</v>
      </c>
      <c r="B76" s="136" t="s">
        <v>1778</v>
      </c>
      <c r="C76" s="136" t="s">
        <v>1746</v>
      </c>
      <c r="D76" s="136" t="s">
        <v>1779</v>
      </c>
      <c r="E76" s="160" t="s">
        <v>15</v>
      </c>
      <c r="F76" s="160">
        <v>10</v>
      </c>
      <c r="G76" s="136">
        <v>20</v>
      </c>
      <c r="H76" s="136"/>
      <c r="I76" s="136">
        <f t="shared" si="12"/>
        <v>20</v>
      </c>
      <c r="J76" s="156">
        <v>15</v>
      </c>
      <c r="K76" s="156"/>
      <c r="L76" s="156">
        <f t="shared" si="13"/>
        <v>15</v>
      </c>
      <c r="M76" s="156"/>
      <c r="N76" s="156"/>
      <c r="O76" s="156">
        <f t="shared" si="14"/>
        <v>0</v>
      </c>
      <c r="P76" s="156"/>
      <c r="Q76" s="156"/>
      <c r="R76" s="156">
        <f t="shared" si="15"/>
        <v>0</v>
      </c>
      <c r="S76" s="156"/>
      <c r="T76" s="156"/>
      <c r="U76" s="156">
        <f t="shared" si="16"/>
        <v>0</v>
      </c>
      <c r="V76" s="51"/>
      <c r="W76" s="51"/>
      <c r="X76" s="51">
        <f t="shared" si="17"/>
        <v>0</v>
      </c>
      <c r="Y76" s="51"/>
      <c r="Z76" s="51"/>
      <c r="AA76" s="51"/>
      <c r="AB76" s="51"/>
      <c r="AC76" s="51"/>
      <c r="AD76" s="51"/>
      <c r="AE76" s="51"/>
      <c r="AF76" s="51"/>
      <c r="AG76" s="51"/>
      <c r="AH76" s="174">
        <f t="shared" si="18"/>
        <v>35</v>
      </c>
      <c r="AI76" s="174">
        <f t="shared" si="19"/>
        <v>0</v>
      </c>
      <c r="AJ76" s="174">
        <f t="shared" si="20"/>
        <v>35</v>
      </c>
      <c r="AK76" s="175">
        <f t="shared" si="21"/>
        <v>5.833333333333333</v>
      </c>
      <c r="AL76" s="175">
        <f t="shared" si="22"/>
        <v>0</v>
      </c>
      <c r="AM76" s="175">
        <f t="shared" si="23"/>
        <v>5.833333333333333</v>
      </c>
    </row>
    <row r="77" spans="1:39">
      <c r="A77" s="136">
        <v>70</v>
      </c>
      <c r="B77" s="136" t="s">
        <v>1780</v>
      </c>
      <c r="C77" s="136" t="s">
        <v>1746</v>
      </c>
      <c r="D77" s="136" t="s">
        <v>1781</v>
      </c>
      <c r="E77" s="160" t="s">
        <v>15</v>
      </c>
      <c r="F77" s="160">
        <v>32</v>
      </c>
      <c r="G77" s="136"/>
      <c r="H77" s="136"/>
      <c r="I77" s="136">
        <f t="shared" si="12"/>
        <v>0</v>
      </c>
      <c r="J77" s="156"/>
      <c r="K77" s="156"/>
      <c r="L77" s="156">
        <f t="shared" si="13"/>
        <v>0</v>
      </c>
      <c r="M77" s="156"/>
      <c r="N77" s="156"/>
      <c r="O77" s="156">
        <f t="shared" si="14"/>
        <v>0</v>
      </c>
      <c r="P77" s="156"/>
      <c r="Q77" s="156"/>
      <c r="R77" s="156">
        <f t="shared" si="15"/>
        <v>0</v>
      </c>
      <c r="S77" s="156"/>
      <c r="T77" s="156"/>
      <c r="U77" s="156">
        <f t="shared" si="16"/>
        <v>0</v>
      </c>
      <c r="V77" s="51"/>
      <c r="W77" s="51"/>
      <c r="X77" s="51">
        <f t="shared" si="17"/>
        <v>0</v>
      </c>
      <c r="Y77" s="51"/>
      <c r="Z77" s="51"/>
      <c r="AA77" s="51"/>
      <c r="AB77" s="51">
        <v>160</v>
      </c>
      <c r="AC77" s="51"/>
      <c r="AD77" s="51"/>
      <c r="AE77" s="51"/>
      <c r="AF77" s="51"/>
      <c r="AG77" s="51"/>
      <c r="AH77" s="174">
        <f t="shared" si="18"/>
        <v>0</v>
      </c>
      <c r="AI77" s="174">
        <f t="shared" si="19"/>
        <v>0</v>
      </c>
      <c r="AJ77" s="174">
        <f t="shared" si="20"/>
        <v>0</v>
      </c>
      <c r="AK77" s="175">
        <f t="shared" si="21"/>
        <v>0</v>
      </c>
      <c r="AL77" s="175">
        <f t="shared" si="22"/>
        <v>0</v>
      </c>
      <c r="AM77" s="175">
        <f t="shared" si="23"/>
        <v>0</v>
      </c>
    </row>
    <row r="78" spans="1:39">
      <c r="A78" s="136">
        <v>71</v>
      </c>
      <c r="B78" s="136" t="s">
        <v>1782</v>
      </c>
      <c r="C78" s="136" t="s">
        <v>1746</v>
      </c>
      <c r="D78" s="136" t="s">
        <v>1783</v>
      </c>
      <c r="E78" s="160" t="s">
        <v>15</v>
      </c>
      <c r="F78" s="160">
        <v>20</v>
      </c>
      <c r="G78" s="136">
        <v>25</v>
      </c>
      <c r="H78" s="136"/>
      <c r="I78" s="136">
        <f t="shared" si="12"/>
        <v>25</v>
      </c>
      <c r="J78" s="156"/>
      <c r="K78" s="156"/>
      <c r="L78" s="156">
        <f t="shared" si="13"/>
        <v>0</v>
      </c>
      <c r="M78" s="156"/>
      <c r="N78" s="156"/>
      <c r="O78" s="156">
        <f t="shared" si="14"/>
        <v>0</v>
      </c>
      <c r="P78" s="156"/>
      <c r="Q78" s="156"/>
      <c r="R78" s="156">
        <f t="shared" si="15"/>
        <v>0</v>
      </c>
      <c r="S78" s="156"/>
      <c r="T78" s="156"/>
      <c r="U78" s="156">
        <f t="shared" si="16"/>
        <v>0</v>
      </c>
      <c r="V78" s="51"/>
      <c r="W78" s="51"/>
      <c r="X78" s="51">
        <f t="shared" si="17"/>
        <v>0</v>
      </c>
      <c r="Y78" s="51"/>
      <c r="Z78" s="51"/>
      <c r="AA78" s="51"/>
      <c r="AB78" s="51"/>
      <c r="AC78" s="51"/>
      <c r="AD78" s="51"/>
      <c r="AE78" s="51"/>
      <c r="AF78" s="51"/>
      <c r="AG78" s="51"/>
      <c r="AH78" s="174">
        <f t="shared" si="18"/>
        <v>25</v>
      </c>
      <c r="AI78" s="174">
        <f t="shared" si="19"/>
        <v>0</v>
      </c>
      <c r="AJ78" s="174">
        <f t="shared" si="20"/>
        <v>25</v>
      </c>
      <c r="AK78" s="175">
        <f t="shared" si="21"/>
        <v>4.166666666666667</v>
      </c>
      <c r="AL78" s="175">
        <f t="shared" si="22"/>
        <v>0</v>
      </c>
      <c r="AM78" s="175">
        <f t="shared" si="23"/>
        <v>4.166666666666667</v>
      </c>
    </row>
    <row r="79" spans="1:39">
      <c r="A79" s="136">
        <v>72</v>
      </c>
      <c r="B79" s="136" t="s">
        <v>1784</v>
      </c>
      <c r="C79" s="136" t="s">
        <v>1746</v>
      </c>
      <c r="D79" s="136" t="s">
        <v>1785</v>
      </c>
      <c r="E79" s="160" t="s">
        <v>15</v>
      </c>
      <c r="F79" s="160">
        <v>3</v>
      </c>
      <c r="G79" s="136">
        <v>75</v>
      </c>
      <c r="H79" s="136"/>
      <c r="I79" s="136">
        <f t="shared" si="12"/>
        <v>75</v>
      </c>
      <c r="J79" s="156"/>
      <c r="K79" s="156"/>
      <c r="L79" s="156">
        <f t="shared" si="13"/>
        <v>0</v>
      </c>
      <c r="M79" s="156"/>
      <c r="N79" s="156"/>
      <c r="O79" s="156">
        <f t="shared" si="14"/>
        <v>0</v>
      </c>
      <c r="P79" s="156"/>
      <c r="Q79" s="156"/>
      <c r="R79" s="156">
        <f t="shared" si="15"/>
        <v>0</v>
      </c>
      <c r="S79" s="156"/>
      <c r="T79" s="156"/>
      <c r="U79" s="156">
        <f t="shared" si="16"/>
        <v>0</v>
      </c>
      <c r="V79" s="51"/>
      <c r="W79" s="51"/>
      <c r="X79" s="51">
        <f t="shared" si="17"/>
        <v>0</v>
      </c>
      <c r="Y79" s="51"/>
      <c r="Z79" s="51"/>
      <c r="AA79" s="51"/>
      <c r="AB79" s="51"/>
      <c r="AC79" s="51"/>
      <c r="AD79" s="51"/>
      <c r="AE79" s="51"/>
      <c r="AF79" s="51"/>
      <c r="AG79" s="51"/>
      <c r="AH79" s="174">
        <f t="shared" si="18"/>
        <v>75</v>
      </c>
      <c r="AI79" s="174">
        <f t="shared" si="19"/>
        <v>0</v>
      </c>
      <c r="AJ79" s="174">
        <f t="shared" si="20"/>
        <v>75</v>
      </c>
      <c r="AK79" s="175">
        <f t="shared" si="21"/>
        <v>12.5</v>
      </c>
      <c r="AL79" s="175">
        <f t="shared" si="22"/>
        <v>0</v>
      </c>
      <c r="AM79" s="175">
        <f t="shared" si="23"/>
        <v>12.5</v>
      </c>
    </row>
    <row r="80" spans="1:39">
      <c r="A80" s="190">
        <v>73</v>
      </c>
      <c r="B80" s="190" t="s">
        <v>1786</v>
      </c>
      <c r="C80" s="190" t="s">
        <v>1746</v>
      </c>
      <c r="D80" s="190" t="s">
        <v>1787</v>
      </c>
      <c r="E80" s="189" t="s">
        <v>15</v>
      </c>
      <c r="F80" s="189">
        <v>31</v>
      </c>
      <c r="G80" s="190">
        <v>100</v>
      </c>
      <c r="H80" s="190"/>
      <c r="I80" s="190">
        <f t="shared" si="12"/>
        <v>100</v>
      </c>
      <c r="J80" s="196"/>
      <c r="K80" s="196"/>
      <c r="L80" s="196">
        <f t="shared" si="13"/>
        <v>0</v>
      </c>
      <c r="M80" s="196">
        <v>85</v>
      </c>
      <c r="N80" s="196"/>
      <c r="O80" s="196">
        <f t="shared" si="14"/>
        <v>85</v>
      </c>
      <c r="P80" s="196"/>
      <c r="Q80" s="196"/>
      <c r="R80" s="196">
        <f t="shared" si="15"/>
        <v>0</v>
      </c>
      <c r="S80" s="196"/>
      <c r="T80" s="196"/>
      <c r="U80" s="196">
        <f t="shared" si="16"/>
        <v>0</v>
      </c>
      <c r="V80" s="198"/>
      <c r="W80" s="198"/>
      <c r="X80" s="198">
        <f t="shared" si="17"/>
        <v>0</v>
      </c>
      <c r="Y80" s="198"/>
      <c r="Z80" s="198"/>
      <c r="AA80" s="198"/>
      <c r="AB80" s="198"/>
      <c r="AC80" s="198"/>
      <c r="AD80" s="198"/>
      <c r="AE80" s="198"/>
      <c r="AF80" s="198"/>
      <c r="AG80" s="198"/>
      <c r="AH80" s="138">
        <f t="shared" si="18"/>
        <v>185</v>
      </c>
      <c r="AI80" s="138">
        <f t="shared" si="19"/>
        <v>0</v>
      </c>
      <c r="AJ80" s="138">
        <f t="shared" si="20"/>
        <v>185</v>
      </c>
      <c r="AK80" s="139">
        <f t="shared" si="21"/>
        <v>30.833333333333332</v>
      </c>
      <c r="AL80" s="139">
        <f t="shared" si="22"/>
        <v>0</v>
      </c>
      <c r="AM80" s="139">
        <f t="shared" si="23"/>
        <v>30.833333333333332</v>
      </c>
    </row>
    <row r="81" spans="1:39">
      <c r="A81" s="136">
        <v>74</v>
      </c>
      <c r="B81" s="136" t="s">
        <v>1788</v>
      </c>
      <c r="C81" s="136" t="s">
        <v>1746</v>
      </c>
      <c r="D81" s="136" t="s">
        <v>1789</v>
      </c>
      <c r="E81" s="160" t="s">
        <v>15</v>
      </c>
      <c r="F81" s="160">
        <v>40</v>
      </c>
      <c r="G81" s="136"/>
      <c r="H81" s="136"/>
      <c r="I81" s="136">
        <f t="shared" si="12"/>
        <v>0</v>
      </c>
      <c r="J81" s="156">
        <v>40</v>
      </c>
      <c r="K81" s="156"/>
      <c r="L81" s="156">
        <f t="shared" si="13"/>
        <v>40</v>
      </c>
      <c r="M81" s="156">
        <v>40</v>
      </c>
      <c r="N81" s="156"/>
      <c r="O81" s="156">
        <f t="shared" si="14"/>
        <v>40</v>
      </c>
      <c r="P81" s="156"/>
      <c r="Q81" s="156"/>
      <c r="R81" s="156">
        <f t="shared" si="15"/>
        <v>0</v>
      </c>
      <c r="S81" s="156">
        <v>40</v>
      </c>
      <c r="T81" s="156"/>
      <c r="U81" s="156">
        <f t="shared" si="16"/>
        <v>40</v>
      </c>
      <c r="V81" s="51"/>
      <c r="W81" s="51">
        <v>20</v>
      </c>
      <c r="X81" s="51">
        <f t="shared" si="17"/>
        <v>20</v>
      </c>
      <c r="Y81" s="51"/>
      <c r="Z81" s="51"/>
      <c r="AA81" s="51"/>
      <c r="AB81" s="51">
        <v>20</v>
      </c>
      <c r="AC81" s="51"/>
      <c r="AD81" s="51"/>
      <c r="AE81" s="51"/>
      <c r="AF81" s="51"/>
      <c r="AG81" s="51"/>
      <c r="AH81" s="174">
        <f t="shared" si="18"/>
        <v>120</v>
      </c>
      <c r="AI81" s="174">
        <f t="shared" si="19"/>
        <v>20</v>
      </c>
      <c r="AJ81" s="174">
        <f t="shared" si="20"/>
        <v>140</v>
      </c>
      <c r="AK81" s="175">
        <f t="shared" si="21"/>
        <v>20</v>
      </c>
      <c r="AL81" s="175">
        <f t="shared" si="22"/>
        <v>3.3333333333333335</v>
      </c>
      <c r="AM81" s="175">
        <f t="shared" si="23"/>
        <v>23.333333333333332</v>
      </c>
    </row>
    <row r="82" spans="1:39">
      <c r="A82" s="136">
        <v>75</v>
      </c>
      <c r="B82" s="136" t="s">
        <v>1790</v>
      </c>
      <c r="C82" s="136" t="s">
        <v>1746</v>
      </c>
      <c r="D82" s="136" t="s">
        <v>1791</v>
      </c>
      <c r="E82" s="160" t="s">
        <v>15</v>
      </c>
      <c r="F82" s="160">
        <v>50</v>
      </c>
      <c r="G82" s="136"/>
      <c r="H82" s="136"/>
      <c r="I82" s="136">
        <f t="shared" si="12"/>
        <v>0</v>
      </c>
      <c r="J82" s="156">
        <v>70</v>
      </c>
      <c r="K82" s="156"/>
      <c r="L82" s="156">
        <f t="shared" si="13"/>
        <v>70</v>
      </c>
      <c r="M82" s="156"/>
      <c r="N82" s="156">
        <v>10</v>
      </c>
      <c r="O82" s="156">
        <f t="shared" si="14"/>
        <v>10</v>
      </c>
      <c r="P82" s="156"/>
      <c r="Q82" s="156"/>
      <c r="R82" s="156">
        <f t="shared" si="15"/>
        <v>0</v>
      </c>
      <c r="S82" s="156"/>
      <c r="T82" s="156"/>
      <c r="U82" s="156">
        <f t="shared" si="16"/>
        <v>0</v>
      </c>
      <c r="V82" s="51"/>
      <c r="W82" s="51"/>
      <c r="X82" s="51">
        <f t="shared" si="17"/>
        <v>0</v>
      </c>
      <c r="Y82" s="51"/>
      <c r="Z82" s="51"/>
      <c r="AA82" s="51"/>
      <c r="AB82" s="51"/>
      <c r="AC82" s="51"/>
      <c r="AD82" s="51"/>
      <c r="AE82" s="51"/>
      <c r="AF82" s="51"/>
      <c r="AG82" s="51"/>
      <c r="AH82" s="174">
        <f t="shared" si="18"/>
        <v>70</v>
      </c>
      <c r="AI82" s="174">
        <f t="shared" si="19"/>
        <v>10</v>
      </c>
      <c r="AJ82" s="174">
        <f t="shared" si="20"/>
        <v>80</v>
      </c>
      <c r="AK82" s="175">
        <f t="shared" si="21"/>
        <v>11.666666666666666</v>
      </c>
      <c r="AL82" s="175">
        <f t="shared" si="22"/>
        <v>1.6666666666666667</v>
      </c>
      <c r="AM82" s="175">
        <f t="shared" si="23"/>
        <v>13.333333333333334</v>
      </c>
    </row>
    <row r="83" spans="1:39">
      <c r="A83" s="136">
        <v>76</v>
      </c>
      <c r="B83" s="158" t="s">
        <v>1792</v>
      </c>
      <c r="C83" s="136" t="s">
        <v>1746</v>
      </c>
      <c r="D83" s="136" t="s">
        <v>1793</v>
      </c>
      <c r="E83" s="159" t="s">
        <v>15</v>
      </c>
      <c r="F83" s="160">
        <v>200</v>
      </c>
      <c r="G83" s="136"/>
      <c r="H83" s="136"/>
      <c r="I83" s="136">
        <f t="shared" si="12"/>
        <v>0</v>
      </c>
      <c r="J83" s="156"/>
      <c r="K83" s="156"/>
      <c r="L83" s="156">
        <f t="shared" si="13"/>
        <v>0</v>
      </c>
      <c r="M83" s="156"/>
      <c r="N83" s="156">
        <v>500</v>
      </c>
      <c r="O83" s="156">
        <f t="shared" si="14"/>
        <v>500</v>
      </c>
      <c r="P83" s="156"/>
      <c r="Q83" s="156">
        <v>500</v>
      </c>
      <c r="R83" s="156">
        <f t="shared" si="15"/>
        <v>500</v>
      </c>
      <c r="S83" s="156"/>
      <c r="T83" s="156">
        <v>600</v>
      </c>
      <c r="U83" s="156">
        <f t="shared" si="16"/>
        <v>600</v>
      </c>
      <c r="V83" s="51"/>
      <c r="W83" s="51">
        <v>30</v>
      </c>
      <c r="X83" s="51">
        <f t="shared" si="17"/>
        <v>30</v>
      </c>
      <c r="Y83" s="51"/>
      <c r="Z83" s="51"/>
      <c r="AA83" s="51"/>
      <c r="AB83" s="51"/>
      <c r="AC83" s="51"/>
      <c r="AD83" s="51"/>
      <c r="AE83" s="51"/>
      <c r="AF83" s="51"/>
      <c r="AG83" s="51"/>
      <c r="AH83" s="174">
        <f t="shared" si="18"/>
        <v>0</v>
      </c>
      <c r="AI83" s="174">
        <f t="shared" si="19"/>
        <v>1630</v>
      </c>
      <c r="AJ83" s="174">
        <f t="shared" si="20"/>
        <v>1630</v>
      </c>
      <c r="AK83" s="175">
        <f t="shared" si="21"/>
        <v>0</v>
      </c>
      <c r="AL83" s="175">
        <f t="shared" si="22"/>
        <v>271.66666666666669</v>
      </c>
      <c r="AM83" s="175">
        <f t="shared" si="23"/>
        <v>271.66666666666669</v>
      </c>
    </row>
    <row r="84" spans="1:39">
      <c r="A84" s="190">
        <v>77</v>
      </c>
      <c r="B84" s="194" t="s">
        <v>1794</v>
      </c>
      <c r="C84" s="190" t="s">
        <v>1746</v>
      </c>
      <c r="D84" s="190" t="s">
        <v>1795</v>
      </c>
      <c r="E84" s="189" t="s">
        <v>15</v>
      </c>
      <c r="F84" s="189">
        <v>62</v>
      </c>
      <c r="G84" s="190">
        <v>136</v>
      </c>
      <c r="H84" s="190">
        <v>69</v>
      </c>
      <c r="I84" s="190">
        <f t="shared" si="12"/>
        <v>205</v>
      </c>
      <c r="J84" s="196"/>
      <c r="K84" s="196"/>
      <c r="L84" s="196">
        <f t="shared" si="13"/>
        <v>0</v>
      </c>
      <c r="M84" s="196"/>
      <c r="N84" s="196"/>
      <c r="O84" s="196">
        <f t="shared" si="14"/>
        <v>0</v>
      </c>
      <c r="P84" s="196">
        <v>160</v>
      </c>
      <c r="Q84" s="196">
        <v>92</v>
      </c>
      <c r="R84" s="196">
        <f t="shared" si="15"/>
        <v>252</v>
      </c>
      <c r="S84" s="196"/>
      <c r="T84" s="196"/>
      <c r="U84" s="196">
        <f t="shared" si="16"/>
        <v>0</v>
      </c>
      <c r="V84" s="198">
        <v>650</v>
      </c>
      <c r="W84" s="198">
        <v>30</v>
      </c>
      <c r="X84" s="198">
        <f t="shared" si="17"/>
        <v>680</v>
      </c>
      <c r="Y84" s="198"/>
      <c r="Z84" s="198"/>
      <c r="AA84" s="198"/>
      <c r="AB84" s="198">
        <v>200</v>
      </c>
      <c r="AC84" s="198">
        <v>66</v>
      </c>
      <c r="AD84" s="198"/>
      <c r="AE84" s="198"/>
      <c r="AF84" s="198"/>
      <c r="AG84" s="198"/>
      <c r="AH84" s="138">
        <f t="shared" si="18"/>
        <v>946</v>
      </c>
      <c r="AI84" s="138">
        <f t="shared" si="19"/>
        <v>191</v>
      </c>
      <c r="AJ84" s="138">
        <f t="shared" si="20"/>
        <v>1137</v>
      </c>
      <c r="AK84" s="139">
        <f t="shared" si="21"/>
        <v>157.66666666666666</v>
      </c>
      <c r="AL84" s="139">
        <f t="shared" si="22"/>
        <v>31.833333333333332</v>
      </c>
      <c r="AM84" s="139">
        <f t="shared" si="23"/>
        <v>189.5</v>
      </c>
    </row>
    <row r="85" spans="1:39">
      <c r="A85" s="190">
        <v>78</v>
      </c>
      <c r="B85" s="194" t="s">
        <v>1796</v>
      </c>
      <c r="C85" s="190" t="s">
        <v>1746</v>
      </c>
      <c r="D85" s="190" t="s">
        <v>1797</v>
      </c>
      <c r="E85" s="189" t="s">
        <v>15</v>
      </c>
      <c r="F85" s="189">
        <v>374</v>
      </c>
      <c r="G85" s="190">
        <v>500</v>
      </c>
      <c r="H85" s="190"/>
      <c r="I85" s="190">
        <f t="shared" si="12"/>
        <v>500</v>
      </c>
      <c r="J85" s="196">
        <v>500</v>
      </c>
      <c r="K85" s="196"/>
      <c r="L85" s="196">
        <f t="shared" si="13"/>
        <v>500</v>
      </c>
      <c r="M85" s="196"/>
      <c r="N85" s="196"/>
      <c r="O85" s="196">
        <f t="shared" si="14"/>
        <v>0</v>
      </c>
      <c r="P85" s="196"/>
      <c r="Q85" s="196"/>
      <c r="R85" s="196">
        <f t="shared" si="15"/>
        <v>0</v>
      </c>
      <c r="S85" s="196">
        <v>514</v>
      </c>
      <c r="T85" s="196"/>
      <c r="U85" s="196">
        <f t="shared" si="16"/>
        <v>514</v>
      </c>
      <c r="V85" s="198">
        <v>520</v>
      </c>
      <c r="W85" s="198"/>
      <c r="X85" s="198">
        <f t="shared" si="17"/>
        <v>520</v>
      </c>
      <c r="Y85" s="198"/>
      <c r="Z85" s="198"/>
      <c r="AA85" s="198"/>
      <c r="AB85" s="198"/>
      <c r="AC85" s="198"/>
      <c r="AD85" s="198"/>
      <c r="AE85" s="198"/>
      <c r="AF85" s="198"/>
      <c r="AG85" s="198"/>
      <c r="AH85" s="138">
        <f t="shared" si="18"/>
        <v>2034</v>
      </c>
      <c r="AI85" s="138">
        <f t="shared" si="19"/>
        <v>0</v>
      </c>
      <c r="AJ85" s="138">
        <f t="shared" si="20"/>
        <v>2034</v>
      </c>
      <c r="AK85" s="139">
        <f t="shared" si="21"/>
        <v>339</v>
      </c>
      <c r="AL85" s="139">
        <f t="shared" si="22"/>
        <v>0</v>
      </c>
      <c r="AM85" s="139">
        <f t="shared" si="23"/>
        <v>339</v>
      </c>
    </row>
    <row r="86" spans="1:39">
      <c r="A86" s="136">
        <v>79</v>
      </c>
      <c r="B86" s="136" t="s">
        <v>1798</v>
      </c>
      <c r="C86" s="136" t="s">
        <v>1799</v>
      </c>
      <c r="D86" s="136" t="s">
        <v>1800</v>
      </c>
      <c r="E86" s="160" t="s">
        <v>15</v>
      </c>
      <c r="F86" s="160">
        <v>100</v>
      </c>
      <c r="G86" s="136">
        <v>18</v>
      </c>
      <c r="H86" s="136"/>
      <c r="I86" s="136">
        <f t="shared" si="12"/>
        <v>18</v>
      </c>
      <c r="J86" s="156">
        <v>160</v>
      </c>
      <c r="K86" s="156"/>
      <c r="L86" s="156">
        <f t="shared" si="13"/>
        <v>160</v>
      </c>
      <c r="M86" s="156"/>
      <c r="N86" s="156">
        <v>50</v>
      </c>
      <c r="O86" s="156">
        <f t="shared" si="14"/>
        <v>50</v>
      </c>
      <c r="P86" s="156"/>
      <c r="Q86" s="156"/>
      <c r="R86" s="156">
        <f t="shared" si="15"/>
        <v>0</v>
      </c>
      <c r="S86" s="156"/>
      <c r="T86" s="156"/>
      <c r="U86" s="156">
        <f t="shared" si="16"/>
        <v>0</v>
      </c>
      <c r="V86" s="51"/>
      <c r="W86" s="51"/>
      <c r="X86" s="51">
        <f t="shared" si="17"/>
        <v>0</v>
      </c>
      <c r="Y86" s="51"/>
      <c r="Z86" s="51"/>
      <c r="AA86" s="51"/>
      <c r="AB86" s="51">
        <v>90</v>
      </c>
      <c r="AC86" s="51">
        <v>30</v>
      </c>
      <c r="AD86" s="51"/>
      <c r="AE86" s="51"/>
      <c r="AF86" s="51"/>
      <c r="AG86" s="51"/>
      <c r="AH86" s="174">
        <f t="shared" si="18"/>
        <v>178</v>
      </c>
      <c r="AI86" s="174">
        <f t="shared" si="19"/>
        <v>50</v>
      </c>
      <c r="AJ86" s="174">
        <f t="shared" si="20"/>
        <v>228</v>
      </c>
      <c r="AK86" s="175">
        <f t="shared" si="21"/>
        <v>29.666666666666668</v>
      </c>
      <c r="AL86" s="175">
        <f t="shared" si="22"/>
        <v>8.3333333333333339</v>
      </c>
      <c r="AM86" s="175">
        <f t="shared" si="23"/>
        <v>38</v>
      </c>
    </row>
    <row r="87" spans="1:39">
      <c r="A87" s="136">
        <v>80</v>
      </c>
      <c r="B87" s="158" t="s">
        <v>1801</v>
      </c>
      <c r="C87" s="136" t="s">
        <v>1799</v>
      </c>
      <c r="D87" s="136" t="s">
        <v>1802</v>
      </c>
      <c r="E87" s="160" t="s">
        <v>15</v>
      </c>
      <c r="F87" s="160">
        <v>10</v>
      </c>
      <c r="G87" s="136">
        <v>36</v>
      </c>
      <c r="H87" s="136"/>
      <c r="I87" s="136">
        <f t="shared" si="12"/>
        <v>36</v>
      </c>
      <c r="J87" s="156">
        <v>100</v>
      </c>
      <c r="K87" s="156"/>
      <c r="L87" s="156">
        <f t="shared" si="13"/>
        <v>100</v>
      </c>
      <c r="M87" s="156"/>
      <c r="N87" s="156">
        <v>60</v>
      </c>
      <c r="O87" s="156">
        <f t="shared" si="14"/>
        <v>60</v>
      </c>
      <c r="P87" s="156"/>
      <c r="Q87" s="156"/>
      <c r="R87" s="156">
        <f t="shared" si="15"/>
        <v>0</v>
      </c>
      <c r="S87" s="156"/>
      <c r="T87" s="156"/>
      <c r="U87" s="156">
        <f t="shared" si="16"/>
        <v>0</v>
      </c>
      <c r="V87" s="51"/>
      <c r="W87" s="51"/>
      <c r="X87" s="51">
        <f t="shared" si="17"/>
        <v>0</v>
      </c>
      <c r="Y87" s="51"/>
      <c r="Z87" s="51"/>
      <c r="AA87" s="51"/>
      <c r="AB87" s="51"/>
      <c r="AC87" s="51">
        <v>15</v>
      </c>
      <c r="AD87" s="51"/>
      <c r="AE87" s="51"/>
      <c r="AF87" s="51"/>
      <c r="AG87" s="51"/>
      <c r="AH87" s="174">
        <f t="shared" si="18"/>
        <v>136</v>
      </c>
      <c r="AI87" s="174">
        <f t="shared" si="19"/>
        <v>60</v>
      </c>
      <c r="AJ87" s="174">
        <f t="shared" si="20"/>
        <v>196</v>
      </c>
      <c r="AK87" s="175">
        <f t="shared" si="21"/>
        <v>22.666666666666668</v>
      </c>
      <c r="AL87" s="175">
        <f t="shared" si="22"/>
        <v>10</v>
      </c>
      <c r="AM87" s="175">
        <f t="shared" si="23"/>
        <v>32.666666666666664</v>
      </c>
    </row>
    <row r="88" spans="1:39">
      <c r="A88" s="136">
        <v>81</v>
      </c>
      <c r="B88" s="136" t="s">
        <v>1803</v>
      </c>
      <c r="C88" s="136" t="s">
        <v>1799</v>
      </c>
      <c r="D88" s="136" t="s">
        <v>1804</v>
      </c>
      <c r="E88" s="160" t="s">
        <v>15</v>
      </c>
      <c r="F88" s="160">
        <v>50</v>
      </c>
      <c r="G88" s="136">
        <v>20</v>
      </c>
      <c r="H88" s="136"/>
      <c r="I88" s="136">
        <f t="shared" si="12"/>
        <v>20</v>
      </c>
      <c r="J88" s="156">
        <v>60</v>
      </c>
      <c r="K88" s="156"/>
      <c r="L88" s="156">
        <f t="shared" si="13"/>
        <v>60</v>
      </c>
      <c r="M88" s="156"/>
      <c r="N88" s="156">
        <v>40</v>
      </c>
      <c r="O88" s="156">
        <f t="shared" si="14"/>
        <v>40</v>
      </c>
      <c r="P88" s="156"/>
      <c r="Q88" s="156"/>
      <c r="R88" s="156">
        <f t="shared" si="15"/>
        <v>0</v>
      </c>
      <c r="S88" s="156"/>
      <c r="T88" s="156"/>
      <c r="U88" s="156">
        <f t="shared" si="16"/>
        <v>0</v>
      </c>
      <c r="V88" s="51"/>
      <c r="W88" s="51"/>
      <c r="X88" s="51">
        <f t="shared" si="17"/>
        <v>0</v>
      </c>
      <c r="Y88" s="51"/>
      <c r="Z88" s="51"/>
      <c r="AA88" s="51"/>
      <c r="AB88" s="51">
        <v>100</v>
      </c>
      <c r="AC88" s="51">
        <v>9</v>
      </c>
      <c r="AD88" s="51"/>
      <c r="AE88" s="51"/>
      <c r="AF88" s="51"/>
      <c r="AG88" s="51"/>
      <c r="AH88" s="174">
        <f t="shared" si="18"/>
        <v>80</v>
      </c>
      <c r="AI88" s="174">
        <f t="shared" si="19"/>
        <v>40</v>
      </c>
      <c r="AJ88" s="174">
        <f t="shared" si="20"/>
        <v>120</v>
      </c>
      <c r="AK88" s="175">
        <f t="shared" si="21"/>
        <v>13.333333333333334</v>
      </c>
      <c r="AL88" s="175">
        <f t="shared" si="22"/>
        <v>6.666666666666667</v>
      </c>
      <c r="AM88" s="175">
        <f t="shared" si="23"/>
        <v>20</v>
      </c>
    </row>
    <row r="89" spans="1:39">
      <c r="A89" s="136">
        <v>82</v>
      </c>
      <c r="B89" s="136" t="s">
        <v>1805</v>
      </c>
      <c r="C89" s="136" t="s">
        <v>1799</v>
      </c>
      <c r="D89" s="136" t="s">
        <v>1806</v>
      </c>
      <c r="E89" s="160" t="s">
        <v>15</v>
      </c>
      <c r="F89" s="160">
        <v>6</v>
      </c>
      <c r="G89" s="136"/>
      <c r="H89" s="136"/>
      <c r="I89" s="136">
        <f t="shared" si="12"/>
        <v>0</v>
      </c>
      <c r="J89" s="156">
        <v>30</v>
      </c>
      <c r="K89" s="156"/>
      <c r="L89" s="156">
        <f t="shared" si="13"/>
        <v>30</v>
      </c>
      <c r="M89" s="156">
        <v>25</v>
      </c>
      <c r="N89" s="156"/>
      <c r="O89" s="156">
        <f t="shared" si="14"/>
        <v>25</v>
      </c>
      <c r="P89" s="156"/>
      <c r="Q89" s="156"/>
      <c r="R89" s="156">
        <f t="shared" si="15"/>
        <v>0</v>
      </c>
      <c r="S89" s="156">
        <v>15</v>
      </c>
      <c r="T89" s="156"/>
      <c r="U89" s="156">
        <f t="shared" si="16"/>
        <v>15</v>
      </c>
      <c r="V89" s="51"/>
      <c r="W89" s="51"/>
      <c r="X89" s="51">
        <f t="shared" si="17"/>
        <v>0</v>
      </c>
      <c r="Y89" s="51"/>
      <c r="Z89" s="51"/>
      <c r="AA89" s="51"/>
      <c r="AB89" s="51"/>
      <c r="AC89" s="51"/>
      <c r="AD89" s="51"/>
      <c r="AE89" s="51"/>
      <c r="AF89" s="51"/>
      <c r="AG89" s="51"/>
      <c r="AH89" s="174">
        <f t="shared" si="18"/>
        <v>70</v>
      </c>
      <c r="AI89" s="174">
        <f t="shared" si="19"/>
        <v>0</v>
      </c>
      <c r="AJ89" s="174">
        <f t="shared" si="20"/>
        <v>70</v>
      </c>
      <c r="AK89" s="175">
        <f t="shared" si="21"/>
        <v>11.666666666666666</v>
      </c>
      <c r="AL89" s="175">
        <f t="shared" si="22"/>
        <v>0</v>
      </c>
      <c r="AM89" s="175">
        <f t="shared" si="23"/>
        <v>11.666666666666666</v>
      </c>
    </row>
    <row r="90" spans="1:39">
      <c r="A90" s="136">
        <v>83</v>
      </c>
      <c r="B90" s="136" t="s">
        <v>1807</v>
      </c>
      <c r="C90" s="136" t="s">
        <v>1799</v>
      </c>
      <c r="D90" s="136" t="s">
        <v>1808</v>
      </c>
      <c r="E90" s="160" t="s">
        <v>15</v>
      </c>
      <c r="F90" s="160">
        <v>20</v>
      </c>
      <c r="G90" s="136">
        <v>20</v>
      </c>
      <c r="H90" s="136"/>
      <c r="I90" s="136">
        <f t="shared" si="12"/>
        <v>20</v>
      </c>
      <c r="J90" s="156">
        <v>50</v>
      </c>
      <c r="K90" s="156"/>
      <c r="L90" s="156">
        <f t="shared" si="13"/>
        <v>50</v>
      </c>
      <c r="M90" s="156">
        <v>30</v>
      </c>
      <c r="N90" s="156"/>
      <c r="O90" s="156">
        <f t="shared" si="14"/>
        <v>30</v>
      </c>
      <c r="P90" s="156"/>
      <c r="Q90" s="156"/>
      <c r="R90" s="156">
        <f t="shared" si="15"/>
        <v>0</v>
      </c>
      <c r="S90" s="156">
        <v>10</v>
      </c>
      <c r="T90" s="156"/>
      <c r="U90" s="156">
        <f t="shared" si="16"/>
        <v>10</v>
      </c>
      <c r="V90" s="51"/>
      <c r="W90" s="51"/>
      <c r="X90" s="51">
        <f t="shared" si="17"/>
        <v>0</v>
      </c>
      <c r="Y90" s="51"/>
      <c r="Z90" s="51"/>
      <c r="AA90" s="51"/>
      <c r="AB90" s="51">
        <v>50</v>
      </c>
      <c r="AC90" s="51"/>
      <c r="AD90" s="51"/>
      <c r="AE90" s="51"/>
      <c r="AF90" s="51"/>
      <c r="AG90" s="51"/>
      <c r="AH90" s="174">
        <f t="shared" si="18"/>
        <v>110</v>
      </c>
      <c r="AI90" s="174">
        <f t="shared" si="19"/>
        <v>0</v>
      </c>
      <c r="AJ90" s="174">
        <f t="shared" si="20"/>
        <v>110</v>
      </c>
      <c r="AK90" s="175">
        <f t="shared" si="21"/>
        <v>18.333333333333332</v>
      </c>
      <c r="AL90" s="175">
        <f t="shared" si="22"/>
        <v>0</v>
      </c>
      <c r="AM90" s="175">
        <f t="shared" si="23"/>
        <v>18.333333333333332</v>
      </c>
    </row>
    <row r="91" spans="1:39">
      <c r="A91" s="136">
        <v>84</v>
      </c>
      <c r="B91" s="136" t="s">
        <v>1809</v>
      </c>
      <c r="C91" s="136" t="s">
        <v>1799</v>
      </c>
      <c r="D91" s="136" t="s">
        <v>1810</v>
      </c>
      <c r="E91" s="160" t="s">
        <v>15</v>
      </c>
      <c r="F91" s="160">
        <v>20</v>
      </c>
      <c r="G91" s="136"/>
      <c r="H91" s="136"/>
      <c r="I91" s="136">
        <f t="shared" si="12"/>
        <v>0</v>
      </c>
      <c r="J91" s="156">
        <v>25</v>
      </c>
      <c r="K91" s="156"/>
      <c r="L91" s="156">
        <f t="shared" si="13"/>
        <v>25</v>
      </c>
      <c r="M91" s="156">
        <v>25</v>
      </c>
      <c r="N91" s="156"/>
      <c r="O91" s="156">
        <f t="shared" si="14"/>
        <v>25</v>
      </c>
      <c r="P91" s="156"/>
      <c r="Q91" s="156"/>
      <c r="R91" s="156">
        <f t="shared" si="15"/>
        <v>0</v>
      </c>
      <c r="S91" s="156">
        <v>25</v>
      </c>
      <c r="T91" s="156"/>
      <c r="U91" s="156">
        <f t="shared" si="16"/>
        <v>25</v>
      </c>
      <c r="V91" s="51"/>
      <c r="W91" s="51"/>
      <c r="X91" s="51">
        <f t="shared" si="17"/>
        <v>0</v>
      </c>
      <c r="Y91" s="51"/>
      <c r="Z91" s="51"/>
      <c r="AA91" s="51"/>
      <c r="AB91" s="51">
        <v>60</v>
      </c>
      <c r="AC91" s="51"/>
      <c r="AD91" s="51"/>
      <c r="AE91" s="51"/>
      <c r="AF91" s="51"/>
      <c r="AG91" s="51"/>
      <c r="AH91" s="174">
        <f t="shared" si="18"/>
        <v>75</v>
      </c>
      <c r="AI91" s="174">
        <f t="shared" si="19"/>
        <v>0</v>
      </c>
      <c r="AJ91" s="174">
        <f t="shared" si="20"/>
        <v>75</v>
      </c>
      <c r="AK91" s="175">
        <f t="shared" si="21"/>
        <v>12.5</v>
      </c>
      <c r="AL91" s="175">
        <f t="shared" si="22"/>
        <v>0</v>
      </c>
      <c r="AM91" s="175">
        <f t="shared" si="23"/>
        <v>12.5</v>
      </c>
    </row>
    <row r="92" spans="1:39">
      <c r="A92" s="136">
        <v>85</v>
      </c>
      <c r="B92" s="136" t="s">
        <v>1811</v>
      </c>
      <c r="C92" s="136" t="s">
        <v>1799</v>
      </c>
      <c r="D92" s="136" t="s">
        <v>1812</v>
      </c>
      <c r="E92" s="160" t="s">
        <v>15</v>
      </c>
      <c r="F92" s="160">
        <v>10</v>
      </c>
      <c r="G92" s="136">
        <v>40</v>
      </c>
      <c r="H92" s="136"/>
      <c r="I92" s="136">
        <f t="shared" si="12"/>
        <v>40</v>
      </c>
      <c r="J92" s="156"/>
      <c r="K92" s="156"/>
      <c r="L92" s="156">
        <f t="shared" si="13"/>
        <v>0</v>
      </c>
      <c r="M92" s="156"/>
      <c r="N92" s="156"/>
      <c r="O92" s="156">
        <f t="shared" si="14"/>
        <v>0</v>
      </c>
      <c r="P92" s="156"/>
      <c r="Q92" s="156"/>
      <c r="R92" s="156">
        <f t="shared" si="15"/>
        <v>0</v>
      </c>
      <c r="S92" s="156"/>
      <c r="T92" s="156"/>
      <c r="U92" s="156">
        <f t="shared" si="16"/>
        <v>0</v>
      </c>
      <c r="V92" s="51"/>
      <c r="W92" s="51"/>
      <c r="X92" s="51">
        <f t="shared" si="17"/>
        <v>0</v>
      </c>
      <c r="Y92" s="51"/>
      <c r="Z92" s="51"/>
      <c r="AA92" s="51"/>
      <c r="AB92" s="51">
        <v>35</v>
      </c>
      <c r="AC92" s="51"/>
      <c r="AD92" s="51"/>
      <c r="AE92" s="51"/>
      <c r="AF92" s="51"/>
      <c r="AG92" s="51"/>
      <c r="AH92" s="174">
        <f t="shared" si="18"/>
        <v>40</v>
      </c>
      <c r="AI92" s="174">
        <f t="shared" si="19"/>
        <v>0</v>
      </c>
      <c r="AJ92" s="174">
        <f t="shared" si="20"/>
        <v>40</v>
      </c>
      <c r="AK92" s="175">
        <f t="shared" si="21"/>
        <v>6.666666666666667</v>
      </c>
      <c r="AL92" s="175">
        <f t="shared" si="22"/>
        <v>0</v>
      </c>
      <c r="AM92" s="175">
        <f t="shared" si="23"/>
        <v>6.666666666666667</v>
      </c>
    </row>
    <row r="93" spans="1:39">
      <c r="A93" s="136">
        <v>86</v>
      </c>
      <c r="B93" s="136" t="s">
        <v>1813</v>
      </c>
      <c r="C93" s="136" t="s">
        <v>1799</v>
      </c>
      <c r="D93" s="136" t="s">
        <v>1814</v>
      </c>
      <c r="E93" s="160" t="s">
        <v>15</v>
      </c>
      <c r="F93" s="160">
        <v>80</v>
      </c>
      <c r="G93" s="136">
        <v>100</v>
      </c>
      <c r="H93" s="136"/>
      <c r="I93" s="136">
        <f t="shared" si="12"/>
        <v>100</v>
      </c>
      <c r="J93" s="156"/>
      <c r="K93" s="156"/>
      <c r="L93" s="156">
        <f t="shared" si="13"/>
        <v>0</v>
      </c>
      <c r="M93" s="156"/>
      <c r="N93" s="156"/>
      <c r="O93" s="156">
        <f t="shared" si="14"/>
        <v>0</v>
      </c>
      <c r="P93" s="156"/>
      <c r="Q93" s="156"/>
      <c r="R93" s="156">
        <f t="shared" si="15"/>
        <v>0</v>
      </c>
      <c r="S93" s="156"/>
      <c r="T93" s="156"/>
      <c r="U93" s="156">
        <f t="shared" si="16"/>
        <v>0</v>
      </c>
      <c r="V93" s="51"/>
      <c r="W93" s="51"/>
      <c r="X93" s="51">
        <f t="shared" si="17"/>
        <v>0</v>
      </c>
      <c r="Y93" s="51"/>
      <c r="Z93" s="51"/>
      <c r="AA93" s="51"/>
      <c r="AB93" s="51"/>
      <c r="AC93" s="51"/>
      <c r="AD93" s="51"/>
      <c r="AE93" s="51"/>
      <c r="AF93" s="51"/>
      <c r="AG93" s="51"/>
      <c r="AH93" s="174">
        <f t="shared" si="18"/>
        <v>100</v>
      </c>
      <c r="AI93" s="174">
        <f t="shared" si="19"/>
        <v>0</v>
      </c>
      <c r="AJ93" s="174">
        <f t="shared" si="20"/>
        <v>100</v>
      </c>
      <c r="AK93" s="175">
        <f t="shared" si="21"/>
        <v>16.666666666666668</v>
      </c>
      <c r="AL93" s="175">
        <f t="shared" si="22"/>
        <v>0</v>
      </c>
      <c r="AM93" s="175">
        <f t="shared" si="23"/>
        <v>16.666666666666668</v>
      </c>
    </row>
    <row r="94" spans="1:39">
      <c r="A94" s="136">
        <v>87</v>
      </c>
      <c r="B94" s="158" t="s">
        <v>1815</v>
      </c>
      <c r="C94" s="136" t="s">
        <v>1799</v>
      </c>
      <c r="D94" s="136" t="s">
        <v>1816</v>
      </c>
      <c r="E94" s="160" t="s">
        <v>15</v>
      </c>
      <c r="F94" s="160">
        <v>3</v>
      </c>
      <c r="G94" s="136">
        <v>96</v>
      </c>
      <c r="H94" s="136"/>
      <c r="I94" s="136">
        <f t="shared" si="12"/>
        <v>96</v>
      </c>
      <c r="J94" s="156"/>
      <c r="K94" s="156"/>
      <c r="L94" s="156">
        <f t="shared" si="13"/>
        <v>0</v>
      </c>
      <c r="M94" s="156"/>
      <c r="N94" s="156"/>
      <c r="O94" s="156">
        <f t="shared" si="14"/>
        <v>0</v>
      </c>
      <c r="P94" s="156"/>
      <c r="Q94" s="156"/>
      <c r="R94" s="156">
        <f t="shared" si="15"/>
        <v>0</v>
      </c>
      <c r="S94" s="156"/>
      <c r="T94" s="156"/>
      <c r="U94" s="156">
        <f t="shared" si="16"/>
        <v>0</v>
      </c>
      <c r="V94" s="51"/>
      <c r="W94" s="51"/>
      <c r="X94" s="51">
        <f t="shared" si="17"/>
        <v>0</v>
      </c>
      <c r="Y94" s="51"/>
      <c r="Z94" s="51"/>
      <c r="AA94" s="51"/>
      <c r="AB94" s="51"/>
      <c r="AC94" s="51"/>
      <c r="AD94" s="51"/>
      <c r="AE94" s="51"/>
      <c r="AF94" s="51"/>
      <c r="AG94" s="51"/>
      <c r="AH94" s="174">
        <f t="shared" si="18"/>
        <v>96</v>
      </c>
      <c r="AI94" s="174">
        <f t="shared" si="19"/>
        <v>0</v>
      </c>
      <c r="AJ94" s="174">
        <f t="shared" si="20"/>
        <v>96</v>
      </c>
      <c r="AK94" s="175">
        <f t="shared" si="21"/>
        <v>16</v>
      </c>
      <c r="AL94" s="175">
        <f t="shared" si="22"/>
        <v>0</v>
      </c>
      <c r="AM94" s="175">
        <f t="shared" si="23"/>
        <v>16</v>
      </c>
    </row>
    <row r="95" spans="1:39">
      <c r="A95" s="136">
        <v>88</v>
      </c>
      <c r="B95" s="158" t="s">
        <v>1817</v>
      </c>
      <c r="C95" s="136" t="s">
        <v>1799</v>
      </c>
      <c r="D95" s="136" t="s">
        <v>1818</v>
      </c>
      <c r="E95" s="160" t="s">
        <v>15</v>
      </c>
      <c r="F95" s="160">
        <v>6</v>
      </c>
      <c r="G95" s="136"/>
      <c r="H95" s="136"/>
      <c r="I95" s="136">
        <f t="shared" si="12"/>
        <v>0</v>
      </c>
      <c r="J95" s="156"/>
      <c r="K95" s="156"/>
      <c r="L95" s="156">
        <f t="shared" si="13"/>
        <v>0</v>
      </c>
      <c r="M95" s="156"/>
      <c r="N95" s="156"/>
      <c r="O95" s="156">
        <f t="shared" si="14"/>
        <v>0</v>
      </c>
      <c r="P95" s="156"/>
      <c r="Q95" s="156"/>
      <c r="R95" s="156">
        <f t="shared" si="15"/>
        <v>0</v>
      </c>
      <c r="S95" s="156"/>
      <c r="T95" s="156"/>
      <c r="U95" s="156">
        <f t="shared" si="16"/>
        <v>0</v>
      </c>
      <c r="V95" s="51"/>
      <c r="W95" s="51"/>
      <c r="X95" s="51">
        <f t="shared" si="17"/>
        <v>0</v>
      </c>
      <c r="Y95" s="51"/>
      <c r="Z95" s="51"/>
      <c r="AA95" s="51"/>
      <c r="AB95" s="51"/>
      <c r="AC95" s="51"/>
      <c r="AD95" s="51"/>
      <c r="AE95" s="51"/>
      <c r="AF95" s="51"/>
      <c r="AG95" s="51"/>
      <c r="AH95" s="174">
        <f t="shared" si="18"/>
        <v>0</v>
      </c>
      <c r="AI95" s="174">
        <f t="shared" si="19"/>
        <v>0</v>
      </c>
      <c r="AJ95" s="174">
        <f t="shared" si="20"/>
        <v>0</v>
      </c>
      <c r="AK95" s="175">
        <f t="shared" si="21"/>
        <v>0</v>
      </c>
      <c r="AL95" s="175">
        <f t="shared" si="22"/>
        <v>0</v>
      </c>
      <c r="AM95" s="175">
        <f t="shared" si="23"/>
        <v>0</v>
      </c>
    </row>
    <row r="96" spans="1:39">
      <c r="A96" s="136">
        <v>89</v>
      </c>
      <c r="B96" s="136" t="s">
        <v>1819</v>
      </c>
      <c r="C96" s="136" t="s">
        <v>1799</v>
      </c>
      <c r="D96" s="136" t="s">
        <v>1820</v>
      </c>
      <c r="E96" s="160" t="s">
        <v>15</v>
      </c>
      <c r="F96" s="160">
        <v>70</v>
      </c>
      <c r="G96" s="136">
        <v>18</v>
      </c>
      <c r="H96" s="136"/>
      <c r="I96" s="136">
        <f t="shared" si="12"/>
        <v>18</v>
      </c>
      <c r="J96" s="156">
        <v>60</v>
      </c>
      <c r="K96" s="156"/>
      <c r="L96" s="156">
        <f t="shared" si="13"/>
        <v>60</v>
      </c>
      <c r="M96" s="156"/>
      <c r="N96" s="156"/>
      <c r="O96" s="156">
        <f t="shared" si="14"/>
        <v>0</v>
      </c>
      <c r="P96" s="156"/>
      <c r="Q96" s="156"/>
      <c r="R96" s="156">
        <f t="shared" si="15"/>
        <v>0</v>
      </c>
      <c r="S96" s="156"/>
      <c r="T96" s="156"/>
      <c r="U96" s="156">
        <f t="shared" si="16"/>
        <v>0</v>
      </c>
      <c r="V96" s="51"/>
      <c r="W96" s="51"/>
      <c r="X96" s="51">
        <f t="shared" si="17"/>
        <v>0</v>
      </c>
      <c r="Y96" s="51"/>
      <c r="Z96" s="51"/>
      <c r="AA96" s="51"/>
      <c r="AB96" s="51">
        <v>250</v>
      </c>
      <c r="AC96" s="51">
        <v>9</v>
      </c>
      <c r="AD96" s="51"/>
      <c r="AE96" s="51"/>
      <c r="AF96" s="51"/>
      <c r="AG96" s="51"/>
      <c r="AH96" s="174">
        <f t="shared" si="18"/>
        <v>78</v>
      </c>
      <c r="AI96" s="174">
        <f t="shared" si="19"/>
        <v>0</v>
      </c>
      <c r="AJ96" s="174">
        <f t="shared" si="20"/>
        <v>78</v>
      </c>
      <c r="AK96" s="175">
        <f t="shared" si="21"/>
        <v>13</v>
      </c>
      <c r="AL96" s="175">
        <f t="shared" si="22"/>
        <v>0</v>
      </c>
      <c r="AM96" s="175">
        <f t="shared" si="23"/>
        <v>13</v>
      </c>
    </row>
    <row r="97" spans="1:39">
      <c r="A97" s="136">
        <v>90</v>
      </c>
      <c r="B97" s="136" t="s">
        <v>1821</v>
      </c>
      <c r="C97" s="136" t="s">
        <v>1799</v>
      </c>
      <c r="D97" s="136" t="s">
        <v>1822</v>
      </c>
      <c r="E97" s="160" t="s">
        <v>15</v>
      </c>
      <c r="F97" s="160">
        <v>3</v>
      </c>
      <c r="G97" s="136"/>
      <c r="H97" s="136"/>
      <c r="I97" s="136">
        <f t="shared" si="12"/>
        <v>0</v>
      </c>
      <c r="J97" s="156">
        <v>20</v>
      </c>
      <c r="K97" s="156"/>
      <c r="L97" s="156">
        <f t="shared" si="13"/>
        <v>20</v>
      </c>
      <c r="M97" s="156"/>
      <c r="N97" s="156"/>
      <c r="O97" s="156">
        <f t="shared" si="14"/>
        <v>0</v>
      </c>
      <c r="P97" s="156"/>
      <c r="Q97" s="156"/>
      <c r="R97" s="156">
        <f t="shared" si="15"/>
        <v>0</v>
      </c>
      <c r="S97" s="156"/>
      <c r="T97" s="156"/>
      <c r="U97" s="156">
        <f t="shared" si="16"/>
        <v>0</v>
      </c>
      <c r="V97" s="51"/>
      <c r="W97" s="51"/>
      <c r="X97" s="51">
        <f t="shared" si="17"/>
        <v>0</v>
      </c>
      <c r="Y97" s="51"/>
      <c r="Z97" s="51"/>
      <c r="AA97" s="51"/>
      <c r="AB97" s="51">
        <v>15</v>
      </c>
      <c r="AC97" s="51"/>
      <c r="AD97" s="51"/>
      <c r="AE97" s="51"/>
      <c r="AF97" s="51"/>
      <c r="AG97" s="51"/>
      <c r="AH97" s="174">
        <f t="shared" si="18"/>
        <v>20</v>
      </c>
      <c r="AI97" s="174">
        <f t="shared" si="19"/>
        <v>0</v>
      </c>
      <c r="AJ97" s="174">
        <f t="shared" si="20"/>
        <v>20</v>
      </c>
      <c r="AK97" s="175">
        <f t="shared" si="21"/>
        <v>3.3333333333333335</v>
      </c>
      <c r="AL97" s="175">
        <f t="shared" si="22"/>
        <v>0</v>
      </c>
      <c r="AM97" s="175">
        <f t="shared" si="23"/>
        <v>3.3333333333333335</v>
      </c>
    </row>
    <row r="98" spans="1:39">
      <c r="A98" s="136">
        <v>91</v>
      </c>
      <c r="B98" s="136" t="s">
        <v>1823</v>
      </c>
      <c r="C98" s="136" t="s">
        <v>1799</v>
      </c>
      <c r="D98" s="136" t="s">
        <v>1824</v>
      </c>
      <c r="E98" s="160" t="s">
        <v>15</v>
      </c>
      <c r="F98" s="160">
        <v>10</v>
      </c>
      <c r="G98" s="136"/>
      <c r="H98" s="136"/>
      <c r="I98" s="136">
        <f t="shared" si="12"/>
        <v>0</v>
      </c>
      <c r="J98" s="156">
        <v>10</v>
      </c>
      <c r="K98" s="156"/>
      <c r="L98" s="156">
        <f t="shared" si="13"/>
        <v>10</v>
      </c>
      <c r="M98" s="156"/>
      <c r="N98" s="156"/>
      <c r="O98" s="156">
        <f t="shared" si="14"/>
        <v>0</v>
      </c>
      <c r="P98" s="156"/>
      <c r="Q98" s="156"/>
      <c r="R98" s="156">
        <f t="shared" si="15"/>
        <v>0</v>
      </c>
      <c r="S98" s="156"/>
      <c r="T98" s="156"/>
      <c r="U98" s="156">
        <f t="shared" si="16"/>
        <v>0</v>
      </c>
      <c r="V98" s="51"/>
      <c r="W98" s="51"/>
      <c r="X98" s="51">
        <f t="shared" si="17"/>
        <v>0</v>
      </c>
      <c r="Y98" s="51"/>
      <c r="Z98" s="51"/>
      <c r="AA98" s="51"/>
      <c r="AB98" s="51">
        <v>20</v>
      </c>
      <c r="AC98" s="51">
        <v>3</v>
      </c>
      <c r="AD98" s="51"/>
      <c r="AE98" s="51"/>
      <c r="AF98" s="51"/>
      <c r="AG98" s="51"/>
      <c r="AH98" s="174">
        <f t="shared" si="18"/>
        <v>10</v>
      </c>
      <c r="AI98" s="174">
        <f t="shared" si="19"/>
        <v>0</v>
      </c>
      <c r="AJ98" s="174">
        <f t="shared" si="20"/>
        <v>10</v>
      </c>
      <c r="AK98" s="175">
        <f t="shared" si="21"/>
        <v>1.6666666666666667</v>
      </c>
      <c r="AL98" s="175">
        <f t="shared" si="22"/>
        <v>0</v>
      </c>
      <c r="AM98" s="175">
        <f t="shared" si="23"/>
        <v>1.6666666666666667</v>
      </c>
    </row>
    <row r="99" spans="1:39">
      <c r="A99" s="136">
        <v>92</v>
      </c>
      <c r="B99" s="136" t="s">
        <v>1825</v>
      </c>
      <c r="C99" s="136" t="s">
        <v>1799</v>
      </c>
      <c r="D99" s="136" t="s">
        <v>1826</v>
      </c>
      <c r="E99" s="160" t="s">
        <v>15</v>
      </c>
      <c r="F99" s="160">
        <v>60</v>
      </c>
      <c r="G99" s="136">
        <v>10</v>
      </c>
      <c r="H99" s="136"/>
      <c r="I99" s="136">
        <f t="shared" si="12"/>
        <v>10</v>
      </c>
      <c r="J99" s="156">
        <v>20</v>
      </c>
      <c r="K99" s="156"/>
      <c r="L99" s="156">
        <f t="shared" si="13"/>
        <v>20</v>
      </c>
      <c r="M99" s="156"/>
      <c r="N99" s="156"/>
      <c r="O99" s="156">
        <f t="shared" si="14"/>
        <v>0</v>
      </c>
      <c r="P99" s="156"/>
      <c r="Q99" s="156"/>
      <c r="R99" s="156">
        <f t="shared" si="15"/>
        <v>0</v>
      </c>
      <c r="S99" s="156">
        <v>20</v>
      </c>
      <c r="T99" s="156"/>
      <c r="U99" s="156">
        <f t="shared" si="16"/>
        <v>20</v>
      </c>
      <c r="V99" s="51"/>
      <c r="W99" s="51"/>
      <c r="X99" s="51">
        <f t="shared" si="17"/>
        <v>0</v>
      </c>
      <c r="Y99" s="51"/>
      <c r="Z99" s="51"/>
      <c r="AA99" s="51"/>
      <c r="AB99" s="51"/>
      <c r="AC99" s="51"/>
      <c r="AD99" s="51"/>
      <c r="AE99" s="51"/>
      <c r="AF99" s="51"/>
      <c r="AG99" s="51"/>
      <c r="AH99" s="174">
        <f t="shared" si="18"/>
        <v>50</v>
      </c>
      <c r="AI99" s="174">
        <f t="shared" si="19"/>
        <v>0</v>
      </c>
      <c r="AJ99" s="174">
        <f t="shared" si="20"/>
        <v>50</v>
      </c>
      <c r="AK99" s="175">
        <f t="shared" si="21"/>
        <v>8.3333333333333339</v>
      </c>
      <c r="AL99" s="175">
        <f t="shared" si="22"/>
        <v>0</v>
      </c>
      <c r="AM99" s="175">
        <f t="shared" si="23"/>
        <v>8.3333333333333339</v>
      </c>
    </row>
    <row r="100" spans="1:39">
      <c r="A100" s="136">
        <v>93</v>
      </c>
      <c r="B100" s="136" t="s">
        <v>1801</v>
      </c>
      <c r="C100" s="136" t="s">
        <v>1799</v>
      </c>
      <c r="D100" s="136" t="s">
        <v>1827</v>
      </c>
      <c r="E100" s="160" t="s">
        <v>15</v>
      </c>
      <c r="F100" s="160">
        <v>10</v>
      </c>
      <c r="G100" s="136"/>
      <c r="H100" s="136"/>
      <c r="I100" s="136">
        <f t="shared" si="12"/>
        <v>0</v>
      </c>
      <c r="J100" s="156">
        <v>10</v>
      </c>
      <c r="K100" s="156"/>
      <c r="L100" s="156">
        <f t="shared" si="13"/>
        <v>10</v>
      </c>
      <c r="M100" s="156"/>
      <c r="N100" s="156"/>
      <c r="O100" s="156">
        <f t="shared" si="14"/>
        <v>0</v>
      </c>
      <c r="P100" s="156"/>
      <c r="Q100" s="156"/>
      <c r="R100" s="156">
        <f t="shared" si="15"/>
        <v>0</v>
      </c>
      <c r="S100" s="156">
        <v>15</v>
      </c>
      <c r="T100" s="156"/>
      <c r="U100" s="156">
        <f t="shared" si="16"/>
        <v>15</v>
      </c>
      <c r="V100" s="51"/>
      <c r="W100" s="51"/>
      <c r="X100" s="51">
        <f t="shared" si="17"/>
        <v>0</v>
      </c>
      <c r="Y100" s="51"/>
      <c r="Z100" s="51"/>
      <c r="AA100" s="51"/>
      <c r="AB100" s="51">
        <v>60</v>
      </c>
      <c r="AC100" s="51">
        <v>30</v>
      </c>
      <c r="AD100" s="51"/>
      <c r="AE100" s="51"/>
      <c r="AF100" s="51"/>
      <c r="AG100" s="51"/>
      <c r="AH100" s="174">
        <f t="shared" si="18"/>
        <v>25</v>
      </c>
      <c r="AI100" s="174">
        <f t="shared" si="19"/>
        <v>0</v>
      </c>
      <c r="AJ100" s="174">
        <f t="shared" si="20"/>
        <v>25</v>
      </c>
      <c r="AK100" s="175">
        <f t="shared" si="21"/>
        <v>4.166666666666667</v>
      </c>
      <c r="AL100" s="175">
        <f t="shared" si="22"/>
        <v>0</v>
      </c>
      <c r="AM100" s="175">
        <f t="shared" si="23"/>
        <v>4.166666666666667</v>
      </c>
    </row>
    <row r="101" spans="1:39">
      <c r="A101" s="190">
        <v>94</v>
      </c>
      <c r="B101" s="194" t="s">
        <v>1828</v>
      </c>
      <c r="C101" s="190" t="s">
        <v>1799</v>
      </c>
      <c r="D101" s="190" t="s">
        <v>1829</v>
      </c>
      <c r="E101" s="189" t="s">
        <v>15</v>
      </c>
      <c r="F101" s="189">
        <v>67</v>
      </c>
      <c r="G101" s="190">
        <v>300</v>
      </c>
      <c r="H101" s="190"/>
      <c r="I101" s="190">
        <f t="shared" si="12"/>
        <v>300</v>
      </c>
      <c r="J101" s="196"/>
      <c r="K101" s="196"/>
      <c r="L101" s="196">
        <f t="shared" si="13"/>
        <v>0</v>
      </c>
      <c r="M101" s="196"/>
      <c r="N101" s="196"/>
      <c r="O101" s="196">
        <f t="shared" si="14"/>
        <v>0</v>
      </c>
      <c r="P101" s="196"/>
      <c r="Q101" s="196"/>
      <c r="R101" s="196">
        <f t="shared" si="15"/>
        <v>0</v>
      </c>
      <c r="S101" s="196"/>
      <c r="T101" s="196"/>
      <c r="U101" s="196">
        <f t="shared" si="16"/>
        <v>0</v>
      </c>
      <c r="V101" s="198">
        <v>120</v>
      </c>
      <c r="W101" s="198">
        <v>302</v>
      </c>
      <c r="X101" s="198">
        <f t="shared" si="17"/>
        <v>422</v>
      </c>
      <c r="Y101" s="198"/>
      <c r="Z101" s="198"/>
      <c r="AA101" s="198"/>
      <c r="AB101" s="198">
        <v>100</v>
      </c>
      <c r="AC101" s="198">
        <v>112</v>
      </c>
      <c r="AD101" s="198"/>
      <c r="AE101" s="198"/>
      <c r="AF101" s="198"/>
      <c r="AG101" s="198"/>
      <c r="AH101" s="138">
        <f t="shared" si="18"/>
        <v>420</v>
      </c>
      <c r="AI101" s="138">
        <f t="shared" si="19"/>
        <v>302</v>
      </c>
      <c r="AJ101" s="138">
        <f t="shared" si="20"/>
        <v>722</v>
      </c>
      <c r="AK101" s="139">
        <f t="shared" si="21"/>
        <v>70</v>
      </c>
      <c r="AL101" s="139">
        <f t="shared" si="22"/>
        <v>50.333333333333336</v>
      </c>
      <c r="AM101" s="139">
        <f t="shared" si="23"/>
        <v>120.33333333333333</v>
      </c>
    </row>
    <row r="102" spans="1:39">
      <c r="A102" s="190">
        <v>95</v>
      </c>
      <c r="B102" s="194" t="s">
        <v>1830</v>
      </c>
      <c r="C102" s="190" t="s">
        <v>1799</v>
      </c>
      <c r="D102" s="190" t="s">
        <v>1831</v>
      </c>
      <c r="E102" s="189" t="s">
        <v>15</v>
      </c>
      <c r="F102" s="189">
        <v>46</v>
      </c>
      <c r="G102" s="190">
        <v>291</v>
      </c>
      <c r="H102" s="190">
        <v>18</v>
      </c>
      <c r="I102" s="190">
        <f t="shared" si="12"/>
        <v>309</v>
      </c>
      <c r="J102" s="196"/>
      <c r="K102" s="196"/>
      <c r="L102" s="196">
        <f t="shared" si="13"/>
        <v>0</v>
      </c>
      <c r="M102" s="196"/>
      <c r="N102" s="196"/>
      <c r="O102" s="196">
        <f t="shared" si="14"/>
        <v>0</v>
      </c>
      <c r="P102" s="196"/>
      <c r="Q102" s="196"/>
      <c r="R102" s="196">
        <f t="shared" si="15"/>
        <v>0</v>
      </c>
      <c r="S102" s="196"/>
      <c r="T102" s="196"/>
      <c r="U102" s="196">
        <f t="shared" si="16"/>
        <v>0</v>
      </c>
      <c r="V102" s="198">
        <v>60</v>
      </c>
      <c r="W102" s="198"/>
      <c r="X102" s="198">
        <f t="shared" si="17"/>
        <v>60</v>
      </c>
      <c r="Y102" s="198"/>
      <c r="Z102" s="198"/>
      <c r="AA102" s="198"/>
      <c r="AB102" s="198">
        <v>243</v>
      </c>
      <c r="AC102" s="198">
        <v>54</v>
      </c>
      <c r="AD102" s="198"/>
      <c r="AE102" s="198"/>
      <c r="AF102" s="198"/>
      <c r="AG102" s="198"/>
      <c r="AH102" s="138">
        <f t="shared" si="18"/>
        <v>351</v>
      </c>
      <c r="AI102" s="138">
        <f t="shared" si="19"/>
        <v>18</v>
      </c>
      <c r="AJ102" s="138">
        <f t="shared" si="20"/>
        <v>369</v>
      </c>
      <c r="AK102" s="139">
        <f t="shared" si="21"/>
        <v>58.5</v>
      </c>
      <c r="AL102" s="139">
        <f t="shared" si="22"/>
        <v>3</v>
      </c>
      <c r="AM102" s="139">
        <f t="shared" si="23"/>
        <v>61.5</v>
      </c>
    </row>
    <row r="103" spans="1:39">
      <c r="A103" s="190">
        <v>96</v>
      </c>
      <c r="B103" s="194" t="s">
        <v>1832</v>
      </c>
      <c r="C103" s="190" t="s">
        <v>1799</v>
      </c>
      <c r="D103" s="190" t="s">
        <v>1833</v>
      </c>
      <c r="E103" s="189" t="s">
        <v>15</v>
      </c>
      <c r="F103" s="189">
        <v>60</v>
      </c>
      <c r="G103" s="190">
        <v>0</v>
      </c>
      <c r="H103" s="190">
        <v>0</v>
      </c>
      <c r="I103" s="190">
        <f t="shared" si="12"/>
        <v>0</v>
      </c>
      <c r="J103" s="196"/>
      <c r="K103" s="196"/>
      <c r="L103" s="196">
        <f t="shared" si="13"/>
        <v>0</v>
      </c>
      <c r="M103" s="196"/>
      <c r="N103" s="196"/>
      <c r="O103" s="196">
        <f t="shared" si="14"/>
        <v>0</v>
      </c>
      <c r="P103" s="196"/>
      <c r="Q103" s="196"/>
      <c r="R103" s="196">
        <f t="shared" si="15"/>
        <v>0</v>
      </c>
      <c r="S103" s="196"/>
      <c r="T103" s="196"/>
      <c r="U103" s="196">
        <f t="shared" si="16"/>
        <v>0</v>
      </c>
      <c r="V103" s="198">
        <v>0</v>
      </c>
      <c r="W103" s="198"/>
      <c r="X103" s="198">
        <f t="shared" si="17"/>
        <v>0</v>
      </c>
      <c r="Y103" s="198"/>
      <c r="Z103" s="198"/>
      <c r="AA103" s="198"/>
      <c r="AB103" s="198">
        <v>100</v>
      </c>
      <c r="AC103" s="198"/>
      <c r="AD103" s="198"/>
      <c r="AE103" s="198"/>
      <c r="AF103" s="198"/>
      <c r="AG103" s="198"/>
      <c r="AH103" s="138">
        <f t="shared" si="18"/>
        <v>0</v>
      </c>
      <c r="AI103" s="138">
        <f t="shared" si="19"/>
        <v>0</v>
      </c>
      <c r="AJ103" s="138">
        <f t="shared" si="20"/>
        <v>0</v>
      </c>
      <c r="AK103" s="139">
        <f t="shared" si="21"/>
        <v>0</v>
      </c>
      <c r="AL103" s="139">
        <f t="shared" si="22"/>
        <v>0</v>
      </c>
      <c r="AM103" s="139">
        <f t="shared" si="23"/>
        <v>0</v>
      </c>
    </row>
    <row r="104" spans="1:39">
      <c r="A104" s="190">
        <v>97</v>
      </c>
      <c r="B104" s="194" t="s">
        <v>1834</v>
      </c>
      <c r="C104" s="190" t="s">
        <v>1835</v>
      </c>
      <c r="D104" s="190" t="s">
        <v>1836</v>
      </c>
      <c r="E104" s="189" t="s">
        <v>15</v>
      </c>
      <c r="F104" s="189">
        <v>267</v>
      </c>
      <c r="G104" s="190">
        <v>0</v>
      </c>
      <c r="H104" s="190">
        <v>0</v>
      </c>
      <c r="I104" s="190">
        <f t="shared" si="12"/>
        <v>0</v>
      </c>
      <c r="J104" s="196">
        <v>535</v>
      </c>
      <c r="K104" s="196">
        <v>54</v>
      </c>
      <c r="L104" s="196">
        <f t="shared" si="13"/>
        <v>589</v>
      </c>
      <c r="M104" s="196"/>
      <c r="N104" s="196"/>
      <c r="O104" s="196">
        <f t="shared" si="14"/>
        <v>0</v>
      </c>
      <c r="P104" s="196">
        <v>630</v>
      </c>
      <c r="Q104" s="196">
        <v>36</v>
      </c>
      <c r="R104" s="196">
        <f t="shared" si="15"/>
        <v>666</v>
      </c>
      <c r="S104" s="196"/>
      <c r="T104" s="196"/>
      <c r="U104" s="196">
        <f t="shared" si="16"/>
        <v>0</v>
      </c>
      <c r="V104" s="198">
        <v>1076</v>
      </c>
      <c r="W104" s="198"/>
      <c r="X104" s="198">
        <f t="shared" si="17"/>
        <v>1076</v>
      </c>
      <c r="Y104" s="198"/>
      <c r="Z104" s="198"/>
      <c r="AA104" s="198"/>
      <c r="AB104" s="198">
        <v>150</v>
      </c>
      <c r="AC104" s="198"/>
      <c r="AD104" s="198"/>
      <c r="AE104" s="198"/>
      <c r="AF104" s="198"/>
      <c r="AG104" s="198"/>
      <c r="AH104" s="138">
        <f t="shared" si="18"/>
        <v>2241</v>
      </c>
      <c r="AI104" s="138">
        <f t="shared" si="19"/>
        <v>90</v>
      </c>
      <c r="AJ104" s="138">
        <f t="shared" si="20"/>
        <v>2331</v>
      </c>
      <c r="AK104" s="139">
        <f t="shared" si="21"/>
        <v>373.5</v>
      </c>
      <c r="AL104" s="139">
        <f t="shared" si="22"/>
        <v>15</v>
      </c>
      <c r="AM104" s="139">
        <f t="shared" si="23"/>
        <v>388.5</v>
      </c>
    </row>
    <row r="105" spans="1:39">
      <c r="A105" s="136">
        <v>98</v>
      </c>
      <c r="B105" s="136" t="s">
        <v>1837</v>
      </c>
      <c r="C105" s="136" t="s">
        <v>1835</v>
      </c>
      <c r="D105" s="136" t="s">
        <v>1838</v>
      </c>
      <c r="E105" s="160" t="s">
        <v>15</v>
      </c>
      <c r="F105" s="160">
        <v>40</v>
      </c>
      <c r="G105" s="136">
        <v>20</v>
      </c>
      <c r="H105" s="136"/>
      <c r="I105" s="136">
        <f t="shared" si="12"/>
        <v>20</v>
      </c>
      <c r="J105" s="156">
        <v>75</v>
      </c>
      <c r="K105" s="156"/>
      <c r="L105" s="156">
        <f t="shared" si="13"/>
        <v>75</v>
      </c>
      <c r="M105" s="156"/>
      <c r="N105" s="156"/>
      <c r="O105" s="156">
        <f t="shared" si="14"/>
        <v>0</v>
      </c>
      <c r="P105" s="156"/>
      <c r="Q105" s="156"/>
      <c r="R105" s="156">
        <f t="shared" si="15"/>
        <v>0</v>
      </c>
      <c r="S105" s="156">
        <v>65</v>
      </c>
      <c r="T105" s="156"/>
      <c r="U105" s="156">
        <f t="shared" si="16"/>
        <v>65</v>
      </c>
      <c r="V105" s="51"/>
      <c r="W105" s="51"/>
      <c r="X105" s="51">
        <f t="shared" si="17"/>
        <v>0</v>
      </c>
      <c r="Y105" s="51"/>
      <c r="Z105" s="51"/>
      <c r="AA105" s="51"/>
      <c r="AB105" s="51">
        <v>200</v>
      </c>
      <c r="AC105" s="51">
        <v>50</v>
      </c>
      <c r="AD105" s="51"/>
      <c r="AE105" s="51"/>
      <c r="AF105" s="51"/>
      <c r="AG105" s="51"/>
      <c r="AH105" s="174">
        <f t="shared" si="18"/>
        <v>160</v>
      </c>
      <c r="AI105" s="174">
        <f t="shared" si="19"/>
        <v>0</v>
      </c>
      <c r="AJ105" s="174">
        <f t="shared" si="20"/>
        <v>160</v>
      </c>
      <c r="AK105" s="175">
        <f t="shared" si="21"/>
        <v>26.666666666666668</v>
      </c>
      <c r="AL105" s="175">
        <f t="shared" si="22"/>
        <v>0</v>
      </c>
      <c r="AM105" s="175">
        <f t="shared" si="23"/>
        <v>26.666666666666668</v>
      </c>
    </row>
    <row r="106" spans="1:39">
      <c r="A106" s="136">
        <v>99</v>
      </c>
      <c r="B106" s="136" t="s">
        <v>1839</v>
      </c>
      <c r="C106" s="136" t="s">
        <v>1835</v>
      </c>
      <c r="D106" s="136" t="s">
        <v>1840</v>
      </c>
      <c r="E106" s="160" t="s">
        <v>15</v>
      </c>
      <c r="F106" s="160">
        <v>10</v>
      </c>
      <c r="G106" s="136"/>
      <c r="H106" s="136"/>
      <c r="I106" s="136">
        <f t="shared" si="12"/>
        <v>0</v>
      </c>
      <c r="J106" s="156">
        <v>15</v>
      </c>
      <c r="K106" s="156"/>
      <c r="L106" s="156">
        <f t="shared" si="13"/>
        <v>15</v>
      </c>
      <c r="M106" s="156"/>
      <c r="N106" s="156"/>
      <c r="O106" s="156">
        <f t="shared" si="14"/>
        <v>0</v>
      </c>
      <c r="P106" s="156"/>
      <c r="Q106" s="156"/>
      <c r="R106" s="156">
        <f t="shared" si="15"/>
        <v>0</v>
      </c>
      <c r="S106" s="156">
        <v>25</v>
      </c>
      <c r="T106" s="156"/>
      <c r="U106" s="156">
        <f t="shared" si="16"/>
        <v>25</v>
      </c>
      <c r="V106" s="51"/>
      <c r="W106" s="51"/>
      <c r="X106" s="51">
        <f t="shared" si="17"/>
        <v>0</v>
      </c>
      <c r="Y106" s="51"/>
      <c r="Z106" s="51"/>
      <c r="AA106" s="51"/>
      <c r="AB106" s="51">
        <v>15</v>
      </c>
      <c r="AC106" s="51">
        <v>25</v>
      </c>
      <c r="AD106" s="51"/>
      <c r="AE106" s="51"/>
      <c r="AF106" s="51"/>
      <c r="AG106" s="51"/>
      <c r="AH106" s="174">
        <f t="shared" si="18"/>
        <v>40</v>
      </c>
      <c r="AI106" s="174">
        <f t="shared" si="19"/>
        <v>0</v>
      </c>
      <c r="AJ106" s="174">
        <f t="shared" si="20"/>
        <v>40</v>
      </c>
      <c r="AK106" s="175">
        <f t="shared" si="21"/>
        <v>6.666666666666667</v>
      </c>
      <c r="AL106" s="175">
        <f t="shared" si="22"/>
        <v>0</v>
      </c>
      <c r="AM106" s="175">
        <f t="shared" si="23"/>
        <v>6.666666666666667</v>
      </c>
    </row>
    <row r="107" spans="1:39">
      <c r="A107" s="136">
        <v>100</v>
      </c>
      <c r="B107" s="136" t="s">
        <v>1841</v>
      </c>
      <c r="C107" s="136" t="s">
        <v>1835</v>
      </c>
      <c r="D107" s="136" t="s">
        <v>1842</v>
      </c>
      <c r="E107" s="160" t="s">
        <v>15</v>
      </c>
      <c r="F107" s="160">
        <v>60</v>
      </c>
      <c r="G107" s="136"/>
      <c r="H107" s="136"/>
      <c r="I107" s="136">
        <f t="shared" si="12"/>
        <v>0</v>
      </c>
      <c r="J107" s="156"/>
      <c r="K107" s="156"/>
      <c r="L107" s="156">
        <f t="shared" si="13"/>
        <v>0</v>
      </c>
      <c r="M107" s="156"/>
      <c r="N107" s="156"/>
      <c r="O107" s="156">
        <f t="shared" si="14"/>
        <v>0</v>
      </c>
      <c r="P107" s="156"/>
      <c r="Q107" s="156"/>
      <c r="R107" s="156">
        <f t="shared" si="15"/>
        <v>0</v>
      </c>
      <c r="S107" s="156"/>
      <c r="T107" s="156"/>
      <c r="U107" s="156">
        <f t="shared" si="16"/>
        <v>0</v>
      </c>
      <c r="V107" s="51"/>
      <c r="W107" s="51"/>
      <c r="X107" s="51">
        <f t="shared" si="17"/>
        <v>0</v>
      </c>
      <c r="Y107" s="51"/>
      <c r="Z107" s="51"/>
      <c r="AA107" s="51"/>
      <c r="AB107" s="51"/>
      <c r="AC107" s="51"/>
      <c r="AD107" s="51"/>
      <c r="AE107" s="51"/>
      <c r="AF107" s="51"/>
      <c r="AG107" s="51"/>
      <c r="AH107" s="174">
        <f t="shared" si="18"/>
        <v>0</v>
      </c>
      <c r="AI107" s="174">
        <f t="shared" si="19"/>
        <v>0</v>
      </c>
      <c r="AJ107" s="174">
        <f t="shared" si="20"/>
        <v>0</v>
      </c>
      <c r="AK107" s="175">
        <f t="shared" si="21"/>
        <v>0</v>
      </c>
      <c r="AL107" s="175">
        <f t="shared" si="22"/>
        <v>0</v>
      </c>
      <c r="AM107" s="175">
        <f t="shared" si="23"/>
        <v>0</v>
      </c>
    </row>
    <row r="108" spans="1:39">
      <c r="A108" s="136">
        <v>101</v>
      </c>
      <c r="B108" s="136" t="s">
        <v>1843</v>
      </c>
      <c r="C108" s="136" t="s">
        <v>1835</v>
      </c>
      <c r="D108" s="136" t="s">
        <v>1844</v>
      </c>
      <c r="E108" s="160" t="s">
        <v>15</v>
      </c>
      <c r="F108" s="160">
        <v>30</v>
      </c>
      <c r="G108" s="136"/>
      <c r="H108" s="136"/>
      <c r="I108" s="136">
        <f t="shared" si="12"/>
        <v>0</v>
      </c>
      <c r="J108" s="156"/>
      <c r="K108" s="156"/>
      <c r="L108" s="156">
        <f t="shared" si="13"/>
        <v>0</v>
      </c>
      <c r="M108" s="156"/>
      <c r="N108" s="156"/>
      <c r="O108" s="156">
        <f t="shared" si="14"/>
        <v>0</v>
      </c>
      <c r="P108" s="156"/>
      <c r="Q108" s="156"/>
      <c r="R108" s="156">
        <f t="shared" si="15"/>
        <v>0</v>
      </c>
      <c r="S108" s="156"/>
      <c r="T108" s="156"/>
      <c r="U108" s="156">
        <f t="shared" si="16"/>
        <v>0</v>
      </c>
      <c r="V108" s="51"/>
      <c r="W108" s="51"/>
      <c r="X108" s="51">
        <f t="shared" si="17"/>
        <v>0</v>
      </c>
      <c r="Y108" s="51"/>
      <c r="Z108" s="51"/>
      <c r="AA108" s="51"/>
      <c r="AB108" s="51"/>
      <c r="AC108" s="51"/>
      <c r="AD108" s="51"/>
      <c r="AE108" s="51"/>
      <c r="AF108" s="51"/>
      <c r="AG108" s="51"/>
      <c r="AH108" s="174">
        <f t="shared" si="18"/>
        <v>0</v>
      </c>
      <c r="AI108" s="174">
        <f t="shared" si="19"/>
        <v>0</v>
      </c>
      <c r="AJ108" s="174">
        <f t="shared" si="20"/>
        <v>0</v>
      </c>
      <c r="AK108" s="175">
        <f t="shared" si="21"/>
        <v>0</v>
      </c>
      <c r="AL108" s="175">
        <f t="shared" si="22"/>
        <v>0</v>
      </c>
      <c r="AM108" s="175">
        <f t="shared" si="23"/>
        <v>0</v>
      </c>
    </row>
    <row r="109" spans="1:39">
      <c r="A109" s="136">
        <v>102</v>
      </c>
      <c r="B109" s="136" t="s">
        <v>1845</v>
      </c>
      <c r="C109" s="136" t="s">
        <v>1835</v>
      </c>
      <c r="D109" s="136" t="s">
        <v>1846</v>
      </c>
      <c r="E109" s="160" t="s">
        <v>15</v>
      </c>
      <c r="F109" s="160">
        <v>40</v>
      </c>
      <c r="G109" s="136">
        <v>20</v>
      </c>
      <c r="H109" s="136"/>
      <c r="I109" s="136">
        <f t="shared" si="12"/>
        <v>20</v>
      </c>
      <c r="J109" s="156">
        <v>40</v>
      </c>
      <c r="K109" s="156">
        <v>10</v>
      </c>
      <c r="L109" s="156">
        <f t="shared" si="13"/>
        <v>50</v>
      </c>
      <c r="M109" s="156"/>
      <c r="N109" s="156"/>
      <c r="O109" s="156">
        <f t="shared" si="14"/>
        <v>0</v>
      </c>
      <c r="P109" s="156"/>
      <c r="Q109" s="156"/>
      <c r="R109" s="156">
        <f t="shared" si="15"/>
        <v>0</v>
      </c>
      <c r="S109" s="156"/>
      <c r="T109" s="156"/>
      <c r="U109" s="156">
        <f t="shared" si="16"/>
        <v>0</v>
      </c>
      <c r="V109" s="51"/>
      <c r="W109" s="51"/>
      <c r="X109" s="51">
        <f t="shared" si="17"/>
        <v>0</v>
      </c>
      <c r="Y109" s="51"/>
      <c r="Z109" s="51"/>
      <c r="AA109" s="51"/>
      <c r="AB109" s="51">
        <v>250</v>
      </c>
      <c r="AC109" s="51">
        <v>15</v>
      </c>
      <c r="AD109" s="51"/>
      <c r="AE109" s="51"/>
      <c r="AF109" s="51"/>
      <c r="AG109" s="51"/>
      <c r="AH109" s="174">
        <f t="shared" si="18"/>
        <v>60</v>
      </c>
      <c r="AI109" s="174">
        <f t="shared" si="19"/>
        <v>10</v>
      </c>
      <c r="AJ109" s="174">
        <f t="shared" si="20"/>
        <v>70</v>
      </c>
      <c r="AK109" s="175">
        <f t="shared" si="21"/>
        <v>10</v>
      </c>
      <c r="AL109" s="175">
        <f t="shared" si="22"/>
        <v>1.6666666666666667</v>
      </c>
      <c r="AM109" s="175">
        <f t="shared" si="23"/>
        <v>11.666666666666666</v>
      </c>
    </row>
    <row r="110" spans="1:39">
      <c r="A110" s="136">
        <v>103</v>
      </c>
      <c r="B110" s="136" t="s">
        <v>1847</v>
      </c>
      <c r="C110" s="136" t="s">
        <v>1835</v>
      </c>
      <c r="D110" s="136" t="s">
        <v>1848</v>
      </c>
      <c r="E110" s="160" t="s">
        <v>15</v>
      </c>
      <c r="F110" s="160">
        <v>50</v>
      </c>
      <c r="G110" s="136"/>
      <c r="H110" s="136"/>
      <c r="I110" s="136">
        <f t="shared" si="12"/>
        <v>0</v>
      </c>
      <c r="J110" s="156">
        <v>90</v>
      </c>
      <c r="K110" s="156">
        <v>30</v>
      </c>
      <c r="L110" s="156">
        <f t="shared" si="13"/>
        <v>120</v>
      </c>
      <c r="M110" s="156"/>
      <c r="N110" s="156"/>
      <c r="O110" s="156">
        <f t="shared" si="14"/>
        <v>0</v>
      </c>
      <c r="P110" s="156"/>
      <c r="Q110" s="156"/>
      <c r="R110" s="156">
        <f t="shared" si="15"/>
        <v>0</v>
      </c>
      <c r="S110" s="156"/>
      <c r="T110" s="156"/>
      <c r="U110" s="156">
        <f t="shared" si="16"/>
        <v>0</v>
      </c>
      <c r="V110" s="51"/>
      <c r="W110" s="51"/>
      <c r="X110" s="51">
        <f t="shared" si="17"/>
        <v>0</v>
      </c>
      <c r="Y110" s="51"/>
      <c r="Z110" s="51"/>
      <c r="AA110" s="51"/>
      <c r="AB110" s="51">
        <v>320</v>
      </c>
      <c r="AC110" s="51"/>
      <c r="AD110" s="51"/>
      <c r="AE110" s="51"/>
      <c r="AF110" s="51"/>
      <c r="AG110" s="51"/>
      <c r="AH110" s="174">
        <f t="shared" si="18"/>
        <v>90</v>
      </c>
      <c r="AI110" s="174">
        <f t="shared" si="19"/>
        <v>30</v>
      </c>
      <c r="AJ110" s="174">
        <f t="shared" si="20"/>
        <v>120</v>
      </c>
      <c r="AK110" s="175">
        <f t="shared" si="21"/>
        <v>15</v>
      </c>
      <c r="AL110" s="175">
        <f t="shared" si="22"/>
        <v>5</v>
      </c>
      <c r="AM110" s="175">
        <f t="shared" si="23"/>
        <v>20</v>
      </c>
    </row>
    <row r="111" spans="1:39">
      <c r="A111" s="136">
        <v>104</v>
      </c>
      <c r="B111" s="136" t="s">
        <v>1849</v>
      </c>
      <c r="C111" s="136" t="s">
        <v>1835</v>
      </c>
      <c r="D111" s="136" t="s">
        <v>1850</v>
      </c>
      <c r="E111" s="160" t="s">
        <v>15</v>
      </c>
      <c r="F111" s="160">
        <v>60</v>
      </c>
      <c r="G111" s="136"/>
      <c r="H111" s="136"/>
      <c r="I111" s="136">
        <f t="shared" si="12"/>
        <v>0</v>
      </c>
      <c r="J111" s="156">
        <v>100</v>
      </c>
      <c r="K111" s="156">
        <v>20</v>
      </c>
      <c r="L111" s="156">
        <f t="shared" si="13"/>
        <v>120</v>
      </c>
      <c r="M111" s="156"/>
      <c r="N111" s="156"/>
      <c r="O111" s="156">
        <f t="shared" si="14"/>
        <v>0</v>
      </c>
      <c r="P111" s="156"/>
      <c r="Q111" s="156"/>
      <c r="R111" s="156">
        <f t="shared" si="15"/>
        <v>0</v>
      </c>
      <c r="S111" s="156">
        <v>50</v>
      </c>
      <c r="T111" s="156"/>
      <c r="U111" s="156">
        <f t="shared" si="16"/>
        <v>50</v>
      </c>
      <c r="V111" s="51"/>
      <c r="W111" s="51"/>
      <c r="X111" s="51">
        <f t="shared" si="17"/>
        <v>0</v>
      </c>
      <c r="Y111" s="51"/>
      <c r="Z111" s="51"/>
      <c r="AA111" s="51"/>
      <c r="AB111" s="51">
        <v>100</v>
      </c>
      <c r="AC111" s="51">
        <v>20</v>
      </c>
      <c r="AD111" s="51"/>
      <c r="AE111" s="51"/>
      <c r="AF111" s="51"/>
      <c r="AG111" s="51"/>
      <c r="AH111" s="174">
        <f t="shared" si="18"/>
        <v>150</v>
      </c>
      <c r="AI111" s="174">
        <f t="shared" si="19"/>
        <v>20</v>
      </c>
      <c r="AJ111" s="174">
        <f t="shared" si="20"/>
        <v>170</v>
      </c>
      <c r="AK111" s="175">
        <f t="shared" si="21"/>
        <v>25</v>
      </c>
      <c r="AL111" s="175">
        <f t="shared" si="22"/>
        <v>3.3333333333333335</v>
      </c>
      <c r="AM111" s="175">
        <f t="shared" si="23"/>
        <v>28.333333333333332</v>
      </c>
    </row>
    <row r="112" spans="1:39">
      <c r="A112" s="136">
        <v>105</v>
      </c>
      <c r="B112" s="136" t="s">
        <v>1851</v>
      </c>
      <c r="C112" s="136" t="s">
        <v>1835</v>
      </c>
      <c r="D112" s="136" t="s">
        <v>1852</v>
      </c>
      <c r="E112" s="160" t="s">
        <v>15</v>
      </c>
      <c r="F112" s="160">
        <v>6</v>
      </c>
      <c r="G112" s="136"/>
      <c r="H112" s="136"/>
      <c r="I112" s="136">
        <f t="shared" si="12"/>
        <v>0</v>
      </c>
      <c r="J112" s="156">
        <v>80</v>
      </c>
      <c r="K112" s="156"/>
      <c r="L112" s="156">
        <f t="shared" si="13"/>
        <v>80</v>
      </c>
      <c r="M112" s="156"/>
      <c r="N112" s="156"/>
      <c r="O112" s="156">
        <f t="shared" si="14"/>
        <v>0</v>
      </c>
      <c r="P112" s="156">
        <v>25</v>
      </c>
      <c r="Q112" s="156"/>
      <c r="R112" s="156">
        <f t="shared" si="15"/>
        <v>25</v>
      </c>
      <c r="S112" s="156">
        <v>15</v>
      </c>
      <c r="T112" s="156"/>
      <c r="U112" s="156">
        <f t="shared" si="16"/>
        <v>15</v>
      </c>
      <c r="V112" s="51"/>
      <c r="W112" s="51"/>
      <c r="X112" s="51">
        <f t="shared" si="17"/>
        <v>0</v>
      </c>
      <c r="Y112" s="51"/>
      <c r="Z112" s="51"/>
      <c r="AA112" s="51"/>
      <c r="AB112" s="51">
        <v>160</v>
      </c>
      <c r="AC112" s="51">
        <v>10</v>
      </c>
      <c r="AD112" s="51"/>
      <c r="AE112" s="51"/>
      <c r="AF112" s="51"/>
      <c r="AG112" s="51"/>
      <c r="AH112" s="174">
        <f t="shared" si="18"/>
        <v>120</v>
      </c>
      <c r="AI112" s="174">
        <f t="shared" si="19"/>
        <v>0</v>
      </c>
      <c r="AJ112" s="174">
        <f t="shared" si="20"/>
        <v>120</v>
      </c>
      <c r="AK112" s="175">
        <f t="shared" si="21"/>
        <v>20</v>
      </c>
      <c r="AL112" s="175">
        <f t="shared" si="22"/>
        <v>0</v>
      </c>
      <c r="AM112" s="175">
        <f t="shared" si="23"/>
        <v>20</v>
      </c>
    </row>
    <row r="113" spans="1:39">
      <c r="A113" s="136">
        <v>106</v>
      </c>
      <c r="B113" s="136" t="s">
        <v>1853</v>
      </c>
      <c r="C113" s="136" t="s">
        <v>1835</v>
      </c>
      <c r="D113" s="136" t="s">
        <v>1854</v>
      </c>
      <c r="E113" s="160" t="s">
        <v>15</v>
      </c>
      <c r="F113" s="160">
        <v>9</v>
      </c>
      <c r="G113" s="136"/>
      <c r="H113" s="136"/>
      <c r="I113" s="136">
        <f t="shared" si="12"/>
        <v>0</v>
      </c>
      <c r="J113" s="156">
        <v>30</v>
      </c>
      <c r="K113" s="156"/>
      <c r="L113" s="156">
        <f t="shared" si="13"/>
        <v>30</v>
      </c>
      <c r="M113" s="156"/>
      <c r="N113" s="156"/>
      <c r="O113" s="156">
        <f t="shared" si="14"/>
        <v>0</v>
      </c>
      <c r="P113" s="156">
        <v>20</v>
      </c>
      <c r="Q113" s="156"/>
      <c r="R113" s="156">
        <f t="shared" si="15"/>
        <v>20</v>
      </c>
      <c r="S113" s="156">
        <v>10</v>
      </c>
      <c r="T113" s="156"/>
      <c r="U113" s="156">
        <f t="shared" si="16"/>
        <v>10</v>
      </c>
      <c r="V113" s="51"/>
      <c r="W113" s="51"/>
      <c r="X113" s="51">
        <f t="shared" si="17"/>
        <v>0</v>
      </c>
      <c r="Y113" s="51"/>
      <c r="Z113" s="51"/>
      <c r="AA113" s="51"/>
      <c r="AB113" s="51"/>
      <c r="AC113" s="51">
        <v>10</v>
      </c>
      <c r="AD113" s="51"/>
      <c r="AE113" s="51"/>
      <c r="AF113" s="51"/>
      <c r="AG113" s="51"/>
      <c r="AH113" s="174">
        <f t="shared" si="18"/>
        <v>60</v>
      </c>
      <c r="AI113" s="174">
        <f t="shared" si="19"/>
        <v>0</v>
      </c>
      <c r="AJ113" s="174">
        <f t="shared" si="20"/>
        <v>60</v>
      </c>
      <c r="AK113" s="175">
        <f t="shared" si="21"/>
        <v>10</v>
      </c>
      <c r="AL113" s="175">
        <f t="shared" si="22"/>
        <v>0</v>
      </c>
      <c r="AM113" s="175">
        <f t="shared" si="23"/>
        <v>10</v>
      </c>
    </row>
    <row r="114" spans="1:39">
      <c r="A114" s="136">
        <v>107</v>
      </c>
      <c r="B114" s="136" t="s">
        <v>1855</v>
      </c>
      <c r="C114" s="136" t="s">
        <v>1835</v>
      </c>
      <c r="D114" s="136" t="s">
        <v>1856</v>
      </c>
      <c r="E114" s="160" t="s">
        <v>15</v>
      </c>
      <c r="F114" s="160">
        <v>3</v>
      </c>
      <c r="G114" s="136">
        <v>136</v>
      </c>
      <c r="H114" s="136"/>
      <c r="I114" s="136">
        <f t="shared" si="12"/>
        <v>136</v>
      </c>
      <c r="J114" s="156">
        <v>20</v>
      </c>
      <c r="K114" s="156"/>
      <c r="L114" s="156">
        <f t="shared" si="13"/>
        <v>20</v>
      </c>
      <c r="M114" s="156"/>
      <c r="N114" s="156"/>
      <c r="O114" s="156">
        <f t="shared" si="14"/>
        <v>0</v>
      </c>
      <c r="P114" s="156">
        <v>30</v>
      </c>
      <c r="Q114" s="156"/>
      <c r="R114" s="156">
        <f t="shared" si="15"/>
        <v>30</v>
      </c>
      <c r="S114" s="156">
        <v>50</v>
      </c>
      <c r="T114" s="156"/>
      <c r="U114" s="156">
        <f t="shared" si="16"/>
        <v>50</v>
      </c>
      <c r="V114" s="51"/>
      <c r="W114" s="51"/>
      <c r="X114" s="51">
        <f t="shared" si="17"/>
        <v>0</v>
      </c>
      <c r="Y114" s="51"/>
      <c r="Z114" s="51"/>
      <c r="AA114" s="51"/>
      <c r="AB114" s="51"/>
      <c r="AC114" s="51"/>
      <c r="AD114" s="51"/>
      <c r="AE114" s="51"/>
      <c r="AF114" s="51"/>
      <c r="AG114" s="51"/>
      <c r="AH114" s="174">
        <f t="shared" si="18"/>
        <v>236</v>
      </c>
      <c r="AI114" s="174">
        <f t="shared" si="19"/>
        <v>0</v>
      </c>
      <c r="AJ114" s="174">
        <f t="shared" si="20"/>
        <v>236</v>
      </c>
      <c r="AK114" s="175">
        <f t="shared" si="21"/>
        <v>39.333333333333336</v>
      </c>
      <c r="AL114" s="175">
        <f t="shared" si="22"/>
        <v>0</v>
      </c>
      <c r="AM114" s="175">
        <f t="shared" si="23"/>
        <v>39.333333333333336</v>
      </c>
    </row>
    <row r="115" spans="1:39">
      <c r="A115" s="136">
        <v>108</v>
      </c>
      <c r="B115" s="136" t="s">
        <v>1857</v>
      </c>
      <c r="C115" s="136" t="s">
        <v>1835</v>
      </c>
      <c r="D115" s="136" t="s">
        <v>1858</v>
      </c>
      <c r="E115" s="160" t="s">
        <v>15</v>
      </c>
      <c r="F115" s="160">
        <v>5</v>
      </c>
      <c r="G115" s="136"/>
      <c r="H115" s="136"/>
      <c r="I115" s="136">
        <f t="shared" si="12"/>
        <v>0</v>
      </c>
      <c r="J115" s="156"/>
      <c r="K115" s="156"/>
      <c r="L115" s="156">
        <f t="shared" si="13"/>
        <v>0</v>
      </c>
      <c r="M115" s="156"/>
      <c r="N115" s="156"/>
      <c r="O115" s="156">
        <f t="shared" si="14"/>
        <v>0</v>
      </c>
      <c r="P115" s="156">
        <v>30</v>
      </c>
      <c r="Q115" s="156"/>
      <c r="R115" s="156">
        <f t="shared" si="15"/>
        <v>30</v>
      </c>
      <c r="S115" s="156">
        <v>25</v>
      </c>
      <c r="T115" s="156"/>
      <c r="U115" s="156">
        <f t="shared" si="16"/>
        <v>25</v>
      </c>
      <c r="V115" s="51"/>
      <c r="W115" s="51"/>
      <c r="X115" s="51">
        <f t="shared" si="17"/>
        <v>0</v>
      </c>
      <c r="Y115" s="51"/>
      <c r="Z115" s="51"/>
      <c r="AA115" s="51"/>
      <c r="AB115" s="51"/>
      <c r="AC115" s="51"/>
      <c r="AD115" s="51"/>
      <c r="AE115" s="51"/>
      <c r="AF115" s="51"/>
      <c r="AG115" s="51"/>
      <c r="AH115" s="174">
        <f t="shared" si="18"/>
        <v>55</v>
      </c>
      <c r="AI115" s="174">
        <f t="shared" si="19"/>
        <v>0</v>
      </c>
      <c r="AJ115" s="174">
        <f t="shared" si="20"/>
        <v>55</v>
      </c>
      <c r="AK115" s="175">
        <f t="shared" si="21"/>
        <v>9.1666666666666661</v>
      </c>
      <c r="AL115" s="175">
        <f t="shared" si="22"/>
        <v>0</v>
      </c>
      <c r="AM115" s="175">
        <f t="shared" si="23"/>
        <v>9.1666666666666661</v>
      </c>
    </row>
    <row r="116" spans="1:39">
      <c r="A116" s="136">
        <v>109</v>
      </c>
      <c r="B116" s="136" t="s">
        <v>1859</v>
      </c>
      <c r="C116" s="136" t="s">
        <v>1835</v>
      </c>
      <c r="D116" s="136" t="s">
        <v>1860</v>
      </c>
      <c r="E116" s="160" t="s">
        <v>15</v>
      </c>
      <c r="F116" s="160">
        <v>10</v>
      </c>
      <c r="G116" s="136">
        <v>20</v>
      </c>
      <c r="H116" s="136"/>
      <c r="I116" s="136">
        <f t="shared" si="12"/>
        <v>20</v>
      </c>
      <c r="J116" s="156">
        <v>18</v>
      </c>
      <c r="K116" s="156">
        <v>20</v>
      </c>
      <c r="L116" s="156">
        <f t="shared" si="13"/>
        <v>38</v>
      </c>
      <c r="M116" s="156"/>
      <c r="N116" s="156"/>
      <c r="O116" s="156">
        <f t="shared" si="14"/>
        <v>0</v>
      </c>
      <c r="P116" s="156">
        <v>40</v>
      </c>
      <c r="Q116" s="156"/>
      <c r="R116" s="156">
        <f t="shared" si="15"/>
        <v>40</v>
      </c>
      <c r="S116" s="156">
        <v>30</v>
      </c>
      <c r="T116" s="156"/>
      <c r="U116" s="156">
        <f t="shared" si="16"/>
        <v>30</v>
      </c>
      <c r="V116" s="51"/>
      <c r="W116" s="51"/>
      <c r="X116" s="51">
        <f t="shared" si="17"/>
        <v>0</v>
      </c>
      <c r="Y116" s="51"/>
      <c r="Z116" s="51"/>
      <c r="AA116" s="51"/>
      <c r="AB116" s="51"/>
      <c r="AC116" s="51"/>
      <c r="AD116" s="51"/>
      <c r="AE116" s="51"/>
      <c r="AF116" s="51"/>
      <c r="AG116" s="51"/>
      <c r="AH116" s="174">
        <f t="shared" si="18"/>
        <v>108</v>
      </c>
      <c r="AI116" s="174">
        <f t="shared" si="19"/>
        <v>20</v>
      </c>
      <c r="AJ116" s="174">
        <f t="shared" si="20"/>
        <v>128</v>
      </c>
      <c r="AK116" s="175">
        <f t="shared" si="21"/>
        <v>18</v>
      </c>
      <c r="AL116" s="175">
        <f t="shared" si="22"/>
        <v>3.3333333333333335</v>
      </c>
      <c r="AM116" s="175">
        <f t="shared" si="23"/>
        <v>21.333333333333332</v>
      </c>
    </row>
    <row r="117" spans="1:39">
      <c r="A117" s="136">
        <v>110</v>
      </c>
      <c r="B117" s="136" t="s">
        <v>1861</v>
      </c>
      <c r="C117" s="136" t="s">
        <v>1835</v>
      </c>
      <c r="D117" s="136" t="s">
        <v>1862</v>
      </c>
      <c r="E117" s="160" t="s">
        <v>15</v>
      </c>
      <c r="F117" s="160">
        <v>6</v>
      </c>
      <c r="G117" s="136">
        <v>32</v>
      </c>
      <c r="H117" s="136"/>
      <c r="I117" s="136">
        <f t="shared" si="12"/>
        <v>32</v>
      </c>
      <c r="J117" s="156">
        <v>20</v>
      </c>
      <c r="K117" s="156"/>
      <c r="L117" s="156">
        <f t="shared" si="13"/>
        <v>20</v>
      </c>
      <c r="M117" s="156"/>
      <c r="N117" s="156"/>
      <c r="O117" s="156">
        <f t="shared" si="14"/>
        <v>0</v>
      </c>
      <c r="P117" s="156"/>
      <c r="Q117" s="156"/>
      <c r="R117" s="156">
        <f t="shared" si="15"/>
        <v>0</v>
      </c>
      <c r="S117" s="156">
        <v>15</v>
      </c>
      <c r="T117" s="156"/>
      <c r="U117" s="156">
        <f t="shared" si="16"/>
        <v>15</v>
      </c>
      <c r="V117" s="51"/>
      <c r="W117" s="51"/>
      <c r="X117" s="51">
        <f t="shared" si="17"/>
        <v>0</v>
      </c>
      <c r="Y117" s="51"/>
      <c r="Z117" s="51"/>
      <c r="AA117" s="51"/>
      <c r="AB117" s="51"/>
      <c r="AC117" s="51"/>
      <c r="AD117" s="51"/>
      <c r="AE117" s="51"/>
      <c r="AF117" s="51"/>
      <c r="AG117" s="51"/>
      <c r="AH117" s="174">
        <f t="shared" si="18"/>
        <v>67</v>
      </c>
      <c r="AI117" s="174">
        <f t="shared" si="19"/>
        <v>0</v>
      </c>
      <c r="AJ117" s="174">
        <f t="shared" si="20"/>
        <v>67</v>
      </c>
      <c r="AK117" s="175">
        <f t="shared" si="21"/>
        <v>11.166666666666666</v>
      </c>
      <c r="AL117" s="175">
        <f t="shared" si="22"/>
        <v>0</v>
      </c>
      <c r="AM117" s="175">
        <f t="shared" si="23"/>
        <v>11.166666666666666</v>
      </c>
    </row>
    <row r="118" spans="1:39">
      <c r="A118" s="136">
        <v>111</v>
      </c>
      <c r="B118" s="136" t="s">
        <v>1863</v>
      </c>
      <c r="C118" s="136" t="s">
        <v>1835</v>
      </c>
      <c r="D118" s="136" t="s">
        <v>1864</v>
      </c>
      <c r="E118" s="160" t="s">
        <v>15</v>
      </c>
      <c r="F118" s="160">
        <v>25</v>
      </c>
      <c r="G118" s="136"/>
      <c r="H118" s="136"/>
      <c r="I118" s="136">
        <f t="shared" si="12"/>
        <v>0</v>
      </c>
      <c r="J118" s="156"/>
      <c r="K118" s="156"/>
      <c r="L118" s="156">
        <f t="shared" si="13"/>
        <v>0</v>
      </c>
      <c r="M118" s="156"/>
      <c r="N118" s="156"/>
      <c r="O118" s="156">
        <f t="shared" si="14"/>
        <v>0</v>
      </c>
      <c r="P118" s="156"/>
      <c r="Q118" s="156"/>
      <c r="R118" s="156">
        <f t="shared" si="15"/>
        <v>0</v>
      </c>
      <c r="S118" s="156"/>
      <c r="T118" s="156"/>
      <c r="U118" s="156">
        <f t="shared" si="16"/>
        <v>0</v>
      </c>
      <c r="V118" s="51"/>
      <c r="W118" s="51"/>
      <c r="X118" s="51">
        <f t="shared" si="17"/>
        <v>0</v>
      </c>
      <c r="Y118" s="51"/>
      <c r="Z118" s="51"/>
      <c r="AA118" s="51"/>
      <c r="AB118" s="51"/>
      <c r="AC118" s="51"/>
      <c r="AD118" s="51"/>
      <c r="AE118" s="51"/>
      <c r="AF118" s="51"/>
      <c r="AG118" s="51"/>
      <c r="AH118" s="174">
        <f t="shared" si="18"/>
        <v>0</v>
      </c>
      <c r="AI118" s="174">
        <f t="shared" si="19"/>
        <v>0</v>
      </c>
      <c r="AJ118" s="174">
        <f t="shared" si="20"/>
        <v>0</v>
      </c>
      <c r="AK118" s="175">
        <f t="shared" si="21"/>
        <v>0</v>
      </c>
      <c r="AL118" s="175">
        <f t="shared" si="22"/>
        <v>0</v>
      </c>
      <c r="AM118" s="175">
        <f t="shared" si="23"/>
        <v>0</v>
      </c>
    </row>
    <row r="119" spans="1:39">
      <c r="A119" s="136">
        <v>112</v>
      </c>
      <c r="B119" s="136" t="s">
        <v>1865</v>
      </c>
      <c r="C119" s="136" t="s">
        <v>1835</v>
      </c>
      <c r="D119" s="136" t="s">
        <v>1866</v>
      </c>
      <c r="E119" s="160" t="s">
        <v>15</v>
      </c>
      <c r="F119" s="160">
        <v>80</v>
      </c>
      <c r="G119" s="136">
        <v>40</v>
      </c>
      <c r="H119" s="136"/>
      <c r="I119" s="136">
        <f t="shared" si="12"/>
        <v>40</v>
      </c>
      <c r="J119" s="156">
        <v>60</v>
      </c>
      <c r="K119" s="156"/>
      <c r="L119" s="156">
        <f t="shared" si="13"/>
        <v>60</v>
      </c>
      <c r="M119" s="156"/>
      <c r="N119" s="156"/>
      <c r="O119" s="156">
        <f t="shared" si="14"/>
        <v>0</v>
      </c>
      <c r="P119" s="156"/>
      <c r="Q119" s="156"/>
      <c r="R119" s="156">
        <f t="shared" si="15"/>
        <v>0</v>
      </c>
      <c r="S119" s="156">
        <v>100</v>
      </c>
      <c r="T119" s="156"/>
      <c r="U119" s="156">
        <f t="shared" si="16"/>
        <v>100</v>
      </c>
      <c r="V119" s="51"/>
      <c r="W119" s="51"/>
      <c r="X119" s="51">
        <f t="shared" si="17"/>
        <v>0</v>
      </c>
      <c r="Y119" s="51"/>
      <c r="Z119" s="51"/>
      <c r="AA119" s="51"/>
      <c r="AB119" s="51"/>
      <c r="AC119" s="51"/>
      <c r="AD119" s="51"/>
      <c r="AE119" s="51"/>
      <c r="AF119" s="51"/>
      <c r="AG119" s="51"/>
      <c r="AH119" s="174">
        <f t="shared" si="18"/>
        <v>200</v>
      </c>
      <c r="AI119" s="174">
        <f t="shared" si="19"/>
        <v>0</v>
      </c>
      <c r="AJ119" s="174">
        <f t="shared" si="20"/>
        <v>200</v>
      </c>
      <c r="AK119" s="175">
        <f t="shared" si="21"/>
        <v>33.333333333333336</v>
      </c>
      <c r="AL119" s="175">
        <f t="shared" si="22"/>
        <v>0</v>
      </c>
      <c r="AM119" s="175">
        <f t="shared" si="23"/>
        <v>33.333333333333336</v>
      </c>
    </row>
    <row r="120" spans="1:39">
      <c r="A120" s="136">
        <v>113</v>
      </c>
      <c r="B120" s="136" t="s">
        <v>1867</v>
      </c>
      <c r="C120" s="136" t="s">
        <v>1835</v>
      </c>
      <c r="D120" s="136" t="s">
        <v>1868</v>
      </c>
      <c r="E120" s="160" t="s">
        <v>15</v>
      </c>
      <c r="F120" s="160">
        <v>10</v>
      </c>
      <c r="G120" s="136"/>
      <c r="H120" s="136"/>
      <c r="I120" s="136">
        <f t="shared" si="12"/>
        <v>0</v>
      </c>
      <c r="J120" s="156">
        <v>5</v>
      </c>
      <c r="K120" s="156"/>
      <c r="L120" s="156">
        <f t="shared" si="13"/>
        <v>5</v>
      </c>
      <c r="M120" s="156"/>
      <c r="N120" s="156"/>
      <c r="O120" s="156">
        <f t="shared" si="14"/>
        <v>0</v>
      </c>
      <c r="P120" s="156">
        <v>30</v>
      </c>
      <c r="Q120" s="156"/>
      <c r="R120" s="156">
        <f t="shared" si="15"/>
        <v>30</v>
      </c>
      <c r="S120" s="156">
        <v>130</v>
      </c>
      <c r="T120" s="156"/>
      <c r="U120" s="156">
        <f t="shared" si="16"/>
        <v>130</v>
      </c>
      <c r="V120" s="51"/>
      <c r="W120" s="51"/>
      <c r="X120" s="51">
        <f t="shared" si="17"/>
        <v>0</v>
      </c>
      <c r="Y120" s="51"/>
      <c r="Z120" s="51"/>
      <c r="AA120" s="51"/>
      <c r="AB120" s="51"/>
      <c r="AC120" s="51">
        <v>10</v>
      </c>
      <c r="AD120" s="51"/>
      <c r="AE120" s="51"/>
      <c r="AF120" s="51"/>
      <c r="AG120" s="51"/>
      <c r="AH120" s="174">
        <f t="shared" si="18"/>
        <v>165</v>
      </c>
      <c r="AI120" s="174">
        <f t="shared" si="19"/>
        <v>0</v>
      </c>
      <c r="AJ120" s="174">
        <f t="shared" si="20"/>
        <v>165</v>
      </c>
      <c r="AK120" s="175">
        <f t="shared" si="21"/>
        <v>27.5</v>
      </c>
      <c r="AL120" s="175">
        <f t="shared" si="22"/>
        <v>0</v>
      </c>
      <c r="AM120" s="175">
        <f t="shared" si="23"/>
        <v>27.5</v>
      </c>
    </row>
    <row r="121" spans="1:39">
      <c r="A121" s="136">
        <v>114</v>
      </c>
      <c r="B121" s="136" t="s">
        <v>1869</v>
      </c>
      <c r="C121" s="136" t="s">
        <v>1835</v>
      </c>
      <c r="D121" s="136" t="s">
        <v>1870</v>
      </c>
      <c r="E121" s="160" t="s">
        <v>15</v>
      </c>
      <c r="F121" s="160">
        <v>10</v>
      </c>
      <c r="G121" s="136">
        <v>36</v>
      </c>
      <c r="H121" s="136"/>
      <c r="I121" s="136">
        <f t="shared" si="12"/>
        <v>36</v>
      </c>
      <c r="J121" s="156">
        <v>20</v>
      </c>
      <c r="K121" s="156"/>
      <c r="L121" s="156">
        <f t="shared" si="13"/>
        <v>20</v>
      </c>
      <c r="M121" s="156"/>
      <c r="N121" s="156"/>
      <c r="O121" s="156">
        <f t="shared" si="14"/>
        <v>0</v>
      </c>
      <c r="P121" s="156">
        <v>50</v>
      </c>
      <c r="Q121" s="156"/>
      <c r="R121" s="156">
        <f t="shared" si="15"/>
        <v>50</v>
      </c>
      <c r="S121" s="156">
        <v>60</v>
      </c>
      <c r="T121" s="156"/>
      <c r="U121" s="156">
        <f t="shared" si="16"/>
        <v>60</v>
      </c>
      <c r="V121" s="51"/>
      <c r="W121" s="51"/>
      <c r="X121" s="51">
        <f t="shared" si="17"/>
        <v>0</v>
      </c>
      <c r="Y121" s="51"/>
      <c r="Z121" s="51"/>
      <c r="AA121" s="51"/>
      <c r="AB121" s="51"/>
      <c r="AC121" s="51">
        <v>10</v>
      </c>
      <c r="AD121" s="51"/>
      <c r="AE121" s="51"/>
      <c r="AF121" s="51"/>
      <c r="AG121" s="51"/>
      <c r="AH121" s="174">
        <f t="shared" si="18"/>
        <v>166</v>
      </c>
      <c r="AI121" s="174">
        <f t="shared" si="19"/>
        <v>0</v>
      </c>
      <c r="AJ121" s="174">
        <f t="shared" si="20"/>
        <v>166</v>
      </c>
      <c r="AK121" s="175">
        <f t="shared" si="21"/>
        <v>27.666666666666668</v>
      </c>
      <c r="AL121" s="175">
        <f t="shared" si="22"/>
        <v>0</v>
      </c>
      <c r="AM121" s="175">
        <f t="shared" si="23"/>
        <v>27.666666666666668</v>
      </c>
    </row>
    <row r="122" spans="1:39">
      <c r="A122" s="136">
        <v>115</v>
      </c>
      <c r="B122" s="136" t="s">
        <v>1837</v>
      </c>
      <c r="C122" s="136" t="s">
        <v>1835</v>
      </c>
      <c r="D122" s="136" t="s">
        <v>1871</v>
      </c>
      <c r="E122" s="160" t="s">
        <v>15</v>
      </c>
      <c r="F122" s="160">
        <v>15</v>
      </c>
      <c r="G122" s="136">
        <v>110</v>
      </c>
      <c r="H122" s="136">
        <v>18</v>
      </c>
      <c r="I122" s="136">
        <f t="shared" si="12"/>
        <v>128</v>
      </c>
      <c r="J122" s="156">
        <v>60</v>
      </c>
      <c r="K122" s="156">
        <v>40</v>
      </c>
      <c r="L122" s="156">
        <f t="shared" si="13"/>
        <v>100</v>
      </c>
      <c r="M122" s="156"/>
      <c r="N122" s="156"/>
      <c r="O122" s="156">
        <f t="shared" si="14"/>
        <v>0</v>
      </c>
      <c r="P122" s="156">
        <v>50</v>
      </c>
      <c r="Q122" s="156"/>
      <c r="R122" s="156">
        <f t="shared" si="15"/>
        <v>50</v>
      </c>
      <c r="S122" s="156">
        <v>32</v>
      </c>
      <c r="T122" s="156"/>
      <c r="U122" s="156">
        <f t="shared" si="16"/>
        <v>32</v>
      </c>
      <c r="V122" s="51"/>
      <c r="W122" s="51"/>
      <c r="X122" s="51">
        <f t="shared" si="17"/>
        <v>0</v>
      </c>
      <c r="Y122" s="51"/>
      <c r="Z122" s="51"/>
      <c r="AA122" s="51"/>
      <c r="AB122" s="51">
        <v>36</v>
      </c>
      <c r="AC122" s="51">
        <v>30</v>
      </c>
      <c r="AD122" s="51"/>
      <c r="AE122" s="51"/>
      <c r="AF122" s="51"/>
      <c r="AG122" s="51"/>
      <c r="AH122" s="174">
        <f t="shared" si="18"/>
        <v>252</v>
      </c>
      <c r="AI122" s="174">
        <f t="shared" si="19"/>
        <v>58</v>
      </c>
      <c r="AJ122" s="174">
        <f t="shared" si="20"/>
        <v>310</v>
      </c>
      <c r="AK122" s="175">
        <f t="shared" si="21"/>
        <v>42</v>
      </c>
      <c r="AL122" s="175">
        <f t="shared" si="22"/>
        <v>9.6666666666666661</v>
      </c>
      <c r="AM122" s="175">
        <f t="shared" si="23"/>
        <v>51.666666666666664</v>
      </c>
    </row>
    <row r="123" spans="1:39">
      <c r="A123" s="136">
        <v>116</v>
      </c>
      <c r="B123" s="136" t="s">
        <v>1872</v>
      </c>
      <c r="C123" s="136" t="s">
        <v>1835</v>
      </c>
      <c r="D123" s="136" t="s">
        <v>1873</v>
      </c>
      <c r="E123" s="160" t="s">
        <v>15</v>
      </c>
      <c r="F123" s="160">
        <v>10</v>
      </c>
      <c r="G123" s="136"/>
      <c r="H123" s="136"/>
      <c r="I123" s="136">
        <f t="shared" si="12"/>
        <v>0</v>
      </c>
      <c r="J123" s="156">
        <v>35</v>
      </c>
      <c r="K123" s="156">
        <v>10</v>
      </c>
      <c r="L123" s="156">
        <f t="shared" si="13"/>
        <v>45</v>
      </c>
      <c r="M123" s="156">
        <v>64</v>
      </c>
      <c r="N123" s="156"/>
      <c r="O123" s="156">
        <f t="shared" si="14"/>
        <v>64</v>
      </c>
      <c r="P123" s="156">
        <v>100</v>
      </c>
      <c r="Q123" s="156"/>
      <c r="R123" s="156">
        <f t="shared" si="15"/>
        <v>100</v>
      </c>
      <c r="S123" s="156"/>
      <c r="T123" s="156"/>
      <c r="U123" s="156">
        <f t="shared" si="16"/>
        <v>0</v>
      </c>
      <c r="V123" s="51"/>
      <c r="W123" s="51">
        <v>10</v>
      </c>
      <c r="X123" s="51">
        <f t="shared" si="17"/>
        <v>10</v>
      </c>
      <c r="Y123" s="51"/>
      <c r="Z123" s="51"/>
      <c r="AA123" s="51"/>
      <c r="AB123" s="51">
        <v>32</v>
      </c>
      <c r="AC123" s="51">
        <v>30</v>
      </c>
      <c r="AD123" s="51"/>
      <c r="AE123" s="51"/>
      <c r="AF123" s="51"/>
      <c r="AG123" s="51"/>
      <c r="AH123" s="174">
        <f t="shared" si="18"/>
        <v>199</v>
      </c>
      <c r="AI123" s="174">
        <f t="shared" si="19"/>
        <v>20</v>
      </c>
      <c r="AJ123" s="174">
        <f t="shared" si="20"/>
        <v>219</v>
      </c>
      <c r="AK123" s="175">
        <f t="shared" si="21"/>
        <v>33.166666666666664</v>
      </c>
      <c r="AL123" s="175">
        <f t="shared" si="22"/>
        <v>3.3333333333333335</v>
      </c>
      <c r="AM123" s="175">
        <f t="shared" si="23"/>
        <v>36.5</v>
      </c>
    </row>
    <row r="124" spans="1:39">
      <c r="A124" s="136">
        <v>117</v>
      </c>
      <c r="B124" s="136" t="s">
        <v>1719</v>
      </c>
      <c r="C124" s="136" t="s">
        <v>1835</v>
      </c>
      <c r="D124" s="136" t="s">
        <v>1874</v>
      </c>
      <c r="E124" s="160" t="s">
        <v>15</v>
      </c>
      <c r="F124" s="160">
        <v>16</v>
      </c>
      <c r="G124" s="136">
        <v>45</v>
      </c>
      <c r="H124" s="136"/>
      <c r="I124" s="136">
        <f t="shared" si="12"/>
        <v>45</v>
      </c>
      <c r="J124" s="156">
        <v>15</v>
      </c>
      <c r="K124" s="156"/>
      <c r="L124" s="156">
        <f t="shared" si="13"/>
        <v>15</v>
      </c>
      <c r="M124" s="156"/>
      <c r="N124" s="156"/>
      <c r="O124" s="156">
        <f t="shared" si="14"/>
        <v>0</v>
      </c>
      <c r="P124" s="156"/>
      <c r="Q124" s="156"/>
      <c r="R124" s="156">
        <f t="shared" si="15"/>
        <v>0</v>
      </c>
      <c r="S124" s="156">
        <v>15</v>
      </c>
      <c r="T124" s="156"/>
      <c r="U124" s="156">
        <f t="shared" si="16"/>
        <v>15</v>
      </c>
      <c r="V124" s="51"/>
      <c r="W124" s="51"/>
      <c r="X124" s="51">
        <f t="shared" si="17"/>
        <v>0</v>
      </c>
      <c r="Y124" s="51"/>
      <c r="Z124" s="51"/>
      <c r="AA124" s="51"/>
      <c r="AB124" s="51">
        <v>30</v>
      </c>
      <c r="AC124" s="51"/>
      <c r="AD124" s="51"/>
      <c r="AE124" s="51"/>
      <c r="AF124" s="51"/>
      <c r="AG124" s="51"/>
      <c r="AH124" s="174">
        <f t="shared" si="18"/>
        <v>75</v>
      </c>
      <c r="AI124" s="174">
        <f t="shared" si="19"/>
        <v>0</v>
      </c>
      <c r="AJ124" s="174">
        <f t="shared" si="20"/>
        <v>75</v>
      </c>
      <c r="AK124" s="175">
        <f t="shared" si="21"/>
        <v>12.5</v>
      </c>
      <c r="AL124" s="175">
        <f t="shared" si="22"/>
        <v>0</v>
      </c>
      <c r="AM124" s="175">
        <f t="shared" si="23"/>
        <v>12.5</v>
      </c>
    </row>
    <row r="125" spans="1:39">
      <c r="A125" s="136">
        <v>118</v>
      </c>
      <c r="B125" s="136" t="s">
        <v>1875</v>
      </c>
      <c r="C125" s="136" t="s">
        <v>1835</v>
      </c>
      <c r="D125" s="136" t="s">
        <v>1876</v>
      </c>
      <c r="E125" s="160" t="s">
        <v>15</v>
      </c>
      <c r="F125" s="160">
        <v>20</v>
      </c>
      <c r="G125" s="136">
        <v>36</v>
      </c>
      <c r="H125" s="136"/>
      <c r="I125" s="136">
        <f t="shared" si="12"/>
        <v>36</v>
      </c>
      <c r="J125" s="156">
        <v>60</v>
      </c>
      <c r="K125" s="156">
        <v>6</v>
      </c>
      <c r="L125" s="156">
        <f t="shared" si="13"/>
        <v>66</v>
      </c>
      <c r="M125" s="156"/>
      <c r="N125" s="156"/>
      <c r="O125" s="156">
        <f t="shared" si="14"/>
        <v>0</v>
      </c>
      <c r="P125" s="156">
        <v>25</v>
      </c>
      <c r="Q125" s="156"/>
      <c r="R125" s="156">
        <f t="shared" si="15"/>
        <v>25</v>
      </c>
      <c r="S125" s="156">
        <v>50</v>
      </c>
      <c r="T125" s="156"/>
      <c r="U125" s="156">
        <f t="shared" si="16"/>
        <v>50</v>
      </c>
      <c r="V125" s="51"/>
      <c r="W125" s="51">
        <v>30</v>
      </c>
      <c r="X125" s="51">
        <f t="shared" si="17"/>
        <v>30</v>
      </c>
      <c r="Y125" s="51"/>
      <c r="Z125" s="51"/>
      <c r="AA125" s="51"/>
      <c r="AB125" s="51">
        <v>60</v>
      </c>
      <c r="AC125" s="51">
        <v>10</v>
      </c>
      <c r="AD125" s="51"/>
      <c r="AE125" s="51"/>
      <c r="AF125" s="51"/>
      <c r="AG125" s="51"/>
      <c r="AH125" s="174">
        <f t="shared" si="18"/>
        <v>171</v>
      </c>
      <c r="AI125" s="174">
        <f t="shared" si="19"/>
        <v>36</v>
      </c>
      <c r="AJ125" s="174">
        <f t="shared" si="20"/>
        <v>207</v>
      </c>
      <c r="AK125" s="175">
        <f t="shared" si="21"/>
        <v>28.5</v>
      </c>
      <c r="AL125" s="175">
        <f t="shared" si="22"/>
        <v>6</v>
      </c>
      <c r="AM125" s="175">
        <f t="shared" si="23"/>
        <v>34.5</v>
      </c>
    </row>
    <row r="126" spans="1:39">
      <c r="A126" s="136">
        <v>119</v>
      </c>
      <c r="B126" s="158" t="s">
        <v>1877</v>
      </c>
      <c r="C126" s="136" t="s">
        <v>1835</v>
      </c>
      <c r="D126" s="136" t="s">
        <v>1878</v>
      </c>
      <c r="E126" s="160" t="s">
        <v>15</v>
      </c>
      <c r="F126" s="160">
        <v>5</v>
      </c>
      <c r="G126" s="136">
        <v>10</v>
      </c>
      <c r="H126" s="136"/>
      <c r="I126" s="136">
        <f t="shared" si="12"/>
        <v>10</v>
      </c>
      <c r="J126" s="156">
        <v>25</v>
      </c>
      <c r="K126" s="156"/>
      <c r="L126" s="156">
        <f t="shared" si="13"/>
        <v>25</v>
      </c>
      <c r="M126" s="156">
        <v>18</v>
      </c>
      <c r="N126" s="156"/>
      <c r="O126" s="156">
        <f t="shared" si="14"/>
        <v>18</v>
      </c>
      <c r="P126" s="156">
        <v>25</v>
      </c>
      <c r="Q126" s="156"/>
      <c r="R126" s="156">
        <f t="shared" si="15"/>
        <v>25</v>
      </c>
      <c r="S126" s="156">
        <v>60</v>
      </c>
      <c r="T126" s="156"/>
      <c r="U126" s="156">
        <f t="shared" si="16"/>
        <v>60</v>
      </c>
      <c r="V126" s="51"/>
      <c r="W126" s="51">
        <v>10</v>
      </c>
      <c r="X126" s="51">
        <f t="shared" si="17"/>
        <v>10</v>
      </c>
      <c r="Y126" s="51"/>
      <c r="Z126" s="51"/>
      <c r="AA126" s="51"/>
      <c r="AB126" s="51">
        <v>25</v>
      </c>
      <c r="AC126" s="51"/>
      <c r="AD126" s="51"/>
      <c r="AE126" s="51"/>
      <c r="AF126" s="51"/>
      <c r="AG126" s="51"/>
      <c r="AH126" s="174">
        <f t="shared" si="18"/>
        <v>138</v>
      </c>
      <c r="AI126" s="174">
        <f t="shared" si="19"/>
        <v>10</v>
      </c>
      <c r="AJ126" s="174">
        <f t="shared" si="20"/>
        <v>148</v>
      </c>
      <c r="AK126" s="175">
        <f t="shared" si="21"/>
        <v>23</v>
      </c>
      <c r="AL126" s="175">
        <f t="shared" si="22"/>
        <v>1.6666666666666667</v>
      </c>
      <c r="AM126" s="175">
        <f t="shared" si="23"/>
        <v>24.666666666666668</v>
      </c>
    </row>
    <row r="127" spans="1:39">
      <c r="A127" s="136">
        <v>120</v>
      </c>
      <c r="B127" s="136" t="s">
        <v>1879</v>
      </c>
      <c r="C127" s="136" t="s">
        <v>1835</v>
      </c>
      <c r="D127" s="136" t="s">
        <v>1880</v>
      </c>
      <c r="E127" s="160" t="s">
        <v>15</v>
      </c>
      <c r="F127" s="160">
        <v>10</v>
      </c>
      <c r="G127" s="136">
        <v>10</v>
      </c>
      <c r="H127" s="136"/>
      <c r="I127" s="136">
        <f t="shared" si="12"/>
        <v>10</v>
      </c>
      <c r="J127" s="156">
        <v>25</v>
      </c>
      <c r="K127" s="156"/>
      <c r="L127" s="156">
        <f t="shared" si="13"/>
        <v>25</v>
      </c>
      <c r="M127" s="156">
        <v>20</v>
      </c>
      <c r="N127" s="156"/>
      <c r="O127" s="156">
        <f t="shared" si="14"/>
        <v>20</v>
      </c>
      <c r="P127" s="156">
        <v>50</v>
      </c>
      <c r="Q127" s="156"/>
      <c r="R127" s="156">
        <f t="shared" si="15"/>
        <v>50</v>
      </c>
      <c r="S127" s="156"/>
      <c r="T127" s="156"/>
      <c r="U127" s="156">
        <f t="shared" si="16"/>
        <v>0</v>
      </c>
      <c r="V127" s="51"/>
      <c r="W127" s="51"/>
      <c r="X127" s="51">
        <f t="shared" si="17"/>
        <v>0</v>
      </c>
      <c r="Y127" s="51"/>
      <c r="Z127" s="51"/>
      <c r="AA127" s="51"/>
      <c r="AB127" s="51"/>
      <c r="AC127" s="51"/>
      <c r="AD127" s="51"/>
      <c r="AE127" s="51"/>
      <c r="AF127" s="51"/>
      <c r="AG127" s="51"/>
      <c r="AH127" s="174">
        <f t="shared" si="18"/>
        <v>105</v>
      </c>
      <c r="AI127" s="174">
        <f t="shared" si="19"/>
        <v>0</v>
      </c>
      <c r="AJ127" s="174">
        <f t="shared" si="20"/>
        <v>105</v>
      </c>
      <c r="AK127" s="175">
        <f t="shared" si="21"/>
        <v>17.5</v>
      </c>
      <c r="AL127" s="175">
        <f t="shared" si="22"/>
        <v>0</v>
      </c>
      <c r="AM127" s="175">
        <f t="shared" si="23"/>
        <v>17.5</v>
      </c>
    </row>
    <row r="128" spans="1:39">
      <c r="A128" s="136">
        <v>121</v>
      </c>
      <c r="B128" s="136" t="s">
        <v>1881</v>
      </c>
      <c r="C128" s="136" t="s">
        <v>1835</v>
      </c>
      <c r="D128" s="136" t="s">
        <v>1882</v>
      </c>
      <c r="E128" s="160" t="s">
        <v>15</v>
      </c>
      <c r="F128" s="160">
        <v>50</v>
      </c>
      <c r="G128" s="136"/>
      <c r="H128" s="136"/>
      <c r="I128" s="136">
        <f t="shared" si="12"/>
        <v>0</v>
      </c>
      <c r="J128" s="156">
        <v>100</v>
      </c>
      <c r="K128" s="156"/>
      <c r="L128" s="156">
        <f t="shared" si="13"/>
        <v>100</v>
      </c>
      <c r="M128" s="156"/>
      <c r="N128" s="156"/>
      <c r="O128" s="156">
        <f t="shared" si="14"/>
        <v>0</v>
      </c>
      <c r="P128" s="156">
        <v>100</v>
      </c>
      <c r="Q128" s="156"/>
      <c r="R128" s="156">
        <f t="shared" si="15"/>
        <v>100</v>
      </c>
      <c r="S128" s="156">
        <v>100</v>
      </c>
      <c r="T128" s="156"/>
      <c r="U128" s="156">
        <f t="shared" si="16"/>
        <v>100</v>
      </c>
      <c r="V128" s="51"/>
      <c r="W128" s="51"/>
      <c r="X128" s="51">
        <f t="shared" si="17"/>
        <v>0</v>
      </c>
      <c r="Y128" s="51"/>
      <c r="Z128" s="51"/>
      <c r="AA128" s="51"/>
      <c r="AB128" s="51">
        <v>100</v>
      </c>
      <c r="AC128" s="51">
        <v>20</v>
      </c>
      <c r="AD128" s="51"/>
      <c r="AE128" s="51"/>
      <c r="AF128" s="51"/>
      <c r="AG128" s="51"/>
      <c r="AH128" s="174">
        <f t="shared" si="18"/>
        <v>300</v>
      </c>
      <c r="AI128" s="174">
        <f t="shared" si="19"/>
        <v>0</v>
      </c>
      <c r="AJ128" s="174">
        <f t="shared" si="20"/>
        <v>300</v>
      </c>
      <c r="AK128" s="175">
        <f t="shared" si="21"/>
        <v>50</v>
      </c>
      <c r="AL128" s="175">
        <f t="shared" si="22"/>
        <v>0</v>
      </c>
      <c r="AM128" s="175">
        <f t="shared" si="23"/>
        <v>50</v>
      </c>
    </row>
    <row r="129" spans="1:39">
      <c r="A129" s="136">
        <v>122</v>
      </c>
      <c r="B129" s="136" t="s">
        <v>1883</v>
      </c>
      <c r="C129" s="136" t="s">
        <v>1835</v>
      </c>
      <c r="D129" s="136" t="s">
        <v>1884</v>
      </c>
      <c r="E129" s="160" t="s">
        <v>15</v>
      </c>
      <c r="F129" s="160">
        <v>32</v>
      </c>
      <c r="G129" s="136"/>
      <c r="H129" s="136"/>
      <c r="I129" s="136">
        <f t="shared" si="12"/>
        <v>0</v>
      </c>
      <c r="J129" s="156"/>
      <c r="K129" s="156"/>
      <c r="L129" s="156">
        <f t="shared" si="13"/>
        <v>0</v>
      </c>
      <c r="M129" s="156"/>
      <c r="N129" s="156"/>
      <c r="O129" s="156">
        <f t="shared" si="14"/>
        <v>0</v>
      </c>
      <c r="P129" s="156"/>
      <c r="Q129" s="156"/>
      <c r="R129" s="156">
        <f t="shared" si="15"/>
        <v>0</v>
      </c>
      <c r="S129" s="156">
        <v>32</v>
      </c>
      <c r="T129" s="156"/>
      <c r="U129" s="156">
        <f t="shared" si="16"/>
        <v>32</v>
      </c>
      <c r="V129" s="51"/>
      <c r="W129" s="51"/>
      <c r="X129" s="51">
        <f t="shared" si="17"/>
        <v>0</v>
      </c>
      <c r="Y129" s="51"/>
      <c r="Z129" s="51"/>
      <c r="AA129" s="51"/>
      <c r="AB129" s="51"/>
      <c r="AC129" s="51"/>
      <c r="AD129" s="51"/>
      <c r="AE129" s="51"/>
      <c r="AF129" s="51"/>
      <c r="AG129" s="51"/>
      <c r="AH129" s="174">
        <f t="shared" si="18"/>
        <v>32</v>
      </c>
      <c r="AI129" s="174">
        <f t="shared" si="19"/>
        <v>0</v>
      </c>
      <c r="AJ129" s="174">
        <f t="shared" si="20"/>
        <v>32</v>
      </c>
      <c r="AK129" s="175">
        <f t="shared" si="21"/>
        <v>5.333333333333333</v>
      </c>
      <c r="AL129" s="175">
        <f t="shared" si="22"/>
        <v>0</v>
      </c>
      <c r="AM129" s="175">
        <f t="shared" si="23"/>
        <v>5.333333333333333</v>
      </c>
    </row>
    <row r="130" spans="1:39">
      <c r="A130" s="136">
        <v>123</v>
      </c>
      <c r="B130" s="136" t="s">
        <v>1885</v>
      </c>
      <c r="C130" s="136" t="s">
        <v>1835</v>
      </c>
      <c r="D130" s="136" t="s">
        <v>1886</v>
      </c>
      <c r="E130" s="160" t="s">
        <v>15</v>
      </c>
      <c r="F130" s="160">
        <v>10</v>
      </c>
      <c r="G130" s="136"/>
      <c r="H130" s="136"/>
      <c r="I130" s="136">
        <f t="shared" si="12"/>
        <v>0</v>
      </c>
      <c r="J130" s="156">
        <v>100</v>
      </c>
      <c r="K130" s="156"/>
      <c r="L130" s="156">
        <f t="shared" si="13"/>
        <v>100</v>
      </c>
      <c r="M130" s="156"/>
      <c r="N130" s="156"/>
      <c r="O130" s="156">
        <f t="shared" si="14"/>
        <v>0</v>
      </c>
      <c r="P130" s="156"/>
      <c r="Q130" s="156"/>
      <c r="R130" s="156">
        <f t="shared" si="15"/>
        <v>0</v>
      </c>
      <c r="S130" s="156">
        <v>15</v>
      </c>
      <c r="T130" s="156"/>
      <c r="U130" s="156">
        <f t="shared" si="16"/>
        <v>15</v>
      </c>
      <c r="V130" s="51"/>
      <c r="W130" s="51"/>
      <c r="X130" s="51">
        <f t="shared" si="17"/>
        <v>0</v>
      </c>
      <c r="Y130" s="51"/>
      <c r="Z130" s="51"/>
      <c r="AA130" s="51"/>
      <c r="AB130" s="51">
        <v>25</v>
      </c>
      <c r="AC130" s="51"/>
      <c r="AD130" s="51"/>
      <c r="AE130" s="51"/>
      <c r="AF130" s="51"/>
      <c r="AG130" s="51"/>
      <c r="AH130" s="174">
        <f t="shared" si="18"/>
        <v>115</v>
      </c>
      <c r="AI130" s="174">
        <f t="shared" si="19"/>
        <v>0</v>
      </c>
      <c r="AJ130" s="174">
        <f t="shared" si="20"/>
        <v>115</v>
      </c>
      <c r="AK130" s="175">
        <f t="shared" si="21"/>
        <v>19.166666666666668</v>
      </c>
      <c r="AL130" s="175">
        <f t="shared" si="22"/>
        <v>0</v>
      </c>
      <c r="AM130" s="175">
        <f t="shared" si="23"/>
        <v>19.166666666666668</v>
      </c>
    </row>
    <row r="131" spans="1:39">
      <c r="A131" s="136">
        <v>124</v>
      </c>
      <c r="B131" s="136" t="s">
        <v>1887</v>
      </c>
      <c r="C131" s="136" t="s">
        <v>1835</v>
      </c>
      <c r="D131" s="136" t="s">
        <v>1888</v>
      </c>
      <c r="E131" s="160" t="s">
        <v>15</v>
      </c>
      <c r="F131" s="160">
        <v>10</v>
      </c>
      <c r="G131" s="136"/>
      <c r="H131" s="136"/>
      <c r="I131" s="136">
        <f t="shared" si="12"/>
        <v>0</v>
      </c>
      <c r="J131" s="156">
        <v>15</v>
      </c>
      <c r="K131" s="156"/>
      <c r="L131" s="156">
        <f t="shared" si="13"/>
        <v>15</v>
      </c>
      <c r="M131" s="156"/>
      <c r="N131" s="156"/>
      <c r="O131" s="156">
        <f t="shared" si="14"/>
        <v>0</v>
      </c>
      <c r="P131" s="156">
        <v>30</v>
      </c>
      <c r="Q131" s="156"/>
      <c r="R131" s="156">
        <f t="shared" si="15"/>
        <v>30</v>
      </c>
      <c r="S131" s="156">
        <v>10</v>
      </c>
      <c r="T131" s="156"/>
      <c r="U131" s="156">
        <f t="shared" si="16"/>
        <v>10</v>
      </c>
      <c r="V131" s="51"/>
      <c r="W131" s="51"/>
      <c r="X131" s="51">
        <f t="shared" si="17"/>
        <v>0</v>
      </c>
      <c r="Y131" s="51"/>
      <c r="Z131" s="51"/>
      <c r="AA131" s="51"/>
      <c r="AB131" s="51"/>
      <c r="AC131" s="51"/>
      <c r="AD131" s="51"/>
      <c r="AE131" s="51"/>
      <c r="AF131" s="51"/>
      <c r="AG131" s="51"/>
      <c r="AH131" s="174">
        <f t="shared" si="18"/>
        <v>55</v>
      </c>
      <c r="AI131" s="174">
        <f t="shared" si="19"/>
        <v>0</v>
      </c>
      <c r="AJ131" s="174">
        <f t="shared" si="20"/>
        <v>55</v>
      </c>
      <c r="AK131" s="175">
        <f t="shared" si="21"/>
        <v>9.1666666666666661</v>
      </c>
      <c r="AL131" s="175">
        <f t="shared" si="22"/>
        <v>0</v>
      </c>
      <c r="AM131" s="175">
        <f t="shared" si="23"/>
        <v>9.1666666666666661</v>
      </c>
    </row>
    <row r="132" spans="1:39">
      <c r="A132" s="136">
        <v>125</v>
      </c>
      <c r="B132" s="136" t="s">
        <v>1889</v>
      </c>
      <c r="C132" s="136" t="s">
        <v>1835</v>
      </c>
      <c r="D132" s="136" t="s">
        <v>1890</v>
      </c>
      <c r="E132" s="160" t="s">
        <v>15</v>
      </c>
      <c r="F132" s="160">
        <v>50</v>
      </c>
      <c r="G132" s="136"/>
      <c r="H132" s="136"/>
      <c r="I132" s="136">
        <f t="shared" si="12"/>
        <v>0</v>
      </c>
      <c r="J132" s="156">
        <v>60</v>
      </c>
      <c r="K132" s="156"/>
      <c r="L132" s="156">
        <f t="shared" si="13"/>
        <v>60</v>
      </c>
      <c r="M132" s="156"/>
      <c r="N132" s="156"/>
      <c r="O132" s="156">
        <f t="shared" si="14"/>
        <v>0</v>
      </c>
      <c r="P132" s="156">
        <v>70</v>
      </c>
      <c r="Q132" s="156"/>
      <c r="R132" s="156">
        <f t="shared" si="15"/>
        <v>70</v>
      </c>
      <c r="S132" s="156">
        <v>60</v>
      </c>
      <c r="T132" s="156"/>
      <c r="U132" s="156">
        <f t="shared" si="16"/>
        <v>60</v>
      </c>
      <c r="V132" s="51"/>
      <c r="W132" s="51"/>
      <c r="X132" s="51">
        <f t="shared" si="17"/>
        <v>0</v>
      </c>
      <c r="Y132" s="51"/>
      <c r="Z132" s="51"/>
      <c r="AA132" s="51"/>
      <c r="AB132" s="51"/>
      <c r="AC132" s="51"/>
      <c r="AD132" s="51"/>
      <c r="AE132" s="51"/>
      <c r="AF132" s="51"/>
      <c r="AG132" s="51"/>
      <c r="AH132" s="174">
        <f t="shared" si="18"/>
        <v>190</v>
      </c>
      <c r="AI132" s="174">
        <f t="shared" si="19"/>
        <v>0</v>
      </c>
      <c r="AJ132" s="174">
        <f t="shared" si="20"/>
        <v>190</v>
      </c>
      <c r="AK132" s="175">
        <f t="shared" si="21"/>
        <v>31.666666666666668</v>
      </c>
      <c r="AL132" s="175">
        <f t="shared" si="22"/>
        <v>0</v>
      </c>
      <c r="AM132" s="175">
        <f t="shared" si="23"/>
        <v>31.666666666666668</v>
      </c>
    </row>
    <row r="133" spans="1:39">
      <c r="A133" s="136">
        <v>126</v>
      </c>
      <c r="B133" s="136" t="s">
        <v>1891</v>
      </c>
      <c r="C133" s="136" t="s">
        <v>1835</v>
      </c>
      <c r="D133" s="136" t="s">
        <v>1892</v>
      </c>
      <c r="E133" s="160" t="s">
        <v>15</v>
      </c>
      <c r="F133" s="160">
        <v>20</v>
      </c>
      <c r="G133" s="136"/>
      <c r="H133" s="136"/>
      <c r="I133" s="136">
        <f t="shared" si="12"/>
        <v>0</v>
      </c>
      <c r="J133" s="156">
        <v>25</v>
      </c>
      <c r="K133" s="156"/>
      <c r="L133" s="156">
        <f t="shared" si="13"/>
        <v>25</v>
      </c>
      <c r="M133" s="156"/>
      <c r="N133" s="156"/>
      <c r="O133" s="156">
        <f t="shared" si="14"/>
        <v>0</v>
      </c>
      <c r="P133" s="156">
        <v>50</v>
      </c>
      <c r="Q133" s="156"/>
      <c r="R133" s="156">
        <f t="shared" si="15"/>
        <v>50</v>
      </c>
      <c r="S133" s="156">
        <v>25</v>
      </c>
      <c r="T133" s="156"/>
      <c r="U133" s="156">
        <f t="shared" si="16"/>
        <v>25</v>
      </c>
      <c r="V133" s="51"/>
      <c r="W133" s="51">
        <v>10</v>
      </c>
      <c r="X133" s="51">
        <f t="shared" si="17"/>
        <v>10</v>
      </c>
      <c r="Y133" s="51"/>
      <c r="Z133" s="51"/>
      <c r="AA133" s="51"/>
      <c r="AB133" s="51"/>
      <c r="AC133" s="51">
        <v>50</v>
      </c>
      <c r="AD133" s="51"/>
      <c r="AE133" s="51"/>
      <c r="AF133" s="51"/>
      <c r="AG133" s="51"/>
      <c r="AH133" s="174">
        <f t="shared" si="18"/>
        <v>100</v>
      </c>
      <c r="AI133" s="174">
        <f t="shared" si="19"/>
        <v>10</v>
      </c>
      <c r="AJ133" s="174">
        <f t="shared" si="20"/>
        <v>110</v>
      </c>
      <c r="AK133" s="175">
        <f t="shared" si="21"/>
        <v>16.666666666666668</v>
      </c>
      <c r="AL133" s="175">
        <f t="shared" si="22"/>
        <v>1.6666666666666667</v>
      </c>
      <c r="AM133" s="175">
        <f t="shared" si="23"/>
        <v>18.333333333333332</v>
      </c>
    </row>
    <row r="134" spans="1:39">
      <c r="A134" s="136">
        <v>127</v>
      </c>
      <c r="B134" s="136" t="s">
        <v>1893</v>
      </c>
      <c r="C134" s="136" t="s">
        <v>1835</v>
      </c>
      <c r="D134" s="136" t="s">
        <v>1894</v>
      </c>
      <c r="E134" s="160" t="s">
        <v>15</v>
      </c>
      <c r="F134" s="160">
        <v>3</v>
      </c>
      <c r="G134" s="136"/>
      <c r="H134" s="136"/>
      <c r="I134" s="136">
        <f t="shared" si="12"/>
        <v>0</v>
      </c>
      <c r="J134" s="156">
        <v>70</v>
      </c>
      <c r="K134" s="156"/>
      <c r="L134" s="156">
        <f t="shared" si="13"/>
        <v>70</v>
      </c>
      <c r="M134" s="156"/>
      <c r="N134" s="156"/>
      <c r="O134" s="156">
        <f t="shared" si="14"/>
        <v>0</v>
      </c>
      <c r="P134" s="156">
        <v>25</v>
      </c>
      <c r="Q134" s="156"/>
      <c r="R134" s="156">
        <f t="shared" si="15"/>
        <v>25</v>
      </c>
      <c r="S134" s="156">
        <v>60</v>
      </c>
      <c r="T134" s="156"/>
      <c r="U134" s="156">
        <f t="shared" si="16"/>
        <v>60</v>
      </c>
      <c r="V134" s="51"/>
      <c r="W134" s="51"/>
      <c r="X134" s="51">
        <f t="shared" si="17"/>
        <v>0</v>
      </c>
      <c r="Y134" s="51"/>
      <c r="Z134" s="51"/>
      <c r="AA134" s="51"/>
      <c r="AB134" s="51">
        <v>10</v>
      </c>
      <c r="AC134" s="51"/>
      <c r="AD134" s="51"/>
      <c r="AE134" s="51"/>
      <c r="AF134" s="51"/>
      <c r="AG134" s="51"/>
      <c r="AH134" s="174">
        <f t="shared" si="18"/>
        <v>155</v>
      </c>
      <c r="AI134" s="174">
        <f t="shared" si="19"/>
        <v>0</v>
      </c>
      <c r="AJ134" s="174">
        <f t="shared" si="20"/>
        <v>155</v>
      </c>
      <c r="AK134" s="175">
        <f t="shared" si="21"/>
        <v>25.833333333333332</v>
      </c>
      <c r="AL134" s="175">
        <f t="shared" si="22"/>
        <v>0</v>
      </c>
      <c r="AM134" s="175">
        <f t="shared" si="23"/>
        <v>25.833333333333332</v>
      </c>
    </row>
    <row r="135" spans="1:39">
      <c r="A135" s="136">
        <v>128</v>
      </c>
      <c r="B135" s="136" t="s">
        <v>1895</v>
      </c>
      <c r="C135" s="136" t="s">
        <v>1835</v>
      </c>
      <c r="D135" s="136" t="s">
        <v>1896</v>
      </c>
      <c r="E135" s="160" t="s">
        <v>15</v>
      </c>
      <c r="F135" s="160">
        <v>6</v>
      </c>
      <c r="G135" s="136">
        <v>50</v>
      </c>
      <c r="H135" s="136"/>
      <c r="I135" s="136">
        <f t="shared" si="12"/>
        <v>50</v>
      </c>
      <c r="J135" s="156">
        <v>60</v>
      </c>
      <c r="K135" s="156"/>
      <c r="L135" s="156">
        <f t="shared" si="13"/>
        <v>60</v>
      </c>
      <c r="M135" s="156"/>
      <c r="N135" s="156"/>
      <c r="O135" s="156">
        <f t="shared" si="14"/>
        <v>0</v>
      </c>
      <c r="P135" s="156">
        <v>60</v>
      </c>
      <c r="Q135" s="156"/>
      <c r="R135" s="156">
        <f t="shared" si="15"/>
        <v>60</v>
      </c>
      <c r="S135" s="156">
        <v>50</v>
      </c>
      <c r="T135" s="156"/>
      <c r="U135" s="156">
        <f t="shared" si="16"/>
        <v>50</v>
      </c>
      <c r="V135" s="51"/>
      <c r="W135" s="51">
        <v>10</v>
      </c>
      <c r="X135" s="51">
        <f t="shared" si="17"/>
        <v>10</v>
      </c>
      <c r="Y135" s="51"/>
      <c r="Z135" s="51"/>
      <c r="AA135" s="51"/>
      <c r="AB135" s="51"/>
      <c r="AC135" s="51">
        <v>50</v>
      </c>
      <c r="AD135" s="51"/>
      <c r="AE135" s="51"/>
      <c r="AF135" s="51"/>
      <c r="AG135" s="51"/>
      <c r="AH135" s="174">
        <f t="shared" si="18"/>
        <v>220</v>
      </c>
      <c r="AI135" s="174">
        <f t="shared" si="19"/>
        <v>10</v>
      </c>
      <c r="AJ135" s="174">
        <f t="shared" si="20"/>
        <v>230</v>
      </c>
      <c r="AK135" s="175">
        <f t="shared" si="21"/>
        <v>36.666666666666664</v>
      </c>
      <c r="AL135" s="175">
        <f t="shared" si="22"/>
        <v>1.6666666666666667</v>
      </c>
      <c r="AM135" s="175">
        <f t="shared" si="23"/>
        <v>38.333333333333336</v>
      </c>
    </row>
    <row r="136" spans="1:39">
      <c r="A136" s="136">
        <v>129</v>
      </c>
      <c r="B136" s="136" t="s">
        <v>1897</v>
      </c>
      <c r="C136" s="136" t="s">
        <v>1835</v>
      </c>
      <c r="D136" s="136" t="s">
        <v>1898</v>
      </c>
      <c r="E136" s="160" t="s">
        <v>15</v>
      </c>
      <c r="F136" s="160">
        <v>20</v>
      </c>
      <c r="G136" s="136">
        <v>25</v>
      </c>
      <c r="H136" s="136"/>
      <c r="I136" s="136">
        <f t="shared" si="12"/>
        <v>25</v>
      </c>
      <c r="J136" s="156">
        <v>15</v>
      </c>
      <c r="K136" s="156"/>
      <c r="L136" s="156">
        <f t="shared" si="13"/>
        <v>15</v>
      </c>
      <c r="M136" s="156"/>
      <c r="N136" s="156"/>
      <c r="O136" s="156">
        <f t="shared" si="14"/>
        <v>0</v>
      </c>
      <c r="P136" s="156"/>
      <c r="Q136" s="156"/>
      <c r="R136" s="156">
        <f t="shared" si="15"/>
        <v>0</v>
      </c>
      <c r="S136" s="156"/>
      <c r="T136" s="156"/>
      <c r="U136" s="156">
        <f t="shared" si="16"/>
        <v>0</v>
      </c>
      <c r="V136" s="51">
        <v>10</v>
      </c>
      <c r="W136" s="51"/>
      <c r="X136" s="51">
        <f t="shared" si="17"/>
        <v>10</v>
      </c>
      <c r="Y136" s="51"/>
      <c r="Z136" s="51"/>
      <c r="AA136" s="51"/>
      <c r="AB136" s="51"/>
      <c r="AC136" s="51">
        <v>12</v>
      </c>
      <c r="AD136" s="51"/>
      <c r="AE136" s="51"/>
      <c r="AF136" s="51"/>
      <c r="AG136" s="51"/>
      <c r="AH136" s="174">
        <f t="shared" si="18"/>
        <v>50</v>
      </c>
      <c r="AI136" s="174">
        <f t="shared" si="19"/>
        <v>0</v>
      </c>
      <c r="AJ136" s="174">
        <f t="shared" si="20"/>
        <v>50</v>
      </c>
      <c r="AK136" s="175">
        <f t="shared" si="21"/>
        <v>8.3333333333333339</v>
      </c>
      <c r="AL136" s="175">
        <f t="shared" si="22"/>
        <v>0</v>
      </c>
      <c r="AM136" s="175">
        <f t="shared" si="23"/>
        <v>8.3333333333333339</v>
      </c>
    </row>
    <row r="137" spans="1:39">
      <c r="A137" s="136">
        <v>130</v>
      </c>
      <c r="B137" s="136" t="s">
        <v>1899</v>
      </c>
      <c r="C137" s="136" t="s">
        <v>1835</v>
      </c>
      <c r="D137" s="136" t="s">
        <v>1900</v>
      </c>
      <c r="E137" s="160" t="s">
        <v>15</v>
      </c>
      <c r="F137" s="160">
        <v>15</v>
      </c>
      <c r="G137" s="136">
        <v>10</v>
      </c>
      <c r="H137" s="136"/>
      <c r="I137" s="136">
        <f t="shared" ref="I137:I166" si="24">G137+H137</f>
        <v>10</v>
      </c>
      <c r="J137" s="156">
        <v>35</v>
      </c>
      <c r="K137" s="156"/>
      <c r="L137" s="156">
        <f t="shared" ref="L137:L166" si="25">J137+K137</f>
        <v>35</v>
      </c>
      <c r="M137" s="156"/>
      <c r="N137" s="156"/>
      <c r="O137" s="156">
        <f t="shared" ref="O137:O166" si="26">M137+N137</f>
        <v>0</v>
      </c>
      <c r="P137" s="156"/>
      <c r="Q137" s="156"/>
      <c r="R137" s="156">
        <f t="shared" ref="R137:R166" si="27">P137+Q137</f>
        <v>0</v>
      </c>
      <c r="S137" s="156"/>
      <c r="T137" s="156"/>
      <c r="U137" s="156">
        <f t="shared" ref="U137:U166" si="28">S137+T137</f>
        <v>0</v>
      </c>
      <c r="V137" s="51"/>
      <c r="W137" s="51">
        <v>20</v>
      </c>
      <c r="X137" s="51">
        <f t="shared" ref="X137:X166" si="29">V137+W137</f>
        <v>20</v>
      </c>
      <c r="Y137" s="51"/>
      <c r="Z137" s="51"/>
      <c r="AA137" s="51"/>
      <c r="AB137" s="51"/>
      <c r="AC137" s="51"/>
      <c r="AD137" s="51"/>
      <c r="AE137" s="51"/>
      <c r="AF137" s="51"/>
      <c r="AG137" s="51"/>
      <c r="AH137" s="174">
        <f t="shared" ref="AH137:AH169" si="30">G137+J137+M137+P137+S137+V137</f>
        <v>45</v>
      </c>
      <c r="AI137" s="174">
        <f t="shared" ref="AI137:AI169" si="31">H137+K137+N137+Q137+T137+W137</f>
        <v>20</v>
      </c>
      <c r="AJ137" s="174">
        <f t="shared" ref="AJ137:AJ169" si="32">I137+L137+O137+R137+U137+X137</f>
        <v>65</v>
      </c>
      <c r="AK137" s="175">
        <f t="shared" ref="AK137:AK169" si="33">AH137/6</f>
        <v>7.5</v>
      </c>
      <c r="AL137" s="175">
        <f t="shared" ref="AL137:AL169" si="34">AI137/6</f>
        <v>3.3333333333333335</v>
      </c>
      <c r="AM137" s="175">
        <f t="shared" ref="AM137:AM169" si="35">AJ137/6</f>
        <v>10.833333333333334</v>
      </c>
    </row>
    <row r="138" spans="1:39">
      <c r="A138" s="136">
        <v>131</v>
      </c>
      <c r="B138" s="136" t="s">
        <v>1780</v>
      </c>
      <c r="C138" s="136" t="s">
        <v>1835</v>
      </c>
      <c r="D138" s="136" t="s">
        <v>1901</v>
      </c>
      <c r="E138" s="160" t="s">
        <v>15</v>
      </c>
      <c r="F138" s="160">
        <v>64</v>
      </c>
      <c r="G138" s="136"/>
      <c r="H138" s="136"/>
      <c r="I138" s="136">
        <f t="shared" si="24"/>
        <v>0</v>
      </c>
      <c r="J138" s="156">
        <v>200</v>
      </c>
      <c r="K138" s="156"/>
      <c r="L138" s="156">
        <f t="shared" si="25"/>
        <v>200</v>
      </c>
      <c r="M138" s="156"/>
      <c r="N138" s="156"/>
      <c r="O138" s="156">
        <f t="shared" si="26"/>
        <v>0</v>
      </c>
      <c r="P138" s="156"/>
      <c r="Q138" s="156"/>
      <c r="R138" s="156">
        <f t="shared" si="27"/>
        <v>0</v>
      </c>
      <c r="S138" s="156"/>
      <c r="T138" s="156"/>
      <c r="U138" s="156">
        <f t="shared" si="28"/>
        <v>0</v>
      </c>
      <c r="V138" s="51"/>
      <c r="W138" s="51"/>
      <c r="X138" s="51">
        <f t="shared" si="29"/>
        <v>0</v>
      </c>
      <c r="Y138" s="51"/>
      <c r="Z138" s="51"/>
      <c r="AA138" s="51"/>
      <c r="AB138" s="51"/>
      <c r="AC138" s="51"/>
      <c r="AD138" s="51"/>
      <c r="AE138" s="51"/>
      <c r="AF138" s="51"/>
      <c r="AG138" s="51"/>
      <c r="AH138" s="174">
        <f t="shared" si="30"/>
        <v>200</v>
      </c>
      <c r="AI138" s="174">
        <f t="shared" si="31"/>
        <v>0</v>
      </c>
      <c r="AJ138" s="174">
        <f t="shared" si="32"/>
        <v>200</v>
      </c>
      <c r="AK138" s="175">
        <f t="shared" si="33"/>
        <v>33.333333333333336</v>
      </c>
      <c r="AL138" s="175">
        <f t="shared" si="34"/>
        <v>0</v>
      </c>
      <c r="AM138" s="175">
        <f t="shared" si="35"/>
        <v>33.333333333333336</v>
      </c>
    </row>
    <row r="139" spans="1:39">
      <c r="A139" s="136">
        <v>132</v>
      </c>
      <c r="B139" s="136" t="s">
        <v>1902</v>
      </c>
      <c r="C139" s="136" t="s">
        <v>1835</v>
      </c>
      <c r="D139" s="136" t="s">
        <v>1903</v>
      </c>
      <c r="E139" s="160" t="s">
        <v>15</v>
      </c>
      <c r="F139" s="160">
        <v>10</v>
      </c>
      <c r="G139" s="136"/>
      <c r="H139" s="136"/>
      <c r="I139" s="136">
        <f t="shared" si="24"/>
        <v>0</v>
      </c>
      <c r="J139" s="156">
        <v>25</v>
      </c>
      <c r="K139" s="156"/>
      <c r="L139" s="156">
        <f t="shared" si="25"/>
        <v>25</v>
      </c>
      <c r="M139" s="156"/>
      <c r="N139" s="156"/>
      <c r="O139" s="156">
        <f t="shared" si="26"/>
        <v>0</v>
      </c>
      <c r="P139" s="156"/>
      <c r="Q139" s="156"/>
      <c r="R139" s="156">
        <f t="shared" si="27"/>
        <v>0</v>
      </c>
      <c r="S139" s="156"/>
      <c r="T139" s="156"/>
      <c r="U139" s="156">
        <f t="shared" si="28"/>
        <v>0</v>
      </c>
      <c r="V139" s="51"/>
      <c r="W139" s="51"/>
      <c r="X139" s="51">
        <f t="shared" si="29"/>
        <v>0</v>
      </c>
      <c r="Y139" s="51"/>
      <c r="Z139" s="51"/>
      <c r="AA139" s="51"/>
      <c r="AB139" s="51"/>
      <c r="AC139" s="51">
        <v>9</v>
      </c>
      <c r="AD139" s="51"/>
      <c r="AE139" s="51"/>
      <c r="AF139" s="51"/>
      <c r="AG139" s="51"/>
      <c r="AH139" s="174">
        <f t="shared" si="30"/>
        <v>25</v>
      </c>
      <c r="AI139" s="174">
        <f t="shared" si="31"/>
        <v>0</v>
      </c>
      <c r="AJ139" s="174">
        <f t="shared" si="32"/>
        <v>25</v>
      </c>
      <c r="AK139" s="175">
        <f t="shared" si="33"/>
        <v>4.166666666666667</v>
      </c>
      <c r="AL139" s="175">
        <f t="shared" si="34"/>
        <v>0</v>
      </c>
      <c r="AM139" s="175">
        <f t="shared" si="35"/>
        <v>4.166666666666667</v>
      </c>
    </row>
    <row r="140" spans="1:39">
      <c r="A140" s="136">
        <v>133</v>
      </c>
      <c r="B140" s="136" t="s">
        <v>1798</v>
      </c>
      <c r="C140" s="136" t="s">
        <v>1835</v>
      </c>
      <c r="D140" s="136" t="s">
        <v>1904</v>
      </c>
      <c r="E140" s="160" t="s">
        <v>15</v>
      </c>
      <c r="F140" s="160">
        <v>50</v>
      </c>
      <c r="G140" s="136"/>
      <c r="H140" s="136"/>
      <c r="I140" s="136">
        <f t="shared" si="24"/>
        <v>0</v>
      </c>
      <c r="J140" s="156">
        <v>30</v>
      </c>
      <c r="K140" s="156"/>
      <c r="L140" s="156">
        <f t="shared" si="25"/>
        <v>30</v>
      </c>
      <c r="M140" s="156"/>
      <c r="N140" s="156"/>
      <c r="O140" s="156">
        <f t="shared" si="26"/>
        <v>0</v>
      </c>
      <c r="P140" s="156">
        <v>100</v>
      </c>
      <c r="Q140" s="156"/>
      <c r="R140" s="156">
        <f t="shared" si="27"/>
        <v>100</v>
      </c>
      <c r="S140" s="156"/>
      <c r="T140" s="156"/>
      <c r="U140" s="156">
        <f t="shared" si="28"/>
        <v>0</v>
      </c>
      <c r="V140" s="51"/>
      <c r="W140" s="51">
        <v>30</v>
      </c>
      <c r="X140" s="51">
        <f t="shared" si="29"/>
        <v>30</v>
      </c>
      <c r="Y140" s="51"/>
      <c r="Z140" s="51"/>
      <c r="AA140" s="51"/>
      <c r="AB140" s="51">
        <v>100</v>
      </c>
      <c r="AC140" s="51">
        <v>10</v>
      </c>
      <c r="AD140" s="51"/>
      <c r="AE140" s="51"/>
      <c r="AF140" s="51"/>
      <c r="AG140" s="51"/>
      <c r="AH140" s="174">
        <f t="shared" si="30"/>
        <v>130</v>
      </c>
      <c r="AI140" s="174">
        <f t="shared" si="31"/>
        <v>30</v>
      </c>
      <c r="AJ140" s="174">
        <f t="shared" si="32"/>
        <v>160</v>
      </c>
      <c r="AK140" s="175">
        <f t="shared" si="33"/>
        <v>21.666666666666668</v>
      </c>
      <c r="AL140" s="175">
        <f t="shared" si="34"/>
        <v>5</v>
      </c>
      <c r="AM140" s="175">
        <f t="shared" si="35"/>
        <v>26.666666666666668</v>
      </c>
    </row>
    <row r="141" spans="1:39">
      <c r="A141" s="136">
        <v>134</v>
      </c>
      <c r="B141" s="136" t="s">
        <v>1905</v>
      </c>
      <c r="C141" s="136" t="s">
        <v>1835</v>
      </c>
      <c r="D141" s="136" t="s">
        <v>1906</v>
      </c>
      <c r="E141" s="160" t="s">
        <v>15</v>
      </c>
      <c r="F141" s="160">
        <v>10</v>
      </c>
      <c r="G141" s="136"/>
      <c r="H141" s="136"/>
      <c r="I141" s="136">
        <f t="shared" si="24"/>
        <v>0</v>
      </c>
      <c r="J141" s="156">
        <v>25</v>
      </c>
      <c r="K141" s="156"/>
      <c r="L141" s="156">
        <f t="shared" si="25"/>
        <v>25</v>
      </c>
      <c r="M141" s="156"/>
      <c r="N141" s="156"/>
      <c r="O141" s="156">
        <f t="shared" si="26"/>
        <v>0</v>
      </c>
      <c r="P141" s="156"/>
      <c r="Q141" s="156"/>
      <c r="R141" s="156">
        <f t="shared" si="27"/>
        <v>0</v>
      </c>
      <c r="S141" s="156"/>
      <c r="T141" s="156"/>
      <c r="U141" s="156">
        <f t="shared" si="28"/>
        <v>0</v>
      </c>
      <c r="V141" s="51"/>
      <c r="W141" s="51"/>
      <c r="X141" s="51">
        <f t="shared" si="29"/>
        <v>0</v>
      </c>
      <c r="Y141" s="51"/>
      <c r="Z141" s="51"/>
      <c r="AA141" s="51"/>
      <c r="AB141" s="51">
        <v>36</v>
      </c>
      <c r="AC141" s="51"/>
      <c r="AD141" s="51"/>
      <c r="AE141" s="51"/>
      <c r="AF141" s="51"/>
      <c r="AG141" s="51"/>
      <c r="AH141" s="174">
        <f t="shared" si="30"/>
        <v>25</v>
      </c>
      <c r="AI141" s="174">
        <f t="shared" si="31"/>
        <v>0</v>
      </c>
      <c r="AJ141" s="174">
        <f t="shared" si="32"/>
        <v>25</v>
      </c>
      <c r="AK141" s="175">
        <f t="shared" si="33"/>
        <v>4.166666666666667</v>
      </c>
      <c r="AL141" s="175">
        <f t="shared" si="34"/>
        <v>0</v>
      </c>
      <c r="AM141" s="175">
        <f t="shared" si="35"/>
        <v>4.166666666666667</v>
      </c>
    </row>
    <row r="142" spans="1:39">
      <c r="A142" s="136">
        <v>135</v>
      </c>
      <c r="B142" s="136" t="s">
        <v>1907</v>
      </c>
      <c r="C142" s="136" t="s">
        <v>1835</v>
      </c>
      <c r="D142" s="136" t="s">
        <v>1908</v>
      </c>
      <c r="E142" s="160" t="s">
        <v>15</v>
      </c>
      <c r="F142" s="160">
        <v>25</v>
      </c>
      <c r="G142" s="136"/>
      <c r="H142" s="136"/>
      <c r="I142" s="136">
        <f t="shared" si="24"/>
        <v>0</v>
      </c>
      <c r="J142" s="156">
        <v>60</v>
      </c>
      <c r="K142" s="156"/>
      <c r="L142" s="156">
        <f t="shared" si="25"/>
        <v>60</v>
      </c>
      <c r="M142" s="156"/>
      <c r="N142" s="156"/>
      <c r="O142" s="156">
        <f t="shared" si="26"/>
        <v>0</v>
      </c>
      <c r="P142" s="156">
        <v>90</v>
      </c>
      <c r="Q142" s="156"/>
      <c r="R142" s="156">
        <f t="shared" si="27"/>
        <v>90</v>
      </c>
      <c r="S142" s="156">
        <v>25</v>
      </c>
      <c r="T142" s="156"/>
      <c r="U142" s="156">
        <f t="shared" si="28"/>
        <v>25</v>
      </c>
      <c r="V142" s="51">
        <v>15</v>
      </c>
      <c r="W142" s="51"/>
      <c r="X142" s="51">
        <f t="shared" si="29"/>
        <v>15</v>
      </c>
      <c r="Y142" s="51"/>
      <c r="Z142" s="51"/>
      <c r="AA142" s="51"/>
      <c r="AB142" s="51"/>
      <c r="AC142" s="51">
        <v>30</v>
      </c>
      <c r="AD142" s="51"/>
      <c r="AE142" s="51"/>
      <c r="AF142" s="51"/>
      <c r="AG142" s="51"/>
      <c r="AH142" s="174">
        <f t="shared" si="30"/>
        <v>190</v>
      </c>
      <c r="AI142" s="174">
        <f t="shared" si="31"/>
        <v>0</v>
      </c>
      <c r="AJ142" s="174">
        <f t="shared" si="32"/>
        <v>190</v>
      </c>
      <c r="AK142" s="175">
        <f t="shared" si="33"/>
        <v>31.666666666666668</v>
      </c>
      <c r="AL142" s="175">
        <f t="shared" si="34"/>
        <v>0</v>
      </c>
      <c r="AM142" s="175">
        <f t="shared" si="35"/>
        <v>31.666666666666668</v>
      </c>
    </row>
    <row r="143" spans="1:39">
      <c r="A143" s="136">
        <v>136</v>
      </c>
      <c r="B143" s="136" t="s">
        <v>1909</v>
      </c>
      <c r="C143" s="158" t="s">
        <v>1910</v>
      </c>
      <c r="D143" s="136" t="s">
        <v>1911</v>
      </c>
      <c r="E143" s="160" t="s">
        <v>15</v>
      </c>
      <c r="F143" s="160">
        <v>50</v>
      </c>
      <c r="G143" s="136"/>
      <c r="H143" s="136">
        <v>18</v>
      </c>
      <c r="I143" s="136">
        <f t="shared" si="24"/>
        <v>18</v>
      </c>
      <c r="J143" s="156">
        <v>250</v>
      </c>
      <c r="K143" s="156"/>
      <c r="L143" s="156">
        <f t="shared" si="25"/>
        <v>250</v>
      </c>
      <c r="M143" s="156"/>
      <c r="N143" s="156"/>
      <c r="O143" s="156">
        <f t="shared" si="26"/>
        <v>0</v>
      </c>
      <c r="P143" s="156"/>
      <c r="Q143" s="156"/>
      <c r="R143" s="156">
        <f t="shared" si="27"/>
        <v>0</v>
      </c>
      <c r="S143" s="156">
        <v>150</v>
      </c>
      <c r="T143" s="156">
        <v>10</v>
      </c>
      <c r="U143" s="156">
        <f t="shared" si="28"/>
        <v>160</v>
      </c>
      <c r="V143" s="51">
        <v>150</v>
      </c>
      <c r="W143" s="51"/>
      <c r="X143" s="51">
        <f t="shared" si="29"/>
        <v>150</v>
      </c>
      <c r="Y143" s="51"/>
      <c r="Z143" s="51"/>
      <c r="AA143" s="51"/>
      <c r="AB143" s="51">
        <v>60</v>
      </c>
      <c r="AC143" s="51">
        <v>30</v>
      </c>
      <c r="AD143" s="51"/>
      <c r="AE143" s="51"/>
      <c r="AF143" s="51"/>
      <c r="AG143" s="51"/>
      <c r="AH143" s="174">
        <f t="shared" si="30"/>
        <v>550</v>
      </c>
      <c r="AI143" s="174">
        <f t="shared" si="31"/>
        <v>28</v>
      </c>
      <c r="AJ143" s="174">
        <f t="shared" si="32"/>
        <v>578</v>
      </c>
      <c r="AK143" s="175">
        <f t="shared" si="33"/>
        <v>91.666666666666671</v>
      </c>
      <c r="AL143" s="175">
        <f t="shared" si="34"/>
        <v>4.666666666666667</v>
      </c>
      <c r="AM143" s="175">
        <f t="shared" si="35"/>
        <v>96.333333333333329</v>
      </c>
    </row>
    <row r="144" spans="1:39">
      <c r="A144" s="190">
        <v>137</v>
      </c>
      <c r="B144" s="194" t="s">
        <v>1912</v>
      </c>
      <c r="C144" s="162" t="s">
        <v>1910</v>
      </c>
      <c r="D144" s="190" t="s">
        <v>1913</v>
      </c>
      <c r="E144" s="189" t="s">
        <v>15</v>
      </c>
      <c r="F144" s="189">
        <v>17</v>
      </c>
      <c r="G144" s="190">
        <v>0</v>
      </c>
      <c r="H144" s="190">
        <v>0</v>
      </c>
      <c r="I144" s="190">
        <f t="shared" si="24"/>
        <v>0</v>
      </c>
      <c r="J144" s="196"/>
      <c r="K144" s="196"/>
      <c r="L144" s="196">
        <f t="shared" si="25"/>
        <v>0</v>
      </c>
      <c r="M144" s="196"/>
      <c r="N144" s="196"/>
      <c r="O144" s="196">
        <f t="shared" si="26"/>
        <v>0</v>
      </c>
      <c r="P144" s="196"/>
      <c r="Q144" s="196"/>
      <c r="R144" s="196">
        <f t="shared" si="27"/>
        <v>0</v>
      </c>
      <c r="S144" s="196"/>
      <c r="T144" s="196"/>
      <c r="U144" s="196">
        <f t="shared" si="28"/>
        <v>0</v>
      </c>
      <c r="V144" s="198">
        <v>0</v>
      </c>
      <c r="W144" s="198"/>
      <c r="X144" s="198">
        <f t="shared" si="29"/>
        <v>0</v>
      </c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138">
        <f t="shared" si="30"/>
        <v>0</v>
      </c>
      <c r="AI144" s="138">
        <f t="shared" si="31"/>
        <v>0</v>
      </c>
      <c r="AJ144" s="138">
        <f t="shared" si="32"/>
        <v>0</v>
      </c>
      <c r="AK144" s="139">
        <f t="shared" si="33"/>
        <v>0</v>
      </c>
      <c r="AL144" s="139">
        <f t="shared" si="34"/>
        <v>0</v>
      </c>
      <c r="AM144" s="139">
        <f t="shared" si="35"/>
        <v>0</v>
      </c>
    </row>
    <row r="145" spans="1:39">
      <c r="A145" s="136">
        <v>138</v>
      </c>
      <c r="B145" s="136" t="s">
        <v>1914</v>
      </c>
      <c r="C145" s="158" t="s">
        <v>1910</v>
      </c>
      <c r="D145" s="136" t="s">
        <v>1915</v>
      </c>
      <c r="E145" s="160" t="s">
        <v>15</v>
      </c>
      <c r="F145" s="160">
        <v>80</v>
      </c>
      <c r="G145" s="136"/>
      <c r="H145" s="136"/>
      <c r="I145" s="136">
        <f t="shared" si="24"/>
        <v>0</v>
      </c>
      <c r="J145" s="156">
        <v>75</v>
      </c>
      <c r="K145" s="156"/>
      <c r="L145" s="156">
        <f t="shared" si="25"/>
        <v>75</v>
      </c>
      <c r="M145" s="156"/>
      <c r="N145" s="156"/>
      <c r="O145" s="156">
        <f t="shared" si="26"/>
        <v>0</v>
      </c>
      <c r="P145" s="156"/>
      <c r="Q145" s="156">
        <v>30</v>
      </c>
      <c r="R145" s="156">
        <f t="shared" si="27"/>
        <v>30</v>
      </c>
      <c r="S145" s="156">
        <v>30</v>
      </c>
      <c r="T145" s="156"/>
      <c r="U145" s="156">
        <f t="shared" si="28"/>
        <v>30</v>
      </c>
      <c r="V145" s="51">
        <v>20</v>
      </c>
      <c r="W145" s="51"/>
      <c r="X145" s="51">
        <f t="shared" si="29"/>
        <v>20</v>
      </c>
      <c r="Y145" s="51"/>
      <c r="Z145" s="51"/>
      <c r="AA145" s="51"/>
      <c r="AB145" s="51"/>
      <c r="AC145" s="51">
        <v>60</v>
      </c>
      <c r="AD145" s="51"/>
      <c r="AE145" s="51"/>
      <c r="AF145" s="51"/>
      <c r="AG145" s="51"/>
      <c r="AH145" s="174">
        <f t="shared" si="30"/>
        <v>125</v>
      </c>
      <c r="AI145" s="174">
        <f t="shared" si="31"/>
        <v>30</v>
      </c>
      <c r="AJ145" s="174">
        <f t="shared" si="32"/>
        <v>155</v>
      </c>
      <c r="AK145" s="175">
        <f t="shared" si="33"/>
        <v>20.833333333333332</v>
      </c>
      <c r="AL145" s="175">
        <f t="shared" si="34"/>
        <v>5</v>
      </c>
      <c r="AM145" s="175">
        <f t="shared" si="35"/>
        <v>25.833333333333332</v>
      </c>
    </row>
    <row r="146" spans="1:39">
      <c r="A146" s="136">
        <v>139</v>
      </c>
      <c r="B146" s="136" t="s">
        <v>1916</v>
      </c>
      <c r="C146" s="158" t="s">
        <v>1910</v>
      </c>
      <c r="D146" s="136" t="s">
        <v>1917</v>
      </c>
      <c r="E146" s="159" t="s">
        <v>348</v>
      </c>
      <c r="F146" s="160">
        <v>10</v>
      </c>
      <c r="G146" s="136"/>
      <c r="H146" s="136"/>
      <c r="I146" s="136">
        <f t="shared" si="24"/>
        <v>0</v>
      </c>
      <c r="J146" s="156">
        <v>10</v>
      </c>
      <c r="K146" s="156"/>
      <c r="L146" s="156">
        <f t="shared" si="25"/>
        <v>10</v>
      </c>
      <c r="M146" s="156"/>
      <c r="N146" s="156">
        <v>10</v>
      </c>
      <c r="O146" s="156">
        <f t="shared" si="26"/>
        <v>10</v>
      </c>
      <c r="P146" s="156">
        <v>10</v>
      </c>
      <c r="Q146" s="156"/>
      <c r="R146" s="156">
        <f t="shared" si="27"/>
        <v>10</v>
      </c>
      <c r="S146" s="156">
        <v>60</v>
      </c>
      <c r="T146" s="156">
        <v>20</v>
      </c>
      <c r="U146" s="156">
        <f t="shared" si="28"/>
        <v>80</v>
      </c>
      <c r="V146" s="51">
        <v>70</v>
      </c>
      <c r="W146" s="51"/>
      <c r="X146" s="51">
        <f t="shared" si="29"/>
        <v>70</v>
      </c>
      <c r="Y146" s="51"/>
      <c r="Z146" s="51"/>
      <c r="AA146" s="51"/>
      <c r="AB146" s="51">
        <v>25</v>
      </c>
      <c r="AC146" s="51"/>
      <c r="AD146" s="51"/>
      <c r="AE146" s="51"/>
      <c r="AF146" s="51"/>
      <c r="AG146" s="51"/>
      <c r="AH146" s="174">
        <f t="shared" si="30"/>
        <v>150</v>
      </c>
      <c r="AI146" s="174">
        <f t="shared" si="31"/>
        <v>30</v>
      </c>
      <c r="AJ146" s="174">
        <f t="shared" si="32"/>
        <v>180</v>
      </c>
      <c r="AK146" s="175">
        <f t="shared" si="33"/>
        <v>25</v>
      </c>
      <c r="AL146" s="175">
        <f t="shared" si="34"/>
        <v>5</v>
      </c>
      <c r="AM146" s="175">
        <f t="shared" si="35"/>
        <v>30</v>
      </c>
    </row>
    <row r="147" spans="1:39">
      <c r="A147" s="136">
        <v>140</v>
      </c>
      <c r="B147" s="136" t="s">
        <v>1918</v>
      </c>
      <c r="C147" s="158" t="s">
        <v>1910</v>
      </c>
      <c r="D147" s="136" t="s">
        <v>1919</v>
      </c>
      <c r="E147" s="159" t="s">
        <v>348</v>
      </c>
      <c r="F147" s="160">
        <v>10</v>
      </c>
      <c r="G147" s="136"/>
      <c r="H147" s="136"/>
      <c r="I147" s="136">
        <f t="shared" si="24"/>
        <v>0</v>
      </c>
      <c r="J147" s="156">
        <v>60</v>
      </c>
      <c r="K147" s="156"/>
      <c r="L147" s="156">
        <f t="shared" si="25"/>
        <v>60</v>
      </c>
      <c r="M147" s="156">
        <v>100</v>
      </c>
      <c r="N147" s="156">
        <v>20</v>
      </c>
      <c r="O147" s="156">
        <f t="shared" si="26"/>
        <v>120</v>
      </c>
      <c r="P147" s="156"/>
      <c r="Q147" s="156">
        <v>10</v>
      </c>
      <c r="R147" s="156">
        <f t="shared" si="27"/>
        <v>10</v>
      </c>
      <c r="S147" s="156">
        <v>100</v>
      </c>
      <c r="T147" s="156">
        <v>20</v>
      </c>
      <c r="U147" s="156">
        <f t="shared" si="28"/>
        <v>120</v>
      </c>
      <c r="V147" s="51">
        <v>60</v>
      </c>
      <c r="W147" s="51"/>
      <c r="X147" s="51">
        <f t="shared" si="29"/>
        <v>60</v>
      </c>
      <c r="Y147" s="51"/>
      <c r="Z147" s="51"/>
      <c r="AA147" s="51"/>
      <c r="AB147" s="51">
        <v>10</v>
      </c>
      <c r="AC147" s="51">
        <v>30</v>
      </c>
      <c r="AD147" s="51"/>
      <c r="AE147" s="51"/>
      <c r="AF147" s="51"/>
      <c r="AG147" s="51"/>
      <c r="AH147" s="174">
        <f t="shared" si="30"/>
        <v>320</v>
      </c>
      <c r="AI147" s="174">
        <f t="shared" si="31"/>
        <v>50</v>
      </c>
      <c r="AJ147" s="174">
        <f t="shared" si="32"/>
        <v>370</v>
      </c>
      <c r="AK147" s="175">
        <f t="shared" si="33"/>
        <v>53.333333333333336</v>
      </c>
      <c r="AL147" s="175">
        <f t="shared" si="34"/>
        <v>8.3333333333333339</v>
      </c>
      <c r="AM147" s="175">
        <f t="shared" si="35"/>
        <v>61.666666666666664</v>
      </c>
    </row>
    <row r="148" spans="1:39">
      <c r="A148" s="136">
        <v>141</v>
      </c>
      <c r="B148" s="136" t="s">
        <v>1920</v>
      </c>
      <c r="C148" s="158" t="s">
        <v>1910</v>
      </c>
      <c r="D148" s="136" t="s">
        <v>1921</v>
      </c>
      <c r="E148" s="160" t="s">
        <v>15</v>
      </c>
      <c r="F148" s="160">
        <v>10</v>
      </c>
      <c r="G148" s="136"/>
      <c r="H148" s="136"/>
      <c r="I148" s="136">
        <f t="shared" si="24"/>
        <v>0</v>
      </c>
      <c r="J148" s="156">
        <v>30</v>
      </c>
      <c r="K148" s="156"/>
      <c r="L148" s="156">
        <f t="shared" si="25"/>
        <v>30</v>
      </c>
      <c r="M148" s="156"/>
      <c r="N148" s="156">
        <v>10</v>
      </c>
      <c r="O148" s="156">
        <f t="shared" si="26"/>
        <v>10</v>
      </c>
      <c r="P148" s="156">
        <v>16</v>
      </c>
      <c r="Q148" s="156">
        <v>10</v>
      </c>
      <c r="R148" s="156">
        <f t="shared" si="27"/>
        <v>26</v>
      </c>
      <c r="S148" s="156">
        <v>30</v>
      </c>
      <c r="T148" s="156">
        <v>50</v>
      </c>
      <c r="U148" s="156">
        <f t="shared" si="28"/>
        <v>80</v>
      </c>
      <c r="V148" s="51">
        <v>30</v>
      </c>
      <c r="W148" s="51"/>
      <c r="X148" s="51">
        <f t="shared" si="29"/>
        <v>30</v>
      </c>
      <c r="Y148" s="51"/>
      <c r="Z148" s="51"/>
      <c r="AA148" s="51"/>
      <c r="AB148" s="51"/>
      <c r="AC148" s="51">
        <v>36</v>
      </c>
      <c r="AD148" s="51"/>
      <c r="AE148" s="51"/>
      <c r="AF148" s="51"/>
      <c r="AG148" s="51"/>
      <c r="AH148" s="174">
        <f t="shared" si="30"/>
        <v>106</v>
      </c>
      <c r="AI148" s="174">
        <f t="shared" si="31"/>
        <v>70</v>
      </c>
      <c r="AJ148" s="174">
        <f t="shared" si="32"/>
        <v>176</v>
      </c>
      <c r="AK148" s="175">
        <f t="shared" si="33"/>
        <v>17.666666666666668</v>
      </c>
      <c r="AL148" s="175">
        <f t="shared" si="34"/>
        <v>11.666666666666666</v>
      </c>
      <c r="AM148" s="175">
        <f t="shared" si="35"/>
        <v>29.333333333333332</v>
      </c>
    </row>
    <row r="149" spans="1:39">
      <c r="A149" s="136">
        <v>142</v>
      </c>
      <c r="B149" s="136" t="s">
        <v>1922</v>
      </c>
      <c r="C149" s="158" t="s">
        <v>1910</v>
      </c>
      <c r="D149" s="136" t="s">
        <v>1923</v>
      </c>
      <c r="E149" s="160" t="s">
        <v>15</v>
      </c>
      <c r="F149" s="160">
        <v>10</v>
      </c>
      <c r="G149" s="136"/>
      <c r="H149" s="136"/>
      <c r="I149" s="136">
        <f t="shared" si="24"/>
        <v>0</v>
      </c>
      <c r="J149" s="156">
        <v>15</v>
      </c>
      <c r="K149" s="156"/>
      <c r="L149" s="156">
        <f t="shared" si="25"/>
        <v>15</v>
      </c>
      <c r="M149" s="156"/>
      <c r="N149" s="156">
        <v>20</v>
      </c>
      <c r="O149" s="156">
        <f t="shared" si="26"/>
        <v>20</v>
      </c>
      <c r="P149" s="156">
        <v>50</v>
      </c>
      <c r="Q149" s="156">
        <v>20</v>
      </c>
      <c r="R149" s="156">
        <f t="shared" si="27"/>
        <v>70</v>
      </c>
      <c r="S149" s="156">
        <v>65</v>
      </c>
      <c r="T149" s="156"/>
      <c r="U149" s="156">
        <f t="shared" si="28"/>
        <v>65</v>
      </c>
      <c r="V149" s="51">
        <v>50</v>
      </c>
      <c r="W149" s="51"/>
      <c r="X149" s="51">
        <f t="shared" si="29"/>
        <v>50</v>
      </c>
      <c r="Y149" s="51"/>
      <c r="Z149" s="51"/>
      <c r="AA149" s="51"/>
      <c r="AB149" s="51">
        <v>60</v>
      </c>
      <c r="AC149" s="51">
        <v>36</v>
      </c>
      <c r="AD149" s="51"/>
      <c r="AE149" s="51"/>
      <c r="AF149" s="51"/>
      <c r="AG149" s="51"/>
      <c r="AH149" s="174">
        <f t="shared" si="30"/>
        <v>180</v>
      </c>
      <c r="AI149" s="174">
        <f t="shared" si="31"/>
        <v>40</v>
      </c>
      <c r="AJ149" s="174">
        <f t="shared" si="32"/>
        <v>220</v>
      </c>
      <c r="AK149" s="175">
        <f t="shared" si="33"/>
        <v>30</v>
      </c>
      <c r="AL149" s="175">
        <f t="shared" si="34"/>
        <v>6.666666666666667</v>
      </c>
      <c r="AM149" s="175">
        <f t="shared" si="35"/>
        <v>36.666666666666664</v>
      </c>
    </row>
    <row r="150" spans="1:39">
      <c r="A150" s="136">
        <v>143</v>
      </c>
      <c r="B150" s="136" t="s">
        <v>1924</v>
      </c>
      <c r="C150" s="158" t="s">
        <v>1910</v>
      </c>
      <c r="D150" s="136" t="s">
        <v>1925</v>
      </c>
      <c r="E150" s="160" t="s">
        <v>15</v>
      </c>
      <c r="F150" s="160">
        <v>10</v>
      </c>
      <c r="G150" s="136"/>
      <c r="H150" s="136"/>
      <c r="I150" s="136">
        <f t="shared" si="24"/>
        <v>0</v>
      </c>
      <c r="J150" s="156">
        <v>45</v>
      </c>
      <c r="K150" s="156"/>
      <c r="L150" s="156">
        <f t="shared" si="25"/>
        <v>45</v>
      </c>
      <c r="M150" s="156">
        <v>90</v>
      </c>
      <c r="N150" s="156"/>
      <c r="O150" s="156">
        <f t="shared" si="26"/>
        <v>90</v>
      </c>
      <c r="P150" s="156">
        <v>20</v>
      </c>
      <c r="Q150" s="156"/>
      <c r="R150" s="156">
        <f t="shared" si="27"/>
        <v>20</v>
      </c>
      <c r="S150" s="156">
        <v>35</v>
      </c>
      <c r="T150" s="156"/>
      <c r="U150" s="156">
        <f t="shared" si="28"/>
        <v>35</v>
      </c>
      <c r="V150" s="51">
        <v>20</v>
      </c>
      <c r="W150" s="51"/>
      <c r="X150" s="51">
        <f t="shared" si="29"/>
        <v>20</v>
      </c>
      <c r="Y150" s="51"/>
      <c r="Z150" s="51"/>
      <c r="AA150" s="51"/>
      <c r="AB150" s="51">
        <v>50</v>
      </c>
      <c r="AC150" s="51">
        <v>9</v>
      </c>
      <c r="AD150" s="51"/>
      <c r="AE150" s="51"/>
      <c r="AF150" s="51"/>
      <c r="AG150" s="51"/>
      <c r="AH150" s="174">
        <f t="shared" si="30"/>
        <v>210</v>
      </c>
      <c r="AI150" s="174">
        <f t="shared" si="31"/>
        <v>0</v>
      </c>
      <c r="AJ150" s="174">
        <f t="shared" si="32"/>
        <v>210</v>
      </c>
      <c r="AK150" s="175">
        <f t="shared" si="33"/>
        <v>35</v>
      </c>
      <c r="AL150" s="175">
        <f t="shared" si="34"/>
        <v>0</v>
      </c>
      <c r="AM150" s="175">
        <f t="shared" si="35"/>
        <v>35</v>
      </c>
    </row>
    <row r="151" spans="1:39">
      <c r="A151" s="136">
        <v>144</v>
      </c>
      <c r="B151" s="136" t="s">
        <v>1926</v>
      </c>
      <c r="C151" s="158" t="s">
        <v>1910</v>
      </c>
      <c r="D151" s="136" t="s">
        <v>1927</v>
      </c>
      <c r="E151" s="160" t="s">
        <v>15</v>
      </c>
      <c r="F151" s="160">
        <v>5</v>
      </c>
      <c r="G151" s="136"/>
      <c r="H151" s="136">
        <v>6</v>
      </c>
      <c r="I151" s="136">
        <f t="shared" si="24"/>
        <v>6</v>
      </c>
      <c r="J151" s="156">
        <v>25</v>
      </c>
      <c r="K151" s="156"/>
      <c r="L151" s="156">
        <f t="shared" si="25"/>
        <v>25</v>
      </c>
      <c r="M151" s="156">
        <v>30</v>
      </c>
      <c r="N151" s="156">
        <v>30</v>
      </c>
      <c r="O151" s="156">
        <f t="shared" si="26"/>
        <v>60</v>
      </c>
      <c r="P151" s="156">
        <v>16</v>
      </c>
      <c r="Q151" s="156"/>
      <c r="R151" s="156">
        <f t="shared" si="27"/>
        <v>16</v>
      </c>
      <c r="S151" s="156"/>
      <c r="T151" s="156"/>
      <c r="U151" s="156">
        <f t="shared" si="28"/>
        <v>0</v>
      </c>
      <c r="V151" s="51">
        <v>10</v>
      </c>
      <c r="W151" s="51">
        <v>10</v>
      </c>
      <c r="X151" s="51">
        <f t="shared" si="29"/>
        <v>20</v>
      </c>
      <c r="Y151" s="51"/>
      <c r="Z151" s="51"/>
      <c r="AA151" s="51"/>
      <c r="AB151" s="51">
        <v>25</v>
      </c>
      <c r="AC151" s="51">
        <v>6</v>
      </c>
      <c r="AD151" s="51"/>
      <c r="AE151" s="51"/>
      <c r="AF151" s="51"/>
      <c r="AG151" s="51"/>
      <c r="AH151" s="174">
        <f t="shared" si="30"/>
        <v>81</v>
      </c>
      <c r="AI151" s="174">
        <f t="shared" si="31"/>
        <v>46</v>
      </c>
      <c r="AJ151" s="174">
        <f t="shared" si="32"/>
        <v>127</v>
      </c>
      <c r="AK151" s="175">
        <f t="shared" si="33"/>
        <v>13.5</v>
      </c>
      <c r="AL151" s="175">
        <f t="shared" si="34"/>
        <v>7.666666666666667</v>
      </c>
      <c r="AM151" s="175">
        <f t="shared" si="35"/>
        <v>21.166666666666668</v>
      </c>
    </row>
    <row r="152" spans="1:39">
      <c r="A152" s="136">
        <v>145</v>
      </c>
      <c r="B152" s="136" t="s">
        <v>1928</v>
      </c>
      <c r="C152" s="158" t="s">
        <v>1910</v>
      </c>
      <c r="D152" s="136" t="s">
        <v>1929</v>
      </c>
      <c r="E152" s="160" t="s">
        <v>15</v>
      </c>
      <c r="F152" s="160">
        <v>20</v>
      </c>
      <c r="G152" s="136">
        <v>120</v>
      </c>
      <c r="H152" s="136"/>
      <c r="I152" s="136">
        <f t="shared" si="24"/>
        <v>120</v>
      </c>
      <c r="J152" s="156">
        <v>90</v>
      </c>
      <c r="K152" s="156"/>
      <c r="L152" s="156">
        <f t="shared" si="25"/>
        <v>90</v>
      </c>
      <c r="M152" s="156">
        <v>90</v>
      </c>
      <c r="N152" s="156">
        <v>20</v>
      </c>
      <c r="O152" s="156">
        <f t="shared" si="26"/>
        <v>110</v>
      </c>
      <c r="P152" s="156">
        <v>100</v>
      </c>
      <c r="Q152" s="156"/>
      <c r="R152" s="156">
        <f t="shared" si="27"/>
        <v>100</v>
      </c>
      <c r="S152" s="156">
        <v>110</v>
      </c>
      <c r="T152" s="156"/>
      <c r="U152" s="156">
        <f t="shared" si="28"/>
        <v>110</v>
      </c>
      <c r="V152" s="51">
        <v>90</v>
      </c>
      <c r="W152" s="51"/>
      <c r="X152" s="51">
        <f t="shared" si="29"/>
        <v>90</v>
      </c>
      <c r="Y152" s="51"/>
      <c r="Z152" s="51"/>
      <c r="AA152" s="51"/>
      <c r="AB152" s="51">
        <v>115</v>
      </c>
      <c r="AC152" s="51">
        <v>20</v>
      </c>
      <c r="AD152" s="51"/>
      <c r="AE152" s="51"/>
      <c r="AF152" s="51"/>
      <c r="AG152" s="51"/>
      <c r="AH152" s="174">
        <f t="shared" si="30"/>
        <v>600</v>
      </c>
      <c r="AI152" s="174">
        <f t="shared" si="31"/>
        <v>20</v>
      </c>
      <c r="AJ152" s="174">
        <f t="shared" si="32"/>
        <v>620</v>
      </c>
      <c r="AK152" s="175">
        <f t="shared" si="33"/>
        <v>100</v>
      </c>
      <c r="AL152" s="175">
        <f t="shared" si="34"/>
        <v>3.3333333333333335</v>
      </c>
      <c r="AM152" s="175">
        <f t="shared" si="35"/>
        <v>103.33333333333333</v>
      </c>
    </row>
    <row r="153" spans="1:39">
      <c r="A153" s="136">
        <v>146</v>
      </c>
      <c r="B153" s="136" t="s">
        <v>1930</v>
      </c>
      <c r="C153" s="158" t="s">
        <v>1910</v>
      </c>
      <c r="D153" s="136" t="s">
        <v>1931</v>
      </c>
      <c r="E153" s="160" t="s">
        <v>15</v>
      </c>
      <c r="F153" s="160">
        <v>15</v>
      </c>
      <c r="G153" s="136">
        <v>20</v>
      </c>
      <c r="H153" s="136"/>
      <c r="I153" s="136">
        <f t="shared" si="24"/>
        <v>20</v>
      </c>
      <c r="J153" s="156">
        <v>60</v>
      </c>
      <c r="K153" s="156"/>
      <c r="L153" s="156">
        <f t="shared" si="25"/>
        <v>60</v>
      </c>
      <c r="M153" s="156">
        <v>60</v>
      </c>
      <c r="N153" s="156"/>
      <c r="O153" s="156">
        <f t="shared" si="26"/>
        <v>60</v>
      </c>
      <c r="P153" s="156">
        <v>60</v>
      </c>
      <c r="Q153" s="156"/>
      <c r="R153" s="156">
        <f t="shared" si="27"/>
        <v>60</v>
      </c>
      <c r="S153" s="156">
        <v>92</v>
      </c>
      <c r="T153" s="156"/>
      <c r="U153" s="156">
        <f t="shared" si="28"/>
        <v>92</v>
      </c>
      <c r="V153" s="51">
        <v>60</v>
      </c>
      <c r="W153" s="51"/>
      <c r="X153" s="51">
        <f t="shared" si="29"/>
        <v>60</v>
      </c>
      <c r="Y153" s="51"/>
      <c r="Z153" s="51"/>
      <c r="AA153" s="51"/>
      <c r="AB153" s="51">
        <v>9</v>
      </c>
      <c r="AC153" s="51">
        <v>60</v>
      </c>
      <c r="AD153" s="51"/>
      <c r="AE153" s="51"/>
      <c r="AF153" s="51"/>
      <c r="AG153" s="51"/>
      <c r="AH153" s="174">
        <f t="shared" si="30"/>
        <v>352</v>
      </c>
      <c r="AI153" s="174">
        <f t="shared" si="31"/>
        <v>0</v>
      </c>
      <c r="AJ153" s="174">
        <f t="shared" si="32"/>
        <v>352</v>
      </c>
      <c r="AK153" s="175">
        <f t="shared" si="33"/>
        <v>58.666666666666664</v>
      </c>
      <c r="AL153" s="175">
        <f t="shared" si="34"/>
        <v>0</v>
      </c>
      <c r="AM153" s="175">
        <f t="shared" si="35"/>
        <v>58.666666666666664</v>
      </c>
    </row>
    <row r="154" spans="1:39">
      <c r="A154" s="136">
        <v>147</v>
      </c>
      <c r="B154" s="136" t="s">
        <v>1776</v>
      </c>
      <c r="C154" s="158" t="s">
        <v>1910</v>
      </c>
      <c r="D154" s="136" t="s">
        <v>1932</v>
      </c>
      <c r="E154" s="160" t="s">
        <v>15</v>
      </c>
      <c r="F154" s="160">
        <v>90</v>
      </c>
      <c r="G154" s="136">
        <v>72</v>
      </c>
      <c r="H154" s="136"/>
      <c r="I154" s="136">
        <f t="shared" si="24"/>
        <v>72</v>
      </c>
      <c r="J154" s="156">
        <v>50</v>
      </c>
      <c r="K154" s="156"/>
      <c r="L154" s="156">
        <f t="shared" si="25"/>
        <v>50</v>
      </c>
      <c r="M154" s="156"/>
      <c r="N154" s="156">
        <v>30</v>
      </c>
      <c r="O154" s="156">
        <f t="shared" si="26"/>
        <v>30</v>
      </c>
      <c r="P154" s="156">
        <v>64</v>
      </c>
      <c r="Q154" s="156"/>
      <c r="R154" s="156">
        <f t="shared" si="27"/>
        <v>64</v>
      </c>
      <c r="S154" s="156">
        <v>50</v>
      </c>
      <c r="T154" s="156">
        <v>12</v>
      </c>
      <c r="U154" s="156">
        <f t="shared" si="28"/>
        <v>62</v>
      </c>
      <c r="V154" s="51">
        <v>50</v>
      </c>
      <c r="W154" s="51"/>
      <c r="X154" s="51">
        <f t="shared" si="29"/>
        <v>50</v>
      </c>
      <c r="Y154" s="51"/>
      <c r="Z154" s="51"/>
      <c r="AA154" s="51"/>
      <c r="AB154" s="51">
        <v>15</v>
      </c>
      <c r="AC154" s="51">
        <v>36</v>
      </c>
      <c r="AD154" s="51"/>
      <c r="AE154" s="51"/>
      <c r="AF154" s="51"/>
      <c r="AG154" s="51"/>
      <c r="AH154" s="174">
        <f t="shared" si="30"/>
        <v>286</v>
      </c>
      <c r="AI154" s="174">
        <f t="shared" si="31"/>
        <v>42</v>
      </c>
      <c r="AJ154" s="174">
        <f t="shared" si="32"/>
        <v>328</v>
      </c>
      <c r="AK154" s="175">
        <f t="shared" si="33"/>
        <v>47.666666666666664</v>
      </c>
      <c r="AL154" s="175">
        <f t="shared" si="34"/>
        <v>7</v>
      </c>
      <c r="AM154" s="175">
        <f t="shared" si="35"/>
        <v>54.666666666666664</v>
      </c>
    </row>
    <row r="155" spans="1:39">
      <c r="A155" s="136">
        <v>148</v>
      </c>
      <c r="B155" s="136" t="s">
        <v>1933</v>
      </c>
      <c r="C155" s="158" t="s">
        <v>1910</v>
      </c>
      <c r="D155" s="136" t="s">
        <v>1934</v>
      </c>
      <c r="E155" s="160" t="s">
        <v>15</v>
      </c>
      <c r="F155" s="160">
        <v>3</v>
      </c>
      <c r="G155" s="136"/>
      <c r="H155" s="136"/>
      <c r="I155" s="136">
        <f t="shared" si="24"/>
        <v>0</v>
      </c>
      <c r="J155" s="156">
        <v>65</v>
      </c>
      <c r="K155" s="156"/>
      <c r="L155" s="156">
        <f t="shared" si="25"/>
        <v>65</v>
      </c>
      <c r="M155" s="156"/>
      <c r="N155" s="156"/>
      <c r="O155" s="156">
        <f t="shared" si="26"/>
        <v>0</v>
      </c>
      <c r="P155" s="156"/>
      <c r="Q155" s="156"/>
      <c r="R155" s="156">
        <f t="shared" si="27"/>
        <v>0</v>
      </c>
      <c r="S155" s="156">
        <v>35</v>
      </c>
      <c r="T155" s="156"/>
      <c r="U155" s="156">
        <f t="shared" si="28"/>
        <v>35</v>
      </c>
      <c r="V155" s="51"/>
      <c r="W155" s="51"/>
      <c r="X155" s="51">
        <f t="shared" si="29"/>
        <v>0</v>
      </c>
      <c r="Y155" s="51"/>
      <c r="Z155" s="51"/>
      <c r="AA155" s="51"/>
      <c r="AB155" s="51">
        <v>9</v>
      </c>
      <c r="AC155" s="51">
        <v>10</v>
      </c>
      <c r="AD155" s="51"/>
      <c r="AE155" s="51"/>
      <c r="AF155" s="51"/>
      <c r="AG155" s="51"/>
      <c r="AH155" s="174">
        <f t="shared" si="30"/>
        <v>100</v>
      </c>
      <c r="AI155" s="174">
        <f t="shared" si="31"/>
        <v>0</v>
      </c>
      <c r="AJ155" s="174">
        <f t="shared" si="32"/>
        <v>100</v>
      </c>
      <c r="AK155" s="175">
        <f t="shared" si="33"/>
        <v>16.666666666666668</v>
      </c>
      <c r="AL155" s="175">
        <f t="shared" si="34"/>
        <v>0</v>
      </c>
      <c r="AM155" s="175">
        <f t="shared" si="35"/>
        <v>16.666666666666668</v>
      </c>
    </row>
    <row r="156" spans="1:39">
      <c r="A156" s="136">
        <v>149</v>
      </c>
      <c r="B156" s="136" t="s">
        <v>1935</v>
      </c>
      <c r="C156" s="158" t="s">
        <v>1910</v>
      </c>
      <c r="D156" s="136" t="s">
        <v>1936</v>
      </c>
      <c r="E156" s="160" t="s">
        <v>15</v>
      </c>
      <c r="F156" s="160">
        <v>10</v>
      </c>
      <c r="G156" s="136">
        <v>54</v>
      </c>
      <c r="H156" s="136"/>
      <c r="I156" s="136">
        <f t="shared" si="24"/>
        <v>54</v>
      </c>
      <c r="J156" s="156">
        <v>15</v>
      </c>
      <c r="K156" s="156"/>
      <c r="L156" s="156">
        <f t="shared" si="25"/>
        <v>15</v>
      </c>
      <c r="M156" s="156"/>
      <c r="N156" s="156">
        <v>10</v>
      </c>
      <c r="O156" s="156">
        <f t="shared" si="26"/>
        <v>10</v>
      </c>
      <c r="P156" s="156">
        <v>10</v>
      </c>
      <c r="Q156" s="156"/>
      <c r="R156" s="156">
        <f t="shared" si="27"/>
        <v>10</v>
      </c>
      <c r="S156" s="156">
        <v>5</v>
      </c>
      <c r="T156" s="156"/>
      <c r="U156" s="156">
        <f t="shared" si="28"/>
        <v>5</v>
      </c>
      <c r="V156" s="51"/>
      <c r="W156" s="51">
        <v>26</v>
      </c>
      <c r="X156" s="51">
        <f t="shared" si="29"/>
        <v>26</v>
      </c>
      <c r="Y156" s="51"/>
      <c r="Z156" s="51"/>
      <c r="AA156" s="51"/>
      <c r="AB156" s="51">
        <v>30</v>
      </c>
      <c r="AC156" s="51"/>
      <c r="AD156" s="51"/>
      <c r="AE156" s="51"/>
      <c r="AF156" s="51"/>
      <c r="AG156" s="51"/>
      <c r="AH156" s="174">
        <f t="shared" si="30"/>
        <v>84</v>
      </c>
      <c r="AI156" s="174">
        <f t="shared" si="31"/>
        <v>36</v>
      </c>
      <c r="AJ156" s="174">
        <f t="shared" si="32"/>
        <v>120</v>
      </c>
      <c r="AK156" s="175">
        <f t="shared" si="33"/>
        <v>14</v>
      </c>
      <c r="AL156" s="175">
        <f t="shared" si="34"/>
        <v>6</v>
      </c>
      <c r="AM156" s="175">
        <f t="shared" si="35"/>
        <v>20</v>
      </c>
    </row>
    <row r="157" spans="1:39">
      <c r="A157" s="136">
        <v>150</v>
      </c>
      <c r="B157" s="136" t="s">
        <v>1937</v>
      </c>
      <c r="C157" s="158" t="s">
        <v>1910</v>
      </c>
      <c r="D157" s="136" t="s">
        <v>1938</v>
      </c>
      <c r="E157" s="160" t="s">
        <v>15</v>
      </c>
      <c r="F157" s="160">
        <v>8</v>
      </c>
      <c r="G157" s="136">
        <v>124</v>
      </c>
      <c r="H157" s="136"/>
      <c r="I157" s="136">
        <f t="shared" si="24"/>
        <v>124</v>
      </c>
      <c r="J157" s="156">
        <v>25</v>
      </c>
      <c r="K157" s="156"/>
      <c r="L157" s="156">
        <f t="shared" si="25"/>
        <v>25</v>
      </c>
      <c r="M157" s="156"/>
      <c r="N157" s="156"/>
      <c r="O157" s="156">
        <f t="shared" si="26"/>
        <v>0</v>
      </c>
      <c r="P157" s="156">
        <v>25</v>
      </c>
      <c r="Q157" s="156"/>
      <c r="R157" s="156">
        <f t="shared" si="27"/>
        <v>25</v>
      </c>
      <c r="S157" s="156"/>
      <c r="T157" s="156"/>
      <c r="U157" s="156">
        <f t="shared" si="28"/>
        <v>0</v>
      </c>
      <c r="V157" s="51">
        <v>60</v>
      </c>
      <c r="W157" s="51"/>
      <c r="X157" s="51">
        <f t="shared" si="29"/>
        <v>60</v>
      </c>
      <c r="Y157" s="51"/>
      <c r="Z157" s="51"/>
      <c r="AA157" s="51"/>
      <c r="AB157" s="51">
        <v>30</v>
      </c>
      <c r="AC157" s="51">
        <v>20</v>
      </c>
      <c r="AD157" s="51"/>
      <c r="AE157" s="51"/>
      <c r="AF157" s="51"/>
      <c r="AG157" s="51"/>
      <c r="AH157" s="174">
        <f t="shared" si="30"/>
        <v>234</v>
      </c>
      <c r="AI157" s="174">
        <f t="shared" si="31"/>
        <v>0</v>
      </c>
      <c r="AJ157" s="174">
        <f t="shared" si="32"/>
        <v>234</v>
      </c>
      <c r="AK157" s="175">
        <f t="shared" si="33"/>
        <v>39</v>
      </c>
      <c r="AL157" s="175">
        <f t="shared" si="34"/>
        <v>0</v>
      </c>
      <c r="AM157" s="175">
        <f t="shared" si="35"/>
        <v>39</v>
      </c>
    </row>
    <row r="158" spans="1:39">
      <c r="A158" s="136">
        <v>151</v>
      </c>
      <c r="B158" s="136" t="s">
        <v>1939</v>
      </c>
      <c r="C158" s="158" t="s">
        <v>1910</v>
      </c>
      <c r="D158" s="136" t="s">
        <v>1940</v>
      </c>
      <c r="E158" s="160" t="s">
        <v>15</v>
      </c>
      <c r="F158" s="160">
        <v>10</v>
      </c>
      <c r="G158" s="136">
        <v>86</v>
      </c>
      <c r="H158" s="136"/>
      <c r="I158" s="136">
        <f t="shared" si="24"/>
        <v>86</v>
      </c>
      <c r="J158" s="156">
        <v>25</v>
      </c>
      <c r="K158" s="156"/>
      <c r="L158" s="156">
        <f t="shared" si="25"/>
        <v>25</v>
      </c>
      <c r="M158" s="156"/>
      <c r="N158" s="156">
        <v>30</v>
      </c>
      <c r="O158" s="156">
        <f t="shared" si="26"/>
        <v>30</v>
      </c>
      <c r="P158" s="156">
        <v>25</v>
      </c>
      <c r="Q158" s="156"/>
      <c r="R158" s="156">
        <f t="shared" si="27"/>
        <v>25</v>
      </c>
      <c r="S158" s="156">
        <v>25</v>
      </c>
      <c r="T158" s="156"/>
      <c r="U158" s="156">
        <f t="shared" si="28"/>
        <v>25</v>
      </c>
      <c r="V158" s="51"/>
      <c r="W158" s="51"/>
      <c r="X158" s="51">
        <f t="shared" si="29"/>
        <v>0</v>
      </c>
      <c r="Y158" s="51"/>
      <c r="Z158" s="51"/>
      <c r="AA158" s="51"/>
      <c r="AB158" s="51">
        <v>25</v>
      </c>
      <c r="AC158" s="51"/>
      <c r="AD158" s="51"/>
      <c r="AE158" s="51"/>
      <c r="AF158" s="51"/>
      <c r="AG158" s="51"/>
      <c r="AH158" s="174">
        <f t="shared" si="30"/>
        <v>161</v>
      </c>
      <c r="AI158" s="174">
        <f t="shared" si="31"/>
        <v>30</v>
      </c>
      <c r="AJ158" s="174">
        <f t="shared" si="32"/>
        <v>191</v>
      </c>
      <c r="AK158" s="175">
        <f t="shared" si="33"/>
        <v>26.833333333333332</v>
      </c>
      <c r="AL158" s="175">
        <f t="shared" si="34"/>
        <v>5</v>
      </c>
      <c r="AM158" s="175">
        <f t="shared" si="35"/>
        <v>31.833333333333332</v>
      </c>
    </row>
    <row r="159" spans="1:39">
      <c r="A159" s="136">
        <v>152</v>
      </c>
      <c r="B159" s="136" t="s">
        <v>1941</v>
      </c>
      <c r="C159" s="158" t="s">
        <v>1910</v>
      </c>
      <c r="D159" s="136" t="s">
        <v>1942</v>
      </c>
      <c r="E159" s="160" t="s">
        <v>15</v>
      </c>
      <c r="F159" s="160">
        <v>3</v>
      </c>
      <c r="G159" s="136"/>
      <c r="H159" s="136"/>
      <c r="I159" s="136">
        <f t="shared" si="24"/>
        <v>0</v>
      </c>
      <c r="J159" s="156">
        <v>50</v>
      </c>
      <c r="K159" s="156"/>
      <c r="L159" s="156">
        <f t="shared" si="25"/>
        <v>50</v>
      </c>
      <c r="M159" s="156">
        <v>80</v>
      </c>
      <c r="N159" s="156"/>
      <c r="O159" s="156">
        <f t="shared" si="26"/>
        <v>80</v>
      </c>
      <c r="P159" s="156">
        <v>80</v>
      </c>
      <c r="Q159" s="156">
        <v>20</v>
      </c>
      <c r="R159" s="156">
        <f t="shared" si="27"/>
        <v>100</v>
      </c>
      <c r="S159" s="156">
        <v>85</v>
      </c>
      <c r="T159" s="156"/>
      <c r="U159" s="156">
        <f t="shared" si="28"/>
        <v>85</v>
      </c>
      <c r="V159" s="51">
        <v>100</v>
      </c>
      <c r="W159" s="51">
        <v>20</v>
      </c>
      <c r="X159" s="51">
        <f t="shared" si="29"/>
        <v>120</v>
      </c>
      <c r="Y159" s="51"/>
      <c r="Z159" s="51"/>
      <c r="AA159" s="51"/>
      <c r="AB159" s="51">
        <v>3</v>
      </c>
      <c r="AC159" s="51">
        <v>20</v>
      </c>
      <c r="AD159" s="51"/>
      <c r="AE159" s="51"/>
      <c r="AF159" s="51"/>
      <c r="AG159" s="51"/>
      <c r="AH159" s="174">
        <f t="shared" si="30"/>
        <v>395</v>
      </c>
      <c r="AI159" s="174">
        <f t="shared" si="31"/>
        <v>40</v>
      </c>
      <c r="AJ159" s="174">
        <f t="shared" si="32"/>
        <v>435</v>
      </c>
      <c r="AK159" s="175">
        <f t="shared" si="33"/>
        <v>65.833333333333329</v>
      </c>
      <c r="AL159" s="175">
        <f t="shared" si="34"/>
        <v>6.666666666666667</v>
      </c>
      <c r="AM159" s="175">
        <f t="shared" si="35"/>
        <v>72.5</v>
      </c>
    </row>
    <row r="160" spans="1:39">
      <c r="A160" s="136">
        <v>153</v>
      </c>
      <c r="B160" s="136" t="s">
        <v>1943</v>
      </c>
      <c r="C160" s="158" t="s">
        <v>1910</v>
      </c>
      <c r="D160" s="136" t="s">
        <v>1944</v>
      </c>
      <c r="E160" s="160" t="s">
        <v>15</v>
      </c>
      <c r="F160" s="160">
        <v>6</v>
      </c>
      <c r="G160" s="136">
        <v>86</v>
      </c>
      <c r="H160" s="136"/>
      <c r="I160" s="136">
        <f t="shared" si="24"/>
        <v>86</v>
      </c>
      <c r="J160" s="156">
        <v>10</v>
      </c>
      <c r="K160" s="156"/>
      <c r="L160" s="156">
        <f t="shared" si="25"/>
        <v>10</v>
      </c>
      <c r="M160" s="156"/>
      <c r="N160" s="156"/>
      <c r="O160" s="156">
        <f t="shared" si="26"/>
        <v>0</v>
      </c>
      <c r="P160" s="156">
        <v>60</v>
      </c>
      <c r="Q160" s="156">
        <v>20</v>
      </c>
      <c r="R160" s="156">
        <f t="shared" si="27"/>
        <v>80</v>
      </c>
      <c r="S160" s="156">
        <v>25</v>
      </c>
      <c r="T160" s="156"/>
      <c r="U160" s="156">
        <f t="shared" si="28"/>
        <v>25</v>
      </c>
      <c r="V160" s="51">
        <v>5</v>
      </c>
      <c r="W160" s="51"/>
      <c r="X160" s="51">
        <f t="shared" si="29"/>
        <v>5</v>
      </c>
      <c r="Y160" s="51"/>
      <c r="Z160" s="51"/>
      <c r="AA160" s="51"/>
      <c r="AB160" s="51">
        <v>100</v>
      </c>
      <c r="AC160" s="51">
        <v>30</v>
      </c>
      <c r="AD160" s="51"/>
      <c r="AE160" s="51"/>
      <c r="AF160" s="51"/>
      <c r="AG160" s="51"/>
      <c r="AH160" s="174">
        <f t="shared" si="30"/>
        <v>186</v>
      </c>
      <c r="AI160" s="174">
        <f t="shared" si="31"/>
        <v>20</v>
      </c>
      <c r="AJ160" s="174">
        <f t="shared" si="32"/>
        <v>206</v>
      </c>
      <c r="AK160" s="175">
        <f t="shared" si="33"/>
        <v>31</v>
      </c>
      <c r="AL160" s="175">
        <f t="shared" si="34"/>
        <v>3.3333333333333335</v>
      </c>
      <c r="AM160" s="175">
        <f t="shared" si="35"/>
        <v>34.333333333333336</v>
      </c>
    </row>
    <row r="161" spans="1:39">
      <c r="A161" s="136">
        <v>154</v>
      </c>
      <c r="B161" s="136" t="s">
        <v>1945</v>
      </c>
      <c r="C161" s="158" t="s">
        <v>1910</v>
      </c>
      <c r="D161" s="136" t="s">
        <v>1946</v>
      </c>
      <c r="E161" s="160" t="s">
        <v>15</v>
      </c>
      <c r="F161" s="160">
        <v>10</v>
      </c>
      <c r="G161" s="136">
        <v>40</v>
      </c>
      <c r="H161" s="136"/>
      <c r="I161" s="136">
        <f t="shared" si="24"/>
        <v>40</v>
      </c>
      <c r="J161" s="156">
        <v>35</v>
      </c>
      <c r="K161" s="156"/>
      <c r="L161" s="156">
        <f t="shared" si="25"/>
        <v>35</v>
      </c>
      <c r="M161" s="156"/>
      <c r="N161" s="156"/>
      <c r="O161" s="156">
        <f t="shared" si="26"/>
        <v>0</v>
      </c>
      <c r="P161" s="156">
        <v>9</v>
      </c>
      <c r="Q161" s="156"/>
      <c r="R161" s="156">
        <f t="shared" si="27"/>
        <v>9</v>
      </c>
      <c r="S161" s="156">
        <v>60</v>
      </c>
      <c r="T161" s="156"/>
      <c r="U161" s="156">
        <f t="shared" si="28"/>
        <v>60</v>
      </c>
      <c r="V161" s="51">
        <v>50</v>
      </c>
      <c r="W161" s="51"/>
      <c r="X161" s="51">
        <f t="shared" si="29"/>
        <v>50</v>
      </c>
      <c r="Y161" s="51"/>
      <c r="Z161" s="51"/>
      <c r="AA161" s="51"/>
      <c r="AB161" s="51">
        <v>20</v>
      </c>
      <c r="AC161" s="51"/>
      <c r="AD161" s="51"/>
      <c r="AE161" s="51"/>
      <c r="AF161" s="51"/>
      <c r="AG161" s="51"/>
      <c r="AH161" s="174">
        <f t="shared" si="30"/>
        <v>194</v>
      </c>
      <c r="AI161" s="174">
        <f t="shared" si="31"/>
        <v>0</v>
      </c>
      <c r="AJ161" s="174">
        <f t="shared" si="32"/>
        <v>194</v>
      </c>
      <c r="AK161" s="175">
        <f t="shared" si="33"/>
        <v>32.333333333333336</v>
      </c>
      <c r="AL161" s="175">
        <f t="shared" si="34"/>
        <v>0</v>
      </c>
      <c r="AM161" s="175">
        <f t="shared" si="35"/>
        <v>32.333333333333336</v>
      </c>
    </row>
    <row r="162" spans="1:39">
      <c r="A162" s="136">
        <v>155</v>
      </c>
      <c r="B162" s="136" t="s">
        <v>1947</v>
      </c>
      <c r="C162" s="158" t="s">
        <v>1910</v>
      </c>
      <c r="D162" s="136" t="s">
        <v>1948</v>
      </c>
      <c r="E162" s="160" t="s">
        <v>15</v>
      </c>
      <c r="F162" s="160">
        <v>15</v>
      </c>
      <c r="G162" s="136"/>
      <c r="H162" s="136"/>
      <c r="I162" s="136">
        <f t="shared" si="24"/>
        <v>0</v>
      </c>
      <c r="J162" s="156">
        <v>25</v>
      </c>
      <c r="K162" s="156"/>
      <c r="L162" s="156">
        <f t="shared" si="25"/>
        <v>25</v>
      </c>
      <c r="M162" s="156"/>
      <c r="N162" s="156"/>
      <c r="O162" s="156">
        <f t="shared" si="26"/>
        <v>0</v>
      </c>
      <c r="P162" s="156">
        <v>30</v>
      </c>
      <c r="Q162" s="156"/>
      <c r="R162" s="156">
        <f t="shared" si="27"/>
        <v>30</v>
      </c>
      <c r="S162" s="156">
        <v>25</v>
      </c>
      <c r="T162" s="156"/>
      <c r="U162" s="156">
        <f t="shared" si="28"/>
        <v>25</v>
      </c>
      <c r="V162" s="51"/>
      <c r="W162" s="51"/>
      <c r="X162" s="51">
        <f t="shared" si="29"/>
        <v>0</v>
      </c>
      <c r="Y162" s="51"/>
      <c r="Z162" s="51"/>
      <c r="AA162" s="51"/>
      <c r="AB162" s="51">
        <v>10</v>
      </c>
      <c r="AC162" s="51">
        <v>10</v>
      </c>
      <c r="AD162" s="51"/>
      <c r="AE162" s="51"/>
      <c r="AF162" s="51"/>
      <c r="AG162" s="51"/>
      <c r="AH162" s="174">
        <f t="shared" si="30"/>
        <v>80</v>
      </c>
      <c r="AI162" s="174">
        <f t="shared" si="31"/>
        <v>0</v>
      </c>
      <c r="AJ162" s="174">
        <f t="shared" si="32"/>
        <v>80</v>
      </c>
      <c r="AK162" s="175">
        <f t="shared" si="33"/>
        <v>13.333333333333334</v>
      </c>
      <c r="AL162" s="175">
        <f t="shared" si="34"/>
        <v>0</v>
      </c>
      <c r="AM162" s="175">
        <f t="shared" si="35"/>
        <v>13.333333333333334</v>
      </c>
    </row>
    <row r="163" spans="1:39">
      <c r="A163" s="136">
        <v>156</v>
      </c>
      <c r="B163" s="136" t="s">
        <v>1949</v>
      </c>
      <c r="C163" s="158" t="s">
        <v>1910</v>
      </c>
      <c r="D163" s="136" t="s">
        <v>1950</v>
      </c>
      <c r="E163" s="160" t="s">
        <v>15</v>
      </c>
      <c r="F163" s="160">
        <v>10</v>
      </c>
      <c r="G163" s="136">
        <v>20</v>
      </c>
      <c r="H163" s="136"/>
      <c r="I163" s="136">
        <f t="shared" si="24"/>
        <v>20</v>
      </c>
      <c r="J163" s="156">
        <v>60</v>
      </c>
      <c r="K163" s="156"/>
      <c r="L163" s="156">
        <f t="shared" si="25"/>
        <v>60</v>
      </c>
      <c r="M163" s="156"/>
      <c r="N163" s="156"/>
      <c r="O163" s="156">
        <f t="shared" si="26"/>
        <v>0</v>
      </c>
      <c r="P163" s="156">
        <v>78</v>
      </c>
      <c r="Q163" s="156"/>
      <c r="R163" s="156">
        <f t="shared" si="27"/>
        <v>78</v>
      </c>
      <c r="S163" s="156"/>
      <c r="T163" s="156"/>
      <c r="U163" s="156">
        <f t="shared" si="28"/>
        <v>0</v>
      </c>
      <c r="V163" s="51"/>
      <c r="W163" s="51"/>
      <c r="X163" s="51">
        <f t="shared" si="29"/>
        <v>0</v>
      </c>
      <c r="Y163" s="51"/>
      <c r="Z163" s="51"/>
      <c r="AA163" s="51"/>
      <c r="AB163" s="51">
        <v>50</v>
      </c>
      <c r="AC163" s="51"/>
      <c r="AD163" s="51"/>
      <c r="AE163" s="51"/>
      <c r="AF163" s="51"/>
      <c r="AG163" s="51"/>
      <c r="AH163" s="174">
        <f t="shared" si="30"/>
        <v>158</v>
      </c>
      <c r="AI163" s="174">
        <f t="shared" si="31"/>
        <v>0</v>
      </c>
      <c r="AJ163" s="174">
        <f t="shared" si="32"/>
        <v>158</v>
      </c>
      <c r="AK163" s="175">
        <f t="shared" si="33"/>
        <v>26.333333333333332</v>
      </c>
      <c r="AL163" s="175">
        <f t="shared" si="34"/>
        <v>0</v>
      </c>
      <c r="AM163" s="175">
        <f t="shared" si="35"/>
        <v>26.333333333333332</v>
      </c>
    </row>
    <row r="164" spans="1:39">
      <c r="A164" s="136">
        <v>157</v>
      </c>
      <c r="B164" s="158" t="s">
        <v>1951</v>
      </c>
      <c r="C164" s="158" t="s">
        <v>1910</v>
      </c>
      <c r="D164" s="136" t="s">
        <v>1952</v>
      </c>
      <c r="E164" s="160" t="s">
        <v>15</v>
      </c>
      <c r="F164" s="160">
        <v>30</v>
      </c>
      <c r="G164" s="136">
        <v>156</v>
      </c>
      <c r="H164" s="136"/>
      <c r="I164" s="136">
        <f t="shared" si="24"/>
        <v>156</v>
      </c>
      <c r="J164" s="156">
        <v>150</v>
      </c>
      <c r="K164" s="156"/>
      <c r="L164" s="156">
        <f t="shared" si="25"/>
        <v>150</v>
      </c>
      <c r="M164" s="156">
        <v>150</v>
      </c>
      <c r="N164" s="156">
        <v>18</v>
      </c>
      <c r="O164" s="156">
        <f t="shared" si="26"/>
        <v>168</v>
      </c>
      <c r="P164" s="156">
        <v>125</v>
      </c>
      <c r="Q164" s="156">
        <v>16</v>
      </c>
      <c r="R164" s="156">
        <f t="shared" si="27"/>
        <v>141</v>
      </c>
      <c r="S164" s="156">
        <v>160</v>
      </c>
      <c r="T164" s="156"/>
      <c r="U164" s="156">
        <f t="shared" si="28"/>
        <v>160</v>
      </c>
      <c r="V164" s="51">
        <v>150</v>
      </c>
      <c r="W164" s="51"/>
      <c r="X164" s="51">
        <f t="shared" si="29"/>
        <v>150</v>
      </c>
      <c r="Y164" s="51"/>
      <c r="Z164" s="51"/>
      <c r="AA164" s="51"/>
      <c r="AB164" s="51">
        <v>250</v>
      </c>
      <c r="AC164" s="51">
        <v>60</v>
      </c>
      <c r="AD164" s="51"/>
      <c r="AE164" s="51"/>
      <c r="AF164" s="51"/>
      <c r="AG164" s="51"/>
      <c r="AH164" s="174">
        <f t="shared" si="30"/>
        <v>891</v>
      </c>
      <c r="AI164" s="174">
        <f t="shared" si="31"/>
        <v>34</v>
      </c>
      <c r="AJ164" s="174">
        <f t="shared" si="32"/>
        <v>925</v>
      </c>
      <c r="AK164" s="175">
        <f t="shared" si="33"/>
        <v>148.5</v>
      </c>
      <c r="AL164" s="175">
        <f t="shared" si="34"/>
        <v>5.666666666666667</v>
      </c>
      <c r="AM164" s="175">
        <f t="shared" si="35"/>
        <v>154.16666666666666</v>
      </c>
    </row>
    <row r="165" spans="1:39">
      <c r="A165" s="136">
        <v>158</v>
      </c>
      <c r="B165" s="158" t="s">
        <v>1953</v>
      </c>
      <c r="C165" s="158" t="s">
        <v>1910</v>
      </c>
      <c r="D165" s="136" t="s">
        <v>1954</v>
      </c>
      <c r="E165" s="160" t="s">
        <v>15</v>
      </c>
      <c r="F165" s="160">
        <v>10</v>
      </c>
      <c r="G165" s="136"/>
      <c r="H165" s="136"/>
      <c r="I165" s="136">
        <f t="shared" si="24"/>
        <v>0</v>
      </c>
      <c r="J165" s="156"/>
      <c r="K165" s="156"/>
      <c r="L165" s="156">
        <f t="shared" si="25"/>
        <v>0</v>
      </c>
      <c r="M165" s="156"/>
      <c r="N165" s="156"/>
      <c r="O165" s="156">
        <f t="shared" si="26"/>
        <v>0</v>
      </c>
      <c r="P165" s="156"/>
      <c r="Q165" s="156"/>
      <c r="R165" s="156">
        <f t="shared" si="27"/>
        <v>0</v>
      </c>
      <c r="S165" s="156"/>
      <c r="T165" s="156"/>
      <c r="U165" s="156">
        <f t="shared" si="28"/>
        <v>0</v>
      </c>
      <c r="V165" s="51"/>
      <c r="W165" s="51"/>
      <c r="X165" s="51">
        <f t="shared" si="29"/>
        <v>0</v>
      </c>
      <c r="Y165" s="51"/>
      <c r="Z165" s="51"/>
      <c r="AA165" s="51"/>
      <c r="AB165" s="51"/>
      <c r="AC165" s="51"/>
      <c r="AD165" s="51"/>
      <c r="AE165" s="51"/>
      <c r="AF165" s="51"/>
      <c r="AG165" s="51"/>
      <c r="AH165" s="174">
        <f t="shared" si="30"/>
        <v>0</v>
      </c>
      <c r="AI165" s="174">
        <f t="shared" si="31"/>
        <v>0</v>
      </c>
      <c r="AJ165" s="174">
        <f t="shared" si="32"/>
        <v>0</v>
      </c>
      <c r="AK165" s="175">
        <f t="shared" si="33"/>
        <v>0</v>
      </c>
      <c r="AL165" s="175">
        <f t="shared" si="34"/>
        <v>0</v>
      </c>
      <c r="AM165" s="175">
        <f t="shared" si="35"/>
        <v>0</v>
      </c>
    </row>
    <row r="166" spans="1:39">
      <c r="A166" s="136">
        <v>159</v>
      </c>
      <c r="B166" s="158" t="s">
        <v>1955</v>
      </c>
      <c r="C166" s="158" t="s">
        <v>1910</v>
      </c>
      <c r="D166" s="136" t="s">
        <v>1956</v>
      </c>
      <c r="E166" s="160" t="s">
        <v>15</v>
      </c>
      <c r="F166" s="160">
        <v>15</v>
      </c>
      <c r="G166" s="136"/>
      <c r="H166" s="136"/>
      <c r="I166" s="136">
        <f t="shared" si="24"/>
        <v>0</v>
      </c>
      <c r="J166" s="156">
        <v>25</v>
      </c>
      <c r="K166" s="156"/>
      <c r="L166" s="156">
        <f t="shared" si="25"/>
        <v>25</v>
      </c>
      <c r="M166" s="156"/>
      <c r="N166" s="156"/>
      <c r="O166" s="156">
        <f t="shared" si="26"/>
        <v>0</v>
      </c>
      <c r="P166" s="156"/>
      <c r="Q166" s="156"/>
      <c r="R166" s="156">
        <f t="shared" si="27"/>
        <v>0</v>
      </c>
      <c r="S166" s="156"/>
      <c r="T166" s="156"/>
      <c r="U166" s="156">
        <f t="shared" si="28"/>
        <v>0</v>
      </c>
      <c r="V166" s="51"/>
      <c r="W166" s="51"/>
      <c r="X166" s="51">
        <f t="shared" si="29"/>
        <v>0</v>
      </c>
      <c r="Y166" s="51"/>
      <c r="Z166" s="51"/>
      <c r="AA166" s="51"/>
      <c r="AB166" s="51">
        <v>20</v>
      </c>
      <c r="AC166" s="51"/>
      <c r="AD166" s="51"/>
      <c r="AE166" s="51"/>
      <c r="AF166" s="51"/>
      <c r="AG166" s="51"/>
      <c r="AH166" s="174">
        <f t="shared" si="30"/>
        <v>25</v>
      </c>
      <c r="AI166" s="174">
        <f t="shared" si="31"/>
        <v>0</v>
      </c>
      <c r="AJ166" s="174">
        <f t="shared" si="32"/>
        <v>25</v>
      </c>
      <c r="AK166" s="175">
        <f t="shared" si="33"/>
        <v>4.166666666666667</v>
      </c>
      <c r="AL166" s="175">
        <f t="shared" si="34"/>
        <v>0</v>
      </c>
      <c r="AM166" s="175">
        <f t="shared" si="35"/>
        <v>4.166666666666667</v>
      </c>
    </row>
    <row r="167" spans="1:39">
      <c r="A167" s="136">
        <v>160</v>
      </c>
      <c r="B167" s="155" t="s">
        <v>1961</v>
      </c>
      <c r="C167" s="136"/>
      <c r="D167" s="136" t="s">
        <v>1957</v>
      </c>
      <c r="E167" s="160"/>
      <c r="F167" s="160"/>
      <c r="G167" s="136"/>
      <c r="H167" s="136"/>
      <c r="I167" s="13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51">
        <f>9600+76</f>
        <v>9676</v>
      </c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174">
        <f t="shared" si="30"/>
        <v>9676</v>
      </c>
      <c r="AI167" s="174">
        <f t="shared" si="31"/>
        <v>0</v>
      </c>
      <c r="AJ167" s="174">
        <f t="shared" si="32"/>
        <v>0</v>
      </c>
      <c r="AK167" s="175">
        <f t="shared" si="33"/>
        <v>1612.6666666666667</v>
      </c>
      <c r="AL167" s="175">
        <f t="shared" si="34"/>
        <v>0</v>
      </c>
      <c r="AM167" s="175">
        <f t="shared" si="35"/>
        <v>0</v>
      </c>
    </row>
    <row r="168" spans="1:39">
      <c r="A168" s="136">
        <v>161</v>
      </c>
      <c r="B168" s="136"/>
      <c r="C168" s="136"/>
      <c r="D168" s="136" t="s">
        <v>1958</v>
      </c>
      <c r="E168" s="136"/>
      <c r="F168" s="160"/>
      <c r="G168" s="136"/>
      <c r="H168" s="136"/>
      <c r="I168" s="13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174">
        <f t="shared" si="30"/>
        <v>0</v>
      </c>
      <c r="AI168" s="174">
        <f t="shared" si="31"/>
        <v>0</v>
      </c>
      <c r="AJ168" s="174">
        <f t="shared" si="32"/>
        <v>0</v>
      </c>
      <c r="AK168" s="175">
        <f t="shared" si="33"/>
        <v>0</v>
      </c>
      <c r="AL168" s="175">
        <f t="shared" si="34"/>
        <v>0</v>
      </c>
      <c r="AM168" s="175">
        <f t="shared" si="35"/>
        <v>0</v>
      </c>
    </row>
    <row r="169" spans="1:39">
      <c r="A169" s="997" t="s">
        <v>11</v>
      </c>
      <c r="B169" s="998"/>
      <c r="C169" s="192"/>
      <c r="D169" s="192"/>
      <c r="E169" s="192"/>
      <c r="F169" s="195">
        <f t="shared" ref="F169" si="36">SUM(F8:F168)</f>
        <v>5260</v>
      </c>
      <c r="G169" s="195">
        <f t="shared" ref="G169:W169" si="37">SUM(G8:G168)</f>
        <v>4944</v>
      </c>
      <c r="H169" s="195">
        <f t="shared" si="37"/>
        <v>275</v>
      </c>
      <c r="I169" s="195">
        <f t="shared" si="37"/>
        <v>5219</v>
      </c>
      <c r="J169" s="197">
        <f t="shared" si="37"/>
        <v>5295</v>
      </c>
      <c r="K169" s="197">
        <f>SUM(K8:K168)</f>
        <v>220</v>
      </c>
      <c r="L169" s="197">
        <f t="shared" si="37"/>
        <v>5515</v>
      </c>
      <c r="M169" s="197">
        <f t="shared" si="37"/>
        <v>2564</v>
      </c>
      <c r="N169" s="197">
        <f t="shared" si="37"/>
        <v>1158</v>
      </c>
      <c r="O169" s="197">
        <f t="shared" si="37"/>
        <v>3582</v>
      </c>
      <c r="P169" s="197">
        <f t="shared" si="37"/>
        <v>2982</v>
      </c>
      <c r="Q169" s="197">
        <f t="shared" si="37"/>
        <v>880</v>
      </c>
      <c r="R169" s="197">
        <f t="shared" si="37"/>
        <v>3862</v>
      </c>
      <c r="S169" s="197">
        <f t="shared" si="37"/>
        <v>3169</v>
      </c>
      <c r="T169" s="197">
        <f>SUM(T8:T168)</f>
        <v>790</v>
      </c>
      <c r="U169" s="197">
        <f t="shared" si="37"/>
        <v>3959</v>
      </c>
      <c r="V169" s="198">
        <f t="shared" si="37"/>
        <v>15966</v>
      </c>
      <c r="W169" s="198">
        <f t="shared" si="37"/>
        <v>726</v>
      </c>
      <c r="X169" s="198">
        <f>SUM(X8:X168)</f>
        <v>7016</v>
      </c>
      <c r="Y169" s="198">
        <f t="shared" ref="Y169:AG169" si="38">SUM(Y8:Y168)</f>
        <v>0</v>
      </c>
      <c r="Z169" s="198">
        <f t="shared" si="38"/>
        <v>0</v>
      </c>
      <c r="AA169" s="198">
        <f t="shared" si="38"/>
        <v>0</v>
      </c>
      <c r="AB169" s="198">
        <f t="shared" si="38"/>
        <v>5716</v>
      </c>
      <c r="AC169" s="198">
        <f t="shared" si="38"/>
        <v>1293</v>
      </c>
      <c r="AD169" s="198">
        <f t="shared" si="38"/>
        <v>0</v>
      </c>
      <c r="AE169" s="198">
        <f t="shared" si="38"/>
        <v>0</v>
      </c>
      <c r="AF169" s="198">
        <f t="shared" si="38"/>
        <v>0</v>
      </c>
      <c r="AG169" s="198">
        <f t="shared" si="38"/>
        <v>0</v>
      </c>
      <c r="AH169" s="138">
        <f t="shared" si="30"/>
        <v>34920</v>
      </c>
      <c r="AI169" s="138">
        <f t="shared" si="31"/>
        <v>4049</v>
      </c>
      <c r="AJ169" s="138">
        <f t="shared" si="32"/>
        <v>29153</v>
      </c>
      <c r="AK169" s="139">
        <f t="shared" si="33"/>
        <v>5820</v>
      </c>
      <c r="AL169" s="139">
        <f t="shared" si="34"/>
        <v>674.83333333333337</v>
      </c>
      <c r="AM169" s="139">
        <f t="shared" si="35"/>
        <v>4858.833333333333</v>
      </c>
    </row>
    <row r="170" spans="1:39" ht="14.65" thickBot="1"/>
    <row r="171" spans="1:39" ht="15.75">
      <c r="A171" s="104"/>
      <c r="B171" s="202" t="s">
        <v>338</v>
      </c>
      <c r="C171" s="203"/>
      <c r="D171" s="203"/>
      <c r="E171" s="206"/>
      <c r="F171" s="206">
        <v>1861</v>
      </c>
      <c r="G171" s="206">
        <v>1770</v>
      </c>
      <c r="H171" s="206">
        <v>159</v>
      </c>
      <c r="I171" s="206">
        <f>G171+H171</f>
        <v>1929</v>
      </c>
      <c r="J171" s="206">
        <v>1427</v>
      </c>
      <c r="K171" s="206">
        <v>54</v>
      </c>
      <c r="L171" s="206">
        <f>J171+K171</f>
        <v>1481</v>
      </c>
      <c r="M171" s="206">
        <v>615</v>
      </c>
      <c r="N171" s="206">
        <v>140</v>
      </c>
      <c r="O171" s="206">
        <f>M171+N171</f>
        <v>755</v>
      </c>
      <c r="P171" s="206">
        <v>1204</v>
      </c>
      <c r="Q171" s="206">
        <v>254</v>
      </c>
      <c r="R171" s="206">
        <f>P171+Q171</f>
        <v>1458</v>
      </c>
      <c r="S171" s="206">
        <v>683</v>
      </c>
      <c r="T171" s="206">
        <v>78</v>
      </c>
      <c r="U171" s="206">
        <f>S171+T171</f>
        <v>761</v>
      </c>
      <c r="V171" s="206">
        <v>5290</v>
      </c>
      <c r="W171" s="206">
        <v>374</v>
      </c>
      <c r="X171" s="206">
        <f>V171+W171</f>
        <v>5664</v>
      </c>
      <c r="Y171" s="206">
        <f t="shared" ref="Y171:AM171" si="39">W171+X171</f>
        <v>6038</v>
      </c>
      <c r="Z171" s="206">
        <f t="shared" si="39"/>
        <v>11702</v>
      </c>
      <c r="AA171" s="206">
        <f t="shared" si="39"/>
        <v>17740</v>
      </c>
      <c r="AB171" s="206">
        <f t="shared" si="39"/>
        <v>29442</v>
      </c>
      <c r="AC171" s="206">
        <f t="shared" si="39"/>
        <v>47182</v>
      </c>
      <c r="AD171" s="206">
        <f t="shared" si="39"/>
        <v>76624</v>
      </c>
      <c r="AE171" s="206">
        <f t="shared" si="39"/>
        <v>123806</v>
      </c>
      <c r="AF171" s="206">
        <f t="shared" si="39"/>
        <v>200430</v>
      </c>
      <c r="AG171" s="206">
        <f t="shared" si="39"/>
        <v>324236</v>
      </c>
      <c r="AH171" s="206">
        <f t="shared" si="39"/>
        <v>524666</v>
      </c>
      <c r="AI171" s="206">
        <f t="shared" si="39"/>
        <v>848902</v>
      </c>
      <c r="AJ171" s="206">
        <f t="shared" si="39"/>
        <v>1373568</v>
      </c>
      <c r="AK171" s="206">
        <f t="shared" si="39"/>
        <v>2222470</v>
      </c>
      <c r="AL171" s="206">
        <f t="shared" si="39"/>
        <v>3596038</v>
      </c>
      <c r="AM171" s="206">
        <f t="shared" si="39"/>
        <v>5818508</v>
      </c>
    </row>
    <row r="172" spans="1:39">
      <c r="A172" s="78"/>
      <c r="B172" s="7" t="s">
        <v>339</v>
      </c>
      <c r="C172" s="6"/>
      <c r="D172" s="6"/>
      <c r="E172" s="1"/>
      <c r="F172" s="490">
        <f>F169-F171</f>
        <v>3399</v>
      </c>
      <c r="G172" s="9">
        <f>G169-G171</f>
        <v>3174</v>
      </c>
      <c r="H172" s="9">
        <f>H169-H171</f>
        <v>116</v>
      </c>
      <c r="I172" s="9">
        <f t="shared" ref="I172:AJ172" si="40">I169-I171</f>
        <v>3290</v>
      </c>
      <c r="J172" s="9">
        <f t="shared" si="40"/>
        <v>3868</v>
      </c>
      <c r="K172" s="9">
        <f t="shared" si="40"/>
        <v>166</v>
      </c>
      <c r="L172" s="9">
        <f t="shared" si="40"/>
        <v>4034</v>
      </c>
      <c r="M172" s="9">
        <f t="shared" si="40"/>
        <v>1949</v>
      </c>
      <c r="N172" s="9">
        <f t="shared" si="40"/>
        <v>1018</v>
      </c>
      <c r="O172" s="9">
        <f t="shared" si="40"/>
        <v>2827</v>
      </c>
      <c r="P172" s="9">
        <f t="shared" si="40"/>
        <v>1778</v>
      </c>
      <c r="Q172" s="9">
        <f t="shared" si="40"/>
        <v>626</v>
      </c>
      <c r="R172" s="9">
        <f t="shared" si="40"/>
        <v>2404</v>
      </c>
      <c r="S172" s="9">
        <f t="shared" si="40"/>
        <v>2486</v>
      </c>
      <c r="T172" s="9">
        <f t="shared" si="40"/>
        <v>712</v>
      </c>
      <c r="U172" s="9">
        <f t="shared" si="40"/>
        <v>3198</v>
      </c>
      <c r="V172" s="9">
        <f t="shared" si="40"/>
        <v>10676</v>
      </c>
      <c r="W172" s="9">
        <f t="shared" si="40"/>
        <v>352</v>
      </c>
      <c r="X172" s="9">
        <f t="shared" si="40"/>
        <v>1352</v>
      </c>
      <c r="Y172" s="9"/>
      <c r="Z172" s="9"/>
      <c r="AA172" s="9"/>
      <c r="AB172" s="9"/>
      <c r="AC172" s="9"/>
      <c r="AD172" s="9"/>
      <c r="AE172" s="9"/>
      <c r="AF172" s="9"/>
      <c r="AG172" s="9"/>
      <c r="AH172" s="9">
        <f t="shared" si="40"/>
        <v>-489746</v>
      </c>
      <c r="AI172" s="9">
        <f t="shared" si="40"/>
        <v>-844853</v>
      </c>
      <c r="AJ172" s="9">
        <f t="shared" si="40"/>
        <v>-1344415</v>
      </c>
      <c r="AK172" s="71">
        <f>AH172/6</f>
        <v>-81624.333333333328</v>
      </c>
      <c r="AL172" s="71">
        <f>AI172/6</f>
        <v>-140808.83333333334</v>
      </c>
      <c r="AM172" s="72">
        <f>AJ172/6</f>
        <v>-224069.16666666666</v>
      </c>
    </row>
    <row r="173" spans="1:39">
      <c r="A173" s="78"/>
      <c r="B173" s="7" t="s">
        <v>340</v>
      </c>
      <c r="C173" s="6"/>
      <c r="D173" s="6"/>
      <c r="E173" s="217"/>
      <c r="F173" s="217">
        <f>F172/F169%</f>
        <v>64.619771863117876</v>
      </c>
      <c r="G173" s="217">
        <f t="shared" ref="G173:AM173" si="41">G172/G169%</f>
        <v>64.199029126213588</v>
      </c>
      <c r="H173" s="217">
        <f t="shared" si="41"/>
        <v>42.18181818181818</v>
      </c>
      <c r="I173" s="217">
        <f t="shared" si="41"/>
        <v>63.038896340295075</v>
      </c>
      <c r="J173" s="217">
        <f t="shared" si="41"/>
        <v>73.050047214353157</v>
      </c>
      <c r="K173" s="217">
        <f t="shared" si="41"/>
        <v>75.454545454545453</v>
      </c>
      <c r="L173" s="217">
        <f t="shared" si="41"/>
        <v>73.14596554850408</v>
      </c>
      <c r="M173" s="217">
        <f t="shared" si="41"/>
        <v>76.014040561622465</v>
      </c>
      <c r="N173" s="217">
        <f t="shared" si="41"/>
        <v>87.910189982728838</v>
      </c>
      <c r="O173" s="217">
        <f t="shared" si="41"/>
        <v>78.922389726409833</v>
      </c>
      <c r="P173" s="217">
        <f t="shared" si="41"/>
        <v>59.624413145539904</v>
      </c>
      <c r="Q173" s="217">
        <f t="shared" si="41"/>
        <v>71.136363636363626</v>
      </c>
      <c r="R173" s="217">
        <f t="shared" si="41"/>
        <v>62.247540134645263</v>
      </c>
      <c r="S173" s="217">
        <f t="shared" si="41"/>
        <v>78.447459766487853</v>
      </c>
      <c r="T173" s="217">
        <f t="shared" si="41"/>
        <v>90.12658227848101</v>
      </c>
      <c r="U173" s="217">
        <f t="shared" si="41"/>
        <v>80.777974235918151</v>
      </c>
      <c r="V173" s="217">
        <f t="shared" si="41"/>
        <v>66.867092571714892</v>
      </c>
      <c r="W173" s="217">
        <f t="shared" si="41"/>
        <v>48.484848484848484</v>
      </c>
      <c r="X173" s="217">
        <f t="shared" si="41"/>
        <v>19.27023945267959</v>
      </c>
      <c r="Y173" s="217"/>
      <c r="Z173" s="217"/>
      <c r="AA173" s="217"/>
      <c r="AB173" s="217"/>
      <c r="AC173" s="217"/>
      <c r="AD173" s="217"/>
      <c r="AE173" s="217"/>
      <c r="AF173" s="217"/>
      <c r="AG173" s="217"/>
      <c r="AH173" s="217">
        <f t="shared" si="41"/>
        <v>-1402.4799541809853</v>
      </c>
      <c r="AI173" s="217">
        <f t="shared" si="41"/>
        <v>-20865.719930847121</v>
      </c>
      <c r="AJ173" s="217">
        <f t="shared" si="41"/>
        <v>-4611.5837135114743</v>
      </c>
      <c r="AK173" s="217">
        <f t="shared" si="41"/>
        <v>-1402.479954180985</v>
      </c>
      <c r="AL173" s="217">
        <f t="shared" si="41"/>
        <v>-20865.719930847121</v>
      </c>
      <c r="AM173" s="218">
        <f t="shared" si="41"/>
        <v>-4611.5837135114743</v>
      </c>
    </row>
    <row r="174" spans="1:39" ht="14.65" thickBot="1">
      <c r="A174" s="80"/>
      <c r="B174" s="81" t="s">
        <v>341</v>
      </c>
      <c r="C174" s="82"/>
      <c r="D174" s="82"/>
      <c r="E174" s="227"/>
      <c r="F174" s="227">
        <f>F171/F169%</f>
        <v>35.380228136882131</v>
      </c>
      <c r="G174" s="227">
        <f t="shared" ref="G174:AM174" si="42">G171/G169%</f>
        <v>35.800970873786412</v>
      </c>
      <c r="H174" s="227">
        <f t="shared" si="42"/>
        <v>57.81818181818182</v>
      </c>
      <c r="I174" s="227">
        <f t="shared" si="42"/>
        <v>36.961103659704925</v>
      </c>
      <c r="J174" s="227">
        <f t="shared" si="42"/>
        <v>26.949952785646836</v>
      </c>
      <c r="K174" s="227">
        <f t="shared" si="42"/>
        <v>24.545454545454543</v>
      </c>
      <c r="L174" s="227">
        <f t="shared" si="42"/>
        <v>26.85403445149592</v>
      </c>
      <c r="M174" s="227">
        <f t="shared" si="42"/>
        <v>23.985959438377535</v>
      </c>
      <c r="N174" s="227">
        <f t="shared" si="42"/>
        <v>12.089810017271157</v>
      </c>
      <c r="O174" s="227">
        <f t="shared" si="42"/>
        <v>21.077610273590174</v>
      </c>
      <c r="P174" s="227">
        <f t="shared" si="42"/>
        <v>40.375586854460096</v>
      </c>
      <c r="Q174" s="227">
        <f t="shared" si="42"/>
        <v>28.86363636363636</v>
      </c>
      <c r="R174" s="227">
        <f t="shared" si="42"/>
        <v>37.752459865354744</v>
      </c>
      <c r="S174" s="227">
        <f t="shared" si="42"/>
        <v>21.552540233512147</v>
      </c>
      <c r="T174" s="227">
        <f t="shared" si="42"/>
        <v>9.8734177215189867</v>
      </c>
      <c r="U174" s="227">
        <f t="shared" si="42"/>
        <v>19.222025764081838</v>
      </c>
      <c r="V174" s="227">
        <f t="shared" si="42"/>
        <v>33.132907428285108</v>
      </c>
      <c r="W174" s="227">
        <f t="shared" si="42"/>
        <v>51.515151515151516</v>
      </c>
      <c r="X174" s="227">
        <f t="shared" si="42"/>
        <v>80.72976054732041</v>
      </c>
      <c r="Y174" s="227"/>
      <c r="Z174" s="227"/>
      <c r="AA174" s="227"/>
      <c r="AB174" s="227"/>
      <c r="AC174" s="227"/>
      <c r="AD174" s="227"/>
      <c r="AE174" s="227"/>
      <c r="AF174" s="227"/>
      <c r="AG174" s="227"/>
      <c r="AH174" s="227">
        <f t="shared" si="42"/>
        <v>1502.4799541809853</v>
      </c>
      <c r="AI174" s="227">
        <f t="shared" si="42"/>
        <v>20965.719930847121</v>
      </c>
      <c r="AJ174" s="227">
        <f t="shared" si="42"/>
        <v>4711.5837135114743</v>
      </c>
      <c r="AK174" s="227">
        <f t="shared" si="42"/>
        <v>38186.769759450173</v>
      </c>
      <c r="AL174" s="227">
        <f t="shared" si="42"/>
        <v>532877.94517164724</v>
      </c>
      <c r="AM174" s="228">
        <f t="shared" si="42"/>
        <v>119751.13367406442</v>
      </c>
    </row>
  </sheetData>
  <autoFilter ref="A7:AM7"/>
  <mergeCells count="12">
    <mergeCell ref="V6:X6"/>
    <mergeCell ref="AH6:AJ6"/>
    <mergeCell ref="AK6:AM6"/>
    <mergeCell ref="A169:B169"/>
    <mergeCell ref="G6:I6"/>
    <mergeCell ref="J6:L6"/>
    <mergeCell ref="M6:O6"/>
    <mergeCell ref="P6:R6"/>
    <mergeCell ref="S6:U6"/>
    <mergeCell ref="Y6:AA6"/>
    <mergeCell ref="AB6:AD6"/>
    <mergeCell ref="AE6:AG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1" tint="0.499984740745262"/>
    <pageSetUpPr fitToPage="1"/>
  </sheetPr>
  <dimension ref="A1:AD164"/>
  <sheetViews>
    <sheetView workbookViewId="0">
      <pane xSplit="5" ySplit="6" topLeftCell="F156" activePane="bottomRight" state="frozen"/>
      <selection pane="topRight" activeCell="F1" sqref="F1"/>
      <selection pane="bottomLeft" activeCell="A7" sqref="A7"/>
      <selection pane="bottomRight" sqref="A1:E164"/>
    </sheetView>
  </sheetViews>
  <sheetFormatPr defaultColWidth="14.3984375" defaultRowHeight="14.25"/>
  <cols>
    <col min="1" max="1" width="8.73046875" style="149" customWidth="1"/>
    <col min="2" max="2" width="32.265625" style="149" customWidth="1"/>
    <col min="3" max="3" width="16.265625" style="149" customWidth="1"/>
    <col min="4" max="5" width="8.73046875" style="149" customWidth="1"/>
    <col min="6" max="6" width="9" style="149" customWidth="1"/>
    <col min="7" max="7" width="7.86328125" style="149" customWidth="1"/>
    <col min="8" max="8" width="9.86328125" style="149" customWidth="1"/>
    <col min="9" max="9" width="10.265625" style="149" customWidth="1"/>
    <col min="10" max="10" width="9.1328125" style="149" customWidth="1"/>
    <col min="11" max="11" width="9.73046875" style="149" customWidth="1"/>
    <col min="12" max="12" width="10.73046875" style="149" customWidth="1"/>
    <col min="13" max="13" width="9.73046875" style="149" customWidth="1"/>
    <col min="14" max="14" width="10.3984375" style="149" customWidth="1"/>
    <col min="15" max="15" width="9.73046875" style="149" customWidth="1"/>
    <col min="16" max="16" width="9.265625" style="149" customWidth="1"/>
    <col min="17" max="17" width="10.3984375" style="149" customWidth="1"/>
    <col min="18" max="18" width="11.265625" style="149" customWidth="1"/>
    <col min="19" max="19" width="10" style="149" customWidth="1"/>
    <col min="20" max="20" width="10.1328125" style="149" customWidth="1"/>
    <col min="21" max="21" width="11.3984375" style="149" customWidth="1"/>
    <col min="22" max="22" width="9.86328125" style="149" customWidth="1"/>
    <col min="23" max="23" width="10.265625" style="149" customWidth="1"/>
    <col min="24" max="29" width="9.73046875" style="149" customWidth="1"/>
    <col min="30" max="30" width="8.73046875" style="149" customWidth="1"/>
    <col min="31" max="16384" width="14.3984375" style="149"/>
  </cols>
  <sheetData>
    <row r="1" spans="1:30" ht="25.9" thickBot="1">
      <c r="A1" s="1008" t="s">
        <v>1964</v>
      </c>
      <c r="B1" s="1009"/>
      <c r="C1" s="1009"/>
      <c r="D1" s="1009"/>
      <c r="E1" s="1009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</row>
    <row r="2" spans="1:30" ht="15.75">
      <c r="A2" s="271"/>
      <c r="B2" s="1010" t="s">
        <v>1965</v>
      </c>
      <c r="C2" s="1001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</row>
    <row r="3" spans="1:30" ht="15.75">
      <c r="A3" s="270"/>
      <c r="B3" s="270"/>
      <c r="C3" s="151"/>
      <c r="D3" s="270"/>
      <c r="E3" s="272" t="s">
        <v>1966</v>
      </c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  <c r="AC3" s="270"/>
      <c r="AD3" s="270"/>
    </row>
    <row r="4" spans="1:30" ht="16.149999999999999" thickBot="1">
      <c r="A4" s="273"/>
      <c r="B4" s="1011" t="s">
        <v>1967</v>
      </c>
      <c r="C4" s="1012"/>
      <c r="D4" s="270"/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0"/>
      <c r="Z4" s="270"/>
      <c r="AA4" s="270"/>
      <c r="AB4" s="270"/>
      <c r="AC4" s="270"/>
      <c r="AD4" s="270"/>
    </row>
    <row r="5" spans="1:30" ht="28.9" thickBot="1">
      <c r="A5" s="274"/>
      <c r="B5" s="275"/>
      <c r="C5" s="276"/>
      <c r="D5" s="276"/>
      <c r="E5" s="277" t="s">
        <v>904</v>
      </c>
      <c r="F5" s="1000" t="s">
        <v>1968</v>
      </c>
      <c r="G5" s="1001"/>
      <c r="H5" s="1002"/>
      <c r="I5" s="1000" t="s">
        <v>1969</v>
      </c>
      <c r="J5" s="1001"/>
      <c r="K5" s="1002"/>
      <c r="L5" s="1000" t="s">
        <v>1970</v>
      </c>
      <c r="M5" s="1001"/>
      <c r="N5" s="1002"/>
      <c r="O5" s="1000" t="s">
        <v>1971</v>
      </c>
      <c r="P5" s="1001"/>
      <c r="Q5" s="1002"/>
      <c r="R5" s="1000" t="s">
        <v>1972</v>
      </c>
      <c r="S5" s="1001"/>
      <c r="T5" s="1002"/>
      <c r="U5" s="1000" t="s">
        <v>1973</v>
      </c>
      <c r="V5" s="1001"/>
      <c r="W5" s="1001"/>
      <c r="X5" s="1003" t="s">
        <v>901</v>
      </c>
      <c r="Y5" s="1004"/>
      <c r="Z5" s="1005"/>
      <c r="AA5" s="1003" t="s">
        <v>902</v>
      </c>
      <c r="AB5" s="1004"/>
      <c r="AC5" s="1005"/>
      <c r="AD5" s="278" t="s">
        <v>1974</v>
      </c>
    </row>
    <row r="6" spans="1:30" ht="14.65" hidden="1" thickBot="1">
      <c r="A6" s="279" t="s">
        <v>5</v>
      </c>
      <c r="B6" s="280" t="s">
        <v>6</v>
      </c>
      <c r="C6" s="281" t="s">
        <v>7</v>
      </c>
      <c r="D6" s="282" t="s">
        <v>8</v>
      </c>
      <c r="E6" s="283" t="s">
        <v>3</v>
      </c>
      <c r="F6" s="279" t="s">
        <v>9</v>
      </c>
      <c r="G6" s="284" t="s">
        <v>10</v>
      </c>
      <c r="H6" s="280" t="s">
        <v>11</v>
      </c>
      <c r="I6" s="279" t="s">
        <v>9</v>
      </c>
      <c r="J6" s="284" t="s">
        <v>10</v>
      </c>
      <c r="K6" s="280" t="s">
        <v>11</v>
      </c>
      <c r="L6" s="279" t="s">
        <v>9</v>
      </c>
      <c r="M6" s="284" t="s">
        <v>10</v>
      </c>
      <c r="N6" s="280" t="s">
        <v>11</v>
      </c>
      <c r="O6" s="279" t="s">
        <v>9</v>
      </c>
      <c r="P6" s="284" t="s">
        <v>10</v>
      </c>
      <c r="Q6" s="280" t="s">
        <v>11</v>
      </c>
      <c r="R6" s="279" t="s">
        <v>9</v>
      </c>
      <c r="S6" s="284" t="s">
        <v>10</v>
      </c>
      <c r="T6" s="280" t="s">
        <v>11</v>
      </c>
      <c r="U6" s="279" t="s">
        <v>9</v>
      </c>
      <c r="V6" s="284" t="s">
        <v>10</v>
      </c>
      <c r="W6" s="282" t="s">
        <v>11</v>
      </c>
      <c r="X6" s="285" t="s">
        <v>9</v>
      </c>
      <c r="Y6" s="286" t="s">
        <v>10</v>
      </c>
      <c r="Z6" s="287" t="s">
        <v>11</v>
      </c>
      <c r="AA6" s="285" t="s">
        <v>9</v>
      </c>
      <c r="AB6" s="286" t="s">
        <v>10</v>
      </c>
      <c r="AC6" s="287" t="s">
        <v>11</v>
      </c>
      <c r="AD6" s="288" t="s">
        <v>905</v>
      </c>
    </row>
    <row r="7" spans="1:30" hidden="1">
      <c r="A7" s="289">
        <v>1</v>
      </c>
      <c r="B7" s="290" t="s">
        <v>1975</v>
      </c>
      <c r="C7" s="291" t="s">
        <v>1976</v>
      </c>
      <c r="D7" s="291" t="s">
        <v>1977</v>
      </c>
      <c r="E7" s="292">
        <v>55</v>
      </c>
      <c r="F7" s="293">
        <v>75</v>
      </c>
      <c r="G7" s="289"/>
      <c r="H7" s="294">
        <f t="shared" ref="H7:H155" si="0">F7+G7</f>
        <v>75</v>
      </c>
      <c r="I7" s="293">
        <v>25</v>
      </c>
      <c r="J7" s="289"/>
      <c r="K7" s="294">
        <f t="shared" ref="K7:K155" si="1">I7+J7</f>
        <v>25</v>
      </c>
      <c r="L7" s="293">
        <v>35</v>
      </c>
      <c r="M7" s="289"/>
      <c r="N7" s="294">
        <f t="shared" ref="N7:N155" si="2">L7+M7</f>
        <v>35</v>
      </c>
      <c r="O7" s="293">
        <v>18</v>
      </c>
      <c r="P7" s="289"/>
      <c r="Q7" s="294">
        <f t="shared" ref="Q7:Q158" si="3">O7+P7</f>
        <v>18</v>
      </c>
      <c r="R7" s="293"/>
      <c r="S7" s="289"/>
      <c r="T7" s="294">
        <f t="shared" ref="T7:T158" si="4">R7+S7</f>
        <v>0</v>
      </c>
      <c r="U7" s="293">
        <v>36</v>
      </c>
      <c r="V7" s="289"/>
      <c r="W7" s="291">
        <f t="shared" ref="W7:W158" si="5">U7+V7</f>
        <v>36</v>
      </c>
      <c r="X7" s="295">
        <f>F7+I7+L7+O7+R7+U7</f>
        <v>189</v>
      </c>
      <c r="Y7" s="296">
        <f>G7+J7+M7+P7+S7+V7</f>
        <v>0</v>
      </c>
      <c r="Z7" s="297">
        <f>H7+K7+N7+Q7+T7+W7</f>
        <v>189</v>
      </c>
      <c r="AA7" s="298">
        <f>X7/6</f>
        <v>31.5</v>
      </c>
      <c r="AB7" s="299">
        <f>Y7/6</f>
        <v>0</v>
      </c>
      <c r="AC7" s="300">
        <f>Z7/6</f>
        <v>31.5</v>
      </c>
      <c r="AD7" s="301" t="s">
        <v>18</v>
      </c>
    </row>
    <row r="8" spans="1:30">
      <c r="A8" s="302">
        <v>2</v>
      </c>
      <c r="B8" s="303" t="s">
        <v>1978</v>
      </c>
      <c r="C8" s="304" t="s">
        <v>1976</v>
      </c>
      <c r="D8" s="305" t="s">
        <v>1979</v>
      </c>
      <c r="E8" s="306">
        <v>20</v>
      </c>
      <c r="F8" s="307">
        <v>65</v>
      </c>
      <c r="G8" s="302"/>
      <c r="H8" s="294">
        <f t="shared" si="0"/>
        <v>65</v>
      </c>
      <c r="I8" s="307">
        <v>40</v>
      </c>
      <c r="J8" s="302"/>
      <c r="K8" s="294">
        <f t="shared" si="1"/>
        <v>40</v>
      </c>
      <c r="L8" s="307">
        <v>95</v>
      </c>
      <c r="M8" s="302"/>
      <c r="N8" s="294">
        <f t="shared" si="2"/>
        <v>95</v>
      </c>
      <c r="O8" s="307">
        <v>75</v>
      </c>
      <c r="P8" s="302"/>
      <c r="Q8" s="294">
        <f t="shared" si="3"/>
        <v>75</v>
      </c>
      <c r="R8" s="307">
        <v>60</v>
      </c>
      <c r="S8" s="302"/>
      <c r="T8" s="294">
        <f t="shared" si="4"/>
        <v>60</v>
      </c>
      <c r="U8" s="307">
        <v>95</v>
      </c>
      <c r="V8" s="302"/>
      <c r="W8" s="291">
        <f t="shared" si="5"/>
        <v>95</v>
      </c>
      <c r="X8" s="308">
        <f t="shared" ref="X8:Z71" si="6">F8+I8+L8+O8+R8+U8</f>
        <v>430</v>
      </c>
      <c r="Y8" s="64">
        <f t="shared" si="6"/>
        <v>0</v>
      </c>
      <c r="Z8" s="309">
        <f t="shared" si="6"/>
        <v>430</v>
      </c>
      <c r="AA8" s="310">
        <f t="shared" ref="AA8:AC71" si="7">X8/6</f>
        <v>71.666666666666671</v>
      </c>
      <c r="AB8" s="65">
        <f t="shared" si="7"/>
        <v>0</v>
      </c>
      <c r="AC8" s="311">
        <f t="shared" si="7"/>
        <v>71.666666666666671</v>
      </c>
      <c r="AD8" s="312" t="s">
        <v>18</v>
      </c>
    </row>
    <row r="9" spans="1:30">
      <c r="A9" s="289">
        <v>3</v>
      </c>
      <c r="B9" s="313" t="s">
        <v>1980</v>
      </c>
      <c r="C9" s="302" t="s">
        <v>1976</v>
      </c>
      <c r="D9" s="291" t="s">
        <v>1981</v>
      </c>
      <c r="E9" s="306">
        <v>40</v>
      </c>
      <c r="F9" s="307">
        <v>55</v>
      </c>
      <c r="G9" s="302"/>
      <c r="H9" s="294">
        <f t="shared" si="0"/>
        <v>55</v>
      </c>
      <c r="I9" s="307">
        <v>36</v>
      </c>
      <c r="J9" s="302"/>
      <c r="K9" s="294">
        <f t="shared" si="1"/>
        <v>36</v>
      </c>
      <c r="L9" s="307">
        <v>65</v>
      </c>
      <c r="M9" s="302"/>
      <c r="N9" s="294">
        <f t="shared" si="2"/>
        <v>65</v>
      </c>
      <c r="O9" s="307">
        <v>66</v>
      </c>
      <c r="P9" s="302"/>
      <c r="Q9" s="294">
        <f t="shared" si="3"/>
        <v>66</v>
      </c>
      <c r="R9" s="307">
        <v>75</v>
      </c>
      <c r="S9" s="302"/>
      <c r="T9" s="294">
        <f t="shared" si="4"/>
        <v>75</v>
      </c>
      <c r="U9" s="307">
        <v>105</v>
      </c>
      <c r="V9" s="302"/>
      <c r="W9" s="291">
        <f t="shared" si="5"/>
        <v>105</v>
      </c>
      <c r="X9" s="308">
        <f t="shared" si="6"/>
        <v>402</v>
      </c>
      <c r="Y9" s="64">
        <f t="shared" si="6"/>
        <v>0</v>
      </c>
      <c r="Z9" s="309">
        <f t="shared" si="6"/>
        <v>402</v>
      </c>
      <c r="AA9" s="310">
        <f t="shared" si="7"/>
        <v>67</v>
      </c>
      <c r="AB9" s="65">
        <f t="shared" si="7"/>
        <v>0</v>
      </c>
      <c r="AC9" s="311">
        <f t="shared" si="7"/>
        <v>67</v>
      </c>
      <c r="AD9" s="314" t="s">
        <v>18</v>
      </c>
    </row>
    <row r="10" spans="1:30" hidden="1">
      <c r="A10" s="302">
        <v>4</v>
      </c>
      <c r="B10" s="313" t="s">
        <v>1982</v>
      </c>
      <c r="C10" s="302" t="s">
        <v>1976</v>
      </c>
      <c r="D10" s="305" t="s">
        <v>1983</v>
      </c>
      <c r="E10" s="306">
        <v>5</v>
      </c>
      <c r="F10" s="307">
        <v>6</v>
      </c>
      <c r="G10" s="302"/>
      <c r="H10" s="294">
        <f t="shared" si="0"/>
        <v>6</v>
      </c>
      <c r="I10" s="307"/>
      <c r="J10" s="302"/>
      <c r="K10" s="294">
        <f t="shared" si="1"/>
        <v>0</v>
      </c>
      <c r="L10" s="307">
        <v>6</v>
      </c>
      <c r="M10" s="302"/>
      <c r="N10" s="294">
        <f t="shared" si="2"/>
        <v>6</v>
      </c>
      <c r="O10" s="307">
        <v>15</v>
      </c>
      <c r="P10" s="302"/>
      <c r="Q10" s="294">
        <f t="shared" si="3"/>
        <v>15</v>
      </c>
      <c r="R10" s="307"/>
      <c r="S10" s="302"/>
      <c r="T10" s="294">
        <f t="shared" si="4"/>
        <v>0</v>
      </c>
      <c r="U10" s="307"/>
      <c r="V10" s="302"/>
      <c r="W10" s="291">
        <f t="shared" si="5"/>
        <v>0</v>
      </c>
      <c r="X10" s="308">
        <f t="shared" si="6"/>
        <v>27</v>
      </c>
      <c r="Y10" s="64">
        <f t="shared" si="6"/>
        <v>0</v>
      </c>
      <c r="Z10" s="309">
        <f t="shared" si="6"/>
        <v>27</v>
      </c>
      <c r="AA10" s="310">
        <f t="shared" si="7"/>
        <v>4.5</v>
      </c>
      <c r="AB10" s="65">
        <f t="shared" si="7"/>
        <v>0</v>
      </c>
      <c r="AC10" s="311">
        <f t="shared" si="7"/>
        <v>4.5</v>
      </c>
      <c r="AD10" s="314" t="s">
        <v>15</v>
      </c>
    </row>
    <row r="11" spans="1:30" hidden="1">
      <c r="A11" s="289">
        <v>5</v>
      </c>
      <c r="B11" s="313" t="s">
        <v>1984</v>
      </c>
      <c r="C11" s="302" t="s">
        <v>1976</v>
      </c>
      <c r="D11" s="291" t="s">
        <v>1985</v>
      </c>
      <c r="E11" s="306">
        <v>25</v>
      </c>
      <c r="F11" s="307">
        <v>15</v>
      </c>
      <c r="G11" s="302"/>
      <c r="H11" s="294">
        <f t="shared" si="0"/>
        <v>15</v>
      </c>
      <c r="I11" s="307"/>
      <c r="J11" s="302"/>
      <c r="K11" s="294">
        <f t="shared" si="1"/>
        <v>0</v>
      </c>
      <c r="L11" s="307">
        <v>12</v>
      </c>
      <c r="M11" s="302"/>
      <c r="N11" s="294">
        <f t="shared" si="2"/>
        <v>12</v>
      </c>
      <c r="O11" s="307">
        <v>12</v>
      </c>
      <c r="P11" s="302"/>
      <c r="Q11" s="294">
        <f t="shared" si="3"/>
        <v>12</v>
      </c>
      <c r="R11" s="307"/>
      <c r="S11" s="302"/>
      <c r="T11" s="294">
        <f t="shared" si="4"/>
        <v>0</v>
      </c>
      <c r="U11" s="307"/>
      <c r="V11" s="302"/>
      <c r="W11" s="291">
        <f t="shared" si="5"/>
        <v>0</v>
      </c>
      <c r="X11" s="308">
        <f t="shared" si="6"/>
        <v>39</v>
      </c>
      <c r="Y11" s="64">
        <f t="shared" si="6"/>
        <v>0</v>
      </c>
      <c r="Z11" s="309">
        <f t="shared" si="6"/>
        <v>39</v>
      </c>
      <c r="AA11" s="310">
        <f t="shared" si="7"/>
        <v>6.5</v>
      </c>
      <c r="AB11" s="65">
        <f t="shared" si="7"/>
        <v>0</v>
      </c>
      <c r="AC11" s="311">
        <f t="shared" si="7"/>
        <v>6.5</v>
      </c>
      <c r="AD11" s="301" t="s">
        <v>18</v>
      </c>
    </row>
    <row r="12" spans="1:30">
      <c r="A12" s="302">
        <v>6</v>
      </c>
      <c r="B12" s="313" t="s">
        <v>1986</v>
      </c>
      <c r="C12" s="302" t="s">
        <v>1976</v>
      </c>
      <c r="D12" s="305" t="s">
        <v>1987</v>
      </c>
      <c r="E12" s="306">
        <v>30</v>
      </c>
      <c r="F12" s="307">
        <v>70</v>
      </c>
      <c r="G12" s="302"/>
      <c r="H12" s="294">
        <f t="shared" si="0"/>
        <v>70</v>
      </c>
      <c r="I12" s="307">
        <v>41</v>
      </c>
      <c r="J12" s="302"/>
      <c r="K12" s="294">
        <f t="shared" si="1"/>
        <v>41</v>
      </c>
      <c r="L12" s="307">
        <v>88</v>
      </c>
      <c r="M12" s="302"/>
      <c r="N12" s="294">
        <f t="shared" si="2"/>
        <v>88</v>
      </c>
      <c r="O12" s="307">
        <v>36</v>
      </c>
      <c r="P12" s="302"/>
      <c r="Q12" s="294">
        <f t="shared" si="3"/>
        <v>36</v>
      </c>
      <c r="R12" s="307"/>
      <c r="S12" s="302"/>
      <c r="T12" s="294">
        <f t="shared" si="4"/>
        <v>0</v>
      </c>
      <c r="U12" s="307">
        <v>65</v>
      </c>
      <c r="V12" s="302"/>
      <c r="W12" s="291">
        <f t="shared" si="5"/>
        <v>65</v>
      </c>
      <c r="X12" s="308">
        <f t="shared" si="6"/>
        <v>300</v>
      </c>
      <c r="Y12" s="64">
        <f t="shared" si="6"/>
        <v>0</v>
      </c>
      <c r="Z12" s="309">
        <f t="shared" si="6"/>
        <v>300</v>
      </c>
      <c r="AA12" s="310">
        <f t="shared" si="7"/>
        <v>50</v>
      </c>
      <c r="AB12" s="65">
        <f t="shared" si="7"/>
        <v>0</v>
      </c>
      <c r="AC12" s="311">
        <f t="shared" si="7"/>
        <v>50</v>
      </c>
      <c r="AD12" s="301" t="s">
        <v>18</v>
      </c>
    </row>
    <row r="13" spans="1:30" hidden="1">
      <c r="A13" s="289">
        <v>7</v>
      </c>
      <c r="B13" s="313" t="s">
        <v>1988</v>
      </c>
      <c r="C13" s="302" t="s">
        <v>1976</v>
      </c>
      <c r="D13" s="291" t="s">
        <v>1989</v>
      </c>
      <c r="E13" s="306">
        <v>15</v>
      </c>
      <c r="F13" s="307">
        <v>20</v>
      </c>
      <c r="G13" s="302"/>
      <c r="H13" s="294">
        <f t="shared" si="0"/>
        <v>20</v>
      </c>
      <c r="I13" s="307">
        <v>20</v>
      </c>
      <c r="J13" s="302"/>
      <c r="K13" s="294">
        <f t="shared" si="1"/>
        <v>20</v>
      </c>
      <c r="L13" s="307">
        <v>48</v>
      </c>
      <c r="M13" s="302"/>
      <c r="N13" s="294">
        <f t="shared" si="2"/>
        <v>48</v>
      </c>
      <c r="O13" s="307">
        <v>55</v>
      </c>
      <c r="P13" s="302"/>
      <c r="Q13" s="294">
        <f t="shared" si="3"/>
        <v>55</v>
      </c>
      <c r="R13" s="307"/>
      <c r="S13" s="302"/>
      <c r="T13" s="294">
        <f t="shared" si="4"/>
        <v>0</v>
      </c>
      <c r="U13" s="307">
        <v>45</v>
      </c>
      <c r="V13" s="302"/>
      <c r="W13" s="291">
        <f t="shared" si="5"/>
        <v>45</v>
      </c>
      <c r="X13" s="308">
        <f t="shared" si="6"/>
        <v>188</v>
      </c>
      <c r="Y13" s="64">
        <f t="shared" si="6"/>
        <v>0</v>
      </c>
      <c r="Z13" s="309">
        <f t="shared" si="6"/>
        <v>188</v>
      </c>
      <c r="AA13" s="310">
        <f t="shared" si="7"/>
        <v>31.333333333333332</v>
      </c>
      <c r="AB13" s="65">
        <f t="shared" si="7"/>
        <v>0</v>
      </c>
      <c r="AC13" s="311">
        <f t="shared" si="7"/>
        <v>31.333333333333332</v>
      </c>
      <c r="AD13" s="301" t="s">
        <v>15</v>
      </c>
    </row>
    <row r="14" spans="1:30" hidden="1">
      <c r="A14" s="302">
        <v>8</v>
      </c>
      <c r="B14" s="313" t="s">
        <v>1990</v>
      </c>
      <c r="C14" s="302" t="s">
        <v>1976</v>
      </c>
      <c r="D14" s="305" t="s">
        <v>1991</v>
      </c>
      <c r="E14" s="306">
        <v>10</v>
      </c>
      <c r="F14" s="307">
        <v>5</v>
      </c>
      <c r="G14" s="302"/>
      <c r="H14" s="294">
        <f t="shared" si="0"/>
        <v>5</v>
      </c>
      <c r="I14" s="307"/>
      <c r="J14" s="302"/>
      <c r="K14" s="294">
        <f t="shared" si="1"/>
        <v>0</v>
      </c>
      <c r="L14" s="307">
        <v>10</v>
      </c>
      <c r="M14" s="302"/>
      <c r="N14" s="294">
        <f t="shared" si="2"/>
        <v>10</v>
      </c>
      <c r="O14" s="307">
        <v>6</v>
      </c>
      <c r="P14" s="302"/>
      <c r="Q14" s="294">
        <f t="shared" si="3"/>
        <v>6</v>
      </c>
      <c r="R14" s="307"/>
      <c r="S14" s="302"/>
      <c r="T14" s="294">
        <f t="shared" si="4"/>
        <v>0</v>
      </c>
      <c r="U14" s="307"/>
      <c r="V14" s="302"/>
      <c r="W14" s="291">
        <f t="shared" si="5"/>
        <v>0</v>
      </c>
      <c r="X14" s="308">
        <f t="shared" si="6"/>
        <v>21</v>
      </c>
      <c r="Y14" s="64">
        <f t="shared" si="6"/>
        <v>0</v>
      </c>
      <c r="Z14" s="309">
        <f t="shared" si="6"/>
        <v>21</v>
      </c>
      <c r="AA14" s="310">
        <f t="shared" si="7"/>
        <v>3.5</v>
      </c>
      <c r="AB14" s="65">
        <f t="shared" si="7"/>
        <v>0</v>
      </c>
      <c r="AC14" s="311">
        <f t="shared" si="7"/>
        <v>3.5</v>
      </c>
      <c r="AD14" s="301" t="s">
        <v>15</v>
      </c>
    </row>
    <row r="15" spans="1:30" hidden="1">
      <c r="A15" s="289">
        <v>9</v>
      </c>
      <c r="B15" s="313" t="s">
        <v>1992</v>
      </c>
      <c r="C15" s="302" t="s">
        <v>1976</v>
      </c>
      <c r="D15" s="291" t="s">
        <v>1993</v>
      </c>
      <c r="E15" s="306">
        <v>10</v>
      </c>
      <c r="F15" s="307">
        <v>25</v>
      </c>
      <c r="G15" s="302"/>
      <c r="H15" s="294">
        <f t="shared" si="0"/>
        <v>25</v>
      </c>
      <c r="I15" s="307">
        <v>10</v>
      </c>
      <c r="J15" s="302"/>
      <c r="K15" s="294">
        <f t="shared" si="1"/>
        <v>10</v>
      </c>
      <c r="L15" s="307">
        <v>25</v>
      </c>
      <c r="M15" s="302"/>
      <c r="N15" s="294">
        <f t="shared" si="2"/>
        <v>25</v>
      </c>
      <c r="O15" s="307">
        <v>40</v>
      </c>
      <c r="P15" s="302"/>
      <c r="Q15" s="294">
        <f t="shared" si="3"/>
        <v>40</v>
      </c>
      <c r="R15" s="307"/>
      <c r="S15" s="302"/>
      <c r="T15" s="294">
        <f t="shared" si="4"/>
        <v>0</v>
      </c>
      <c r="U15" s="307"/>
      <c r="V15" s="302"/>
      <c r="W15" s="291">
        <f t="shared" si="5"/>
        <v>0</v>
      </c>
      <c r="X15" s="308">
        <f t="shared" si="6"/>
        <v>100</v>
      </c>
      <c r="Y15" s="64">
        <f t="shared" si="6"/>
        <v>0</v>
      </c>
      <c r="Z15" s="309">
        <f t="shared" si="6"/>
        <v>100</v>
      </c>
      <c r="AA15" s="310">
        <f t="shared" si="7"/>
        <v>16.666666666666668</v>
      </c>
      <c r="AB15" s="65">
        <f t="shared" si="7"/>
        <v>0</v>
      </c>
      <c r="AC15" s="311">
        <f t="shared" si="7"/>
        <v>16.666666666666668</v>
      </c>
      <c r="AD15" s="301" t="s">
        <v>15</v>
      </c>
    </row>
    <row r="16" spans="1:30" hidden="1">
      <c r="A16" s="302">
        <v>10</v>
      </c>
      <c r="B16" s="313" t="s">
        <v>1994</v>
      </c>
      <c r="C16" s="302" t="s">
        <v>1976</v>
      </c>
      <c r="D16" s="305" t="s">
        <v>1995</v>
      </c>
      <c r="E16" s="306">
        <v>35</v>
      </c>
      <c r="F16" s="307">
        <v>50</v>
      </c>
      <c r="G16" s="302"/>
      <c r="H16" s="294">
        <f t="shared" si="0"/>
        <v>50</v>
      </c>
      <c r="I16" s="307">
        <v>15</v>
      </c>
      <c r="J16" s="302"/>
      <c r="K16" s="294">
        <f t="shared" si="1"/>
        <v>15</v>
      </c>
      <c r="L16" s="307">
        <v>50</v>
      </c>
      <c r="M16" s="302"/>
      <c r="N16" s="294">
        <f t="shared" si="2"/>
        <v>50</v>
      </c>
      <c r="O16" s="307">
        <v>50</v>
      </c>
      <c r="P16" s="302"/>
      <c r="Q16" s="294">
        <f t="shared" si="3"/>
        <v>50</v>
      </c>
      <c r="R16" s="307"/>
      <c r="S16" s="302"/>
      <c r="T16" s="294">
        <f t="shared" si="4"/>
        <v>0</v>
      </c>
      <c r="U16" s="307">
        <v>40</v>
      </c>
      <c r="V16" s="302"/>
      <c r="W16" s="291">
        <f t="shared" si="5"/>
        <v>40</v>
      </c>
      <c r="X16" s="308">
        <f t="shared" si="6"/>
        <v>205</v>
      </c>
      <c r="Y16" s="64">
        <f t="shared" si="6"/>
        <v>0</v>
      </c>
      <c r="Z16" s="309">
        <f t="shared" si="6"/>
        <v>205</v>
      </c>
      <c r="AA16" s="310">
        <f t="shared" si="7"/>
        <v>34.166666666666664</v>
      </c>
      <c r="AB16" s="65">
        <f t="shared" si="7"/>
        <v>0</v>
      </c>
      <c r="AC16" s="311">
        <f t="shared" si="7"/>
        <v>34.166666666666664</v>
      </c>
      <c r="AD16" s="301" t="s">
        <v>15</v>
      </c>
    </row>
    <row r="17" spans="1:30" hidden="1">
      <c r="A17" s="289">
        <v>11</v>
      </c>
      <c r="B17" s="313" t="s">
        <v>1996</v>
      </c>
      <c r="C17" s="302" t="s">
        <v>1976</v>
      </c>
      <c r="D17" s="291" t="s">
        <v>1997</v>
      </c>
      <c r="E17" s="306">
        <v>10</v>
      </c>
      <c r="F17" s="307">
        <v>6</v>
      </c>
      <c r="G17" s="302"/>
      <c r="H17" s="294">
        <f t="shared" si="0"/>
        <v>6</v>
      </c>
      <c r="I17" s="307">
        <v>5</v>
      </c>
      <c r="J17" s="302"/>
      <c r="K17" s="294">
        <f t="shared" si="1"/>
        <v>5</v>
      </c>
      <c r="L17" s="307">
        <v>6</v>
      </c>
      <c r="M17" s="302"/>
      <c r="N17" s="294">
        <f t="shared" si="2"/>
        <v>6</v>
      </c>
      <c r="O17" s="307">
        <v>6</v>
      </c>
      <c r="P17" s="302"/>
      <c r="Q17" s="294">
        <f t="shared" si="3"/>
        <v>6</v>
      </c>
      <c r="R17" s="307"/>
      <c r="S17" s="302"/>
      <c r="T17" s="294">
        <f t="shared" si="4"/>
        <v>0</v>
      </c>
      <c r="U17" s="307"/>
      <c r="V17" s="302"/>
      <c r="W17" s="291">
        <f t="shared" si="5"/>
        <v>0</v>
      </c>
      <c r="X17" s="308">
        <f t="shared" si="6"/>
        <v>23</v>
      </c>
      <c r="Y17" s="64">
        <f t="shared" si="6"/>
        <v>0</v>
      </c>
      <c r="Z17" s="309">
        <f t="shared" si="6"/>
        <v>23</v>
      </c>
      <c r="AA17" s="310">
        <f t="shared" si="7"/>
        <v>3.8333333333333335</v>
      </c>
      <c r="AB17" s="65">
        <f t="shared" si="7"/>
        <v>0</v>
      </c>
      <c r="AC17" s="311">
        <f t="shared" si="7"/>
        <v>3.8333333333333335</v>
      </c>
      <c r="AD17" s="301" t="s">
        <v>15</v>
      </c>
    </row>
    <row r="18" spans="1:30" hidden="1">
      <c r="A18" s="302">
        <v>12</v>
      </c>
      <c r="B18" s="313" t="s">
        <v>1998</v>
      </c>
      <c r="C18" s="302" t="s">
        <v>1976</v>
      </c>
      <c r="D18" s="305" t="s">
        <v>1999</v>
      </c>
      <c r="E18" s="306">
        <v>15</v>
      </c>
      <c r="F18" s="307">
        <v>15</v>
      </c>
      <c r="G18" s="302"/>
      <c r="H18" s="294">
        <f t="shared" si="0"/>
        <v>15</v>
      </c>
      <c r="I18" s="307">
        <v>6</v>
      </c>
      <c r="J18" s="302"/>
      <c r="K18" s="294">
        <f t="shared" si="1"/>
        <v>6</v>
      </c>
      <c r="L18" s="307">
        <v>56</v>
      </c>
      <c r="M18" s="302"/>
      <c r="N18" s="294">
        <f t="shared" si="2"/>
        <v>56</v>
      </c>
      <c r="O18" s="307">
        <v>12</v>
      </c>
      <c r="P18" s="302"/>
      <c r="Q18" s="294">
        <f t="shared" si="3"/>
        <v>12</v>
      </c>
      <c r="R18" s="307"/>
      <c r="S18" s="302"/>
      <c r="T18" s="294">
        <f t="shared" si="4"/>
        <v>0</v>
      </c>
      <c r="U18" s="307">
        <v>6</v>
      </c>
      <c r="V18" s="302"/>
      <c r="W18" s="291">
        <f t="shared" si="5"/>
        <v>6</v>
      </c>
      <c r="X18" s="308">
        <f t="shared" si="6"/>
        <v>95</v>
      </c>
      <c r="Y18" s="64">
        <f t="shared" si="6"/>
        <v>0</v>
      </c>
      <c r="Z18" s="309">
        <f t="shared" si="6"/>
        <v>95</v>
      </c>
      <c r="AA18" s="310">
        <f t="shared" si="7"/>
        <v>15.833333333333334</v>
      </c>
      <c r="AB18" s="65">
        <f t="shared" si="7"/>
        <v>0</v>
      </c>
      <c r="AC18" s="311">
        <f t="shared" si="7"/>
        <v>15.833333333333334</v>
      </c>
      <c r="AD18" s="301" t="s">
        <v>18</v>
      </c>
    </row>
    <row r="19" spans="1:30" hidden="1">
      <c r="A19" s="289">
        <v>13</v>
      </c>
      <c r="B19" s="313" t="s">
        <v>2000</v>
      </c>
      <c r="C19" s="302" t="s">
        <v>1976</v>
      </c>
      <c r="D19" s="291" t="s">
        <v>2001</v>
      </c>
      <c r="E19" s="306">
        <v>10</v>
      </c>
      <c r="F19" s="307">
        <v>16</v>
      </c>
      <c r="G19" s="302"/>
      <c r="H19" s="294">
        <f t="shared" si="0"/>
        <v>16</v>
      </c>
      <c r="I19" s="307">
        <v>10.5</v>
      </c>
      <c r="J19" s="302"/>
      <c r="K19" s="294">
        <f t="shared" si="1"/>
        <v>10.5</v>
      </c>
      <c r="L19" s="307">
        <v>18</v>
      </c>
      <c r="M19" s="302"/>
      <c r="N19" s="294">
        <f t="shared" si="2"/>
        <v>18</v>
      </c>
      <c r="O19" s="307">
        <v>10.5</v>
      </c>
      <c r="P19" s="302"/>
      <c r="Q19" s="294">
        <f t="shared" si="3"/>
        <v>10.5</v>
      </c>
      <c r="R19" s="307"/>
      <c r="S19" s="302"/>
      <c r="T19" s="294">
        <f t="shared" si="4"/>
        <v>0</v>
      </c>
      <c r="U19" s="307"/>
      <c r="V19" s="302"/>
      <c r="W19" s="291">
        <f t="shared" si="5"/>
        <v>0</v>
      </c>
      <c r="X19" s="308">
        <f t="shared" si="6"/>
        <v>55</v>
      </c>
      <c r="Y19" s="64">
        <f t="shared" si="6"/>
        <v>0</v>
      </c>
      <c r="Z19" s="309">
        <f t="shared" si="6"/>
        <v>55</v>
      </c>
      <c r="AA19" s="310">
        <f t="shared" si="7"/>
        <v>9.1666666666666661</v>
      </c>
      <c r="AB19" s="65">
        <f t="shared" si="7"/>
        <v>0</v>
      </c>
      <c r="AC19" s="311">
        <f t="shared" si="7"/>
        <v>9.1666666666666661</v>
      </c>
      <c r="AD19" s="301" t="s">
        <v>18</v>
      </c>
    </row>
    <row r="20" spans="1:30" hidden="1">
      <c r="A20" s="302">
        <v>14</v>
      </c>
      <c r="B20" s="313" t="s">
        <v>2002</v>
      </c>
      <c r="C20" s="302" t="s">
        <v>1976</v>
      </c>
      <c r="D20" s="305" t="s">
        <v>2003</v>
      </c>
      <c r="E20" s="306">
        <v>20</v>
      </c>
      <c r="F20" s="307">
        <v>18</v>
      </c>
      <c r="G20" s="302"/>
      <c r="H20" s="294">
        <f t="shared" si="0"/>
        <v>18</v>
      </c>
      <c r="I20" s="307">
        <v>10</v>
      </c>
      <c r="J20" s="302"/>
      <c r="K20" s="294">
        <f t="shared" si="1"/>
        <v>10</v>
      </c>
      <c r="L20" s="307">
        <v>56</v>
      </c>
      <c r="M20" s="302"/>
      <c r="N20" s="294">
        <f t="shared" si="2"/>
        <v>56</v>
      </c>
      <c r="O20" s="307">
        <v>13.5</v>
      </c>
      <c r="P20" s="302"/>
      <c r="Q20" s="294">
        <f t="shared" si="3"/>
        <v>13.5</v>
      </c>
      <c r="R20" s="307"/>
      <c r="S20" s="302"/>
      <c r="T20" s="294">
        <f t="shared" si="4"/>
        <v>0</v>
      </c>
      <c r="U20" s="307">
        <v>15</v>
      </c>
      <c r="V20" s="302"/>
      <c r="W20" s="291">
        <f t="shared" si="5"/>
        <v>15</v>
      </c>
      <c r="X20" s="308">
        <f t="shared" si="6"/>
        <v>112.5</v>
      </c>
      <c r="Y20" s="64">
        <f t="shared" si="6"/>
        <v>0</v>
      </c>
      <c r="Z20" s="309">
        <f t="shared" si="6"/>
        <v>112.5</v>
      </c>
      <c r="AA20" s="310">
        <f t="shared" si="7"/>
        <v>18.75</v>
      </c>
      <c r="AB20" s="65">
        <f t="shared" si="7"/>
        <v>0</v>
      </c>
      <c r="AC20" s="311">
        <f t="shared" si="7"/>
        <v>18.75</v>
      </c>
      <c r="AD20" s="301" t="s">
        <v>18</v>
      </c>
    </row>
    <row r="21" spans="1:30" ht="15.75" hidden="1" customHeight="1">
      <c r="A21" s="289">
        <v>15</v>
      </c>
      <c r="B21" s="313" t="s">
        <v>2004</v>
      </c>
      <c r="C21" s="302" t="s">
        <v>1976</v>
      </c>
      <c r="D21" s="291" t="s">
        <v>2005</v>
      </c>
      <c r="E21" s="306">
        <v>10</v>
      </c>
      <c r="F21" s="307"/>
      <c r="G21" s="302"/>
      <c r="H21" s="294">
        <f t="shared" si="0"/>
        <v>0</v>
      </c>
      <c r="I21" s="307">
        <v>7.5</v>
      </c>
      <c r="J21" s="302"/>
      <c r="K21" s="294">
        <f t="shared" si="1"/>
        <v>7.5</v>
      </c>
      <c r="L21" s="307">
        <v>15</v>
      </c>
      <c r="M21" s="302"/>
      <c r="N21" s="294">
        <f t="shared" si="2"/>
        <v>15</v>
      </c>
      <c r="O21" s="307">
        <v>15</v>
      </c>
      <c r="P21" s="302"/>
      <c r="Q21" s="294">
        <f t="shared" si="3"/>
        <v>15</v>
      </c>
      <c r="R21" s="307"/>
      <c r="S21" s="302"/>
      <c r="T21" s="294">
        <f t="shared" si="4"/>
        <v>0</v>
      </c>
      <c r="U21" s="307">
        <v>25</v>
      </c>
      <c r="V21" s="302"/>
      <c r="W21" s="291">
        <f t="shared" si="5"/>
        <v>25</v>
      </c>
      <c r="X21" s="308">
        <f t="shared" si="6"/>
        <v>62.5</v>
      </c>
      <c r="Y21" s="64">
        <f t="shared" si="6"/>
        <v>0</v>
      </c>
      <c r="Z21" s="309">
        <f t="shared" si="6"/>
        <v>62.5</v>
      </c>
      <c r="AA21" s="310">
        <f t="shared" si="7"/>
        <v>10.416666666666666</v>
      </c>
      <c r="AB21" s="65">
        <f t="shared" si="7"/>
        <v>0</v>
      </c>
      <c r="AC21" s="311">
        <f t="shared" si="7"/>
        <v>10.416666666666666</v>
      </c>
      <c r="AD21" s="301" t="s">
        <v>18</v>
      </c>
    </row>
    <row r="22" spans="1:30" ht="15.75" hidden="1" customHeight="1">
      <c r="A22" s="302">
        <v>16</v>
      </c>
      <c r="B22" s="313" t="s">
        <v>2006</v>
      </c>
      <c r="C22" s="302" t="s">
        <v>1976</v>
      </c>
      <c r="D22" s="305" t="s">
        <v>2007</v>
      </c>
      <c r="E22" s="306">
        <v>10</v>
      </c>
      <c r="F22" s="307">
        <v>10</v>
      </c>
      <c r="G22" s="302"/>
      <c r="H22" s="294">
        <f t="shared" si="0"/>
        <v>10</v>
      </c>
      <c r="I22" s="307">
        <v>20</v>
      </c>
      <c r="J22" s="302"/>
      <c r="K22" s="294">
        <f t="shared" si="1"/>
        <v>20</v>
      </c>
      <c r="L22" s="307">
        <v>9</v>
      </c>
      <c r="M22" s="302"/>
      <c r="N22" s="294">
        <f t="shared" si="2"/>
        <v>9</v>
      </c>
      <c r="O22" s="307">
        <v>15</v>
      </c>
      <c r="P22" s="302"/>
      <c r="Q22" s="294">
        <f t="shared" si="3"/>
        <v>15</v>
      </c>
      <c r="R22" s="307"/>
      <c r="S22" s="302"/>
      <c r="T22" s="294">
        <f t="shared" si="4"/>
        <v>0</v>
      </c>
      <c r="U22" s="307"/>
      <c r="V22" s="302"/>
      <c r="W22" s="291">
        <f t="shared" si="5"/>
        <v>0</v>
      </c>
      <c r="X22" s="308">
        <f t="shared" si="6"/>
        <v>54</v>
      </c>
      <c r="Y22" s="64">
        <f t="shared" si="6"/>
        <v>0</v>
      </c>
      <c r="Z22" s="309">
        <f t="shared" si="6"/>
        <v>54</v>
      </c>
      <c r="AA22" s="310">
        <f t="shared" si="7"/>
        <v>9</v>
      </c>
      <c r="AB22" s="65">
        <f t="shared" si="7"/>
        <v>0</v>
      </c>
      <c r="AC22" s="311">
        <f t="shared" si="7"/>
        <v>9</v>
      </c>
      <c r="AD22" s="301" t="s">
        <v>15</v>
      </c>
    </row>
    <row r="23" spans="1:30" ht="15.75" hidden="1" customHeight="1">
      <c r="A23" s="289">
        <v>17</v>
      </c>
      <c r="B23" s="313" t="s">
        <v>441</v>
      </c>
      <c r="C23" s="302" t="s">
        <v>1976</v>
      </c>
      <c r="D23" s="291" t="s">
        <v>2008</v>
      </c>
      <c r="E23" s="306">
        <v>5</v>
      </c>
      <c r="F23" s="307">
        <v>5</v>
      </c>
      <c r="G23" s="302"/>
      <c r="H23" s="294">
        <f t="shared" si="0"/>
        <v>5</v>
      </c>
      <c r="I23" s="307">
        <v>6</v>
      </c>
      <c r="J23" s="302"/>
      <c r="K23" s="294">
        <f t="shared" si="1"/>
        <v>6</v>
      </c>
      <c r="L23" s="307">
        <v>30</v>
      </c>
      <c r="M23" s="302"/>
      <c r="N23" s="294">
        <f t="shared" si="2"/>
        <v>30</v>
      </c>
      <c r="O23" s="307">
        <v>25</v>
      </c>
      <c r="P23" s="302"/>
      <c r="Q23" s="294">
        <f t="shared" si="3"/>
        <v>25</v>
      </c>
      <c r="R23" s="307"/>
      <c r="S23" s="302"/>
      <c r="T23" s="294">
        <f t="shared" si="4"/>
        <v>0</v>
      </c>
      <c r="U23" s="307"/>
      <c r="V23" s="302"/>
      <c r="W23" s="291">
        <f t="shared" si="5"/>
        <v>0</v>
      </c>
      <c r="X23" s="308">
        <f t="shared" si="6"/>
        <v>66</v>
      </c>
      <c r="Y23" s="64">
        <f t="shared" si="6"/>
        <v>0</v>
      </c>
      <c r="Z23" s="309">
        <f t="shared" si="6"/>
        <v>66</v>
      </c>
      <c r="AA23" s="310">
        <f t="shared" si="7"/>
        <v>11</v>
      </c>
      <c r="AB23" s="65">
        <f t="shared" si="7"/>
        <v>0</v>
      </c>
      <c r="AC23" s="311">
        <f t="shared" si="7"/>
        <v>11</v>
      </c>
      <c r="AD23" s="301" t="s">
        <v>15</v>
      </c>
    </row>
    <row r="24" spans="1:30" ht="15.75" hidden="1" customHeight="1">
      <c r="A24" s="302">
        <v>18</v>
      </c>
      <c r="B24" s="313" t="s">
        <v>2009</v>
      </c>
      <c r="C24" s="302" t="s">
        <v>1976</v>
      </c>
      <c r="D24" s="305" t="s">
        <v>2010</v>
      </c>
      <c r="E24" s="306">
        <v>8</v>
      </c>
      <c r="F24" s="307">
        <v>5</v>
      </c>
      <c r="G24" s="302"/>
      <c r="H24" s="294">
        <f t="shared" si="0"/>
        <v>5</v>
      </c>
      <c r="I24" s="307">
        <v>10</v>
      </c>
      <c r="J24" s="302"/>
      <c r="K24" s="294">
        <f t="shared" si="1"/>
        <v>10</v>
      </c>
      <c r="L24" s="307">
        <v>36</v>
      </c>
      <c r="M24" s="302"/>
      <c r="N24" s="294">
        <f t="shared" si="2"/>
        <v>36</v>
      </c>
      <c r="O24" s="307"/>
      <c r="P24" s="302"/>
      <c r="Q24" s="294">
        <f t="shared" si="3"/>
        <v>0</v>
      </c>
      <c r="R24" s="307"/>
      <c r="S24" s="302"/>
      <c r="T24" s="294">
        <f t="shared" si="4"/>
        <v>0</v>
      </c>
      <c r="U24" s="307"/>
      <c r="V24" s="302"/>
      <c r="W24" s="291">
        <f t="shared" si="5"/>
        <v>0</v>
      </c>
      <c r="X24" s="308">
        <f t="shared" si="6"/>
        <v>51</v>
      </c>
      <c r="Y24" s="64">
        <f t="shared" si="6"/>
        <v>0</v>
      </c>
      <c r="Z24" s="309">
        <f t="shared" si="6"/>
        <v>51</v>
      </c>
      <c r="AA24" s="310">
        <f t="shared" si="7"/>
        <v>8.5</v>
      </c>
      <c r="AB24" s="65">
        <f t="shared" si="7"/>
        <v>0</v>
      </c>
      <c r="AC24" s="311">
        <f t="shared" si="7"/>
        <v>8.5</v>
      </c>
      <c r="AD24" s="301" t="s">
        <v>15</v>
      </c>
    </row>
    <row r="25" spans="1:30" ht="15.75" hidden="1" customHeight="1">
      <c r="A25" s="289">
        <v>19</v>
      </c>
      <c r="B25" s="313" t="s">
        <v>2011</v>
      </c>
      <c r="C25" s="302" t="s">
        <v>1976</v>
      </c>
      <c r="D25" s="291" t="s">
        <v>2012</v>
      </c>
      <c r="E25" s="306">
        <v>15</v>
      </c>
      <c r="F25" s="307">
        <v>6</v>
      </c>
      <c r="G25" s="302"/>
      <c r="H25" s="294">
        <f t="shared" si="0"/>
        <v>6</v>
      </c>
      <c r="I25" s="307">
        <v>25</v>
      </c>
      <c r="J25" s="302"/>
      <c r="K25" s="294">
        <f t="shared" si="1"/>
        <v>25</v>
      </c>
      <c r="L25" s="307">
        <v>45</v>
      </c>
      <c r="M25" s="302"/>
      <c r="N25" s="294">
        <f t="shared" si="2"/>
        <v>45</v>
      </c>
      <c r="O25" s="307">
        <v>20</v>
      </c>
      <c r="P25" s="302"/>
      <c r="Q25" s="294">
        <f t="shared" si="3"/>
        <v>20</v>
      </c>
      <c r="R25" s="307"/>
      <c r="S25" s="302"/>
      <c r="T25" s="294">
        <f t="shared" si="4"/>
        <v>0</v>
      </c>
      <c r="U25" s="307">
        <v>20</v>
      </c>
      <c r="V25" s="302"/>
      <c r="W25" s="291">
        <f t="shared" si="5"/>
        <v>20</v>
      </c>
      <c r="X25" s="308">
        <f t="shared" si="6"/>
        <v>116</v>
      </c>
      <c r="Y25" s="64">
        <f t="shared" si="6"/>
        <v>0</v>
      </c>
      <c r="Z25" s="309">
        <f t="shared" si="6"/>
        <v>116</v>
      </c>
      <c r="AA25" s="310">
        <f t="shared" si="7"/>
        <v>19.333333333333332</v>
      </c>
      <c r="AB25" s="65">
        <f t="shared" si="7"/>
        <v>0</v>
      </c>
      <c r="AC25" s="311">
        <f t="shared" si="7"/>
        <v>19.333333333333332</v>
      </c>
      <c r="AD25" s="301" t="s">
        <v>18</v>
      </c>
    </row>
    <row r="26" spans="1:30" ht="15.75" hidden="1" customHeight="1">
      <c r="A26" s="302">
        <v>20</v>
      </c>
      <c r="B26" s="313" t="s">
        <v>2013</v>
      </c>
      <c r="C26" s="302" t="s">
        <v>1976</v>
      </c>
      <c r="D26" s="305" t="s">
        <v>2014</v>
      </c>
      <c r="E26" s="315">
        <v>10</v>
      </c>
      <c r="F26" s="307"/>
      <c r="G26" s="302"/>
      <c r="H26" s="294">
        <f t="shared" si="0"/>
        <v>0</v>
      </c>
      <c r="I26" s="307">
        <v>12</v>
      </c>
      <c r="J26" s="302"/>
      <c r="K26" s="294">
        <f t="shared" si="1"/>
        <v>12</v>
      </c>
      <c r="L26" s="307">
        <v>30</v>
      </c>
      <c r="M26" s="302"/>
      <c r="N26" s="294">
        <f t="shared" si="2"/>
        <v>30</v>
      </c>
      <c r="O26" s="307">
        <v>10</v>
      </c>
      <c r="P26" s="302"/>
      <c r="Q26" s="294">
        <f t="shared" si="3"/>
        <v>10</v>
      </c>
      <c r="R26" s="307"/>
      <c r="S26" s="302"/>
      <c r="T26" s="294">
        <f t="shared" si="4"/>
        <v>0</v>
      </c>
      <c r="U26" s="307"/>
      <c r="V26" s="302"/>
      <c r="W26" s="291">
        <f t="shared" si="5"/>
        <v>0</v>
      </c>
      <c r="X26" s="308">
        <f t="shared" si="6"/>
        <v>52</v>
      </c>
      <c r="Y26" s="64">
        <f t="shared" si="6"/>
        <v>0</v>
      </c>
      <c r="Z26" s="309">
        <f t="shared" si="6"/>
        <v>52</v>
      </c>
      <c r="AA26" s="310">
        <f t="shared" si="7"/>
        <v>8.6666666666666661</v>
      </c>
      <c r="AB26" s="65">
        <f t="shared" si="7"/>
        <v>0</v>
      </c>
      <c r="AC26" s="311">
        <f t="shared" si="7"/>
        <v>8.6666666666666661</v>
      </c>
      <c r="AD26" s="301" t="s">
        <v>15</v>
      </c>
    </row>
    <row r="27" spans="1:30" ht="15.75" hidden="1" customHeight="1">
      <c r="A27" s="289">
        <v>21</v>
      </c>
      <c r="B27" s="313" t="s">
        <v>2015</v>
      </c>
      <c r="C27" s="302" t="s">
        <v>1976</v>
      </c>
      <c r="D27" s="291" t="s">
        <v>2016</v>
      </c>
      <c r="E27" s="306">
        <v>5</v>
      </c>
      <c r="F27" s="307">
        <v>8</v>
      </c>
      <c r="G27" s="302"/>
      <c r="H27" s="294">
        <f t="shared" si="0"/>
        <v>8</v>
      </c>
      <c r="I27" s="307">
        <v>10</v>
      </c>
      <c r="J27" s="302"/>
      <c r="K27" s="294">
        <f t="shared" si="1"/>
        <v>10</v>
      </c>
      <c r="L27" s="307">
        <v>38</v>
      </c>
      <c r="M27" s="302"/>
      <c r="N27" s="294">
        <f t="shared" si="2"/>
        <v>38</v>
      </c>
      <c r="O27" s="307"/>
      <c r="P27" s="302"/>
      <c r="Q27" s="294">
        <f t="shared" si="3"/>
        <v>0</v>
      </c>
      <c r="R27" s="307"/>
      <c r="S27" s="302"/>
      <c r="T27" s="294">
        <f t="shared" si="4"/>
        <v>0</v>
      </c>
      <c r="U27" s="307">
        <v>25</v>
      </c>
      <c r="V27" s="302"/>
      <c r="W27" s="291">
        <f t="shared" si="5"/>
        <v>25</v>
      </c>
      <c r="X27" s="308">
        <f t="shared" si="6"/>
        <v>81</v>
      </c>
      <c r="Y27" s="64">
        <f t="shared" si="6"/>
        <v>0</v>
      </c>
      <c r="Z27" s="309">
        <f t="shared" si="6"/>
        <v>81</v>
      </c>
      <c r="AA27" s="310">
        <f t="shared" si="7"/>
        <v>13.5</v>
      </c>
      <c r="AB27" s="65">
        <f t="shared" si="7"/>
        <v>0</v>
      </c>
      <c r="AC27" s="311">
        <f t="shared" si="7"/>
        <v>13.5</v>
      </c>
      <c r="AD27" s="301" t="s">
        <v>909</v>
      </c>
    </row>
    <row r="28" spans="1:30" ht="15.75" hidden="1" customHeight="1">
      <c r="A28" s="302">
        <v>22</v>
      </c>
      <c r="B28" s="313" t="s">
        <v>2017</v>
      </c>
      <c r="C28" s="302" t="s">
        <v>1976</v>
      </c>
      <c r="D28" s="305" t="s">
        <v>2018</v>
      </c>
      <c r="E28" s="306">
        <v>4</v>
      </c>
      <c r="F28" s="307">
        <v>5</v>
      </c>
      <c r="G28" s="302"/>
      <c r="H28" s="294">
        <f t="shared" si="0"/>
        <v>5</v>
      </c>
      <c r="I28" s="307"/>
      <c r="J28" s="302"/>
      <c r="K28" s="294">
        <f t="shared" si="1"/>
        <v>0</v>
      </c>
      <c r="L28" s="307">
        <v>15</v>
      </c>
      <c r="M28" s="302"/>
      <c r="N28" s="294">
        <f t="shared" si="2"/>
        <v>15</v>
      </c>
      <c r="O28" s="307"/>
      <c r="P28" s="302"/>
      <c r="Q28" s="294">
        <f t="shared" si="3"/>
        <v>0</v>
      </c>
      <c r="R28" s="307"/>
      <c r="S28" s="302"/>
      <c r="T28" s="294">
        <f t="shared" si="4"/>
        <v>0</v>
      </c>
      <c r="U28" s="307"/>
      <c r="V28" s="302"/>
      <c r="W28" s="291">
        <f t="shared" si="5"/>
        <v>0</v>
      </c>
      <c r="X28" s="308">
        <f t="shared" si="6"/>
        <v>20</v>
      </c>
      <c r="Y28" s="64">
        <f t="shared" si="6"/>
        <v>0</v>
      </c>
      <c r="Z28" s="309">
        <f t="shared" si="6"/>
        <v>20</v>
      </c>
      <c r="AA28" s="310">
        <f t="shared" si="7"/>
        <v>3.3333333333333335</v>
      </c>
      <c r="AB28" s="65">
        <f t="shared" si="7"/>
        <v>0</v>
      </c>
      <c r="AC28" s="311">
        <f t="shared" si="7"/>
        <v>3.3333333333333335</v>
      </c>
      <c r="AD28" s="301" t="s">
        <v>15</v>
      </c>
    </row>
    <row r="29" spans="1:30" ht="15.75" hidden="1" customHeight="1">
      <c r="A29" s="289">
        <v>23</v>
      </c>
      <c r="B29" s="313" t="s">
        <v>2019</v>
      </c>
      <c r="C29" s="302" t="s">
        <v>1976</v>
      </c>
      <c r="D29" s="291" t="s">
        <v>2020</v>
      </c>
      <c r="E29" s="306">
        <v>12</v>
      </c>
      <c r="F29" s="307"/>
      <c r="G29" s="302"/>
      <c r="H29" s="294">
        <f t="shared" si="0"/>
        <v>0</v>
      </c>
      <c r="I29" s="307"/>
      <c r="J29" s="302"/>
      <c r="K29" s="294">
        <f t="shared" si="1"/>
        <v>0</v>
      </c>
      <c r="L29" s="307">
        <v>25</v>
      </c>
      <c r="M29" s="302"/>
      <c r="N29" s="294">
        <f t="shared" si="2"/>
        <v>25</v>
      </c>
      <c r="O29" s="307">
        <v>10</v>
      </c>
      <c r="P29" s="302"/>
      <c r="Q29" s="294">
        <f t="shared" si="3"/>
        <v>10</v>
      </c>
      <c r="R29" s="307"/>
      <c r="S29" s="302"/>
      <c r="T29" s="294">
        <f t="shared" si="4"/>
        <v>0</v>
      </c>
      <c r="U29" s="307"/>
      <c r="V29" s="302"/>
      <c r="W29" s="291">
        <f t="shared" si="5"/>
        <v>0</v>
      </c>
      <c r="X29" s="308">
        <f t="shared" si="6"/>
        <v>35</v>
      </c>
      <c r="Y29" s="64">
        <f t="shared" si="6"/>
        <v>0</v>
      </c>
      <c r="Z29" s="309">
        <f t="shared" si="6"/>
        <v>35</v>
      </c>
      <c r="AA29" s="310">
        <f t="shared" si="7"/>
        <v>5.833333333333333</v>
      </c>
      <c r="AB29" s="65">
        <f t="shared" si="7"/>
        <v>0</v>
      </c>
      <c r="AC29" s="311">
        <f t="shared" si="7"/>
        <v>5.833333333333333</v>
      </c>
      <c r="AD29" s="301" t="s">
        <v>15</v>
      </c>
    </row>
    <row r="30" spans="1:30" ht="15.75" hidden="1" customHeight="1">
      <c r="A30" s="302">
        <v>24</v>
      </c>
      <c r="B30" s="313" t="s">
        <v>2021</v>
      </c>
      <c r="C30" s="302" t="s">
        <v>1976</v>
      </c>
      <c r="D30" s="305" t="s">
        <v>2022</v>
      </c>
      <c r="E30" s="306">
        <v>6</v>
      </c>
      <c r="F30" s="307">
        <v>5</v>
      </c>
      <c r="G30" s="302"/>
      <c r="H30" s="294">
        <f t="shared" si="0"/>
        <v>5</v>
      </c>
      <c r="I30" s="307">
        <v>10</v>
      </c>
      <c r="J30" s="302"/>
      <c r="K30" s="294">
        <f t="shared" si="1"/>
        <v>10</v>
      </c>
      <c r="L30" s="307">
        <v>8</v>
      </c>
      <c r="M30" s="302"/>
      <c r="N30" s="294">
        <f t="shared" si="2"/>
        <v>8</v>
      </c>
      <c r="O30" s="307">
        <v>12</v>
      </c>
      <c r="P30" s="302"/>
      <c r="Q30" s="294">
        <f t="shared" si="3"/>
        <v>12</v>
      </c>
      <c r="R30" s="307"/>
      <c r="S30" s="302"/>
      <c r="T30" s="294">
        <f t="shared" si="4"/>
        <v>0</v>
      </c>
      <c r="U30" s="307"/>
      <c r="V30" s="302"/>
      <c r="W30" s="291">
        <f t="shared" si="5"/>
        <v>0</v>
      </c>
      <c r="X30" s="308">
        <f t="shared" si="6"/>
        <v>35</v>
      </c>
      <c r="Y30" s="64">
        <f t="shared" si="6"/>
        <v>0</v>
      </c>
      <c r="Z30" s="309">
        <f t="shared" si="6"/>
        <v>35</v>
      </c>
      <c r="AA30" s="310">
        <f t="shared" si="7"/>
        <v>5.833333333333333</v>
      </c>
      <c r="AB30" s="65">
        <f t="shared" si="7"/>
        <v>0</v>
      </c>
      <c r="AC30" s="311">
        <f t="shared" si="7"/>
        <v>5.833333333333333</v>
      </c>
      <c r="AD30" s="301" t="s">
        <v>15</v>
      </c>
    </row>
    <row r="31" spans="1:30" ht="15.75" customHeight="1">
      <c r="A31" s="436">
        <v>25</v>
      </c>
      <c r="B31" s="437" t="s">
        <v>2023</v>
      </c>
      <c r="C31" s="438" t="s">
        <v>1976</v>
      </c>
      <c r="D31" s="439" t="s">
        <v>2024</v>
      </c>
      <c r="E31" s="440">
        <v>291</v>
      </c>
      <c r="F31" s="441">
        <v>204</v>
      </c>
      <c r="G31" s="438">
        <v>0</v>
      </c>
      <c r="H31" s="442">
        <f t="shared" si="0"/>
        <v>204</v>
      </c>
      <c r="I31" s="441">
        <v>336</v>
      </c>
      <c r="J31" s="438">
        <v>0</v>
      </c>
      <c r="K31" s="442">
        <f t="shared" si="1"/>
        <v>336</v>
      </c>
      <c r="L31" s="441">
        <v>322</v>
      </c>
      <c r="M31" s="438">
        <v>0</v>
      </c>
      <c r="N31" s="442">
        <f t="shared" si="2"/>
        <v>322</v>
      </c>
      <c r="O31" s="441">
        <v>326</v>
      </c>
      <c r="P31" s="438">
        <v>0</v>
      </c>
      <c r="Q31" s="442">
        <f t="shared" si="3"/>
        <v>326</v>
      </c>
      <c r="R31" s="441">
        <v>0</v>
      </c>
      <c r="S31" s="438">
        <v>0</v>
      </c>
      <c r="T31" s="442">
        <f t="shared" si="4"/>
        <v>0</v>
      </c>
      <c r="U31" s="441">
        <v>191</v>
      </c>
      <c r="V31" s="438">
        <v>0</v>
      </c>
      <c r="W31" s="439">
        <f t="shared" si="5"/>
        <v>191</v>
      </c>
      <c r="X31" s="443">
        <f t="shared" si="6"/>
        <v>1379</v>
      </c>
      <c r="Y31" s="444">
        <f t="shared" si="6"/>
        <v>0</v>
      </c>
      <c r="Z31" s="445">
        <f t="shared" si="6"/>
        <v>1379</v>
      </c>
      <c r="AA31" s="446">
        <f t="shared" si="7"/>
        <v>229.83333333333334</v>
      </c>
      <c r="AB31" s="447">
        <f t="shared" si="7"/>
        <v>0</v>
      </c>
      <c r="AC31" s="448">
        <f t="shared" si="7"/>
        <v>229.83333333333334</v>
      </c>
      <c r="AD31" s="449" t="s">
        <v>18</v>
      </c>
    </row>
    <row r="32" spans="1:30" ht="15.75" customHeight="1">
      <c r="A32" s="450">
        <v>26</v>
      </c>
      <c r="B32" s="437" t="s">
        <v>2025</v>
      </c>
      <c r="C32" s="438" t="s">
        <v>1976</v>
      </c>
      <c r="D32" s="451" t="s">
        <v>2026</v>
      </c>
      <c r="E32" s="440">
        <v>88</v>
      </c>
      <c r="F32" s="441">
        <v>0</v>
      </c>
      <c r="G32" s="438">
        <v>0</v>
      </c>
      <c r="H32" s="442">
        <f t="shared" si="0"/>
        <v>0</v>
      </c>
      <c r="I32" s="441">
        <v>170</v>
      </c>
      <c r="J32" s="438">
        <v>0</v>
      </c>
      <c r="K32" s="442">
        <f t="shared" si="1"/>
        <v>170</v>
      </c>
      <c r="L32" s="441">
        <v>0</v>
      </c>
      <c r="M32" s="438">
        <v>0</v>
      </c>
      <c r="N32" s="442">
        <f t="shared" si="2"/>
        <v>0</v>
      </c>
      <c r="O32" s="441">
        <v>162</v>
      </c>
      <c r="P32" s="438">
        <v>0</v>
      </c>
      <c r="Q32" s="442">
        <f t="shared" si="3"/>
        <v>162</v>
      </c>
      <c r="R32" s="441">
        <v>0</v>
      </c>
      <c r="S32" s="438">
        <v>0</v>
      </c>
      <c r="T32" s="442">
        <f t="shared" si="4"/>
        <v>0</v>
      </c>
      <c r="U32" s="441">
        <v>250</v>
      </c>
      <c r="V32" s="438">
        <v>0</v>
      </c>
      <c r="W32" s="439">
        <f t="shared" si="5"/>
        <v>250</v>
      </c>
      <c r="X32" s="443">
        <f t="shared" si="6"/>
        <v>582</v>
      </c>
      <c r="Y32" s="444">
        <f t="shared" si="6"/>
        <v>0</v>
      </c>
      <c r="Z32" s="445">
        <f t="shared" si="6"/>
        <v>582</v>
      </c>
      <c r="AA32" s="446">
        <f t="shared" si="7"/>
        <v>97</v>
      </c>
      <c r="AB32" s="447">
        <f t="shared" si="7"/>
        <v>0</v>
      </c>
      <c r="AC32" s="448">
        <f t="shared" si="7"/>
        <v>97</v>
      </c>
      <c r="AD32" s="449" t="s">
        <v>18</v>
      </c>
    </row>
    <row r="33" spans="1:30" ht="15.75" customHeight="1">
      <c r="A33" s="436">
        <v>27</v>
      </c>
      <c r="B33" s="437" t="s">
        <v>2027</v>
      </c>
      <c r="C33" s="438" t="s">
        <v>1976</v>
      </c>
      <c r="D33" s="439" t="s">
        <v>2028</v>
      </c>
      <c r="E33" s="440">
        <v>1410</v>
      </c>
      <c r="F33" s="441">
        <v>1805</v>
      </c>
      <c r="G33" s="438">
        <v>36</v>
      </c>
      <c r="H33" s="442">
        <f t="shared" si="0"/>
        <v>1841</v>
      </c>
      <c r="I33" s="441">
        <v>1510</v>
      </c>
      <c r="J33" s="438">
        <v>0</v>
      </c>
      <c r="K33" s="442">
        <f t="shared" si="1"/>
        <v>1510</v>
      </c>
      <c r="L33" s="441">
        <v>1595</v>
      </c>
      <c r="M33" s="438">
        <v>0</v>
      </c>
      <c r="N33" s="442">
        <f t="shared" si="2"/>
        <v>1595</v>
      </c>
      <c r="O33" s="441">
        <v>1003</v>
      </c>
      <c r="P33" s="438">
        <v>0</v>
      </c>
      <c r="Q33" s="442">
        <f t="shared" si="3"/>
        <v>1003</v>
      </c>
      <c r="R33" s="441">
        <v>2303</v>
      </c>
      <c r="S33" s="438">
        <v>0</v>
      </c>
      <c r="T33" s="442">
        <f t="shared" si="4"/>
        <v>2303</v>
      </c>
      <c r="U33" s="441">
        <v>1192</v>
      </c>
      <c r="V33" s="438">
        <v>0</v>
      </c>
      <c r="W33" s="439">
        <f t="shared" si="5"/>
        <v>1192</v>
      </c>
      <c r="X33" s="443">
        <f t="shared" si="6"/>
        <v>9408</v>
      </c>
      <c r="Y33" s="444">
        <f t="shared" si="6"/>
        <v>36</v>
      </c>
      <c r="Z33" s="445">
        <f t="shared" si="6"/>
        <v>9444</v>
      </c>
      <c r="AA33" s="446">
        <f t="shared" si="7"/>
        <v>1568</v>
      </c>
      <c r="AB33" s="447">
        <f t="shared" si="7"/>
        <v>6</v>
      </c>
      <c r="AC33" s="448">
        <f t="shared" si="7"/>
        <v>1574</v>
      </c>
      <c r="AD33" s="449" t="s">
        <v>18</v>
      </c>
    </row>
    <row r="34" spans="1:30" ht="15.75" customHeight="1">
      <c r="A34" s="450">
        <v>28</v>
      </c>
      <c r="B34" s="437" t="s">
        <v>2029</v>
      </c>
      <c r="C34" s="438" t="s">
        <v>1976</v>
      </c>
      <c r="D34" s="451" t="s">
        <v>2030</v>
      </c>
      <c r="E34" s="440">
        <v>211</v>
      </c>
      <c r="F34" s="441">
        <v>347</v>
      </c>
      <c r="G34" s="438">
        <v>36</v>
      </c>
      <c r="H34" s="442">
        <f t="shared" si="0"/>
        <v>383</v>
      </c>
      <c r="I34" s="441">
        <v>0</v>
      </c>
      <c r="J34" s="438">
        <v>0</v>
      </c>
      <c r="K34" s="442">
        <f t="shared" si="1"/>
        <v>0</v>
      </c>
      <c r="L34" s="441">
        <v>345</v>
      </c>
      <c r="M34" s="438">
        <v>0</v>
      </c>
      <c r="N34" s="442">
        <f t="shared" si="2"/>
        <v>345</v>
      </c>
      <c r="O34" s="441">
        <v>374</v>
      </c>
      <c r="P34" s="438">
        <v>0</v>
      </c>
      <c r="Q34" s="442">
        <f t="shared" si="3"/>
        <v>374</v>
      </c>
      <c r="R34" s="441">
        <v>0</v>
      </c>
      <c r="S34" s="438">
        <v>0</v>
      </c>
      <c r="T34" s="442">
        <f t="shared" si="4"/>
        <v>0</v>
      </c>
      <c r="U34" s="441">
        <v>728</v>
      </c>
      <c r="V34" s="438">
        <v>0</v>
      </c>
      <c r="W34" s="439">
        <f t="shared" si="5"/>
        <v>728</v>
      </c>
      <c r="X34" s="443">
        <f t="shared" si="6"/>
        <v>1794</v>
      </c>
      <c r="Y34" s="444">
        <f t="shared" si="6"/>
        <v>36</v>
      </c>
      <c r="Z34" s="445">
        <f t="shared" si="6"/>
        <v>1830</v>
      </c>
      <c r="AA34" s="446">
        <f t="shared" si="7"/>
        <v>299</v>
      </c>
      <c r="AB34" s="447">
        <f t="shared" si="7"/>
        <v>6</v>
      </c>
      <c r="AC34" s="448">
        <f t="shared" si="7"/>
        <v>305</v>
      </c>
      <c r="AD34" s="449" t="s">
        <v>18</v>
      </c>
    </row>
    <row r="35" spans="1:30" ht="15.75" customHeight="1">
      <c r="A35" s="436">
        <v>29</v>
      </c>
      <c r="B35" s="437" t="s">
        <v>2031</v>
      </c>
      <c r="C35" s="438" t="s">
        <v>1976</v>
      </c>
      <c r="D35" s="439" t="s">
        <v>2032</v>
      </c>
      <c r="E35" s="452">
        <v>194</v>
      </c>
      <c r="F35" s="441">
        <v>480</v>
      </c>
      <c r="G35" s="438">
        <v>0</v>
      </c>
      <c r="H35" s="442">
        <f t="shared" si="0"/>
        <v>480</v>
      </c>
      <c r="I35" s="441">
        <v>480</v>
      </c>
      <c r="J35" s="438">
        <v>0</v>
      </c>
      <c r="K35" s="442">
        <f t="shared" si="1"/>
        <v>480</v>
      </c>
      <c r="L35" s="441">
        <v>0</v>
      </c>
      <c r="M35" s="438">
        <v>0</v>
      </c>
      <c r="N35" s="442">
        <f t="shared" si="2"/>
        <v>0</v>
      </c>
      <c r="O35" s="441">
        <v>0</v>
      </c>
      <c r="P35" s="438">
        <v>0</v>
      </c>
      <c r="Q35" s="442">
        <f t="shared" si="3"/>
        <v>0</v>
      </c>
      <c r="R35" s="441">
        <v>0</v>
      </c>
      <c r="S35" s="438">
        <v>0</v>
      </c>
      <c r="T35" s="442">
        <f t="shared" si="4"/>
        <v>0</v>
      </c>
      <c r="U35" s="441">
        <v>0</v>
      </c>
      <c r="V35" s="438">
        <v>0</v>
      </c>
      <c r="W35" s="439">
        <f t="shared" si="5"/>
        <v>0</v>
      </c>
      <c r="X35" s="443">
        <f t="shared" si="6"/>
        <v>960</v>
      </c>
      <c r="Y35" s="444">
        <f t="shared" si="6"/>
        <v>0</v>
      </c>
      <c r="Z35" s="445">
        <f t="shared" si="6"/>
        <v>960</v>
      </c>
      <c r="AA35" s="446">
        <f t="shared" si="7"/>
        <v>160</v>
      </c>
      <c r="AB35" s="447">
        <f t="shared" si="7"/>
        <v>0</v>
      </c>
      <c r="AC35" s="448">
        <f t="shared" si="7"/>
        <v>160</v>
      </c>
      <c r="AD35" s="449" t="s">
        <v>18</v>
      </c>
    </row>
    <row r="36" spans="1:30" ht="15.75" hidden="1" customHeight="1">
      <c r="A36" s="302">
        <v>30</v>
      </c>
      <c r="B36" s="313" t="s">
        <v>2033</v>
      </c>
      <c r="C36" s="302" t="s">
        <v>2034</v>
      </c>
      <c r="D36" s="305" t="s">
        <v>2035</v>
      </c>
      <c r="E36" s="306">
        <v>6</v>
      </c>
      <c r="F36" s="307">
        <v>10</v>
      </c>
      <c r="G36" s="302"/>
      <c r="H36" s="294">
        <f t="shared" si="0"/>
        <v>10</v>
      </c>
      <c r="I36" s="307">
        <v>5</v>
      </c>
      <c r="J36" s="302"/>
      <c r="K36" s="294">
        <f t="shared" si="1"/>
        <v>5</v>
      </c>
      <c r="L36" s="307">
        <v>25</v>
      </c>
      <c r="M36" s="302"/>
      <c r="N36" s="294">
        <f t="shared" si="2"/>
        <v>25</v>
      </c>
      <c r="O36" s="307">
        <v>15</v>
      </c>
      <c r="P36" s="302"/>
      <c r="Q36" s="294">
        <f t="shared" si="3"/>
        <v>15</v>
      </c>
      <c r="R36" s="307"/>
      <c r="S36" s="302"/>
      <c r="T36" s="294">
        <f t="shared" si="4"/>
        <v>0</v>
      </c>
      <c r="U36" s="307">
        <v>10</v>
      </c>
      <c r="V36" s="302"/>
      <c r="W36" s="291">
        <f t="shared" si="5"/>
        <v>10</v>
      </c>
      <c r="X36" s="308">
        <f t="shared" si="6"/>
        <v>65</v>
      </c>
      <c r="Y36" s="64">
        <f t="shared" si="6"/>
        <v>0</v>
      </c>
      <c r="Z36" s="309">
        <f t="shared" si="6"/>
        <v>65</v>
      </c>
      <c r="AA36" s="310">
        <f t="shared" si="7"/>
        <v>10.833333333333334</v>
      </c>
      <c r="AB36" s="65">
        <f t="shared" si="7"/>
        <v>0</v>
      </c>
      <c r="AC36" s="311">
        <f t="shared" si="7"/>
        <v>10.833333333333334</v>
      </c>
      <c r="AD36" s="314" t="s">
        <v>15</v>
      </c>
    </row>
    <row r="37" spans="1:30" ht="15.75" hidden="1" customHeight="1">
      <c r="A37" s="289">
        <v>31</v>
      </c>
      <c r="B37" s="313" t="s">
        <v>2036</v>
      </c>
      <c r="C37" s="302" t="s">
        <v>2034</v>
      </c>
      <c r="D37" s="291" t="s">
        <v>2037</v>
      </c>
      <c r="E37" s="306">
        <v>9</v>
      </c>
      <c r="F37" s="307">
        <v>25</v>
      </c>
      <c r="G37" s="302"/>
      <c r="H37" s="294">
        <f t="shared" si="0"/>
        <v>25</v>
      </c>
      <c r="I37" s="307">
        <v>15</v>
      </c>
      <c r="J37" s="302"/>
      <c r="K37" s="294">
        <f t="shared" si="1"/>
        <v>15</v>
      </c>
      <c r="L37" s="307">
        <v>58</v>
      </c>
      <c r="M37" s="302"/>
      <c r="N37" s="294">
        <f t="shared" si="2"/>
        <v>58</v>
      </c>
      <c r="O37" s="307">
        <v>8</v>
      </c>
      <c r="P37" s="302"/>
      <c r="Q37" s="294">
        <f t="shared" si="3"/>
        <v>8</v>
      </c>
      <c r="R37" s="307"/>
      <c r="S37" s="302"/>
      <c r="T37" s="294">
        <f t="shared" si="4"/>
        <v>0</v>
      </c>
      <c r="U37" s="307">
        <v>6</v>
      </c>
      <c r="V37" s="302"/>
      <c r="W37" s="291">
        <f t="shared" si="5"/>
        <v>6</v>
      </c>
      <c r="X37" s="308">
        <f t="shared" si="6"/>
        <v>112</v>
      </c>
      <c r="Y37" s="64">
        <f t="shared" si="6"/>
        <v>0</v>
      </c>
      <c r="Z37" s="309">
        <f t="shared" si="6"/>
        <v>112</v>
      </c>
      <c r="AA37" s="310">
        <f t="shared" si="7"/>
        <v>18.666666666666668</v>
      </c>
      <c r="AB37" s="65">
        <f t="shared" si="7"/>
        <v>0</v>
      </c>
      <c r="AC37" s="311">
        <f t="shared" si="7"/>
        <v>18.666666666666668</v>
      </c>
      <c r="AD37" s="314" t="s">
        <v>15</v>
      </c>
    </row>
    <row r="38" spans="1:30" ht="15.75" hidden="1" customHeight="1">
      <c r="A38" s="302">
        <v>32</v>
      </c>
      <c r="B38" s="313" t="s">
        <v>2038</v>
      </c>
      <c r="C38" s="302" t="s">
        <v>2034</v>
      </c>
      <c r="D38" s="305" t="s">
        <v>2039</v>
      </c>
      <c r="E38" s="306">
        <v>10</v>
      </c>
      <c r="F38" s="307">
        <v>10</v>
      </c>
      <c r="G38" s="302"/>
      <c r="H38" s="294">
        <f t="shared" si="0"/>
        <v>10</v>
      </c>
      <c r="I38" s="307">
        <v>10</v>
      </c>
      <c r="J38" s="302"/>
      <c r="K38" s="294">
        <f t="shared" si="1"/>
        <v>10</v>
      </c>
      <c r="L38" s="307">
        <v>8</v>
      </c>
      <c r="M38" s="302"/>
      <c r="N38" s="294">
        <f t="shared" si="2"/>
        <v>8</v>
      </c>
      <c r="O38" s="307">
        <v>10</v>
      </c>
      <c r="P38" s="302"/>
      <c r="Q38" s="294">
        <f t="shared" si="3"/>
        <v>10</v>
      </c>
      <c r="R38" s="307"/>
      <c r="S38" s="302"/>
      <c r="T38" s="294">
        <f t="shared" si="4"/>
        <v>0</v>
      </c>
      <c r="U38" s="307">
        <v>15</v>
      </c>
      <c r="V38" s="302"/>
      <c r="W38" s="291">
        <f t="shared" si="5"/>
        <v>15</v>
      </c>
      <c r="X38" s="308">
        <f t="shared" si="6"/>
        <v>53</v>
      </c>
      <c r="Y38" s="64">
        <f t="shared" si="6"/>
        <v>0</v>
      </c>
      <c r="Z38" s="309">
        <f t="shared" si="6"/>
        <v>53</v>
      </c>
      <c r="AA38" s="310">
        <f t="shared" si="7"/>
        <v>8.8333333333333339</v>
      </c>
      <c r="AB38" s="65">
        <f t="shared" si="7"/>
        <v>0</v>
      </c>
      <c r="AC38" s="311">
        <f t="shared" si="7"/>
        <v>8.8333333333333339</v>
      </c>
      <c r="AD38" s="314" t="s">
        <v>15</v>
      </c>
    </row>
    <row r="39" spans="1:30" ht="15.75" hidden="1" customHeight="1">
      <c r="A39" s="289">
        <v>33</v>
      </c>
      <c r="B39" s="313" t="s">
        <v>2040</v>
      </c>
      <c r="C39" s="302" t="s">
        <v>2034</v>
      </c>
      <c r="D39" s="291" t="s">
        <v>2041</v>
      </c>
      <c r="E39" s="306">
        <v>5</v>
      </c>
      <c r="F39" s="307">
        <v>5</v>
      </c>
      <c r="G39" s="302"/>
      <c r="H39" s="294">
        <f t="shared" si="0"/>
        <v>5</v>
      </c>
      <c r="I39" s="307">
        <v>12</v>
      </c>
      <c r="J39" s="302"/>
      <c r="K39" s="294">
        <f t="shared" si="1"/>
        <v>12</v>
      </c>
      <c r="L39" s="307">
        <v>25</v>
      </c>
      <c r="M39" s="302"/>
      <c r="N39" s="294">
        <f t="shared" si="2"/>
        <v>25</v>
      </c>
      <c r="O39" s="307">
        <v>18</v>
      </c>
      <c r="P39" s="302"/>
      <c r="Q39" s="294">
        <f t="shared" si="3"/>
        <v>18</v>
      </c>
      <c r="R39" s="307"/>
      <c r="S39" s="302"/>
      <c r="T39" s="294">
        <f t="shared" si="4"/>
        <v>0</v>
      </c>
      <c r="U39" s="307"/>
      <c r="V39" s="302"/>
      <c r="W39" s="291">
        <f t="shared" si="5"/>
        <v>0</v>
      </c>
      <c r="X39" s="308">
        <f t="shared" si="6"/>
        <v>60</v>
      </c>
      <c r="Y39" s="64">
        <f t="shared" si="6"/>
        <v>0</v>
      </c>
      <c r="Z39" s="309">
        <f t="shared" si="6"/>
        <v>60</v>
      </c>
      <c r="AA39" s="310">
        <f t="shared" si="7"/>
        <v>10</v>
      </c>
      <c r="AB39" s="65">
        <f t="shared" si="7"/>
        <v>0</v>
      </c>
      <c r="AC39" s="311">
        <f t="shared" si="7"/>
        <v>10</v>
      </c>
      <c r="AD39" s="301" t="s">
        <v>15</v>
      </c>
    </row>
    <row r="40" spans="1:30" ht="15.75" hidden="1" customHeight="1">
      <c r="A40" s="302">
        <v>34</v>
      </c>
      <c r="B40" s="313" t="s">
        <v>2042</v>
      </c>
      <c r="C40" s="302" t="s">
        <v>2034</v>
      </c>
      <c r="D40" s="305" t="s">
        <v>2043</v>
      </c>
      <c r="E40" s="306">
        <v>10</v>
      </c>
      <c r="F40" s="307">
        <v>8</v>
      </c>
      <c r="G40" s="302"/>
      <c r="H40" s="294">
        <f t="shared" si="0"/>
        <v>8</v>
      </c>
      <c r="I40" s="307">
        <v>15</v>
      </c>
      <c r="J40" s="302"/>
      <c r="K40" s="294">
        <f t="shared" si="1"/>
        <v>15</v>
      </c>
      <c r="L40" s="307">
        <v>75</v>
      </c>
      <c r="M40" s="302"/>
      <c r="N40" s="294">
        <f t="shared" si="2"/>
        <v>75</v>
      </c>
      <c r="O40" s="307">
        <v>25</v>
      </c>
      <c r="P40" s="302"/>
      <c r="Q40" s="294">
        <f t="shared" si="3"/>
        <v>25</v>
      </c>
      <c r="R40" s="307"/>
      <c r="S40" s="302"/>
      <c r="T40" s="294">
        <f t="shared" si="4"/>
        <v>0</v>
      </c>
      <c r="U40" s="307">
        <v>15</v>
      </c>
      <c r="V40" s="302"/>
      <c r="W40" s="291">
        <f t="shared" si="5"/>
        <v>15</v>
      </c>
      <c r="X40" s="308">
        <f t="shared" si="6"/>
        <v>138</v>
      </c>
      <c r="Y40" s="64">
        <f t="shared" si="6"/>
        <v>0</v>
      </c>
      <c r="Z40" s="309">
        <f t="shared" si="6"/>
        <v>138</v>
      </c>
      <c r="AA40" s="310">
        <f t="shared" si="7"/>
        <v>23</v>
      </c>
      <c r="AB40" s="65">
        <f t="shared" si="7"/>
        <v>0</v>
      </c>
      <c r="AC40" s="311">
        <f t="shared" si="7"/>
        <v>23</v>
      </c>
      <c r="AD40" s="301" t="s">
        <v>18</v>
      </c>
    </row>
    <row r="41" spans="1:30" ht="15.75" hidden="1" customHeight="1">
      <c r="A41" s="289">
        <v>35</v>
      </c>
      <c r="B41" s="313" t="s">
        <v>2044</v>
      </c>
      <c r="C41" s="302" t="s">
        <v>2045</v>
      </c>
      <c r="D41" s="291" t="s">
        <v>2046</v>
      </c>
      <c r="E41" s="306">
        <v>38</v>
      </c>
      <c r="F41" s="307">
        <v>50</v>
      </c>
      <c r="G41" s="302"/>
      <c r="H41" s="294">
        <f t="shared" si="0"/>
        <v>50</v>
      </c>
      <c r="I41" s="307">
        <v>16</v>
      </c>
      <c r="J41" s="302"/>
      <c r="K41" s="294">
        <f t="shared" si="1"/>
        <v>16</v>
      </c>
      <c r="L41" s="307">
        <v>76</v>
      </c>
      <c r="M41" s="302"/>
      <c r="N41" s="294">
        <f t="shared" si="2"/>
        <v>76</v>
      </c>
      <c r="O41" s="307">
        <v>36</v>
      </c>
      <c r="P41" s="302"/>
      <c r="Q41" s="294">
        <f t="shared" si="3"/>
        <v>36</v>
      </c>
      <c r="R41" s="307"/>
      <c r="S41" s="302"/>
      <c r="T41" s="294">
        <f t="shared" si="4"/>
        <v>0</v>
      </c>
      <c r="U41" s="307">
        <v>40</v>
      </c>
      <c r="V41" s="302"/>
      <c r="W41" s="291">
        <f t="shared" si="5"/>
        <v>40</v>
      </c>
      <c r="X41" s="308">
        <f t="shared" si="6"/>
        <v>218</v>
      </c>
      <c r="Y41" s="64">
        <f t="shared" si="6"/>
        <v>0</v>
      </c>
      <c r="Z41" s="309">
        <f t="shared" si="6"/>
        <v>218</v>
      </c>
      <c r="AA41" s="310">
        <f t="shared" si="7"/>
        <v>36.333333333333336</v>
      </c>
      <c r="AB41" s="65">
        <f t="shared" si="7"/>
        <v>0</v>
      </c>
      <c r="AC41" s="311">
        <f t="shared" si="7"/>
        <v>36.333333333333336</v>
      </c>
      <c r="AD41" s="301" t="s">
        <v>18</v>
      </c>
    </row>
    <row r="42" spans="1:30" ht="15.75" hidden="1" customHeight="1">
      <c r="A42" s="302">
        <v>36</v>
      </c>
      <c r="B42" s="313" t="s">
        <v>2047</v>
      </c>
      <c r="C42" s="302" t="s">
        <v>2045</v>
      </c>
      <c r="D42" s="305" t="s">
        <v>2048</v>
      </c>
      <c r="E42" s="306">
        <v>18</v>
      </c>
      <c r="F42" s="307">
        <v>40</v>
      </c>
      <c r="G42" s="302"/>
      <c r="H42" s="294">
        <f t="shared" si="0"/>
        <v>40</v>
      </c>
      <c r="I42" s="307">
        <v>8</v>
      </c>
      <c r="J42" s="302">
        <v>10.5</v>
      </c>
      <c r="K42" s="294">
        <f t="shared" si="1"/>
        <v>18.5</v>
      </c>
      <c r="L42" s="307">
        <v>56</v>
      </c>
      <c r="M42" s="302"/>
      <c r="N42" s="294">
        <f t="shared" si="2"/>
        <v>56</v>
      </c>
      <c r="O42" s="307">
        <v>15</v>
      </c>
      <c r="P42" s="302"/>
      <c r="Q42" s="294">
        <f t="shared" si="3"/>
        <v>15</v>
      </c>
      <c r="R42" s="307"/>
      <c r="S42" s="302"/>
      <c r="T42" s="294">
        <f t="shared" si="4"/>
        <v>0</v>
      </c>
      <c r="U42" s="307">
        <v>25</v>
      </c>
      <c r="V42" s="302"/>
      <c r="W42" s="291">
        <f t="shared" si="5"/>
        <v>25</v>
      </c>
      <c r="X42" s="308">
        <f t="shared" si="6"/>
        <v>144</v>
      </c>
      <c r="Y42" s="64">
        <f t="shared" si="6"/>
        <v>10.5</v>
      </c>
      <c r="Z42" s="309">
        <f t="shared" si="6"/>
        <v>154.5</v>
      </c>
      <c r="AA42" s="310">
        <f t="shared" si="7"/>
        <v>24</v>
      </c>
      <c r="AB42" s="65">
        <f t="shared" si="7"/>
        <v>1.75</v>
      </c>
      <c r="AC42" s="311">
        <f t="shared" si="7"/>
        <v>25.75</v>
      </c>
      <c r="AD42" s="301" t="s">
        <v>18</v>
      </c>
    </row>
    <row r="43" spans="1:30" ht="15.75" hidden="1" customHeight="1">
      <c r="A43" s="289">
        <v>37</v>
      </c>
      <c r="B43" s="313" t="s">
        <v>2049</v>
      </c>
      <c r="C43" s="302" t="s">
        <v>2045</v>
      </c>
      <c r="D43" s="291" t="s">
        <v>2050</v>
      </c>
      <c r="E43" s="306">
        <v>40</v>
      </c>
      <c r="F43" s="307">
        <v>60</v>
      </c>
      <c r="G43" s="302"/>
      <c r="H43" s="294">
        <f t="shared" si="0"/>
        <v>60</v>
      </c>
      <c r="I43" s="307">
        <v>20</v>
      </c>
      <c r="J43" s="302"/>
      <c r="K43" s="294">
        <f t="shared" si="1"/>
        <v>20</v>
      </c>
      <c r="L43" s="307">
        <v>66</v>
      </c>
      <c r="M43" s="302"/>
      <c r="N43" s="294">
        <f t="shared" si="2"/>
        <v>66</v>
      </c>
      <c r="O43" s="307">
        <v>30</v>
      </c>
      <c r="P43" s="302"/>
      <c r="Q43" s="294">
        <f t="shared" si="3"/>
        <v>30</v>
      </c>
      <c r="R43" s="307"/>
      <c r="S43" s="302"/>
      <c r="T43" s="294">
        <f t="shared" si="4"/>
        <v>0</v>
      </c>
      <c r="U43" s="307">
        <v>50</v>
      </c>
      <c r="V43" s="302"/>
      <c r="W43" s="291">
        <f t="shared" si="5"/>
        <v>50</v>
      </c>
      <c r="X43" s="308">
        <f t="shared" si="6"/>
        <v>226</v>
      </c>
      <c r="Y43" s="64">
        <f t="shared" si="6"/>
        <v>0</v>
      </c>
      <c r="Z43" s="309">
        <f t="shared" si="6"/>
        <v>226</v>
      </c>
      <c r="AA43" s="310">
        <f t="shared" si="7"/>
        <v>37.666666666666664</v>
      </c>
      <c r="AB43" s="65">
        <f t="shared" si="7"/>
        <v>0</v>
      </c>
      <c r="AC43" s="311">
        <f t="shared" si="7"/>
        <v>37.666666666666664</v>
      </c>
      <c r="AD43" s="301" t="s">
        <v>15</v>
      </c>
    </row>
    <row r="44" spans="1:30" ht="15.75" hidden="1" customHeight="1">
      <c r="A44" s="302">
        <v>38</v>
      </c>
      <c r="B44" s="313" t="s">
        <v>2051</v>
      </c>
      <c r="C44" s="302" t="s">
        <v>2045</v>
      </c>
      <c r="D44" s="305" t="s">
        <v>2052</v>
      </c>
      <c r="E44" s="306">
        <v>5</v>
      </c>
      <c r="F44" s="307">
        <v>5</v>
      </c>
      <c r="G44" s="302"/>
      <c r="H44" s="294">
        <f t="shared" si="0"/>
        <v>5</v>
      </c>
      <c r="I44" s="307">
        <v>5</v>
      </c>
      <c r="J44" s="302"/>
      <c r="K44" s="294">
        <f t="shared" si="1"/>
        <v>5</v>
      </c>
      <c r="L44" s="307">
        <v>6</v>
      </c>
      <c r="M44" s="302"/>
      <c r="N44" s="294">
        <f t="shared" si="2"/>
        <v>6</v>
      </c>
      <c r="O44" s="307"/>
      <c r="P44" s="302"/>
      <c r="Q44" s="294">
        <f t="shared" si="3"/>
        <v>0</v>
      </c>
      <c r="R44" s="307"/>
      <c r="S44" s="302"/>
      <c r="T44" s="294">
        <f t="shared" si="4"/>
        <v>0</v>
      </c>
      <c r="U44" s="307">
        <v>10</v>
      </c>
      <c r="V44" s="302"/>
      <c r="W44" s="291">
        <f t="shared" si="5"/>
        <v>10</v>
      </c>
      <c r="X44" s="308">
        <f t="shared" si="6"/>
        <v>26</v>
      </c>
      <c r="Y44" s="64">
        <f t="shared" si="6"/>
        <v>0</v>
      </c>
      <c r="Z44" s="309">
        <f t="shared" si="6"/>
        <v>26</v>
      </c>
      <c r="AA44" s="310">
        <f t="shared" si="7"/>
        <v>4.333333333333333</v>
      </c>
      <c r="AB44" s="65">
        <f t="shared" si="7"/>
        <v>0</v>
      </c>
      <c r="AC44" s="311">
        <f t="shared" si="7"/>
        <v>4.333333333333333</v>
      </c>
      <c r="AD44" s="301" t="s">
        <v>15</v>
      </c>
    </row>
    <row r="45" spans="1:30" ht="15.75" hidden="1" customHeight="1">
      <c r="A45" s="289">
        <v>39</v>
      </c>
      <c r="B45" s="313" t="s">
        <v>2053</v>
      </c>
      <c r="C45" s="302" t="s">
        <v>2045</v>
      </c>
      <c r="D45" s="291" t="s">
        <v>2054</v>
      </c>
      <c r="E45" s="306">
        <v>5</v>
      </c>
      <c r="F45" s="307">
        <v>8</v>
      </c>
      <c r="G45" s="302"/>
      <c r="H45" s="294">
        <f t="shared" si="0"/>
        <v>8</v>
      </c>
      <c r="I45" s="307">
        <v>12</v>
      </c>
      <c r="J45" s="302"/>
      <c r="K45" s="294">
        <f t="shared" si="1"/>
        <v>12</v>
      </c>
      <c r="L45" s="307">
        <v>11</v>
      </c>
      <c r="M45" s="302"/>
      <c r="N45" s="294">
        <f t="shared" si="2"/>
        <v>11</v>
      </c>
      <c r="O45" s="307">
        <v>10</v>
      </c>
      <c r="P45" s="302"/>
      <c r="Q45" s="294">
        <f t="shared" si="3"/>
        <v>10</v>
      </c>
      <c r="R45" s="307"/>
      <c r="S45" s="302"/>
      <c r="T45" s="294">
        <f t="shared" si="4"/>
        <v>0</v>
      </c>
      <c r="U45" s="307">
        <v>15</v>
      </c>
      <c r="V45" s="302"/>
      <c r="W45" s="291">
        <f t="shared" si="5"/>
        <v>15</v>
      </c>
      <c r="X45" s="308">
        <f t="shared" si="6"/>
        <v>56</v>
      </c>
      <c r="Y45" s="64">
        <f t="shared" si="6"/>
        <v>0</v>
      </c>
      <c r="Z45" s="309">
        <f t="shared" si="6"/>
        <v>56</v>
      </c>
      <c r="AA45" s="310">
        <f t="shared" si="7"/>
        <v>9.3333333333333339</v>
      </c>
      <c r="AB45" s="65">
        <f t="shared" si="7"/>
        <v>0</v>
      </c>
      <c r="AC45" s="311">
        <f t="shared" si="7"/>
        <v>9.3333333333333339</v>
      </c>
      <c r="AD45" s="301" t="s">
        <v>15</v>
      </c>
    </row>
    <row r="46" spans="1:30" ht="15.75" hidden="1" customHeight="1">
      <c r="A46" s="302">
        <v>40</v>
      </c>
      <c r="B46" s="313" t="s">
        <v>2055</v>
      </c>
      <c r="C46" s="302" t="s">
        <v>2045</v>
      </c>
      <c r="D46" s="305" t="s">
        <v>2056</v>
      </c>
      <c r="E46" s="306">
        <v>10</v>
      </c>
      <c r="F46" s="307">
        <v>12</v>
      </c>
      <c r="G46" s="302"/>
      <c r="H46" s="294">
        <f t="shared" si="0"/>
        <v>12</v>
      </c>
      <c r="I46" s="307">
        <v>5</v>
      </c>
      <c r="J46" s="302"/>
      <c r="K46" s="294">
        <f t="shared" si="1"/>
        <v>5</v>
      </c>
      <c r="L46" s="307">
        <v>5</v>
      </c>
      <c r="M46" s="302"/>
      <c r="N46" s="294">
        <f t="shared" si="2"/>
        <v>5</v>
      </c>
      <c r="O46" s="307">
        <v>15</v>
      </c>
      <c r="P46" s="302"/>
      <c r="Q46" s="294">
        <f t="shared" si="3"/>
        <v>15</v>
      </c>
      <c r="R46" s="307"/>
      <c r="S46" s="302"/>
      <c r="T46" s="294">
        <f t="shared" si="4"/>
        <v>0</v>
      </c>
      <c r="U46" s="307">
        <v>5</v>
      </c>
      <c r="V46" s="302"/>
      <c r="W46" s="291">
        <f t="shared" si="5"/>
        <v>5</v>
      </c>
      <c r="X46" s="308">
        <f t="shared" si="6"/>
        <v>42</v>
      </c>
      <c r="Y46" s="64">
        <f t="shared" si="6"/>
        <v>0</v>
      </c>
      <c r="Z46" s="309">
        <f t="shared" si="6"/>
        <v>42</v>
      </c>
      <c r="AA46" s="310">
        <f t="shared" si="7"/>
        <v>7</v>
      </c>
      <c r="AB46" s="65">
        <f t="shared" si="7"/>
        <v>0</v>
      </c>
      <c r="AC46" s="311">
        <f t="shared" si="7"/>
        <v>7</v>
      </c>
      <c r="AD46" s="301" t="s">
        <v>15</v>
      </c>
    </row>
    <row r="47" spans="1:30" ht="15.75" hidden="1" customHeight="1">
      <c r="A47" s="289">
        <v>41</v>
      </c>
      <c r="B47" s="313" t="s">
        <v>2057</v>
      </c>
      <c r="C47" s="302" t="s">
        <v>2045</v>
      </c>
      <c r="D47" s="291" t="s">
        <v>2058</v>
      </c>
      <c r="E47" s="306">
        <v>5</v>
      </c>
      <c r="F47" s="307">
        <v>6</v>
      </c>
      <c r="G47" s="302"/>
      <c r="H47" s="294">
        <f t="shared" si="0"/>
        <v>6</v>
      </c>
      <c r="I47" s="307">
        <v>3</v>
      </c>
      <c r="J47" s="302"/>
      <c r="K47" s="294">
        <f t="shared" si="1"/>
        <v>3</v>
      </c>
      <c r="L47" s="307">
        <v>8</v>
      </c>
      <c r="M47" s="302"/>
      <c r="N47" s="294">
        <f t="shared" si="2"/>
        <v>8</v>
      </c>
      <c r="O47" s="307">
        <v>10</v>
      </c>
      <c r="P47" s="302"/>
      <c r="Q47" s="294">
        <f t="shared" si="3"/>
        <v>10</v>
      </c>
      <c r="R47" s="307"/>
      <c r="S47" s="302"/>
      <c r="T47" s="294">
        <f t="shared" si="4"/>
        <v>0</v>
      </c>
      <c r="U47" s="307">
        <v>15</v>
      </c>
      <c r="V47" s="302"/>
      <c r="W47" s="291">
        <f t="shared" si="5"/>
        <v>15</v>
      </c>
      <c r="X47" s="308">
        <f t="shared" si="6"/>
        <v>42</v>
      </c>
      <c r="Y47" s="64">
        <f t="shared" si="6"/>
        <v>0</v>
      </c>
      <c r="Z47" s="309">
        <f t="shared" si="6"/>
        <v>42</v>
      </c>
      <c r="AA47" s="310">
        <f t="shared" si="7"/>
        <v>7</v>
      </c>
      <c r="AB47" s="65">
        <f t="shared" si="7"/>
        <v>0</v>
      </c>
      <c r="AC47" s="311">
        <f t="shared" si="7"/>
        <v>7</v>
      </c>
      <c r="AD47" s="301" t="s">
        <v>15</v>
      </c>
    </row>
    <row r="48" spans="1:30" ht="15.75" hidden="1" customHeight="1">
      <c r="A48" s="302">
        <v>42</v>
      </c>
      <c r="B48" s="313" t="s">
        <v>2059</v>
      </c>
      <c r="C48" s="302" t="s">
        <v>2045</v>
      </c>
      <c r="D48" s="305" t="s">
        <v>2060</v>
      </c>
      <c r="E48" s="306">
        <v>40</v>
      </c>
      <c r="F48" s="307">
        <v>50</v>
      </c>
      <c r="G48" s="302"/>
      <c r="H48" s="294">
        <f t="shared" si="0"/>
        <v>50</v>
      </c>
      <c r="I48" s="307">
        <v>24</v>
      </c>
      <c r="J48" s="302"/>
      <c r="K48" s="294">
        <f t="shared" si="1"/>
        <v>24</v>
      </c>
      <c r="L48" s="307">
        <v>75</v>
      </c>
      <c r="M48" s="302"/>
      <c r="N48" s="294">
        <f t="shared" si="2"/>
        <v>75</v>
      </c>
      <c r="O48" s="307">
        <v>60</v>
      </c>
      <c r="P48" s="302"/>
      <c r="Q48" s="294">
        <f t="shared" si="3"/>
        <v>60</v>
      </c>
      <c r="R48" s="307"/>
      <c r="S48" s="302"/>
      <c r="T48" s="294">
        <f t="shared" si="4"/>
        <v>0</v>
      </c>
      <c r="U48" s="307">
        <v>50</v>
      </c>
      <c r="V48" s="302"/>
      <c r="W48" s="291">
        <f t="shared" si="5"/>
        <v>50</v>
      </c>
      <c r="X48" s="308">
        <f t="shared" si="6"/>
        <v>259</v>
      </c>
      <c r="Y48" s="64">
        <f t="shared" si="6"/>
        <v>0</v>
      </c>
      <c r="Z48" s="309">
        <f t="shared" si="6"/>
        <v>259</v>
      </c>
      <c r="AA48" s="310">
        <f t="shared" si="7"/>
        <v>43.166666666666664</v>
      </c>
      <c r="AB48" s="65">
        <f t="shared" si="7"/>
        <v>0</v>
      </c>
      <c r="AC48" s="311">
        <f t="shared" si="7"/>
        <v>43.166666666666664</v>
      </c>
      <c r="AD48" s="301" t="s">
        <v>18</v>
      </c>
    </row>
    <row r="49" spans="1:30" ht="15.75" hidden="1" customHeight="1">
      <c r="A49" s="289">
        <v>43</v>
      </c>
      <c r="B49" s="313" t="s">
        <v>2061</v>
      </c>
      <c r="C49" s="302" t="s">
        <v>2045</v>
      </c>
      <c r="D49" s="291" t="s">
        <v>2062</v>
      </c>
      <c r="E49" s="306">
        <v>10</v>
      </c>
      <c r="F49" s="307">
        <v>8</v>
      </c>
      <c r="G49" s="302"/>
      <c r="H49" s="294">
        <f t="shared" si="0"/>
        <v>8</v>
      </c>
      <c r="I49" s="307">
        <v>5</v>
      </c>
      <c r="J49" s="302"/>
      <c r="K49" s="294">
        <f t="shared" si="1"/>
        <v>5</v>
      </c>
      <c r="L49" s="307">
        <v>6</v>
      </c>
      <c r="M49" s="302"/>
      <c r="N49" s="294">
        <f t="shared" si="2"/>
        <v>6</v>
      </c>
      <c r="O49" s="307">
        <v>6</v>
      </c>
      <c r="P49" s="302"/>
      <c r="Q49" s="294">
        <f t="shared" si="3"/>
        <v>6</v>
      </c>
      <c r="R49" s="307"/>
      <c r="S49" s="302"/>
      <c r="T49" s="294">
        <f t="shared" si="4"/>
        <v>0</v>
      </c>
      <c r="U49" s="307">
        <v>8</v>
      </c>
      <c r="V49" s="302"/>
      <c r="W49" s="291">
        <f t="shared" si="5"/>
        <v>8</v>
      </c>
      <c r="X49" s="308">
        <f t="shared" si="6"/>
        <v>33</v>
      </c>
      <c r="Y49" s="64">
        <f t="shared" si="6"/>
        <v>0</v>
      </c>
      <c r="Z49" s="309">
        <f t="shared" si="6"/>
        <v>33</v>
      </c>
      <c r="AA49" s="310">
        <f t="shared" si="7"/>
        <v>5.5</v>
      </c>
      <c r="AB49" s="65">
        <f t="shared" si="7"/>
        <v>0</v>
      </c>
      <c r="AC49" s="311">
        <f t="shared" si="7"/>
        <v>5.5</v>
      </c>
      <c r="AD49" s="301" t="s">
        <v>15</v>
      </c>
    </row>
    <row r="50" spans="1:30" ht="15.75" hidden="1" customHeight="1">
      <c r="A50" s="302">
        <v>44</v>
      </c>
      <c r="B50" s="313" t="s">
        <v>2063</v>
      </c>
      <c r="C50" s="302" t="s">
        <v>2045</v>
      </c>
      <c r="D50" s="305" t="s">
        <v>2064</v>
      </c>
      <c r="E50" s="306">
        <v>10</v>
      </c>
      <c r="F50" s="307">
        <v>10</v>
      </c>
      <c r="G50" s="302"/>
      <c r="H50" s="294">
        <f t="shared" si="0"/>
        <v>10</v>
      </c>
      <c r="I50" s="307">
        <v>10</v>
      </c>
      <c r="J50" s="302"/>
      <c r="K50" s="294">
        <f t="shared" si="1"/>
        <v>10</v>
      </c>
      <c r="L50" s="307">
        <v>20</v>
      </c>
      <c r="M50" s="302"/>
      <c r="N50" s="294">
        <f t="shared" si="2"/>
        <v>20</v>
      </c>
      <c r="O50" s="307">
        <v>10</v>
      </c>
      <c r="P50" s="302"/>
      <c r="Q50" s="294">
        <f t="shared" si="3"/>
        <v>10</v>
      </c>
      <c r="R50" s="307"/>
      <c r="S50" s="302"/>
      <c r="T50" s="294">
        <f t="shared" si="4"/>
        <v>0</v>
      </c>
      <c r="U50" s="307">
        <v>25</v>
      </c>
      <c r="V50" s="302"/>
      <c r="W50" s="291">
        <f t="shared" si="5"/>
        <v>25</v>
      </c>
      <c r="X50" s="308">
        <f t="shared" si="6"/>
        <v>75</v>
      </c>
      <c r="Y50" s="64">
        <f t="shared" si="6"/>
        <v>0</v>
      </c>
      <c r="Z50" s="309">
        <f t="shared" si="6"/>
        <v>75</v>
      </c>
      <c r="AA50" s="310">
        <f t="shared" si="7"/>
        <v>12.5</v>
      </c>
      <c r="AB50" s="65">
        <f t="shared" si="7"/>
        <v>0</v>
      </c>
      <c r="AC50" s="311">
        <f t="shared" si="7"/>
        <v>12.5</v>
      </c>
      <c r="AD50" s="314" t="s">
        <v>15</v>
      </c>
    </row>
    <row r="51" spans="1:30" ht="15.75" hidden="1" customHeight="1">
      <c r="A51" s="289">
        <v>45</v>
      </c>
      <c r="B51" s="313" t="s">
        <v>2065</v>
      </c>
      <c r="C51" s="302" t="s">
        <v>2045</v>
      </c>
      <c r="D51" s="291" t="s">
        <v>2066</v>
      </c>
      <c r="E51" s="306">
        <v>15</v>
      </c>
      <c r="F51" s="307">
        <v>10</v>
      </c>
      <c r="G51" s="302"/>
      <c r="H51" s="294">
        <f t="shared" si="0"/>
        <v>10</v>
      </c>
      <c r="I51" s="307">
        <v>13.5</v>
      </c>
      <c r="J51" s="302"/>
      <c r="K51" s="294">
        <f t="shared" si="1"/>
        <v>13.5</v>
      </c>
      <c r="L51" s="307">
        <v>30</v>
      </c>
      <c r="M51" s="302"/>
      <c r="N51" s="294">
        <f t="shared" si="2"/>
        <v>30</v>
      </c>
      <c r="O51" s="307">
        <v>18</v>
      </c>
      <c r="P51" s="302"/>
      <c r="Q51" s="294">
        <f t="shared" si="3"/>
        <v>18</v>
      </c>
      <c r="R51" s="307"/>
      <c r="S51" s="302"/>
      <c r="T51" s="294">
        <f t="shared" si="4"/>
        <v>0</v>
      </c>
      <c r="U51" s="307">
        <v>36</v>
      </c>
      <c r="V51" s="302"/>
      <c r="W51" s="291">
        <f t="shared" si="5"/>
        <v>36</v>
      </c>
      <c r="X51" s="308">
        <f t="shared" si="6"/>
        <v>107.5</v>
      </c>
      <c r="Y51" s="64">
        <f t="shared" si="6"/>
        <v>0</v>
      </c>
      <c r="Z51" s="309">
        <f t="shared" si="6"/>
        <v>107.5</v>
      </c>
      <c r="AA51" s="310">
        <f t="shared" si="7"/>
        <v>17.916666666666668</v>
      </c>
      <c r="AB51" s="65">
        <f t="shared" si="7"/>
        <v>0</v>
      </c>
      <c r="AC51" s="311">
        <f t="shared" si="7"/>
        <v>17.916666666666668</v>
      </c>
      <c r="AD51" s="314" t="s">
        <v>15</v>
      </c>
    </row>
    <row r="52" spans="1:30" ht="15.75" hidden="1" customHeight="1">
      <c r="A52" s="302">
        <v>46</v>
      </c>
      <c r="B52" s="313" t="s">
        <v>2067</v>
      </c>
      <c r="C52" s="302" t="s">
        <v>2045</v>
      </c>
      <c r="D52" s="305" t="s">
        <v>2068</v>
      </c>
      <c r="E52" s="306">
        <v>15</v>
      </c>
      <c r="F52" s="307">
        <v>18</v>
      </c>
      <c r="G52" s="302"/>
      <c r="H52" s="294">
        <f t="shared" si="0"/>
        <v>18</v>
      </c>
      <c r="I52" s="307">
        <v>18</v>
      </c>
      <c r="J52" s="302"/>
      <c r="K52" s="294">
        <f t="shared" si="1"/>
        <v>18</v>
      </c>
      <c r="L52" s="307">
        <v>36</v>
      </c>
      <c r="M52" s="302"/>
      <c r="N52" s="294">
        <f t="shared" si="2"/>
        <v>36</v>
      </c>
      <c r="O52" s="307">
        <v>20</v>
      </c>
      <c r="P52" s="302">
        <v>9</v>
      </c>
      <c r="Q52" s="294">
        <f t="shared" si="3"/>
        <v>29</v>
      </c>
      <c r="R52" s="307"/>
      <c r="S52" s="302"/>
      <c r="T52" s="294">
        <f t="shared" si="4"/>
        <v>0</v>
      </c>
      <c r="U52" s="307">
        <v>35</v>
      </c>
      <c r="V52" s="302"/>
      <c r="W52" s="291">
        <f t="shared" si="5"/>
        <v>35</v>
      </c>
      <c r="X52" s="308">
        <f t="shared" si="6"/>
        <v>127</v>
      </c>
      <c r="Y52" s="64">
        <f t="shared" si="6"/>
        <v>9</v>
      </c>
      <c r="Z52" s="309">
        <f t="shared" si="6"/>
        <v>136</v>
      </c>
      <c r="AA52" s="310">
        <f t="shared" si="7"/>
        <v>21.166666666666668</v>
      </c>
      <c r="AB52" s="65">
        <f t="shared" si="7"/>
        <v>1.5</v>
      </c>
      <c r="AC52" s="311">
        <f t="shared" si="7"/>
        <v>22.666666666666668</v>
      </c>
      <c r="AD52" s="301" t="s">
        <v>18</v>
      </c>
    </row>
    <row r="53" spans="1:30" ht="15.75" hidden="1" customHeight="1">
      <c r="A53" s="289">
        <v>47</v>
      </c>
      <c r="B53" s="313" t="s">
        <v>2069</v>
      </c>
      <c r="C53" s="302" t="s">
        <v>2045</v>
      </c>
      <c r="D53" s="291" t="s">
        <v>2070</v>
      </c>
      <c r="E53" s="306">
        <v>20</v>
      </c>
      <c r="F53" s="307">
        <v>20</v>
      </c>
      <c r="G53" s="302"/>
      <c r="H53" s="294">
        <f t="shared" si="0"/>
        <v>20</v>
      </c>
      <c r="I53" s="307">
        <v>20</v>
      </c>
      <c r="J53" s="302"/>
      <c r="K53" s="294">
        <f t="shared" si="1"/>
        <v>20</v>
      </c>
      <c r="L53" s="307">
        <v>20</v>
      </c>
      <c r="M53" s="302"/>
      <c r="N53" s="294">
        <f t="shared" si="2"/>
        <v>20</v>
      </c>
      <c r="O53" s="307">
        <v>25</v>
      </c>
      <c r="P53" s="302"/>
      <c r="Q53" s="294">
        <f t="shared" si="3"/>
        <v>25</v>
      </c>
      <c r="R53" s="307"/>
      <c r="S53" s="302"/>
      <c r="T53" s="294">
        <f t="shared" si="4"/>
        <v>0</v>
      </c>
      <c r="U53" s="307">
        <v>15</v>
      </c>
      <c r="V53" s="302"/>
      <c r="W53" s="291">
        <f t="shared" si="5"/>
        <v>15</v>
      </c>
      <c r="X53" s="308">
        <f t="shared" si="6"/>
        <v>100</v>
      </c>
      <c r="Y53" s="64">
        <f t="shared" si="6"/>
        <v>0</v>
      </c>
      <c r="Z53" s="309">
        <f t="shared" si="6"/>
        <v>100</v>
      </c>
      <c r="AA53" s="310">
        <f t="shared" si="7"/>
        <v>16.666666666666668</v>
      </c>
      <c r="AB53" s="65">
        <f t="shared" si="7"/>
        <v>0</v>
      </c>
      <c r="AC53" s="311">
        <f t="shared" si="7"/>
        <v>16.666666666666668</v>
      </c>
      <c r="AD53" s="314" t="s">
        <v>15</v>
      </c>
    </row>
    <row r="54" spans="1:30" ht="15.75" hidden="1" customHeight="1">
      <c r="A54" s="302">
        <v>48</v>
      </c>
      <c r="B54" s="313" t="s">
        <v>2071</v>
      </c>
      <c r="C54" s="302" t="s">
        <v>2045</v>
      </c>
      <c r="D54" s="305" t="s">
        <v>2072</v>
      </c>
      <c r="E54" s="306">
        <v>10</v>
      </c>
      <c r="F54" s="307">
        <v>5</v>
      </c>
      <c r="G54" s="302"/>
      <c r="H54" s="294">
        <f t="shared" si="0"/>
        <v>5</v>
      </c>
      <c r="I54" s="307">
        <v>15</v>
      </c>
      <c r="J54" s="302"/>
      <c r="K54" s="294">
        <f t="shared" si="1"/>
        <v>15</v>
      </c>
      <c r="L54" s="307">
        <v>10</v>
      </c>
      <c r="M54" s="302"/>
      <c r="N54" s="294">
        <f t="shared" si="2"/>
        <v>10</v>
      </c>
      <c r="O54" s="307">
        <v>10</v>
      </c>
      <c r="P54" s="302"/>
      <c r="Q54" s="294">
        <f t="shared" si="3"/>
        <v>10</v>
      </c>
      <c r="R54" s="307"/>
      <c r="S54" s="302"/>
      <c r="T54" s="294">
        <f t="shared" si="4"/>
        <v>0</v>
      </c>
      <c r="U54" s="307">
        <v>8</v>
      </c>
      <c r="V54" s="302"/>
      <c r="W54" s="291">
        <f t="shared" si="5"/>
        <v>8</v>
      </c>
      <c r="X54" s="308">
        <f t="shared" si="6"/>
        <v>48</v>
      </c>
      <c r="Y54" s="64">
        <f t="shared" si="6"/>
        <v>0</v>
      </c>
      <c r="Z54" s="309">
        <f t="shared" si="6"/>
        <v>48</v>
      </c>
      <c r="AA54" s="310">
        <f t="shared" si="7"/>
        <v>8</v>
      </c>
      <c r="AB54" s="65">
        <f t="shared" si="7"/>
        <v>0</v>
      </c>
      <c r="AC54" s="311">
        <f t="shared" si="7"/>
        <v>8</v>
      </c>
      <c r="AD54" s="314" t="s">
        <v>15</v>
      </c>
    </row>
    <row r="55" spans="1:30" ht="15.75" hidden="1" customHeight="1">
      <c r="A55" s="289">
        <v>49</v>
      </c>
      <c r="B55" s="313" t="s">
        <v>2073</v>
      </c>
      <c r="C55" s="302" t="s">
        <v>2045</v>
      </c>
      <c r="D55" s="291" t="s">
        <v>2074</v>
      </c>
      <c r="E55" s="306">
        <v>25</v>
      </c>
      <c r="F55" s="307">
        <v>20</v>
      </c>
      <c r="G55" s="302"/>
      <c r="H55" s="294">
        <f t="shared" si="0"/>
        <v>20</v>
      </c>
      <c r="I55" s="307">
        <v>35</v>
      </c>
      <c r="J55" s="302"/>
      <c r="K55" s="294">
        <f t="shared" si="1"/>
        <v>35</v>
      </c>
      <c r="L55" s="307">
        <v>20</v>
      </c>
      <c r="M55" s="302"/>
      <c r="N55" s="294">
        <f t="shared" si="2"/>
        <v>20</v>
      </c>
      <c r="O55" s="307">
        <v>45</v>
      </c>
      <c r="P55" s="302"/>
      <c r="Q55" s="294">
        <f t="shared" si="3"/>
        <v>45</v>
      </c>
      <c r="R55" s="307"/>
      <c r="S55" s="302"/>
      <c r="T55" s="294">
        <f t="shared" si="4"/>
        <v>0</v>
      </c>
      <c r="U55" s="307">
        <v>18</v>
      </c>
      <c r="V55" s="302"/>
      <c r="W55" s="291">
        <f t="shared" si="5"/>
        <v>18</v>
      </c>
      <c r="X55" s="308">
        <f t="shared" si="6"/>
        <v>138</v>
      </c>
      <c r="Y55" s="64">
        <f t="shared" si="6"/>
        <v>0</v>
      </c>
      <c r="Z55" s="309">
        <f t="shared" si="6"/>
        <v>138</v>
      </c>
      <c r="AA55" s="310">
        <f t="shared" si="7"/>
        <v>23</v>
      </c>
      <c r="AB55" s="65">
        <f t="shared" si="7"/>
        <v>0</v>
      </c>
      <c r="AC55" s="311">
        <f t="shared" si="7"/>
        <v>23</v>
      </c>
      <c r="AD55" s="301" t="s">
        <v>18</v>
      </c>
    </row>
    <row r="56" spans="1:30" ht="15.75" hidden="1" customHeight="1">
      <c r="A56" s="302">
        <v>50</v>
      </c>
      <c r="B56" s="313" t="s">
        <v>2075</v>
      </c>
      <c r="C56" s="302" t="s">
        <v>2045</v>
      </c>
      <c r="D56" s="305" t="s">
        <v>2076</v>
      </c>
      <c r="E56" s="306">
        <v>20</v>
      </c>
      <c r="F56" s="307">
        <v>35</v>
      </c>
      <c r="G56" s="302"/>
      <c r="H56" s="294">
        <f t="shared" si="0"/>
        <v>35</v>
      </c>
      <c r="I56" s="307">
        <v>65</v>
      </c>
      <c r="J56" s="302"/>
      <c r="K56" s="294">
        <f t="shared" si="1"/>
        <v>65</v>
      </c>
      <c r="L56" s="307">
        <v>36</v>
      </c>
      <c r="M56" s="302"/>
      <c r="N56" s="294">
        <f t="shared" si="2"/>
        <v>36</v>
      </c>
      <c r="O56" s="307">
        <v>82</v>
      </c>
      <c r="P56" s="302">
        <v>20</v>
      </c>
      <c r="Q56" s="294">
        <f t="shared" si="3"/>
        <v>102</v>
      </c>
      <c r="R56" s="307"/>
      <c r="S56" s="302"/>
      <c r="T56" s="294">
        <f t="shared" si="4"/>
        <v>0</v>
      </c>
      <c r="U56" s="307">
        <v>36</v>
      </c>
      <c r="V56" s="302"/>
      <c r="W56" s="291">
        <f t="shared" si="5"/>
        <v>36</v>
      </c>
      <c r="X56" s="308">
        <f t="shared" si="6"/>
        <v>254</v>
      </c>
      <c r="Y56" s="64">
        <f t="shared" si="6"/>
        <v>20</v>
      </c>
      <c r="Z56" s="309">
        <f t="shared" si="6"/>
        <v>274</v>
      </c>
      <c r="AA56" s="310">
        <f t="shared" si="7"/>
        <v>42.333333333333336</v>
      </c>
      <c r="AB56" s="65">
        <f t="shared" si="7"/>
        <v>3.3333333333333335</v>
      </c>
      <c r="AC56" s="311">
        <f t="shared" si="7"/>
        <v>45.666666666666664</v>
      </c>
      <c r="AD56" s="301" t="s">
        <v>18</v>
      </c>
    </row>
    <row r="57" spans="1:30" ht="15.75" hidden="1" customHeight="1">
      <c r="A57" s="289">
        <v>51</v>
      </c>
      <c r="B57" s="313" t="s">
        <v>2077</v>
      </c>
      <c r="C57" s="302" t="s">
        <v>2078</v>
      </c>
      <c r="D57" s="291" t="s">
        <v>2079</v>
      </c>
      <c r="E57" s="306">
        <v>20</v>
      </c>
      <c r="F57" s="307">
        <v>40</v>
      </c>
      <c r="G57" s="302"/>
      <c r="H57" s="294">
        <f t="shared" si="0"/>
        <v>40</v>
      </c>
      <c r="I57" s="307"/>
      <c r="J57" s="302"/>
      <c r="K57" s="294">
        <f t="shared" si="1"/>
        <v>0</v>
      </c>
      <c r="L57" s="307">
        <v>26</v>
      </c>
      <c r="M57" s="302"/>
      <c r="N57" s="294">
        <f t="shared" si="2"/>
        <v>26</v>
      </c>
      <c r="O57" s="307">
        <v>65</v>
      </c>
      <c r="P57" s="302"/>
      <c r="Q57" s="294">
        <f t="shared" si="3"/>
        <v>65</v>
      </c>
      <c r="R57" s="307"/>
      <c r="S57" s="302"/>
      <c r="T57" s="294">
        <f t="shared" si="4"/>
        <v>0</v>
      </c>
      <c r="U57" s="307">
        <v>25</v>
      </c>
      <c r="V57" s="302"/>
      <c r="W57" s="291">
        <f t="shared" si="5"/>
        <v>25</v>
      </c>
      <c r="X57" s="308">
        <f t="shared" si="6"/>
        <v>156</v>
      </c>
      <c r="Y57" s="64">
        <f t="shared" si="6"/>
        <v>0</v>
      </c>
      <c r="Z57" s="309">
        <f t="shared" si="6"/>
        <v>156</v>
      </c>
      <c r="AA57" s="310">
        <f t="shared" si="7"/>
        <v>26</v>
      </c>
      <c r="AB57" s="65">
        <f t="shared" si="7"/>
        <v>0</v>
      </c>
      <c r="AC57" s="311">
        <f t="shared" si="7"/>
        <v>26</v>
      </c>
      <c r="AD57" s="301" t="s">
        <v>18</v>
      </c>
    </row>
    <row r="58" spans="1:30" ht="15.75" customHeight="1">
      <c r="A58" s="302">
        <v>52</v>
      </c>
      <c r="B58" s="313" t="s">
        <v>2080</v>
      </c>
      <c r="C58" s="302" t="s">
        <v>2078</v>
      </c>
      <c r="D58" s="305" t="s">
        <v>2081</v>
      </c>
      <c r="E58" s="306">
        <v>12</v>
      </c>
      <c r="F58" s="307">
        <v>36</v>
      </c>
      <c r="G58" s="302"/>
      <c r="H58" s="294">
        <f t="shared" si="0"/>
        <v>36</v>
      </c>
      <c r="I58" s="307">
        <v>95</v>
      </c>
      <c r="J58" s="302"/>
      <c r="K58" s="294">
        <f t="shared" si="1"/>
        <v>95</v>
      </c>
      <c r="L58" s="307">
        <v>45</v>
      </c>
      <c r="M58" s="302"/>
      <c r="N58" s="294">
        <f t="shared" si="2"/>
        <v>45</v>
      </c>
      <c r="O58" s="307">
        <v>55</v>
      </c>
      <c r="P58" s="302"/>
      <c r="Q58" s="294">
        <f t="shared" si="3"/>
        <v>55</v>
      </c>
      <c r="R58" s="307">
        <v>75</v>
      </c>
      <c r="S58" s="302"/>
      <c r="T58" s="294">
        <f t="shared" si="4"/>
        <v>75</v>
      </c>
      <c r="U58" s="307">
        <v>50</v>
      </c>
      <c r="V58" s="302"/>
      <c r="W58" s="291">
        <f t="shared" si="5"/>
        <v>50</v>
      </c>
      <c r="X58" s="308">
        <f t="shared" si="6"/>
        <v>356</v>
      </c>
      <c r="Y58" s="64">
        <f t="shared" si="6"/>
        <v>0</v>
      </c>
      <c r="Z58" s="309">
        <f t="shared" si="6"/>
        <v>356</v>
      </c>
      <c r="AA58" s="310">
        <f t="shared" si="7"/>
        <v>59.333333333333336</v>
      </c>
      <c r="AB58" s="65">
        <f t="shared" si="7"/>
        <v>0</v>
      </c>
      <c r="AC58" s="311">
        <f t="shared" si="7"/>
        <v>59.333333333333336</v>
      </c>
      <c r="AD58" s="301" t="s">
        <v>18</v>
      </c>
    </row>
    <row r="59" spans="1:30" ht="15.75" hidden="1" customHeight="1">
      <c r="A59" s="436">
        <v>53</v>
      </c>
      <c r="B59" s="437" t="s">
        <v>2082</v>
      </c>
      <c r="C59" s="438" t="s">
        <v>2078</v>
      </c>
      <c r="D59" s="439" t="s">
        <v>2083</v>
      </c>
      <c r="E59" s="440">
        <v>34</v>
      </c>
      <c r="F59" s="441">
        <v>48</v>
      </c>
      <c r="G59" s="438">
        <v>0</v>
      </c>
      <c r="H59" s="442">
        <f t="shared" si="0"/>
        <v>48</v>
      </c>
      <c r="I59" s="441">
        <v>70</v>
      </c>
      <c r="J59" s="438">
        <v>0</v>
      </c>
      <c r="K59" s="442">
        <f t="shared" si="1"/>
        <v>70</v>
      </c>
      <c r="L59" s="441">
        <v>93</v>
      </c>
      <c r="M59" s="438">
        <v>0</v>
      </c>
      <c r="N59" s="442">
        <f t="shared" si="2"/>
        <v>93</v>
      </c>
      <c r="O59" s="441">
        <v>0</v>
      </c>
      <c r="P59" s="438">
        <v>0</v>
      </c>
      <c r="Q59" s="442">
        <f t="shared" si="3"/>
        <v>0</v>
      </c>
      <c r="R59" s="441">
        <v>0</v>
      </c>
      <c r="S59" s="438">
        <v>0</v>
      </c>
      <c r="T59" s="442">
        <f t="shared" si="4"/>
        <v>0</v>
      </c>
      <c r="U59" s="441">
        <v>34</v>
      </c>
      <c r="V59" s="438">
        <v>0</v>
      </c>
      <c r="W59" s="439">
        <f t="shared" si="5"/>
        <v>34</v>
      </c>
      <c r="X59" s="443">
        <f t="shared" si="6"/>
        <v>245</v>
      </c>
      <c r="Y59" s="444">
        <f t="shared" si="6"/>
        <v>0</v>
      </c>
      <c r="Z59" s="445">
        <f t="shared" si="6"/>
        <v>245</v>
      </c>
      <c r="AA59" s="446">
        <f t="shared" si="7"/>
        <v>40.833333333333336</v>
      </c>
      <c r="AB59" s="447">
        <f t="shared" si="7"/>
        <v>0</v>
      </c>
      <c r="AC59" s="448">
        <f t="shared" si="7"/>
        <v>40.833333333333336</v>
      </c>
      <c r="AD59" s="453" t="s">
        <v>18</v>
      </c>
    </row>
    <row r="60" spans="1:30" ht="15.75" customHeight="1">
      <c r="A60" s="450">
        <v>54</v>
      </c>
      <c r="B60" s="437" t="s">
        <v>2084</v>
      </c>
      <c r="C60" s="438" t="s">
        <v>2078</v>
      </c>
      <c r="D60" s="451" t="s">
        <v>2085</v>
      </c>
      <c r="E60" s="440">
        <v>486</v>
      </c>
      <c r="F60" s="441">
        <v>562</v>
      </c>
      <c r="G60" s="438">
        <v>0</v>
      </c>
      <c r="H60" s="442">
        <f t="shared" si="0"/>
        <v>562</v>
      </c>
      <c r="I60" s="441">
        <v>386</v>
      </c>
      <c r="J60" s="438">
        <v>0</v>
      </c>
      <c r="K60" s="442">
        <f t="shared" si="1"/>
        <v>386</v>
      </c>
      <c r="L60" s="441">
        <v>540</v>
      </c>
      <c r="M60" s="438">
        <v>0</v>
      </c>
      <c r="N60" s="442">
        <f t="shared" si="2"/>
        <v>540</v>
      </c>
      <c r="O60" s="441">
        <v>225</v>
      </c>
      <c r="P60" s="438">
        <v>0</v>
      </c>
      <c r="Q60" s="442">
        <f t="shared" si="3"/>
        <v>225</v>
      </c>
      <c r="R60" s="441">
        <v>282</v>
      </c>
      <c r="S60" s="438">
        <v>0</v>
      </c>
      <c r="T60" s="442">
        <f t="shared" si="4"/>
        <v>282</v>
      </c>
      <c r="U60" s="441">
        <v>162</v>
      </c>
      <c r="V60" s="438">
        <v>36</v>
      </c>
      <c r="W60" s="439">
        <f t="shared" si="5"/>
        <v>198</v>
      </c>
      <c r="X60" s="443">
        <f t="shared" si="6"/>
        <v>2157</v>
      </c>
      <c r="Y60" s="444">
        <f t="shared" si="6"/>
        <v>36</v>
      </c>
      <c r="Z60" s="445">
        <f t="shared" si="6"/>
        <v>2193</v>
      </c>
      <c r="AA60" s="446">
        <f t="shared" si="7"/>
        <v>359.5</v>
      </c>
      <c r="AB60" s="447">
        <f t="shared" si="7"/>
        <v>6</v>
      </c>
      <c r="AC60" s="448">
        <f t="shared" si="7"/>
        <v>365.5</v>
      </c>
      <c r="AD60" s="453" t="s">
        <v>18</v>
      </c>
    </row>
    <row r="61" spans="1:30" ht="15.75" customHeight="1">
      <c r="A61" s="436">
        <v>55</v>
      </c>
      <c r="B61" s="437" t="s">
        <v>2086</v>
      </c>
      <c r="C61" s="438" t="s">
        <v>2045</v>
      </c>
      <c r="D61" s="439" t="s">
        <v>2087</v>
      </c>
      <c r="E61" s="440">
        <v>309</v>
      </c>
      <c r="F61" s="441">
        <v>532</v>
      </c>
      <c r="G61" s="438">
        <v>0</v>
      </c>
      <c r="H61" s="442">
        <f t="shared" si="0"/>
        <v>532</v>
      </c>
      <c r="I61" s="441">
        <v>220</v>
      </c>
      <c r="J61" s="438">
        <v>0</v>
      </c>
      <c r="K61" s="442">
        <f t="shared" si="1"/>
        <v>220</v>
      </c>
      <c r="L61" s="441">
        <v>550</v>
      </c>
      <c r="M61" s="438">
        <v>0</v>
      </c>
      <c r="N61" s="442">
        <f t="shared" si="2"/>
        <v>550</v>
      </c>
      <c r="O61" s="441">
        <v>0</v>
      </c>
      <c r="P61" s="438">
        <v>0</v>
      </c>
      <c r="Q61" s="442">
        <f t="shared" si="3"/>
        <v>0</v>
      </c>
      <c r="R61" s="441">
        <v>620</v>
      </c>
      <c r="S61" s="438">
        <v>0</v>
      </c>
      <c r="T61" s="442">
        <f t="shared" si="4"/>
        <v>620</v>
      </c>
      <c r="U61" s="441">
        <v>397</v>
      </c>
      <c r="V61" s="438">
        <v>0</v>
      </c>
      <c r="W61" s="439">
        <f t="shared" si="5"/>
        <v>397</v>
      </c>
      <c r="X61" s="443">
        <f t="shared" si="6"/>
        <v>2319</v>
      </c>
      <c r="Y61" s="444">
        <f t="shared" si="6"/>
        <v>0</v>
      </c>
      <c r="Z61" s="445">
        <f t="shared" si="6"/>
        <v>2319</v>
      </c>
      <c r="AA61" s="446">
        <f t="shared" si="7"/>
        <v>386.5</v>
      </c>
      <c r="AB61" s="447">
        <f t="shared" si="7"/>
        <v>0</v>
      </c>
      <c r="AC61" s="448">
        <f t="shared" si="7"/>
        <v>386.5</v>
      </c>
      <c r="AD61" s="453" t="s">
        <v>2088</v>
      </c>
    </row>
    <row r="62" spans="1:30" ht="15.75" customHeight="1">
      <c r="A62" s="450">
        <v>56</v>
      </c>
      <c r="B62" s="437" t="s">
        <v>2089</v>
      </c>
      <c r="C62" s="438" t="s">
        <v>2090</v>
      </c>
      <c r="D62" s="451" t="s">
        <v>2091</v>
      </c>
      <c r="E62" s="440">
        <v>1799</v>
      </c>
      <c r="F62" s="441">
        <v>2010</v>
      </c>
      <c r="G62" s="438">
        <v>72</v>
      </c>
      <c r="H62" s="442">
        <f t="shared" si="0"/>
        <v>2082</v>
      </c>
      <c r="I62" s="441">
        <v>2010</v>
      </c>
      <c r="J62" s="438">
        <v>267</v>
      </c>
      <c r="K62" s="442">
        <f t="shared" si="1"/>
        <v>2277</v>
      </c>
      <c r="L62" s="441">
        <v>983</v>
      </c>
      <c r="M62" s="438">
        <v>54</v>
      </c>
      <c r="N62" s="442">
        <f t="shared" si="2"/>
        <v>1037</v>
      </c>
      <c r="O62" s="441">
        <v>1614</v>
      </c>
      <c r="P62" s="438">
        <v>148</v>
      </c>
      <c r="Q62" s="442">
        <f t="shared" si="3"/>
        <v>1762</v>
      </c>
      <c r="R62" s="441">
        <v>2200</v>
      </c>
      <c r="S62" s="438">
        <v>310</v>
      </c>
      <c r="T62" s="442">
        <f t="shared" si="4"/>
        <v>2510</v>
      </c>
      <c r="U62" s="441">
        <v>2602</v>
      </c>
      <c r="V62" s="438">
        <v>90</v>
      </c>
      <c r="W62" s="439">
        <f t="shared" si="5"/>
        <v>2692</v>
      </c>
      <c r="X62" s="443">
        <f t="shared" si="6"/>
        <v>11419</v>
      </c>
      <c r="Y62" s="444">
        <f t="shared" si="6"/>
        <v>941</v>
      </c>
      <c r="Z62" s="445">
        <f t="shared" si="6"/>
        <v>12360</v>
      </c>
      <c r="AA62" s="446">
        <f t="shared" si="7"/>
        <v>1903.1666666666667</v>
      </c>
      <c r="AB62" s="447">
        <f t="shared" si="7"/>
        <v>156.83333333333334</v>
      </c>
      <c r="AC62" s="448">
        <f t="shared" si="7"/>
        <v>2060</v>
      </c>
      <c r="AD62" s="453" t="s">
        <v>18</v>
      </c>
    </row>
    <row r="63" spans="1:30" ht="15.75" customHeight="1">
      <c r="A63" s="436">
        <v>57</v>
      </c>
      <c r="B63" s="437" t="s">
        <v>2092</v>
      </c>
      <c r="C63" s="438" t="s">
        <v>2093</v>
      </c>
      <c r="D63" s="439" t="s">
        <v>2094</v>
      </c>
      <c r="E63" s="440">
        <v>331</v>
      </c>
      <c r="F63" s="441">
        <v>159</v>
      </c>
      <c r="G63" s="438">
        <v>0</v>
      </c>
      <c r="H63" s="442">
        <f t="shared" si="0"/>
        <v>159</v>
      </c>
      <c r="I63" s="441">
        <v>257</v>
      </c>
      <c r="J63" s="438">
        <v>0</v>
      </c>
      <c r="K63" s="442">
        <f t="shared" si="1"/>
        <v>257</v>
      </c>
      <c r="L63" s="441">
        <v>74</v>
      </c>
      <c r="M63" s="438">
        <v>0</v>
      </c>
      <c r="N63" s="442">
        <f t="shared" si="2"/>
        <v>74</v>
      </c>
      <c r="O63" s="441">
        <v>81</v>
      </c>
      <c r="P63" s="438">
        <v>0</v>
      </c>
      <c r="Q63" s="442">
        <f t="shared" si="3"/>
        <v>81</v>
      </c>
      <c r="R63" s="441">
        <v>112</v>
      </c>
      <c r="S63" s="438">
        <v>0</v>
      </c>
      <c r="T63" s="442">
        <f t="shared" si="4"/>
        <v>112</v>
      </c>
      <c r="U63" s="441">
        <v>157</v>
      </c>
      <c r="V63" s="438">
        <v>0</v>
      </c>
      <c r="W63" s="439">
        <f t="shared" si="5"/>
        <v>157</v>
      </c>
      <c r="X63" s="443">
        <f t="shared" si="6"/>
        <v>840</v>
      </c>
      <c r="Y63" s="444">
        <f t="shared" si="6"/>
        <v>0</v>
      </c>
      <c r="Z63" s="445">
        <f t="shared" si="6"/>
        <v>840</v>
      </c>
      <c r="AA63" s="446">
        <f t="shared" si="7"/>
        <v>140</v>
      </c>
      <c r="AB63" s="447">
        <f t="shared" si="7"/>
        <v>0</v>
      </c>
      <c r="AC63" s="448">
        <f t="shared" si="7"/>
        <v>140</v>
      </c>
      <c r="AD63" s="453" t="s">
        <v>18</v>
      </c>
    </row>
    <row r="64" spans="1:30" ht="15.75" customHeight="1">
      <c r="A64" s="302">
        <v>58</v>
      </c>
      <c r="B64" s="313" t="s">
        <v>2047</v>
      </c>
      <c r="C64" s="302" t="s">
        <v>2095</v>
      </c>
      <c r="D64" s="305" t="s">
        <v>2096</v>
      </c>
      <c r="E64" s="306">
        <v>48</v>
      </c>
      <c r="F64" s="307">
        <v>65</v>
      </c>
      <c r="G64" s="302">
        <v>14</v>
      </c>
      <c r="H64" s="294">
        <f t="shared" si="0"/>
        <v>79</v>
      </c>
      <c r="I64" s="307">
        <v>150</v>
      </c>
      <c r="J64" s="302"/>
      <c r="K64" s="294">
        <f t="shared" si="1"/>
        <v>150</v>
      </c>
      <c r="L64" s="307">
        <v>120</v>
      </c>
      <c r="M64" s="302"/>
      <c r="N64" s="294">
        <f t="shared" si="2"/>
        <v>120</v>
      </c>
      <c r="O64" s="307">
        <v>76</v>
      </c>
      <c r="P64" s="302"/>
      <c r="Q64" s="294">
        <f t="shared" si="3"/>
        <v>76</v>
      </c>
      <c r="R64" s="307"/>
      <c r="S64" s="302"/>
      <c r="T64" s="294">
        <f t="shared" si="4"/>
        <v>0</v>
      </c>
      <c r="U64" s="307">
        <v>13.5</v>
      </c>
      <c r="V64" s="302"/>
      <c r="W64" s="291">
        <f t="shared" si="5"/>
        <v>13.5</v>
      </c>
      <c r="X64" s="308">
        <f t="shared" si="6"/>
        <v>424.5</v>
      </c>
      <c r="Y64" s="64">
        <f t="shared" si="6"/>
        <v>14</v>
      </c>
      <c r="Z64" s="309">
        <f t="shared" si="6"/>
        <v>438.5</v>
      </c>
      <c r="AA64" s="310">
        <f t="shared" si="7"/>
        <v>70.75</v>
      </c>
      <c r="AB64" s="65">
        <f t="shared" si="7"/>
        <v>2.3333333333333335</v>
      </c>
      <c r="AC64" s="311">
        <f t="shared" si="7"/>
        <v>73.083333333333329</v>
      </c>
      <c r="AD64" s="301" t="s">
        <v>18</v>
      </c>
    </row>
    <row r="65" spans="1:30" ht="15.75" hidden="1" customHeight="1">
      <c r="A65" s="289">
        <v>59</v>
      </c>
      <c r="B65" s="313" t="s">
        <v>2097</v>
      </c>
      <c r="C65" s="302" t="s">
        <v>2095</v>
      </c>
      <c r="D65" s="291" t="s">
        <v>2098</v>
      </c>
      <c r="E65" s="306">
        <v>9</v>
      </c>
      <c r="F65" s="307">
        <v>9</v>
      </c>
      <c r="G65" s="302"/>
      <c r="H65" s="294">
        <f t="shared" si="0"/>
        <v>9</v>
      </c>
      <c r="I65" s="307">
        <v>10</v>
      </c>
      <c r="J65" s="302"/>
      <c r="K65" s="294">
        <f t="shared" si="1"/>
        <v>10</v>
      </c>
      <c r="L65" s="307">
        <v>10</v>
      </c>
      <c r="M65" s="302"/>
      <c r="N65" s="294">
        <f t="shared" si="2"/>
        <v>10</v>
      </c>
      <c r="O65" s="307">
        <v>5</v>
      </c>
      <c r="P65" s="302"/>
      <c r="Q65" s="294">
        <f t="shared" si="3"/>
        <v>5</v>
      </c>
      <c r="R65" s="307"/>
      <c r="S65" s="302"/>
      <c r="T65" s="294">
        <f t="shared" si="4"/>
        <v>0</v>
      </c>
      <c r="U65" s="307">
        <v>8</v>
      </c>
      <c r="V65" s="302"/>
      <c r="W65" s="291">
        <f t="shared" si="5"/>
        <v>8</v>
      </c>
      <c r="X65" s="308">
        <f t="shared" si="6"/>
        <v>42</v>
      </c>
      <c r="Y65" s="64">
        <f t="shared" si="6"/>
        <v>0</v>
      </c>
      <c r="Z65" s="309">
        <f t="shared" si="6"/>
        <v>42</v>
      </c>
      <c r="AA65" s="310">
        <f t="shared" si="7"/>
        <v>7</v>
      </c>
      <c r="AB65" s="65">
        <f t="shared" si="7"/>
        <v>0</v>
      </c>
      <c r="AC65" s="311">
        <f t="shared" si="7"/>
        <v>7</v>
      </c>
      <c r="AD65" s="314" t="s">
        <v>15</v>
      </c>
    </row>
    <row r="66" spans="1:30" ht="15.75" hidden="1" customHeight="1">
      <c r="A66" s="302">
        <v>60</v>
      </c>
      <c r="B66" s="313" t="s">
        <v>2099</v>
      </c>
      <c r="C66" s="302" t="s">
        <v>2095</v>
      </c>
      <c r="D66" s="305" t="s">
        <v>2100</v>
      </c>
      <c r="E66" s="306">
        <v>6</v>
      </c>
      <c r="F66" s="307">
        <v>10</v>
      </c>
      <c r="G66" s="302"/>
      <c r="H66" s="294">
        <f t="shared" si="0"/>
        <v>10</v>
      </c>
      <c r="I66" s="307">
        <v>6</v>
      </c>
      <c r="J66" s="302"/>
      <c r="K66" s="294">
        <f t="shared" si="1"/>
        <v>6</v>
      </c>
      <c r="L66" s="307"/>
      <c r="M66" s="302"/>
      <c r="N66" s="294">
        <f t="shared" si="2"/>
        <v>0</v>
      </c>
      <c r="O66" s="307">
        <v>6</v>
      </c>
      <c r="P66" s="302"/>
      <c r="Q66" s="294">
        <f t="shared" si="3"/>
        <v>6</v>
      </c>
      <c r="R66" s="307"/>
      <c r="S66" s="302"/>
      <c r="T66" s="294">
        <f t="shared" si="4"/>
        <v>0</v>
      </c>
      <c r="U66" s="307"/>
      <c r="V66" s="302"/>
      <c r="W66" s="291">
        <f t="shared" si="5"/>
        <v>0</v>
      </c>
      <c r="X66" s="308">
        <f t="shared" si="6"/>
        <v>22</v>
      </c>
      <c r="Y66" s="64">
        <f t="shared" si="6"/>
        <v>0</v>
      </c>
      <c r="Z66" s="309">
        <f t="shared" si="6"/>
        <v>22</v>
      </c>
      <c r="AA66" s="310">
        <f t="shared" si="7"/>
        <v>3.6666666666666665</v>
      </c>
      <c r="AB66" s="65">
        <f t="shared" si="7"/>
        <v>0</v>
      </c>
      <c r="AC66" s="311">
        <f t="shared" si="7"/>
        <v>3.6666666666666665</v>
      </c>
      <c r="AD66" s="314" t="s">
        <v>15</v>
      </c>
    </row>
    <row r="67" spans="1:30" ht="15.75" hidden="1" customHeight="1">
      <c r="A67" s="289">
        <v>61</v>
      </c>
      <c r="B67" s="313" t="s">
        <v>2101</v>
      </c>
      <c r="C67" s="302" t="s">
        <v>2095</v>
      </c>
      <c r="D67" s="291" t="s">
        <v>2102</v>
      </c>
      <c r="E67" s="306">
        <v>5</v>
      </c>
      <c r="F67" s="307">
        <v>6</v>
      </c>
      <c r="G67" s="302"/>
      <c r="H67" s="294">
        <f t="shared" si="0"/>
        <v>6</v>
      </c>
      <c r="I67" s="307">
        <v>5</v>
      </c>
      <c r="J67" s="302"/>
      <c r="K67" s="294">
        <f t="shared" si="1"/>
        <v>5</v>
      </c>
      <c r="L67" s="307">
        <v>36</v>
      </c>
      <c r="M67" s="302"/>
      <c r="N67" s="294">
        <f t="shared" si="2"/>
        <v>36</v>
      </c>
      <c r="O67" s="307">
        <v>20</v>
      </c>
      <c r="P67" s="302"/>
      <c r="Q67" s="294">
        <f t="shared" si="3"/>
        <v>20</v>
      </c>
      <c r="R67" s="307"/>
      <c r="S67" s="302"/>
      <c r="T67" s="294">
        <f t="shared" si="4"/>
        <v>0</v>
      </c>
      <c r="U67" s="307">
        <v>9</v>
      </c>
      <c r="V67" s="302"/>
      <c r="W67" s="291">
        <f t="shared" si="5"/>
        <v>9</v>
      </c>
      <c r="X67" s="308">
        <f t="shared" si="6"/>
        <v>76</v>
      </c>
      <c r="Y67" s="64">
        <f t="shared" si="6"/>
        <v>0</v>
      </c>
      <c r="Z67" s="309">
        <f t="shared" si="6"/>
        <v>76</v>
      </c>
      <c r="AA67" s="310">
        <f t="shared" si="7"/>
        <v>12.666666666666666</v>
      </c>
      <c r="AB67" s="65">
        <f t="shared" si="7"/>
        <v>0</v>
      </c>
      <c r="AC67" s="311">
        <f t="shared" si="7"/>
        <v>12.666666666666666</v>
      </c>
      <c r="AD67" s="314" t="s">
        <v>15</v>
      </c>
    </row>
    <row r="68" spans="1:30" ht="15.75" hidden="1" customHeight="1">
      <c r="A68" s="302">
        <v>62</v>
      </c>
      <c r="B68" s="313" t="s">
        <v>2103</v>
      </c>
      <c r="C68" s="302" t="s">
        <v>2095</v>
      </c>
      <c r="D68" s="305" t="s">
        <v>2104</v>
      </c>
      <c r="E68" s="306">
        <v>5</v>
      </c>
      <c r="F68" s="307"/>
      <c r="G68" s="302"/>
      <c r="H68" s="294">
        <f t="shared" si="0"/>
        <v>0</v>
      </c>
      <c r="I68" s="307">
        <v>12</v>
      </c>
      <c r="J68" s="302"/>
      <c r="K68" s="294">
        <f t="shared" si="1"/>
        <v>12</v>
      </c>
      <c r="L68" s="307">
        <v>35</v>
      </c>
      <c r="M68" s="302"/>
      <c r="N68" s="294">
        <f t="shared" si="2"/>
        <v>35</v>
      </c>
      <c r="O68" s="307">
        <v>36</v>
      </c>
      <c r="P68" s="302"/>
      <c r="Q68" s="294">
        <f t="shared" si="3"/>
        <v>36</v>
      </c>
      <c r="R68" s="307"/>
      <c r="S68" s="302"/>
      <c r="T68" s="294">
        <f t="shared" si="4"/>
        <v>0</v>
      </c>
      <c r="U68" s="307"/>
      <c r="V68" s="302"/>
      <c r="W68" s="291">
        <f t="shared" si="5"/>
        <v>0</v>
      </c>
      <c r="X68" s="308">
        <f t="shared" si="6"/>
        <v>83</v>
      </c>
      <c r="Y68" s="64">
        <f t="shared" si="6"/>
        <v>0</v>
      </c>
      <c r="Z68" s="309">
        <f t="shared" si="6"/>
        <v>83</v>
      </c>
      <c r="AA68" s="310">
        <f t="shared" si="7"/>
        <v>13.833333333333334</v>
      </c>
      <c r="AB68" s="65">
        <f t="shared" si="7"/>
        <v>0</v>
      </c>
      <c r="AC68" s="311">
        <f t="shared" si="7"/>
        <v>13.833333333333334</v>
      </c>
      <c r="AD68" s="314" t="s">
        <v>18</v>
      </c>
    </row>
    <row r="69" spans="1:30" ht="15.75" hidden="1" customHeight="1">
      <c r="A69" s="289">
        <v>63</v>
      </c>
      <c r="B69" s="313" t="s">
        <v>2105</v>
      </c>
      <c r="C69" s="302" t="s">
        <v>2095</v>
      </c>
      <c r="D69" s="291" t="s">
        <v>2106</v>
      </c>
      <c r="E69" s="306">
        <v>10</v>
      </c>
      <c r="F69" s="307"/>
      <c r="G69" s="302"/>
      <c r="H69" s="294">
        <f t="shared" si="0"/>
        <v>0</v>
      </c>
      <c r="I69" s="307"/>
      <c r="J69" s="302"/>
      <c r="K69" s="294">
        <f t="shared" si="1"/>
        <v>0</v>
      </c>
      <c r="L69" s="307">
        <v>16</v>
      </c>
      <c r="M69" s="302"/>
      <c r="N69" s="294">
        <f t="shared" si="2"/>
        <v>16</v>
      </c>
      <c r="O69" s="307"/>
      <c r="P69" s="302"/>
      <c r="Q69" s="294">
        <f t="shared" si="3"/>
        <v>0</v>
      </c>
      <c r="R69" s="307"/>
      <c r="S69" s="302"/>
      <c r="T69" s="294">
        <f t="shared" si="4"/>
        <v>0</v>
      </c>
      <c r="U69" s="307">
        <v>6</v>
      </c>
      <c r="V69" s="302"/>
      <c r="W69" s="291">
        <f t="shared" si="5"/>
        <v>6</v>
      </c>
      <c r="X69" s="308">
        <f t="shared" si="6"/>
        <v>22</v>
      </c>
      <c r="Y69" s="64">
        <f t="shared" si="6"/>
        <v>0</v>
      </c>
      <c r="Z69" s="309">
        <f t="shared" si="6"/>
        <v>22</v>
      </c>
      <c r="AA69" s="310">
        <f t="shared" si="7"/>
        <v>3.6666666666666665</v>
      </c>
      <c r="AB69" s="65">
        <f t="shared" si="7"/>
        <v>0</v>
      </c>
      <c r="AC69" s="311">
        <f t="shared" si="7"/>
        <v>3.6666666666666665</v>
      </c>
      <c r="AD69" s="314" t="s">
        <v>15</v>
      </c>
    </row>
    <row r="70" spans="1:30" ht="15.75" hidden="1" customHeight="1">
      <c r="A70" s="302">
        <v>64</v>
      </c>
      <c r="B70" s="313" t="s">
        <v>2107</v>
      </c>
      <c r="C70" s="302" t="s">
        <v>2095</v>
      </c>
      <c r="D70" s="305" t="s">
        <v>2108</v>
      </c>
      <c r="E70" s="306">
        <v>7</v>
      </c>
      <c r="F70" s="307">
        <v>6</v>
      </c>
      <c r="G70" s="302"/>
      <c r="H70" s="294">
        <f t="shared" si="0"/>
        <v>6</v>
      </c>
      <c r="I70" s="307">
        <v>20</v>
      </c>
      <c r="J70" s="302"/>
      <c r="K70" s="294">
        <f t="shared" si="1"/>
        <v>20</v>
      </c>
      <c r="L70" s="307">
        <v>18</v>
      </c>
      <c r="M70" s="302"/>
      <c r="N70" s="294">
        <f t="shared" si="2"/>
        <v>18</v>
      </c>
      <c r="O70" s="307">
        <v>16</v>
      </c>
      <c r="P70" s="302"/>
      <c r="Q70" s="294">
        <f t="shared" si="3"/>
        <v>16</v>
      </c>
      <c r="R70" s="307"/>
      <c r="S70" s="302"/>
      <c r="T70" s="294">
        <f t="shared" si="4"/>
        <v>0</v>
      </c>
      <c r="U70" s="307">
        <v>15</v>
      </c>
      <c r="V70" s="302"/>
      <c r="W70" s="291">
        <f t="shared" si="5"/>
        <v>15</v>
      </c>
      <c r="X70" s="308">
        <f t="shared" si="6"/>
        <v>75</v>
      </c>
      <c r="Y70" s="64">
        <f t="shared" si="6"/>
        <v>0</v>
      </c>
      <c r="Z70" s="309">
        <f t="shared" si="6"/>
        <v>75</v>
      </c>
      <c r="AA70" s="310">
        <f t="shared" si="7"/>
        <v>12.5</v>
      </c>
      <c r="AB70" s="65">
        <f t="shared" si="7"/>
        <v>0</v>
      </c>
      <c r="AC70" s="311">
        <f t="shared" si="7"/>
        <v>12.5</v>
      </c>
      <c r="AD70" s="314" t="s">
        <v>15</v>
      </c>
    </row>
    <row r="71" spans="1:30" ht="15.75" hidden="1" customHeight="1">
      <c r="A71" s="289">
        <v>65</v>
      </c>
      <c r="B71" s="313" t="s">
        <v>2109</v>
      </c>
      <c r="C71" s="302" t="s">
        <v>2095</v>
      </c>
      <c r="D71" s="291" t="s">
        <v>2110</v>
      </c>
      <c r="E71" s="306">
        <v>8</v>
      </c>
      <c r="F71" s="307">
        <v>5</v>
      </c>
      <c r="G71" s="302"/>
      <c r="H71" s="294">
        <f t="shared" si="0"/>
        <v>5</v>
      </c>
      <c r="I71" s="307">
        <v>8</v>
      </c>
      <c r="J71" s="302"/>
      <c r="K71" s="294">
        <f t="shared" si="1"/>
        <v>8</v>
      </c>
      <c r="L71" s="307">
        <v>25</v>
      </c>
      <c r="M71" s="302"/>
      <c r="N71" s="294">
        <f t="shared" si="2"/>
        <v>25</v>
      </c>
      <c r="O71" s="307">
        <v>5</v>
      </c>
      <c r="P71" s="302"/>
      <c r="Q71" s="294">
        <f t="shared" si="3"/>
        <v>5</v>
      </c>
      <c r="R71" s="307"/>
      <c r="S71" s="302"/>
      <c r="T71" s="294">
        <f t="shared" si="4"/>
        <v>0</v>
      </c>
      <c r="U71" s="307">
        <v>5</v>
      </c>
      <c r="V71" s="302"/>
      <c r="W71" s="291">
        <f t="shared" si="5"/>
        <v>5</v>
      </c>
      <c r="X71" s="308">
        <f t="shared" si="6"/>
        <v>48</v>
      </c>
      <c r="Y71" s="64">
        <f t="shared" si="6"/>
        <v>0</v>
      </c>
      <c r="Z71" s="309">
        <f t="shared" si="6"/>
        <v>48</v>
      </c>
      <c r="AA71" s="310">
        <f t="shared" si="7"/>
        <v>8</v>
      </c>
      <c r="AB71" s="65">
        <f t="shared" si="7"/>
        <v>0</v>
      </c>
      <c r="AC71" s="311">
        <f t="shared" si="7"/>
        <v>8</v>
      </c>
      <c r="AD71" s="314" t="s">
        <v>15</v>
      </c>
    </row>
    <row r="72" spans="1:30" ht="15.75" hidden="1" customHeight="1">
      <c r="A72" s="302">
        <v>66</v>
      </c>
      <c r="B72" s="313" t="s">
        <v>2111</v>
      </c>
      <c r="C72" s="302" t="s">
        <v>2095</v>
      </c>
      <c r="D72" s="305" t="s">
        <v>2112</v>
      </c>
      <c r="E72" s="306">
        <v>5</v>
      </c>
      <c r="F72" s="307"/>
      <c r="G72" s="302"/>
      <c r="H72" s="294">
        <f t="shared" si="0"/>
        <v>0</v>
      </c>
      <c r="I72" s="307">
        <v>6</v>
      </c>
      <c r="J72" s="302"/>
      <c r="K72" s="294">
        <f t="shared" si="1"/>
        <v>6</v>
      </c>
      <c r="L72" s="307">
        <v>13</v>
      </c>
      <c r="M72" s="302"/>
      <c r="N72" s="294">
        <f t="shared" si="2"/>
        <v>13</v>
      </c>
      <c r="O72" s="307">
        <v>6</v>
      </c>
      <c r="P72" s="302"/>
      <c r="Q72" s="294">
        <f t="shared" si="3"/>
        <v>6</v>
      </c>
      <c r="R72" s="307"/>
      <c r="S72" s="302"/>
      <c r="T72" s="294">
        <f t="shared" si="4"/>
        <v>0</v>
      </c>
      <c r="U72" s="307">
        <v>6</v>
      </c>
      <c r="V72" s="302"/>
      <c r="W72" s="291">
        <f t="shared" si="5"/>
        <v>6</v>
      </c>
      <c r="X72" s="308">
        <f t="shared" ref="X72:Z135" si="8">F72+I72+L72+O72+R72+U72</f>
        <v>31</v>
      </c>
      <c r="Y72" s="64">
        <f t="shared" si="8"/>
        <v>0</v>
      </c>
      <c r="Z72" s="309">
        <f t="shared" si="8"/>
        <v>31</v>
      </c>
      <c r="AA72" s="310">
        <f t="shared" ref="AA72:AC135" si="9">X72/6</f>
        <v>5.166666666666667</v>
      </c>
      <c r="AB72" s="65">
        <f t="shared" si="9"/>
        <v>0</v>
      </c>
      <c r="AC72" s="311">
        <f t="shared" si="9"/>
        <v>5.166666666666667</v>
      </c>
      <c r="AD72" s="314" t="s">
        <v>15</v>
      </c>
    </row>
    <row r="73" spans="1:30" ht="15.75" hidden="1" customHeight="1">
      <c r="A73" s="289">
        <v>67</v>
      </c>
      <c r="B73" s="313" t="s">
        <v>2113</v>
      </c>
      <c r="C73" s="302" t="s">
        <v>2095</v>
      </c>
      <c r="D73" s="291" t="s">
        <v>2114</v>
      </c>
      <c r="E73" s="306">
        <v>10</v>
      </c>
      <c r="F73" s="307">
        <v>8</v>
      </c>
      <c r="G73" s="302"/>
      <c r="H73" s="294">
        <f t="shared" si="0"/>
        <v>8</v>
      </c>
      <c r="I73" s="307"/>
      <c r="J73" s="302"/>
      <c r="K73" s="294">
        <f t="shared" si="1"/>
        <v>0</v>
      </c>
      <c r="L73" s="307">
        <v>19</v>
      </c>
      <c r="M73" s="302"/>
      <c r="N73" s="294">
        <f t="shared" si="2"/>
        <v>19</v>
      </c>
      <c r="O73" s="307"/>
      <c r="P73" s="302"/>
      <c r="Q73" s="294">
        <f t="shared" si="3"/>
        <v>0</v>
      </c>
      <c r="R73" s="307"/>
      <c r="S73" s="302"/>
      <c r="T73" s="294">
        <f t="shared" si="4"/>
        <v>0</v>
      </c>
      <c r="U73" s="307">
        <v>12</v>
      </c>
      <c r="V73" s="302"/>
      <c r="W73" s="291">
        <f t="shared" si="5"/>
        <v>12</v>
      </c>
      <c r="X73" s="308">
        <f t="shared" si="8"/>
        <v>39</v>
      </c>
      <c r="Y73" s="64">
        <f t="shared" si="8"/>
        <v>0</v>
      </c>
      <c r="Z73" s="309">
        <f t="shared" si="8"/>
        <v>39</v>
      </c>
      <c r="AA73" s="310">
        <f t="shared" si="9"/>
        <v>6.5</v>
      </c>
      <c r="AB73" s="65">
        <f t="shared" si="9"/>
        <v>0</v>
      </c>
      <c r="AC73" s="311">
        <f t="shared" si="9"/>
        <v>6.5</v>
      </c>
      <c r="AD73" s="314" t="s">
        <v>15</v>
      </c>
    </row>
    <row r="74" spans="1:30" ht="15.75" hidden="1" customHeight="1">
      <c r="A74" s="302">
        <v>68</v>
      </c>
      <c r="B74" s="313" t="s">
        <v>2115</v>
      </c>
      <c r="C74" s="302" t="s">
        <v>2095</v>
      </c>
      <c r="D74" s="305" t="s">
        <v>2116</v>
      </c>
      <c r="E74" s="306">
        <v>10</v>
      </c>
      <c r="F74" s="307"/>
      <c r="G74" s="302"/>
      <c r="H74" s="294">
        <f t="shared" si="0"/>
        <v>0</v>
      </c>
      <c r="I74" s="307">
        <v>15</v>
      </c>
      <c r="J74" s="302"/>
      <c r="K74" s="294">
        <f t="shared" si="1"/>
        <v>15</v>
      </c>
      <c r="L74" s="307">
        <v>24</v>
      </c>
      <c r="M74" s="302"/>
      <c r="N74" s="294">
        <f t="shared" si="2"/>
        <v>24</v>
      </c>
      <c r="O74" s="307">
        <v>12</v>
      </c>
      <c r="P74" s="302"/>
      <c r="Q74" s="294">
        <f t="shared" si="3"/>
        <v>12</v>
      </c>
      <c r="R74" s="307"/>
      <c r="S74" s="302"/>
      <c r="T74" s="294">
        <f t="shared" si="4"/>
        <v>0</v>
      </c>
      <c r="U74" s="307"/>
      <c r="V74" s="302"/>
      <c r="W74" s="291">
        <f t="shared" si="5"/>
        <v>0</v>
      </c>
      <c r="X74" s="308">
        <f t="shared" si="8"/>
        <v>51</v>
      </c>
      <c r="Y74" s="64">
        <f t="shared" si="8"/>
        <v>0</v>
      </c>
      <c r="Z74" s="309">
        <f t="shared" si="8"/>
        <v>51</v>
      </c>
      <c r="AA74" s="310">
        <f t="shared" si="9"/>
        <v>8.5</v>
      </c>
      <c r="AB74" s="65">
        <f t="shared" si="9"/>
        <v>0</v>
      </c>
      <c r="AC74" s="311">
        <f t="shared" si="9"/>
        <v>8.5</v>
      </c>
      <c r="AD74" s="314" t="s">
        <v>15</v>
      </c>
    </row>
    <row r="75" spans="1:30" ht="15.75" hidden="1" customHeight="1">
      <c r="A75" s="289">
        <v>69</v>
      </c>
      <c r="B75" s="313" t="s">
        <v>2117</v>
      </c>
      <c r="C75" s="302" t="s">
        <v>2095</v>
      </c>
      <c r="D75" s="291" t="s">
        <v>2118</v>
      </c>
      <c r="E75" s="306">
        <v>8</v>
      </c>
      <c r="F75" s="307">
        <v>6</v>
      </c>
      <c r="G75" s="302"/>
      <c r="H75" s="294">
        <f t="shared" si="0"/>
        <v>6</v>
      </c>
      <c r="I75" s="307">
        <v>10</v>
      </c>
      <c r="J75" s="302"/>
      <c r="K75" s="294">
        <f t="shared" si="1"/>
        <v>10</v>
      </c>
      <c r="L75" s="307">
        <v>28</v>
      </c>
      <c r="M75" s="302"/>
      <c r="N75" s="294">
        <f t="shared" si="2"/>
        <v>28</v>
      </c>
      <c r="O75" s="307">
        <v>5</v>
      </c>
      <c r="P75" s="302"/>
      <c r="Q75" s="294">
        <f t="shared" si="3"/>
        <v>5</v>
      </c>
      <c r="R75" s="307"/>
      <c r="S75" s="302"/>
      <c r="T75" s="294">
        <f t="shared" si="4"/>
        <v>0</v>
      </c>
      <c r="U75" s="307"/>
      <c r="V75" s="302"/>
      <c r="W75" s="291">
        <f t="shared" si="5"/>
        <v>0</v>
      </c>
      <c r="X75" s="308">
        <f t="shared" si="8"/>
        <v>49</v>
      </c>
      <c r="Y75" s="64">
        <f t="shared" si="8"/>
        <v>0</v>
      </c>
      <c r="Z75" s="309">
        <f t="shared" si="8"/>
        <v>49</v>
      </c>
      <c r="AA75" s="310">
        <f t="shared" si="9"/>
        <v>8.1666666666666661</v>
      </c>
      <c r="AB75" s="65">
        <f t="shared" si="9"/>
        <v>0</v>
      </c>
      <c r="AC75" s="311">
        <f t="shared" si="9"/>
        <v>8.1666666666666661</v>
      </c>
      <c r="AD75" s="314" t="s">
        <v>15</v>
      </c>
    </row>
    <row r="76" spans="1:30" ht="15.75" hidden="1" customHeight="1">
      <c r="A76" s="302">
        <v>70</v>
      </c>
      <c r="B76" s="313" t="s">
        <v>2119</v>
      </c>
      <c r="C76" s="302" t="s">
        <v>2095</v>
      </c>
      <c r="D76" s="305" t="s">
        <v>2120</v>
      </c>
      <c r="E76" s="306">
        <v>10</v>
      </c>
      <c r="F76" s="307">
        <v>20</v>
      </c>
      <c r="G76" s="302"/>
      <c r="H76" s="294">
        <f t="shared" si="0"/>
        <v>20</v>
      </c>
      <c r="I76" s="307">
        <v>20</v>
      </c>
      <c r="J76" s="302"/>
      <c r="K76" s="294">
        <f t="shared" si="1"/>
        <v>20</v>
      </c>
      <c r="L76" s="307">
        <v>56</v>
      </c>
      <c r="M76" s="302"/>
      <c r="N76" s="294">
        <f t="shared" si="2"/>
        <v>56</v>
      </c>
      <c r="O76" s="307"/>
      <c r="P76" s="302"/>
      <c r="Q76" s="294">
        <f t="shared" si="3"/>
        <v>0</v>
      </c>
      <c r="R76" s="307"/>
      <c r="S76" s="302"/>
      <c r="T76" s="294">
        <f t="shared" si="4"/>
        <v>0</v>
      </c>
      <c r="U76" s="307">
        <v>20</v>
      </c>
      <c r="V76" s="302"/>
      <c r="W76" s="291">
        <f t="shared" si="5"/>
        <v>20</v>
      </c>
      <c r="X76" s="308">
        <f t="shared" si="8"/>
        <v>116</v>
      </c>
      <c r="Y76" s="64">
        <f t="shared" si="8"/>
        <v>0</v>
      </c>
      <c r="Z76" s="309">
        <f t="shared" si="8"/>
        <v>116</v>
      </c>
      <c r="AA76" s="310">
        <f t="shared" si="9"/>
        <v>19.333333333333332</v>
      </c>
      <c r="AB76" s="65">
        <f t="shared" si="9"/>
        <v>0</v>
      </c>
      <c r="AC76" s="311">
        <f t="shared" si="9"/>
        <v>19.333333333333332</v>
      </c>
      <c r="AD76" s="301" t="s">
        <v>18</v>
      </c>
    </row>
    <row r="77" spans="1:30" ht="15.75" hidden="1" customHeight="1">
      <c r="A77" s="289">
        <v>71</v>
      </c>
      <c r="B77" s="313" t="s">
        <v>2121</v>
      </c>
      <c r="C77" s="302" t="s">
        <v>2095</v>
      </c>
      <c r="D77" s="291" t="s">
        <v>2122</v>
      </c>
      <c r="E77" s="306">
        <v>10</v>
      </c>
      <c r="F77" s="307">
        <v>9</v>
      </c>
      <c r="G77" s="302"/>
      <c r="H77" s="294">
        <f t="shared" si="0"/>
        <v>9</v>
      </c>
      <c r="I77" s="307">
        <v>9</v>
      </c>
      <c r="J77" s="302"/>
      <c r="K77" s="294">
        <f t="shared" si="1"/>
        <v>9</v>
      </c>
      <c r="L77" s="307">
        <v>25</v>
      </c>
      <c r="M77" s="302"/>
      <c r="N77" s="294">
        <f t="shared" si="2"/>
        <v>25</v>
      </c>
      <c r="O77" s="307">
        <v>9</v>
      </c>
      <c r="P77" s="302"/>
      <c r="Q77" s="294">
        <f t="shared" si="3"/>
        <v>9</v>
      </c>
      <c r="R77" s="307"/>
      <c r="S77" s="302"/>
      <c r="T77" s="294">
        <f t="shared" si="4"/>
        <v>0</v>
      </c>
      <c r="U77" s="307"/>
      <c r="V77" s="302"/>
      <c r="W77" s="291">
        <f t="shared" si="5"/>
        <v>0</v>
      </c>
      <c r="X77" s="308">
        <f t="shared" si="8"/>
        <v>52</v>
      </c>
      <c r="Y77" s="64">
        <f t="shared" si="8"/>
        <v>0</v>
      </c>
      <c r="Z77" s="309">
        <f t="shared" si="8"/>
        <v>52</v>
      </c>
      <c r="AA77" s="310">
        <f t="shared" si="9"/>
        <v>8.6666666666666661</v>
      </c>
      <c r="AB77" s="65">
        <f t="shared" si="9"/>
        <v>0</v>
      </c>
      <c r="AC77" s="311">
        <f t="shared" si="9"/>
        <v>8.6666666666666661</v>
      </c>
      <c r="AD77" s="314" t="s">
        <v>15</v>
      </c>
    </row>
    <row r="78" spans="1:30" ht="15.75" hidden="1" customHeight="1">
      <c r="A78" s="302">
        <v>72</v>
      </c>
      <c r="B78" s="313" t="s">
        <v>2123</v>
      </c>
      <c r="C78" s="302" t="s">
        <v>2095</v>
      </c>
      <c r="D78" s="305" t="s">
        <v>2124</v>
      </c>
      <c r="E78" s="306">
        <v>10</v>
      </c>
      <c r="F78" s="307">
        <v>20</v>
      </c>
      <c r="G78" s="302"/>
      <c r="H78" s="294">
        <f t="shared" si="0"/>
        <v>20</v>
      </c>
      <c r="I78" s="307">
        <v>36</v>
      </c>
      <c r="J78" s="302"/>
      <c r="K78" s="294">
        <f t="shared" si="1"/>
        <v>36</v>
      </c>
      <c r="L78" s="307">
        <v>54</v>
      </c>
      <c r="M78" s="302"/>
      <c r="N78" s="294">
        <f t="shared" si="2"/>
        <v>54</v>
      </c>
      <c r="O78" s="307">
        <v>36</v>
      </c>
      <c r="P78" s="302"/>
      <c r="Q78" s="294">
        <f t="shared" si="3"/>
        <v>36</v>
      </c>
      <c r="R78" s="307"/>
      <c r="S78" s="302"/>
      <c r="T78" s="294">
        <f t="shared" si="4"/>
        <v>0</v>
      </c>
      <c r="U78" s="307">
        <v>25</v>
      </c>
      <c r="V78" s="302"/>
      <c r="W78" s="291">
        <f t="shared" si="5"/>
        <v>25</v>
      </c>
      <c r="X78" s="308">
        <f t="shared" si="8"/>
        <v>171</v>
      </c>
      <c r="Y78" s="64">
        <f t="shared" si="8"/>
        <v>0</v>
      </c>
      <c r="Z78" s="309">
        <f t="shared" si="8"/>
        <v>171</v>
      </c>
      <c r="AA78" s="310">
        <f t="shared" si="9"/>
        <v>28.5</v>
      </c>
      <c r="AB78" s="65">
        <f t="shared" si="9"/>
        <v>0</v>
      </c>
      <c r="AC78" s="311">
        <f t="shared" si="9"/>
        <v>28.5</v>
      </c>
      <c r="AD78" s="314" t="s">
        <v>15</v>
      </c>
    </row>
    <row r="79" spans="1:30" ht="15.75" hidden="1" customHeight="1">
      <c r="A79" s="289">
        <v>73</v>
      </c>
      <c r="B79" s="313" t="s">
        <v>2125</v>
      </c>
      <c r="C79" s="302" t="s">
        <v>2095</v>
      </c>
      <c r="D79" s="291" t="s">
        <v>2126</v>
      </c>
      <c r="E79" s="306">
        <v>5</v>
      </c>
      <c r="F79" s="307">
        <v>6</v>
      </c>
      <c r="G79" s="302"/>
      <c r="H79" s="294">
        <f t="shared" si="0"/>
        <v>6</v>
      </c>
      <c r="I79" s="307">
        <v>18</v>
      </c>
      <c r="J79" s="302"/>
      <c r="K79" s="294">
        <f t="shared" si="1"/>
        <v>18</v>
      </c>
      <c r="L79" s="307">
        <v>20</v>
      </c>
      <c r="M79" s="302"/>
      <c r="N79" s="294">
        <f t="shared" si="2"/>
        <v>20</v>
      </c>
      <c r="O79" s="307"/>
      <c r="P79" s="302"/>
      <c r="Q79" s="294">
        <f t="shared" si="3"/>
        <v>0</v>
      </c>
      <c r="R79" s="307"/>
      <c r="S79" s="302"/>
      <c r="T79" s="294">
        <f t="shared" si="4"/>
        <v>0</v>
      </c>
      <c r="U79" s="307">
        <v>80</v>
      </c>
      <c r="V79" s="302"/>
      <c r="W79" s="291">
        <f t="shared" si="5"/>
        <v>80</v>
      </c>
      <c r="X79" s="308">
        <f t="shared" si="8"/>
        <v>124</v>
      </c>
      <c r="Y79" s="64">
        <f t="shared" si="8"/>
        <v>0</v>
      </c>
      <c r="Z79" s="309">
        <f t="shared" si="8"/>
        <v>124</v>
      </c>
      <c r="AA79" s="310">
        <f t="shared" si="9"/>
        <v>20.666666666666668</v>
      </c>
      <c r="AB79" s="65">
        <f t="shared" si="9"/>
        <v>0</v>
      </c>
      <c r="AC79" s="311">
        <f t="shared" si="9"/>
        <v>20.666666666666668</v>
      </c>
      <c r="AD79" s="301" t="s">
        <v>15</v>
      </c>
    </row>
    <row r="80" spans="1:30" ht="15.75" hidden="1" customHeight="1">
      <c r="A80" s="302">
        <v>74</v>
      </c>
      <c r="B80" s="313" t="s">
        <v>2127</v>
      </c>
      <c r="C80" s="302" t="s">
        <v>2095</v>
      </c>
      <c r="D80" s="305" t="s">
        <v>2128</v>
      </c>
      <c r="E80" s="306">
        <v>30</v>
      </c>
      <c r="F80" s="307">
        <v>45</v>
      </c>
      <c r="G80" s="302">
        <v>36</v>
      </c>
      <c r="H80" s="294">
        <f t="shared" si="0"/>
        <v>81</v>
      </c>
      <c r="I80" s="307">
        <v>80</v>
      </c>
      <c r="J80" s="302"/>
      <c r="K80" s="294">
        <f t="shared" si="1"/>
        <v>80</v>
      </c>
      <c r="L80" s="307">
        <v>80</v>
      </c>
      <c r="M80" s="302"/>
      <c r="N80" s="294">
        <f t="shared" si="2"/>
        <v>80</v>
      </c>
      <c r="O80" s="307">
        <v>35</v>
      </c>
      <c r="P80" s="302"/>
      <c r="Q80" s="294">
        <f t="shared" si="3"/>
        <v>35</v>
      </c>
      <c r="R80" s="307"/>
      <c r="S80" s="302"/>
      <c r="T80" s="294">
        <f t="shared" si="4"/>
        <v>0</v>
      </c>
      <c r="U80" s="307">
        <v>36</v>
      </c>
      <c r="V80" s="302"/>
      <c r="W80" s="291">
        <f t="shared" si="5"/>
        <v>36</v>
      </c>
      <c r="X80" s="308">
        <f t="shared" si="8"/>
        <v>276</v>
      </c>
      <c r="Y80" s="64">
        <f t="shared" si="8"/>
        <v>36</v>
      </c>
      <c r="Z80" s="309">
        <f t="shared" si="8"/>
        <v>312</v>
      </c>
      <c r="AA80" s="310">
        <f t="shared" si="9"/>
        <v>46</v>
      </c>
      <c r="AB80" s="65">
        <f t="shared" si="9"/>
        <v>6</v>
      </c>
      <c r="AC80" s="311">
        <f t="shared" si="9"/>
        <v>52</v>
      </c>
      <c r="AD80" s="301" t="s">
        <v>18</v>
      </c>
    </row>
    <row r="81" spans="1:30" ht="15.75" hidden="1" customHeight="1">
      <c r="A81" s="289">
        <v>75</v>
      </c>
      <c r="B81" s="313" t="s">
        <v>2129</v>
      </c>
      <c r="C81" s="302" t="s">
        <v>2095</v>
      </c>
      <c r="D81" s="291" t="s">
        <v>2130</v>
      </c>
      <c r="E81" s="306">
        <v>20</v>
      </c>
      <c r="F81" s="307">
        <v>15</v>
      </c>
      <c r="G81" s="302"/>
      <c r="H81" s="294">
        <f t="shared" si="0"/>
        <v>15</v>
      </c>
      <c r="I81" s="307">
        <v>55</v>
      </c>
      <c r="J81" s="302">
        <v>9</v>
      </c>
      <c r="K81" s="294">
        <f t="shared" si="1"/>
        <v>64</v>
      </c>
      <c r="L81" s="307">
        <v>44</v>
      </c>
      <c r="M81" s="302"/>
      <c r="N81" s="294">
        <f t="shared" si="2"/>
        <v>44</v>
      </c>
      <c r="O81" s="307"/>
      <c r="P81" s="302"/>
      <c r="Q81" s="294">
        <f t="shared" si="3"/>
        <v>0</v>
      </c>
      <c r="R81" s="307"/>
      <c r="S81" s="302"/>
      <c r="T81" s="294">
        <f t="shared" si="4"/>
        <v>0</v>
      </c>
      <c r="U81" s="307">
        <v>25</v>
      </c>
      <c r="V81" s="302"/>
      <c r="W81" s="291">
        <f t="shared" si="5"/>
        <v>25</v>
      </c>
      <c r="X81" s="308">
        <f t="shared" si="8"/>
        <v>139</v>
      </c>
      <c r="Y81" s="64">
        <f t="shared" si="8"/>
        <v>9</v>
      </c>
      <c r="Z81" s="309">
        <f t="shared" si="8"/>
        <v>148</v>
      </c>
      <c r="AA81" s="310">
        <f t="shared" si="9"/>
        <v>23.166666666666668</v>
      </c>
      <c r="AB81" s="65">
        <f t="shared" si="9"/>
        <v>1.5</v>
      </c>
      <c r="AC81" s="311">
        <f t="shared" si="9"/>
        <v>24.666666666666668</v>
      </c>
      <c r="AD81" s="301" t="s">
        <v>18</v>
      </c>
    </row>
    <row r="82" spans="1:30" ht="15.75" hidden="1" customHeight="1">
      <c r="A82" s="302">
        <v>76</v>
      </c>
      <c r="B82" s="313" t="s">
        <v>2131</v>
      </c>
      <c r="C82" s="302" t="s">
        <v>2095</v>
      </c>
      <c r="D82" s="305" t="s">
        <v>2132</v>
      </c>
      <c r="E82" s="306">
        <v>15</v>
      </c>
      <c r="F82" s="307">
        <v>15</v>
      </c>
      <c r="G82" s="302"/>
      <c r="H82" s="294">
        <f t="shared" si="0"/>
        <v>15</v>
      </c>
      <c r="I82" s="307">
        <v>20</v>
      </c>
      <c r="J82" s="302"/>
      <c r="K82" s="294">
        <f t="shared" si="1"/>
        <v>20</v>
      </c>
      <c r="L82" s="307">
        <v>45</v>
      </c>
      <c r="M82" s="302"/>
      <c r="N82" s="294">
        <f t="shared" si="2"/>
        <v>45</v>
      </c>
      <c r="O82" s="307"/>
      <c r="P82" s="302"/>
      <c r="Q82" s="294">
        <f t="shared" si="3"/>
        <v>0</v>
      </c>
      <c r="R82" s="307"/>
      <c r="S82" s="302"/>
      <c r="T82" s="294">
        <f t="shared" si="4"/>
        <v>0</v>
      </c>
      <c r="U82" s="307">
        <v>36</v>
      </c>
      <c r="V82" s="302"/>
      <c r="W82" s="291">
        <f t="shared" si="5"/>
        <v>36</v>
      </c>
      <c r="X82" s="308">
        <f t="shared" si="8"/>
        <v>116</v>
      </c>
      <c r="Y82" s="64">
        <f t="shared" si="8"/>
        <v>0</v>
      </c>
      <c r="Z82" s="309">
        <f t="shared" si="8"/>
        <v>116</v>
      </c>
      <c r="AA82" s="310">
        <f t="shared" si="9"/>
        <v>19.333333333333332</v>
      </c>
      <c r="AB82" s="65">
        <f t="shared" si="9"/>
        <v>0</v>
      </c>
      <c r="AC82" s="311">
        <f t="shared" si="9"/>
        <v>19.333333333333332</v>
      </c>
      <c r="AD82" s="314" t="s">
        <v>15</v>
      </c>
    </row>
    <row r="83" spans="1:30" ht="15.75" hidden="1" customHeight="1">
      <c r="A83" s="289">
        <v>77</v>
      </c>
      <c r="B83" s="313" t="s">
        <v>2133</v>
      </c>
      <c r="C83" s="302" t="s">
        <v>2095</v>
      </c>
      <c r="D83" s="291" t="s">
        <v>2134</v>
      </c>
      <c r="E83" s="306">
        <v>10</v>
      </c>
      <c r="F83" s="307">
        <v>16</v>
      </c>
      <c r="G83" s="302"/>
      <c r="H83" s="294">
        <f t="shared" si="0"/>
        <v>16</v>
      </c>
      <c r="I83" s="307">
        <v>35</v>
      </c>
      <c r="J83" s="302"/>
      <c r="K83" s="294">
        <f t="shared" si="1"/>
        <v>35</v>
      </c>
      <c r="L83" s="307">
        <v>15.5</v>
      </c>
      <c r="M83" s="302"/>
      <c r="N83" s="294">
        <f t="shared" si="2"/>
        <v>15.5</v>
      </c>
      <c r="O83" s="307">
        <v>9</v>
      </c>
      <c r="P83" s="302"/>
      <c r="Q83" s="294">
        <f t="shared" si="3"/>
        <v>9</v>
      </c>
      <c r="R83" s="307"/>
      <c r="S83" s="302"/>
      <c r="T83" s="294">
        <f t="shared" si="4"/>
        <v>0</v>
      </c>
      <c r="U83" s="307">
        <v>25</v>
      </c>
      <c r="V83" s="302"/>
      <c r="W83" s="291">
        <f t="shared" si="5"/>
        <v>25</v>
      </c>
      <c r="X83" s="308">
        <f t="shared" si="8"/>
        <v>100.5</v>
      </c>
      <c r="Y83" s="64">
        <f t="shared" si="8"/>
        <v>0</v>
      </c>
      <c r="Z83" s="309">
        <f t="shared" si="8"/>
        <v>100.5</v>
      </c>
      <c r="AA83" s="310">
        <f t="shared" si="9"/>
        <v>16.75</v>
      </c>
      <c r="AB83" s="65">
        <f t="shared" si="9"/>
        <v>0</v>
      </c>
      <c r="AC83" s="311">
        <f t="shared" si="9"/>
        <v>16.75</v>
      </c>
      <c r="AD83" s="301" t="s">
        <v>18</v>
      </c>
    </row>
    <row r="84" spans="1:30" ht="15.75" hidden="1" customHeight="1">
      <c r="A84" s="302">
        <v>78</v>
      </c>
      <c r="B84" s="313" t="s">
        <v>2135</v>
      </c>
      <c r="C84" s="302" t="s">
        <v>2095</v>
      </c>
      <c r="D84" s="305" t="s">
        <v>2136</v>
      </c>
      <c r="E84" s="306">
        <v>12</v>
      </c>
      <c r="F84" s="307">
        <v>24</v>
      </c>
      <c r="G84" s="302"/>
      <c r="H84" s="294">
        <f t="shared" si="0"/>
        <v>24</v>
      </c>
      <c r="I84" s="307">
        <v>25</v>
      </c>
      <c r="J84" s="302"/>
      <c r="K84" s="294">
        <f t="shared" si="1"/>
        <v>25</v>
      </c>
      <c r="L84" s="307">
        <v>21</v>
      </c>
      <c r="M84" s="302"/>
      <c r="N84" s="294">
        <f t="shared" si="2"/>
        <v>21</v>
      </c>
      <c r="O84" s="307">
        <v>18</v>
      </c>
      <c r="P84" s="302"/>
      <c r="Q84" s="294">
        <f t="shared" si="3"/>
        <v>18</v>
      </c>
      <c r="R84" s="307"/>
      <c r="S84" s="302"/>
      <c r="T84" s="294">
        <f t="shared" si="4"/>
        <v>0</v>
      </c>
      <c r="U84" s="307">
        <v>35</v>
      </c>
      <c r="V84" s="302"/>
      <c r="W84" s="291">
        <f t="shared" si="5"/>
        <v>35</v>
      </c>
      <c r="X84" s="308">
        <f t="shared" si="8"/>
        <v>123</v>
      </c>
      <c r="Y84" s="64">
        <f t="shared" si="8"/>
        <v>0</v>
      </c>
      <c r="Z84" s="309">
        <f t="shared" si="8"/>
        <v>123</v>
      </c>
      <c r="AA84" s="310">
        <f t="shared" si="9"/>
        <v>20.5</v>
      </c>
      <c r="AB84" s="65">
        <f t="shared" si="9"/>
        <v>0</v>
      </c>
      <c r="AC84" s="311">
        <f t="shared" si="9"/>
        <v>20.5</v>
      </c>
      <c r="AD84" s="314" t="s">
        <v>15</v>
      </c>
    </row>
    <row r="85" spans="1:30" ht="15.75" hidden="1" customHeight="1">
      <c r="A85" s="289">
        <v>79</v>
      </c>
      <c r="B85" s="313" t="s">
        <v>2137</v>
      </c>
      <c r="C85" s="302" t="s">
        <v>2095</v>
      </c>
      <c r="D85" s="291" t="s">
        <v>2138</v>
      </c>
      <c r="E85" s="306">
        <v>25</v>
      </c>
      <c r="F85" s="307">
        <v>40</v>
      </c>
      <c r="G85" s="302"/>
      <c r="H85" s="294">
        <f t="shared" si="0"/>
        <v>40</v>
      </c>
      <c r="I85" s="307">
        <v>65</v>
      </c>
      <c r="J85" s="302"/>
      <c r="K85" s="294">
        <f t="shared" si="1"/>
        <v>65</v>
      </c>
      <c r="L85" s="307">
        <v>42</v>
      </c>
      <c r="M85" s="302"/>
      <c r="N85" s="294">
        <f t="shared" si="2"/>
        <v>42</v>
      </c>
      <c r="O85" s="307">
        <v>36</v>
      </c>
      <c r="P85" s="302"/>
      <c r="Q85" s="294">
        <f t="shared" si="3"/>
        <v>36</v>
      </c>
      <c r="R85" s="307"/>
      <c r="S85" s="302"/>
      <c r="T85" s="294">
        <f t="shared" si="4"/>
        <v>0</v>
      </c>
      <c r="U85" s="307">
        <v>55</v>
      </c>
      <c r="V85" s="302"/>
      <c r="W85" s="291">
        <f t="shared" si="5"/>
        <v>55</v>
      </c>
      <c r="X85" s="308">
        <f t="shared" si="8"/>
        <v>238</v>
      </c>
      <c r="Y85" s="64">
        <f t="shared" si="8"/>
        <v>0</v>
      </c>
      <c r="Z85" s="309">
        <f t="shared" si="8"/>
        <v>238</v>
      </c>
      <c r="AA85" s="310">
        <f t="shared" si="9"/>
        <v>39.666666666666664</v>
      </c>
      <c r="AB85" s="65">
        <f t="shared" si="9"/>
        <v>0</v>
      </c>
      <c r="AC85" s="311">
        <f t="shared" si="9"/>
        <v>39.666666666666664</v>
      </c>
      <c r="AD85" s="301" t="s">
        <v>18</v>
      </c>
    </row>
    <row r="86" spans="1:30" ht="15.75" hidden="1" customHeight="1">
      <c r="A86" s="302">
        <v>80</v>
      </c>
      <c r="B86" s="313" t="s">
        <v>2139</v>
      </c>
      <c r="C86" s="302" t="s">
        <v>2095</v>
      </c>
      <c r="D86" s="305" t="s">
        <v>2140</v>
      </c>
      <c r="E86" s="306">
        <v>10</v>
      </c>
      <c r="F86" s="307">
        <v>5</v>
      </c>
      <c r="G86" s="302"/>
      <c r="H86" s="294">
        <f t="shared" si="0"/>
        <v>5</v>
      </c>
      <c r="I86" s="307">
        <v>10</v>
      </c>
      <c r="J86" s="302"/>
      <c r="K86" s="294">
        <f t="shared" si="1"/>
        <v>10</v>
      </c>
      <c r="L86" s="307">
        <v>5</v>
      </c>
      <c r="M86" s="302"/>
      <c r="N86" s="294">
        <f t="shared" si="2"/>
        <v>5</v>
      </c>
      <c r="O86" s="307">
        <v>10</v>
      </c>
      <c r="P86" s="302"/>
      <c r="Q86" s="294">
        <f t="shared" si="3"/>
        <v>10</v>
      </c>
      <c r="R86" s="307"/>
      <c r="S86" s="302"/>
      <c r="T86" s="294">
        <f t="shared" si="4"/>
        <v>0</v>
      </c>
      <c r="U86" s="307">
        <v>38</v>
      </c>
      <c r="V86" s="302"/>
      <c r="W86" s="291">
        <f t="shared" si="5"/>
        <v>38</v>
      </c>
      <c r="X86" s="308">
        <f t="shared" si="8"/>
        <v>68</v>
      </c>
      <c r="Y86" s="64">
        <f t="shared" si="8"/>
        <v>0</v>
      </c>
      <c r="Z86" s="309">
        <f t="shared" si="8"/>
        <v>68</v>
      </c>
      <c r="AA86" s="310">
        <f t="shared" si="9"/>
        <v>11.333333333333334</v>
      </c>
      <c r="AB86" s="65">
        <f t="shared" si="9"/>
        <v>0</v>
      </c>
      <c r="AC86" s="311">
        <f t="shared" si="9"/>
        <v>11.333333333333334</v>
      </c>
      <c r="AD86" s="301" t="s">
        <v>15</v>
      </c>
    </row>
    <row r="87" spans="1:30" ht="15.75" hidden="1" customHeight="1">
      <c r="A87" s="289">
        <v>81</v>
      </c>
      <c r="B87" s="313" t="s">
        <v>2141</v>
      </c>
      <c r="C87" s="302" t="s">
        <v>2095</v>
      </c>
      <c r="D87" s="291" t="s">
        <v>2142</v>
      </c>
      <c r="E87" s="306">
        <v>12</v>
      </c>
      <c r="F87" s="307">
        <v>5</v>
      </c>
      <c r="G87" s="302"/>
      <c r="H87" s="294">
        <f t="shared" si="0"/>
        <v>5</v>
      </c>
      <c r="I87" s="307"/>
      <c r="J87" s="302"/>
      <c r="K87" s="294">
        <f t="shared" si="1"/>
        <v>0</v>
      </c>
      <c r="L87" s="307">
        <v>35</v>
      </c>
      <c r="M87" s="302"/>
      <c r="N87" s="294">
        <f t="shared" si="2"/>
        <v>35</v>
      </c>
      <c r="O87" s="307">
        <v>25</v>
      </c>
      <c r="P87" s="302"/>
      <c r="Q87" s="294">
        <f t="shared" si="3"/>
        <v>25</v>
      </c>
      <c r="R87" s="307"/>
      <c r="S87" s="302"/>
      <c r="T87" s="294">
        <f t="shared" si="4"/>
        <v>0</v>
      </c>
      <c r="U87" s="307"/>
      <c r="V87" s="302"/>
      <c r="W87" s="291">
        <f t="shared" si="5"/>
        <v>0</v>
      </c>
      <c r="X87" s="308">
        <f t="shared" si="8"/>
        <v>65</v>
      </c>
      <c r="Y87" s="64">
        <f t="shared" si="8"/>
        <v>0</v>
      </c>
      <c r="Z87" s="309">
        <f t="shared" si="8"/>
        <v>65</v>
      </c>
      <c r="AA87" s="310">
        <f t="shared" si="9"/>
        <v>10.833333333333334</v>
      </c>
      <c r="AB87" s="65">
        <f t="shared" si="9"/>
        <v>0</v>
      </c>
      <c r="AC87" s="311">
        <f t="shared" si="9"/>
        <v>10.833333333333334</v>
      </c>
      <c r="AD87" s="301" t="s">
        <v>15</v>
      </c>
    </row>
    <row r="88" spans="1:30" ht="15.75" hidden="1" customHeight="1">
      <c r="A88" s="302">
        <v>82</v>
      </c>
      <c r="B88" s="313" t="s">
        <v>2143</v>
      </c>
      <c r="C88" s="302" t="s">
        <v>2095</v>
      </c>
      <c r="D88" s="305" t="s">
        <v>2144</v>
      </c>
      <c r="E88" s="306">
        <v>10</v>
      </c>
      <c r="F88" s="307"/>
      <c r="G88" s="302"/>
      <c r="H88" s="294">
        <f t="shared" si="0"/>
        <v>0</v>
      </c>
      <c r="I88" s="307">
        <v>10</v>
      </c>
      <c r="J88" s="302"/>
      <c r="K88" s="294">
        <f t="shared" si="1"/>
        <v>10</v>
      </c>
      <c r="L88" s="307">
        <v>45</v>
      </c>
      <c r="M88" s="302"/>
      <c r="N88" s="294">
        <f t="shared" si="2"/>
        <v>45</v>
      </c>
      <c r="O88" s="307">
        <v>10</v>
      </c>
      <c r="P88" s="302"/>
      <c r="Q88" s="294">
        <f t="shared" si="3"/>
        <v>10</v>
      </c>
      <c r="R88" s="307"/>
      <c r="S88" s="302"/>
      <c r="T88" s="294">
        <f t="shared" si="4"/>
        <v>0</v>
      </c>
      <c r="U88" s="307">
        <v>20</v>
      </c>
      <c r="V88" s="302"/>
      <c r="W88" s="291">
        <f t="shared" si="5"/>
        <v>20</v>
      </c>
      <c r="X88" s="308">
        <f t="shared" si="8"/>
        <v>85</v>
      </c>
      <c r="Y88" s="64">
        <f t="shared" si="8"/>
        <v>0</v>
      </c>
      <c r="Z88" s="309">
        <f t="shared" si="8"/>
        <v>85</v>
      </c>
      <c r="AA88" s="310">
        <f t="shared" si="9"/>
        <v>14.166666666666666</v>
      </c>
      <c r="AB88" s="65">
        <f t="shared" si="9"/>
        <v>0</v>
      </c>
      <c r="AC88" s="311">
        <f t="shared" si="9"/>
        <v>14.166666666666666</v>
      </c>
      <c r="AD88" s="314" t="s">
        <v>15</v>
      </c>
    </row>
    <row r="89" spans="1:30" ht="15.75" hidden="1" customHeight="1">
      <c r="A89" s="289">
        <v>83</v>
      </c>
      <c r="B89" s="313" t="s">
        <v>2145</v>
      </c>
      <c r="C89" s="302" t="s">
        <v>2095</v>
      </c>
      <c r="D89" s="291" t="s">
        <v>2146</v>
      </c>
      <c r="E89" s="306">
        <v>12</v>
      </c>
      <c r="F89" s="307"/>
      <c r="G89" s="302"/>
      <c r="H89" s="294">
        <f t="shared" si="0"/>
        <v>0</v>
      </c>
      <c r="I89" s="307">
        <v>25</v>
      </c>
      <c r="J89" s="302"/>
      <c r="K89" s="294">
        <f t="shared" si="1"/>
        <v>25</v>
      </c>
      <c r="L89" s="307">
        <v>40</v>
      </c>
      <c r="M89" s="302"/>
      <c r="N89" s="294">
        <f t="shared" si="2"/>
        <v>40</v>
      </c>
      <c r="O89" s="307"/>
      <c r="P89" s="302"/>
      <c r="Q89" s="294">
        <f t="shared" si="3"/>
        <v>0</v>
      </c>
      <c r="R89" s="307"/>
      <c r="S89" s="302"/>
      <c r="T89" s="294">
        <f t="shared" si="4"/>
        <v>0</v>
      </c>
      <c r="U89" s="307"/>
      <c r="V89" s="302"/>
      <c r="W89" s="291">
        <f t="shared" si="5"/>
        <v>0</v>
      </c>
      <c r="X89" s="308">
        <f t="shared" si="8"/>
        <v>65</v>
      </c>
      <c r="Y89" s="64">
        <f t="shared" si="8"/>
        <v>0</v>
      </c>
      <c r="Z89" s="309">
        <f t="shared" si="8"/>
        <v>65</v>
      </c>
      <c r="AA89" s="310">
        <f t="shared" si="9"/>
        <v>10.833333333333334</v>
      </c>
      <c r="AB89" s="65">
        <f t="shared" si="9"/>
        <v>0</v>
      </c>
      <c r="AC89" s="311">
        <f t="shared" si="9"/>
        <v>10.833333333333334</v>
      </c>
      <c r="AD89" s="314" t="s">
        <v>15</v>
      </c>
    </row>
    <row r="90" spans="1:30" ht="15.75" customHeight="1">
      <c r="A90" s="450">
        <v>84</v>
      </c>
      <c r="B90" s="437" t="s">
        <v>2147</v>
      </c>
      <c r="C90" s="438" t="s">
        <v>2095</v>
      </c>
      <c r="D90" s="451" t="s">
        <v>2148</v>
      </c>
      <c r="E90" s="440">
        <v>821</v>
      </c>
      <c r="F90" s="441">
        <v>756</v>
      </c>
      <c r="G90" s="438">
        <v>0</v>
      </c>
      <c r="H90" s="442">
        <f t="shared" si="0"/>
        <v>756</v>
      </c>
      <c r="I90" s="441">
        <v>760</v>
      </c>
      <c r="J90" s="438">
        <v>0</v>
      </c>
      <c r="K90" s="442">
        <f t="shared" si="1"/>
        <v>760</v>
      </c>
      <c r="L90" s="441">
        <v>948</v>
      </c>
      <c r="M90" s="438">
        <v>0</v>
      </c>
      <c r="N90" s="442">
        <f t="shared" si="2"/>
        <v>948</v>
      </c>
      <c r="O90" s="441">
        <v>516</v>
      </c>
      <c r="P90" s="438">
        <v>0</v>
      </c>
      <c r="Q90" s="442">
        <f t="shared" si="3"/>
        <v>516</v>
      </c>
      <c r="R90" s="441">
        <v>798</v>
      </c>
      <c r="S90" s="438"/>
      <c r="T90" s="442">
        <f t="shared" si="4"/>
        <v>798</v>
      </c>
      <c r="U90" s="441">
        <v>1586</v>
      </c>
      <c r="V90" s="438">
        <v>0</v>
      </c>
      <c r="W90" s="439">
        <f t="shared" si="5"/>
        <v>1586</v>
      </c>
      <c r="X90" s="443">
        <f t="shared" si="8"/>
        <v>5364</v>
      </c>
      <c r="Y90" s="444">
        <f t="shared" si="8"/>
        <v>0</v>
      </c>
      <c r="Z90" s="445">
        <f t="shared" si="8"/>
        <v>5364</v>
      </c>
      <c r="AA90" s="446">
        <f t="shared" si="9"/>
        <v>894</v>
      </c>
      <c r="AB90" s="447">
        <f t="shared" si="9"/>
        <v>0</v>
      </c>
      <c r="AC90" s="448">
        <f t="shared" si="9"/>
        <v>894</v>
      </c>
      <c r="AD90" s="449" t="s">
        <v>18</v>
      </c>
    </row>
    <row r="91" spans="1:30" ht="15.75" customHeight="1">
      <c r="A91" s="436">
        <v>85</v>
      </c>
      <c r="B91" s="437" t="s">
        <v>2149</v>
      </c>
      <c r="C91" s="438" t="s">
        <v>2095</v>
      </c>
      <c r="D91" s="439" t="s">
        <v>2150</v>
      </c>
      <c r="E91" s="440">
        <v>226</v>
      </c>
      <c r="F91" s="441">
        <v>315</v>
      </c>
      <c r="G91" s="438">
        <v>18</v>
      </c>
      <c r="H91" s="442">
        <f t="shared" si="0"/>
        <v>333</v>
      </c>
      <c r="I91" s="441">
        <v>317</v>
      </c>
      <c r="J91" s="438">
        <v>18</v>
      </c>
      <c r="K91" s="442">
        <f t="shared" si="1"/>
        <v>335</v>
      </c>
      <c r="L91" s="441">
        <v>277</v>
      </c>
      <c r="M91" s="438">
        <v>18</v>
      </c>
      <c r="N91" s="442">
        <f t="shared" si="2"/>
        <v>295</v>
      </c>
      <c r="O91" s="441">
        <v>320</v>
      </c>
      <c r="P91" s="438">
        <v>0</v>
      </c>
      <c r="Q91" s="442">
        <f t="shared" si="3"/>
        <v>320</v>
      </c>
      <c r="R91" s="441">
        <v>347</v>
      </c>
      <c r="S91" s="438">
        <v>0</v>
      </c>
      <c r="T91" s="442">
        <f t="shared" si="4"/>
        <v>347</v>
      </c>
      <c r="U91" s="441">
        <v>237</v>
      </c>
      <c r="V91" s="438">
        <v>0</v>
      </c>
      <c r="W91" s="439">
        <f t="shared" si="5"/>
        <v>237</v>
      </c>
      <c r="X91" s="443">
        <f t="shared" si="8"/>
        <v>1813</v>
      </c>
      <c r="Y91" s="444">
        <f t="shared" si="8"/>
        <v>54</v>
      </c>
      <c r="Z91" s="445">
        <f t="shared" si="8"/>
        <v>1867</v>
      </c>
      <c r="AA91" s="446">
        <f t="shared" si="9"/>
        <v>302.16666666666669</v>
      </c>
      <c r="AB91" s="447">
        <f t="shared" si="9"/>
        <v>9</v>
      </c>
      <c r="AC91" s="448">
        <f t="shared" si="9"/>
        <v>311.16666666666669</v>
      </c>
      <c r="AD91" s="449" t="s">
        <v>18</v>
      </c>
    </row>
    <row r="92" spans="1:30" ht="15.75" hidden="1" customHeight="1">
      <c r="A92" s="450">
        <v>86</v>
      </c>
      <c r="B92" s="437" t="s">
        <v>2151</v>
      </c>
      <c r="C92" s="438" t="s">
        <v>2095</v>
      </c>
      <c r="D92" s="451" t="s">
        <v>2152</v>
      </c>
      <c r="E92" s="440">
        <v>73</v>
      </c>
      <c r="F92" s="441">
        <v>76</v>
      </c>
      <c r="G92" s="438">
        <v>0</v>
      </c>
      <c r="H92" s="442">
        <f t="shared" si="0"/>
        <v>76</v>
      </c>
      <c r="I92" s="441">
        <v>101</v>
      </c>
      <c r="J92" s="438">
        <v>0</v>
      </c>
      <c r="K92" s="442">
        <f t="shared" si="1"/>
        <v>101</v>
      </c>
      <c r="L92" s="441">
        <v>0</v>
      </c>
      <c r="M92" s="438">
        <v>0</v>
      </c>
      <c r="N92" s="442">
        <f t="shared" si="2"/>
        <v>0</v>
      </c>
      <c r="O92" s="441">
        <v>0</v>
      </c>
      <c r="P92" s="438">
        <v>0</v>
      </c>
      <c r="Q92" s="442">
        <f t="shared" si="3"/>
        <v>0</v>
      </c>
      <c r="R92" s="441">
        <v>0</v>
      </c>
      <c r="S92" s="438">
        <v>0</v>
      </c>
      <c r="T92" s="442">
        <f t="shared" si="4"/>
        <v>0</v>
      </c>
      <c r="U92" s="441">
        <v>98</v>
      </c>
      <c r="V92" s="438">
        <v>0</v>
      </c>
      <c r="W92" s="439">
        <f t="shared" si="5"/>
        <v>98</v>
      </c>
      <c r="X92" s="443">
        <f t="shared" si="8"/>
        <v>275</v>
      </c>
      <c r="Y92" s="444">
        <f t="shared" si="8"/>
        <v>0</v>
      </c>
      <c r="Z92" s="445">
        <f t="shared" si="8"/>
        <v>275</v>
      </c>
      <c r="AA92" s="446">
        <f t="shared" si="9"/>
        <v>45.833333333333336</v>
      </c>
      <c r="AB92" s="447">
        <f t="shared" si="9"/>
        <v>0</v>
      </c>
      <c r="AC92" s="448">
        <f t="shared" si="9"/>
        <v>45.833333333333336</v>
      </c>
      <c r="AD92" s="449" t="s">
        <v>18</v>
      </c>
    </row>
    <row r="93" spans="1:30" ht="15.75" customHeight="1">
      <c r="A93" s="436">
        <v>87</v>
      </c>
      <c r="B93" s="437" t="s">
        <v>2153</v>
      </c>
      <c r="C93" s="438" t="s">
        <v>2154</v>
      </c>
      <c r="D93" s="439" t="s">
        <v>2155</v>
      </c>
      <c r="E93" s="440">
        <v>411</v>
      </c>
      <c r="F93" s="441">
        <v>0</v>
      </c>
      <c r="G93" s="438">
        <v>0</v>
      </c>
      <c r="H93" s="442">
        <f t="shared" si="0"/>
        <v>0</v>
      </c>
      <c r="I93" s="441">
        <v>620</v>
      </c>
      <c r="J93" s="438">
        <v>0</v>
      </c>
      <c r="K93" s="442">
        <f t="shared" si="1"/>
        <v>620</v>
      </c>
      <c r="L93" s="441">
        <v>600</v>
      </c>
      <c r="M93" s="438">
        <v>0</v>
      </c>
      <c r="N93" s="442">
        <f t="shared" si="2"/>
        <v>600</v>
      </c>
      <c r="O93" s="441">
        <v>430</v>
      </c>
      <c r="P93" s="438">
        <v>0</v>
      </c>
      <c r="Q93" s="442">
        <f t="shared" si="3"/>
        <v>430</v>
      </c>
      <c r="R93" s="441">
        <v>700</v>
      </c>
      <c r="S93" s="438">
        <v>0</v>
      </c>
      <c r="T93" s="442">
        <f t="shared" si="4"/>
        <v>700</v>
      </c>
      <c r="U93" s="441">
        <v>1460</v>
      </c>
      <c r="V93" s="438">
        <v>0</v>
      </c>
      <c r="W93" s="439">
        <f t="shared" si="5"/>
        <v>1460</v>
      </c>
      <c r="X93" s="443">
        <f t="shared" si="8"/>
        <v>3810</v>
      </c>
      <c r="Y93" s="444">
        <f t="shared" si="8"/>
        <v>0</v>
      </c>
      <c r="Z93" s="445">
        <f t="shared" si="8"/>
        <v>3810</v>
      </c>
      <c r="AA93" s="446">
        <f t="shared" si="9"/>
        <v>635</v>
      </c>
      <c r="AB93" s="447">
        <f t="shared" si="9"/>
        <v>0</v>
      </c>
      <c r="AC93" s="448">
        <f t="shared" si="9"/>
        <v>635</v>
      </c>
      <c r="AD93" s="449" t="s">
        <v>18</v>
      </c>
    </row>
    <row r="94" spans="1:30" ht="15.75" customHeight="1">
      <c r="A94" s="450">
        <v>88</v>
      </c>
      <c r="B94" s="437" t="s">
        <v>2156</v>
      </c>
      <c r="C94" s="438" t="s">
        <v>2154</v>
      </c>
      <c r="D94" s="451" t="s">
        <v>2157</v>
      </c>
      <c r="E94" s="440">
        <v>857</v>
      </c>
      <c r="F94" s="441">
        <v>1070</v>
      </c>
      <c r="G94" s="438">
        <v>0</v>
      </c>
      <c r="H94" s="442">
        <f t="shared" si="0"/>
        <v>1070</v>
      </c>
      <c r="I94" s="441">
        <v>1006</v>
      </c>
      <c r="J94" s="438">
        <v>126</v>
      </c>
      <c r="K94" s="442">
        <f t="shared" si="1"/>
        <v>1132</v>
      </c>
      <c r="L94" s="441">
        <v>1084</v>
      </c>
      <c r="M94" s="438">
        <v>36</v>
      </c>
      <c r="N94" s="442">
        <f t="shared" si="2"/>
        <v>1120</v>
      </c>
      <c r="O94" s="441">
        <v>884</v>
      </c>
      <c r="P94" s="438">
        <v>18</v>
      </c>
      <c r="Q94" s="442">
        <f t="shared" si="3"/>
        <v>902</v>
      </c>
      <c r="R94" s="441">
        <v>885</v>
      </c>
      <c r="S94" s="438">
        <v>54</v>
      </c>
      <c r="T94" s="442">
        <f t="shared" si="4"/>
        <v>939</v>
      </c>
      <c r="U94" s="441">
        <v>1540</v>
      </c>
      <c r="V94" s="438">
        <v>36</v>
      </c>
      <c r="W94" s="439">
        <f t="shared" si="5"/>
        <v>1576</v>
      </c>
      <c r="X94" s="443">
        <f t="shared" si="8"/>
        <v>6469</v>
      </c>
      <c r="Y94" s="444">
        <f t="shared" si="8"/>
        <v>270</v>
      </c>
      <c r="Z94" s="445">
        <f t="shared" si="8"/>
        <v>6739</v>
      </c>
      <c r="AA94" s="446">
        <f t="shared" si="9"/>
        <v>1078.1666666666667</v>
      </c>
      <c r="AB94" s="447">
        <f t="shared" si="9"/>
        <v>45</v>
      </c>
      <c r="AC94" s="448">
        <f t="shared" si="9"/>
        <v>1123.1666666666667</v>
      </c>
      <c r="AD94" s="449" t="s">
        <v>18</v>
      </c>
    </row>
    <row r="95" spans="1:30" ht="15.75" hidden="1" customHeight="1">
      <c r="A95" s="289">
        <v>89</v>
      </c>
      <c r="B95" s="313" t="s">
        <v>2158</v>
      </c>
      <c r="C95" s="302" t="s">
        <v>2159</v>
      </c>
      <c r="D95" s="291" t="s">
        <v>2160</v>
      </c>
      <c r="E95" s="306">
        <v>19</v>
      </c>
      <c r="F95" s="307">
        <v>50</v>
      </c>
      <c r="G95" s="302"/>
      <c r="H95" s="294">
        <f t="shared" si="0"/>
        <v>50</v>
      </c>
      <c r="I95" s="307">
        <v>50</v>
      </c>
      <c r="J95" s="302"/>
      <c r="K95" s="294">
        <f t="shared" si="1"/>
        <v>50</v>
      </c>
      <c r="L95" s="307">
        <v>60</v>
      </c>
      <c r="M95" s="302"/>
      <c r="N95" s="294">
        <f t="shared" si="2"/>
        <v>60</v>
      </c>
      <c r="O95" s="307"/>
      <c r="P95" s="302"/>
      <c r="Q95" s="294">
        <f t="shared" si="3"/>
        <v>0</v>
      </c>
      <c r="R95" s="307"/>
      <c r="S95" s="302"/>
      <c r="T95" s="294">
        <f t="shared" si="4"/>
        <v>0</v>
      </c>
      <c r="U95" s="307">
        <v>40</v>
      </c>
      <c r="V95" s="302"/>
      <c r="W95" s="291">
        <f t="shared" si="5"/>
        <v>40</v>
      </c>
      <c r="X95" s="308">
        <f t="shared" si="8"/>
        <v>200</v>
      </c>
      <c r="Y95" s="64">
        <f t="shared" si="8"/>
        <v>0</v>
      </c>
      <c r="Z95" s="309">
        <f t="shared" si="8"/>
        <v>200</v>
      </c>
      <c r="AA95" s="310">
        <f t="shared" si="9"/>
        <v>33.333333333333336</v>
      </c>
      <c r="AB95" s="65">
        <f t="shared" si="9"/>
        <v>0</v>
      </c>
      <c r="AC95" s="311">
        <f t="shared" si="9"/>
        <v>33.333333333333336</v>
      </c>
      <c r="AD95" s="301" t="s">
        <v>18</v>
      </c>
    </row>
    <row r="96" spans="1:30" ht="15.75" hidden="1" customHeight="1">
      <c r="A96" s="302">
        <v>90</v>
      </c>
      <c r="B96" s="313" t="s">
        <v>2161</v>
      </c>
      <c r="C96" s="302" t="s">
        <v>2159</v>
      </c>
      <c r="D96" s="305" t="s">
        <v>2162</v>
      </c>
      <c r="E96" s="306">
        <v>15</v>
      </c>
      <c r="F96" s="307">
        <v>35</v>
      </c>
      <c r="G96" s="302"/>
      <c r="H96" s="294">
        <f t="shared" si="0"/>
        <v>35</v>
      </c>
      <c r="I96" s="307">
        <v>86</v>
      </c>
      <c r="J96" s="302"/>
      <c r="K96" s="294">
        <f t="shared" si="1"/>
        <v>86</v>
      </c>
      <c r="L96" s="307">
        <v>55</v>
      </c>
      <c r="M96" s="302"/>
      <c r="N96" s="294">
        <f t="shared" si="2"/>
        <v>55</v>
      </c>
      <c r="O96" s="307"/>
      <c r="P96" s="302"/>
      <c r="Q96" s="294">
        <f t="shared" si="3"/>
        <v>0</v>
      </c>
      <c r="R96" s="307"/>
      <c r="S96" s="302"/>
      <c r="T96" s="294">
        <f t="shared" si="4"/>
        <v>0</v>
      </c>
      <c r="U96" s="307">
        <v>28</v>
      </c>
      <c r="V96" s="302"/>
      <c r="W96" s="291">
        <f t="shared" si="5"/>
        <v>28</v>
      </c>
      <c r="X96" s="308">
        <f t="shared" si="8"/>
        <v>204</v>
      </c>
      <c r="Y96" s="64">
        <f t="shared" si="8"/>
        <v>0</v>
      </c>
      <c r="Z96" s="309">
        <f t="shared" si="8"/>
        <v>204</v>
      </c>
      <c r="AA96" s="310">
        <f t="shared" si="9"/>
        <v>34</v>
      </c>
      <c r="AB96" s="65">
        <f t="shared" si="9"/>
        <v>0</v>
      </c>
      <c r="AC96" s="311">
        <f t="shared" si="9"/>
        <v>34</v>
      </c>
      <c r="AD96" s="314" t="s">
        <v>15</v>
      </c>
    </row>
    <row r="97" spans="1:30" ht="15.75" hidden="1" customHeight="1">
      <c r="A97" s="289">
        <v>91</v>
      </c>
      <c r="B97" s="313" t="s">
        <v>2163</v>
      </c>
      <c r="C97" s="302" t="s">
        <v>2159</v>
      </c>
      <c r="D97" s="291" t="s">
        <v>2164</v>
      </c>
      <c r="E97" s="306">
        <v>15</v>
      </c>
      <c r="F97" s="307">
        <v>6</v>
      </c>
      <c r="G97" s="302"/>
      <c r="H97" s="294">
        <f t="shared" si="0"/>
        <v>6</v>
      </c>
      <c r="I97" s="307">
        <v>15</v>
      </c>
      <c r="J97" s="302"/>
      <c r="K97" s="294">
        <f t="shared" si="1"/>
        <v>15</v>
      </c>
      <c r="L97" s="307">
        <v>25</v>
      </c>
      <c r="M97" s="302"/>
      <c r="N97" s="294">
        <f t="shared" si="2"/>
        <v>25</v>
      </c>
      <c r="O97" s="307">
        <v>5</v>
      </c>
      <c r="P97" s="302"/>
      <c r="Q97" s="294">
        <f t="shared" si="3"/>
        <v>5</v>
      </c>
      <c r="R97" s="307"/>
      <c r="S97" s="302"/>
      <c r="T97" s="294">
        <f t="shared" si="4"/>
        <v>0</v>
      </c>
      <c r="U97" s="307">
        <v>15</v>
      </c>
      <c r="V97" s="302"/>
      <c r="W97" s="291">
        <f t="shared" si="5"/>
        <v>15</v>
      </c>
      <c r="X97" s="308">
        <f t="shared" si="8"/>
        <v>66</v>
      </c>
      <c r="Y97" s="64">
        <f t="shared" si="8"/>
        <v>0</v>
      </c>
      <c r="Z97" s="309">
        <f t="shared" si="8"/>
        <v>66</v>
      </c>
      <c r="AA97" s="310">
        <f t="shared" si="9"/>
        <v>11</v>
      </c>
      <c r="AB97" s="65">
        <f t="shared" si="9"/>
        <v>0</v>
      </c>
      <c r="AC97" s="311">
        <f t="shared" si="9"/>
        <v>11</v>
      </c>
      <c r="AD97" s="314" t="s">
        <v>15</v>
      </c>
    </row>
    <row r="98" spans="1:30" ht="15.75" hidden="1" customHeight="1">
      <c r="A98" s="302">
        <v>92</v>
      </c>
      <c r="B98" s="313" t="s">
        <v>2129</v>
      </c>
      <c r="C98" s="302" t="s">
        <v>2159</v>
      </c>
      <c r="D98" s="305" t="s">
        <v>2165</v>
      </c>
      <c r="E98" s="306">
        <v>20</v>
      </c>
      <c r="F98" s="307">
        <v>25</v>
      </c>
      <c r="G98" s="302"/>
      <c r="H98" s="294">
        <f t="shared" si="0"/>
        <v>25</v>
      </c>
      <c r="I98" s="307">
        <v>85</v>
      </c>
      <c r="J98" s="302"/>
      <c r="K98" s="294">
        <f t="shared" si="1"/>
        <v>85</v>
      </c>
      <c r="L98" s="307">
        <v>56</v>
      </c>
      <c r="M98" s="302"/>
      <c r="N98" s="294">
        <f t="shared" si="2"/>
        <v>56</v>
      </c>
      <c r="O98" s="307">
        <v>40</v>
      </c>
      <c r="P98" s="302"/>
      <c r="Q98" s="294">
        <f t="shared" si="3"/>
        <v>40</v>
      </c>
      <c r="R98" s="307"/>
      <c r="S98" s="302"/>
      <c r="T98" s="294">
        <f t="shared" si="4"/>
        <v>0</v>
      </c>
      <c r="U98" s="307">
        <v>20</v>
      </c>
      <c r="V98" s="302"/>
      <c r="W98" s="291">
        <f t="shared" si="5"/>
        <v>20</v>
      </c>
      <c r="X98" s="308">
        <f t="shared" si="8"/>
        <v>226</v>
      </c>
      <c r="Y98" s="64">
        <f t="shared" si="8"/>
        <v>0</v>
      </c>
      <c r="Z98" s="309">
        <f t="shared" si="8"/>
        <v>226</v>
      </c>
      <c r="AA98" s="310">
        <f t="shared" si="9"/>
        <v>37.666666666666664</v>
      </c>
      <c r="AB98" s="65">
        <f t="shared" si="9"/>
        <v>0</v>
      </c>
      <c r="AC98" s="311">
        <f t="shared" si="9"/>
        <v>37.666666666666664</v>
      </c>
      <c r="AD98" s="301" t="s">
        <v>18</v>
      </c>
    </row>
    <row r="99" spans="1:30" ht="15.75" hidden="1" customHeight="1">
      <c r="A99" s="289">
        <v>93</v>
      </c>
      <c r="B99" s="313" t="s">
        <v>2166</v>
      </c>
      <c r="C99" s="302" t="s">
        <v>2159</v>
      </c>
      <c r="D99" s="291" t="s">
        <v>2167</v>
      </c>
      <c r="E99" s="306">
        <v>15</v>
      </c>
      <c r="F99" s="307">
        <v>30</v>
      </c>
      <c r="G99" s="302"/>
      <c r="H99" s="294">
        <f t="shared" si="0"/>
        <v>30</v>
      </c>
      <c r="I99" s="307">
        <v>36</v>
      </c>
      <c r="J99" s="302"/>
      <c r="K99" s="294">
        <f t="shared" si="1"/>
        <v>36</v>
      </c>
      <c r="L99" s="307">
        <v>15</v>
      </c>
      <c r="M99" s="302"/>
      <c r="N99" s="294">
        <f t="shared" si="2"/>
        <v>15</v>
      </c>
      <c r="O99" s="307"/>
      <c r="P99" s="302"/>
      <c r="Q99" s="294">
        <f t="shared" si="3"/>
        <v>0</v>
      </c>
      <c r="R99" s="307"/>
      <c r="S99" s="302"/>
      <c r="T99" s="294">
        <f t="shared" si="4"/>
        <v>0</v>
      </c>
      <c r="U99" s="307">
        <v>9</v>
      </c>
      <c r="V99" s="302"/>
      <c r="W99" s="291">
        <f t="shared" si="5"/>
        <v>9</v>
      </c>
      <c r="X99" s="308">
        <f t="shared" si="8"/>
        <v>90</v>
      </c>
      <c r="Y99" s="64">
        <f t="shared" si="8"/>
        <v>0</v>
      </c>
      <c r="Z99" s="309">
        <f t="shared" si="8"/>
        <v>90</v>
      </c>
      <c r="AA99" s="310">
        <f t="shared" si="9"/>
        <v>15</v>
      </c>
      <c r="AB99" s="65">
        <f t="shared" si="9"/>
        <v>0</v>
      </c>
      <c r="AC99" s="311">
        <f t="shared" si="9"/>
        <v>15</v>
      </c>
      <c r="AD99" s="301" t="s">
        <v>18</v>
      </c>
    </row>
    <row r="100" spans="1:30" ht="15.75" hidden="1" customHeight="1">
      <c r="A100" s="302">
        <v>94</v>
      </c>
      <c r="B100" s="313" t="s">
        <v>2168</v>
      </c>
      <c r="C100" s="302" t="s">
        <v>2159</v>
      </c>
      <c r="D100" s="305" t="s">
        <v>2169</v>
      </c>
      <c r="E100" s="306">
        <v>25</v>
      </c>
      <c r="F100" s="307">
        <v>35</v>
      </c>
      <c r="G100" s="302"/>
      <c r="H100" s="294">
        <f t="shared" si="0"/>
        <v>35</v>
      </c>
      <c r="I100" s="307">
        <v>112</v>
      </c>
      <c r="J100" s="302"/>
      <c r="K100" s="294">
        <f t="shared" si="1"/>
        <v>112</v>
      </c>
      <c r="L100" s="307">
        <v>67.5</v>
      </c>
      <c r="M100" s="302"/>
      <c r="N100" s="294">
        <f t="shared" si="2"/>
        <v>67.5</v>
      </c>
      <c r="O100" s="307"/>
      <c r="P100" s="302"/>
      <c r="Q100" s="294">
        <f t="shared" si="3"/>
        <v>0</v>
      </c>
      <c r="R100" s="307"/>
      <c r="S100" s="302"/>
      <c r="T100" s="294">
        <f t="shared" si="4"/>
        <v>0</v>
      </c>
      <c r="U100" s="307">
        <v>60</v>
      </c>
      <c r="V100" s="302"/>
      <c r="W100" s="291">
        <f t="shared" si="5"/>
        <v>60</v>
      </c>
      <c r="X100" s="308">
        <f t="shared" si="8"/>
        <v>274.5</v>
      </c>
      <c r="Y100" s="64">
        <f t="shared" si="8"/>
        <v>0</v>
      </c>
      <c r="Z100" s="309">
        <f t="shared" si="8"/>
        <v>274.5</v>
      </c>
      <c r="AA100" s="310">
        <f t="shared" si="9"/>
        <v>45.75</v>
      </c>
      <c r="AB100" s="65">
        <f t="shared" si="9"/>
        <v>0</v>
      </c>
      <c r="AC100" s="311">
        <f t="shared" si="9"/>
        <v>45.75</v>
      </c>
      <c r="AD100" s="301" t="s">
        <v>18</v>
      </c>
    </row>
    <row r="101" spans="1:30" ht="15.75" hidden="1" customHeight="1">
      <c r="A101" s="289">
        <v>95</v>
      </c>
      <c r="B101" s="313" t="s">
        <v>2170</v>
      </c>
      <c r="C101" s="302" t="s">
        <v>2159</v>
      </c>
      <c r="D101" s="291" t="s">
        <v>2171</v>
      </c>
      <c r="E101" s="306">
        <v>15</v>
      </c>
      <c r="F101" s="307">
        <v>5</v>
      </c>
      <c r="G101" s="302"/>
      <c r="H101" s="294">
        <f t="shared" si="0"/>
        <v>5</v>
      </c>
      <c r="I101" s="307">
        <v>10</v>
      </c>
      <c r="J101" s="302"/>
      <c r="K101" s="294">
        <f t="shared" si="1"/>
        <v>10</v>
      </c>
      <c r="L101" s="307">
        <v>15</v>
      </c>
      <c r="M101" s="302"/>
      <c r="N101" s="294">
        <f t="shared" si="2"/>
        <v>15</v>
      </c>
      <c r="O101" s="307">
        <v>15</v>
      </c>
      <c r="P101" s="302"/>
      <c r="Q101" s="294">
        <f t="shared" si="3"/>
        <v>15</v>
      </c>
      <c r="R101" s="307"/>
      <c r="S101" s="302"/>
      <c r="T101" s="294">
        <f t="shared" si="4"/>
        <v>0</v>
      </c>
      <c r="U101" s="307">
        <v>15</v>
      </c>
      <c r="V101" s="302"/>
      <c r="W101" s="291">
        <f t="shared" si="5"/>
        <v>15</v>
      </c>
      <c r="X101" s="308">
        <f t="shared" si="8"/>
        <v>60</v>
      </c>
      <c r="Y101" s="64">
        <f t="shared" si="8"/>
        <v>0</v>
      </c>
      <c r="Z101" s="309">
        <f t="shared" si="8"/>
        <v>60</v>
      </c>
      <c r="AA101" s="310">
        <f t="shared" si="9"/>
        <v>10</v>
      </c>
      <c r="AB101" s="65">
        <f t="shared" si="9"/>
        <v>0</v>
      </c>
      <c r="AC101" s="311">
        <f t="shared" si="9"/>
        <v>10</v>
      </c>
      <c r="AD101" s="301" t="s">
        <v>15</v>
      </c>
    </row>
    <row r="102" spans="1:30" ht="15.75" customHeight="1">
      <c r="A102" s="302">
        <v>96</v>
      </c>
      <c r="B102" s="313" t="s">
        <v>2172</v>
      </c>
      <c r="C102" s="302" t="s">
        <v>2159</v>
      </c>
      <c r="D102" s="305" t="s">
        <v>2173</v>
      </c>
      <c r="E102" s="306">
        <v>35</v>
      </c>
      <c r="F102" s="307">
        <v>220</v>
      </c>
      <c r="G102" s="302">
        <v>36</v>
      </c>
      <c r="H102" s="294">
        <f t="shared" si="0"/>
        <v>256</v>
      </c>
      <c r="I102" s="307">
        <v>302</v>
      </c>
      <c r="J102" s="302"/>
      <c r="K102" s="294">
        <f t="shared" si="1"/>
        <v>302</v>
      </c>
      <c r="L102" s="307">
        <v>192</v>
      </c>
      <c r="M102" s="302"/>
      <c r="N102" s="294">
        <f t="shared" si="2"/>
        <v>192</v>
      </c>
      <c r="O102" s="307">
        <v>138</v>
      </c>
      <c r="P102" s="302"/>
      <c r="Q102" s="294">
        <f t="shared" si="3"/>
        <v>138</v>
      </c>
      <c r="R102" s="307">
        <v>100</v>
      </c>
      <c r="S102" s="302"/>
      <c r="T102" s="294">
        <f t="shared" si="4"/>
        <v>100</v>
      </c>
      <c r="U102" s="307">
        <v>65</v>
      </c>
      <c r="V102" s="302"/>
      <c r="W102" s="291">
        <f t="shared" si="5"/>
        <v>65</v>
      </c>
      <c r="X102" s="308">
        <f t="shared" si="8"/>
        <v>1017</v>
      </c>
      <c r="Y102" s="64">
        <f t="shared" si="8"/>
        <v>36</v>
      </c>
      <c r="Z102" s="309">
        <f t="shared" si="8"/>
        <v>1053</v>
      </c>
      <c r="AA102" s="310">
        <f t="shared" si="9"/>
        <v>169.5</v>
      </c>
      <c r="AB102" s="65">
        <f t="shared" si="9"/>
        <v>6</v>
      </c>
      <c r="AC102" s="311">
        <f t="shared" si="9"/>
        <v>175.5</v>
      </c>
      <c r="AD102" s="301" t="s">
        <v>18</v>
      </c>
    </row>
    <row r="103" spans="1:30" ht="15.75" hidden="1" customHeight="1">
      <c r="A103" s="289">
        <v>97</v>
      </c>
      <c r="B103" s="313" t="s">
        <v>2174</v>
      </c>
      <c r="C103" s="302" t="s">
        <v>2159</v>
      </c>
      <c r="D103" s="291" t="s">
        <v>2175</v>
      </c>
      <c r="E103" s="306">
        <v>25</v>
      </c>
      <c r="F103" s="307"/>
      <c r="G103" s="302"/>
      <c r="H103" s="294">
        <f t="shared" si="0"/>
        <v>0</v>
      </c>
      <c r="I103" s="307">
        <v>55</v>
      </c>
      <c r="J103" s="302"/>
      <c r="K103" s="294">
        <f t="shared" si="1"/>
        <v>55</v>
      </c>
      <c r="L103" s="307">
        <v>45</v>
      </c>
      <c r="M103" s="302"/>
      <c r="N103" s="294">
        <f t="shared" si="2"/>
        <v>45</v>
      </c>
      <c r="O103" s="307">
        <v>65</v>
      </c>
      <c r="P103" s="302"/>
      <c r="Q103" s="294">
        <f t="shared" si="3"/>
        <v>65</v>
      </c>
      <c r="R103" s="307"/>
      <c r="S103" s="302"/>
      <c r="T103" s="294">
        <f t="shared" si="4"/>
        <v>0</v>
      </c>
      <c r="U103" s="307">
        <v>25</v>
      </c>
      <c r="V103" s="302"/>
      <c r="W103" s="291">
        <f t="shared" si="5"/>
        <v>25</v>
      </c>
      <c r="X103" s="308">
        <f t="shared" si="8"/>
        <v>190</v>
      </c>
      <c r="Y103" s="64">
        <f t="shared" si="8"/>
        <v>0</v>
      </c>
      <c r="Z103" s="309">
        <f t="shared" si="8"/>
        <v>190</v>
      </c>
      <c r="AA103" s="310">
        <f t="shared" si="9"/>
        <v>31.666666666666668</v>
      </c>
      <c r="AB103" s="65">
        <f t="shared" si="9"/>
        <v>0</v>
      </c>
      <c r="AC103" s="311">
        <f t="shared" si="9"/>
        <v>31.666666666666668</v>
      </c>
      <c r="AD103" s="301" t="s">
        <v>18</v>
      </c>
    </row>
    <row r="104" spans="1:30" ht="15.75" hidden="1" customHeight="1">
      <c r="A104" s="302">
        <v>98</v>
      </c>
      <c r="B104" s="313" t="s">
        <v>2176</v>
      </c>
      <c r="C104" s="302" t="s">
        <v>2159</v>
      </c>
      <c r="D104" s="305" t="s">
        <v>2177</v>
      </c>
      <c r="E104" s="306">
        <v>5</v>
      </c>
      <c r="F104" s="307"/>
      <c r="G104" s="302"/>
      <c r="H104" s="294">
        <f t="shared" si="0"/>
        <v>0</v>
      </c>
      <c r="I104" s="307">
        <v>9</v>
      </c>
      <c r="J104" s="302"/>
      <c r="K104" s="294">
        <f t="shared" si="1"/>
        <v>9</v>
      </c>
      <c r="L104" s="307">
        <v>25</v>
      </c>
      <c r="M104" s="302"/>
      <c r="N104" s="294">
        <f t="shared" si="2"/>
        <v>25</v>
      </c>
      <c r="O104" s="307"/>
      <c r="P104" s="302"/>
      <c r="Q104" s="294">
        <f t="shared" si="3"/>
        <v>0</v>
      </c>
      <c r="R104" s="307"/>
      <c r="S104" s="302"/>
      <c r="T104" s="294">
        <f t="shared" si="4"/>
        <v>0</v>
      </c>
      <c r="U104" s="307">
        <v>35</v>
      </c>
      <c r="V104" s="302"/>
      <c r="W104" s="291">
        <f t="shared" si="5"/>
        <v>35</v>
      </c>
      <c r="X104" s="308">
        <f t="shared" si="8"/>
        <v>69</v>
      </c>
      <c r="Y104" s="64">
        <f t="shared" si="8"/>
        <v>0</v>
      </c>
      <c r="Z104" s="309">
        <f t="shared" si="8"/>
        <v>69</v>
      </c>
      <c r="AA104" s="310">
        <f t="shared" si="9"/>
        <v>11.5</v>
      </c>
      <c r="AB104" s="65">
        <f t="shared" si="9"/>
        <v>0</v>
      </c>
      <c r="AC104" s="311">
        <f t="shared" si="9"/>
        <v>11.5</v>
      </c>
      <c r="AD104" s="301" t="s">
        <v>15</v>
      </c>
    </row>
    <row r="105" spans="1:30" ht="15.75" hidden="1" customHeight="1">
      <c r="A105" s="289">
        <v>99</v>
      </c>
      <c r="B105" s="313" t="s">
        <v>2178</v>
      </c>
      <c r="C105" s="302" t="s">
        <v>2159</v>
      </c>
      <c r="D105" s="291" t="s">
        <v>2179</v>
      </c>
      <c r="E105" s="306">
        <v>5</v>
      </c>
      <c r="F105" s="307"/>
      <c r="G105" s="302"/>
      <c r="H105" s="294">
        <f t="shared" si="0"/>
        <v>0</v>
      </c>
      <c r="I105" s="307">
        <v>20</v>
      </c>
      <c r="J105" s="302"/>
      <c r="K105" s="294">
        <f t="shared" si="1"/>
        <v>20</v>
      </c>
      <c r="L105" s="307">
        <v>10</v>
      </c>
      <c r="M105" s="302"/>
      <c r="N105" s="294">
        <f t="shared" si="2"/>
        <v>10</v>
      </c>
      <c r="O105" s="307">
        <v>15</v>
      </c>
      <c r="P105" s="302"/>
      <c r="Q105" s="294">
        <f t="shared" si="3"/>
        <v>15</v>
      </c>
      <c r="R105" s="307"/>
      <c r="S105" s="302"/>
      <c r="T105" s="294">
        <f t="shared" si="4"/>
        <v>0</v>
      </c>
      <c r="U105" s="307">
        <v>10</v>
      </c>
      <c r="V105" s="302"/>
      <c r="W105" s="291">
        <f t="shared" si="5"/>
        <v>10</v>
      </c>
      <c r="X105" s="308">
        <f t="shared" si="8"/>
        <v>55</v>
      </c>
      <c r="Y105" s="64">
        <f t="shared" si="8"/>
        <v>0</v>
      </c>
      <c r="Z105" s="309">
        <f t="shared" si="8"/>
        <v>55</v>
      </c>
      <c r="AA105" s="310">
        <f t="shared" si="9"/>
        <v>9.1666666666666661</v>
      </c>
      <c r="AB105" s="65">
        <f t="shared" si="9"/>
        <v>0</v>
      </c>
      <c r="AC105" s="311">
        <f t="shared" si="9"/>
        <v>9.1666666666666661</v>
      </c>
      <c r="AD105" s="314" t="s">
        <v>15</v>
      </c>
    </row>
    <row r="106" spans="1:30" ht="15.75" hidden="1" customHeight="1">
      <c r="A106" s="302">
        <v>100</v>
      </c>
      <c r="B106" s="313" t="s">
        <v>2180</v>
      </c>
      <c r="C106" s="302" t="s">
        <v>2159</v>
      </c>
      <c r="D106" s="305" t="s">
        <v>2181</v>
      </c>
      <c r="E106" s="315">
        <v>10</v>
      </c>
      <c r="F106" s="307"/>
      <c r="G106" s="302"/>
      <c r="H106" s="294">
        <f t="shared" si="0"/>
        <v>0</v>
      </c>
      <c r="I106" s="307">
        <v>18</v>
      </c>
      <c r="J106" s="302"/>
      <c r="K106" s="294">
        <f t="shared" si="1"/>
        <v>18</v>
      </c>
      <c r="L106" s="307">
        <v>20</v>
      </c>
      <c r="M106" s="302"/>
      <c r="N106" s="294">
        <f t="shared" si="2"/>
        <v>20</v>
      </c>
      <c r="O106" s="307">
        <v>20</v>
      </c>
      <c r="P106" s="302"/>
      <c r="Q106" s="294">
        <f t="shared" si="3"/>
        <v>20</v>
      </c>
      <c r="R106" s="307"/>
      <c r="S106" s="302"/>
      <c r="T106" s="294">
        <f t="shared" si="4"/>
        <v>0</v>
      </c>
      <c r="U106" s="307">
        <v>20</v>
      </c>
      <c r="V106" s="302"/>
      <c r="W106" s="291">
        <f t="shared" si="5"/>
        <v>20</v>
      </c>
      <c r="X106" s="308">
        <f t="shared" si="8"/>
        <v>78</v>
      </c>
      <c r="Y106" s="64">
        <f t="shared" si="8"/>
        <v>0</v>
      </c>
      <c r="Z106" s="309">
        <f t="shared" si="8"/>
        <v>78</v>
      </c>
      <c r="AA106" s="310">
        <f t="shared" si="9"/>
        <v>13</v>
      </c>
      <c r="AB106" s="65">
        <f t="shared" si="9"/>
        <v>0</v>
      </c>
      <c r="AC106" s="311">
        <f t="shared" si="9"/>
        <v>13</v>
      </c>
      <c r="AD106" s="324" t="s">
        <v>15</v>
      </c>
    </row>
    <row r="107" spans="1:30" ht="15.75" hidden="1" customHeight="1">
      <c r="A107" s="289">
        <v>101</v>
      </c>
      <c r="B107" s="313" t="s">
        <v>2182</v>
      </c>
      <c r="C107" s="302" t="s">
        <v>2159</v>
      </c>
      <c r="D107" s="291" t="s">
        <v>2183</v>
      </c>
      <c r="E107" s="306">
        <v>5</v>
      </c>
      <c r="F107" s="307"/>
      <c r="G107" s="302"/>
      <c r="H107" s="294">
        <f t="shared" si="0"/>
        <v>0</v>
      </c>
      <c r="I107" s="307"/>
      <c r="J107" s="302"/>
      <c r="K107" s="294">
        <f t="shared" si="1"/>
        <v>0</v>
      </c>
      <c r="L107" s="307">
        <v>50</v>
      </c>
      <c r="M107" s="302"/>
      <c r="N107" s="294">
        <f t="shared" si="2"/>
        <v>50</v>
      </c>
      <c r="O107" s="307">
        <v>20</v>
      </c>
      <c r="P107" s="302"/>
      <c r="Q107" s="294">
        <f t="shared" si="3"/>
        <v>20</v>
      </c>
      <c r="R107" s="307"/>
      <c r="S107" s="302"/>
      <c r="T107" s="294">
        <f t="shared" si="4"/>
        <v>0</v>
      </c>
      <c r="U107" s="307">
        <v>20</v>
      </c>
      <c r="V107" s="302"/>
      <c r="W107" s="291">
        <f t="shared" si="5"/>
        <v>20</v>
      </c>
      <c r="X107" s="308">
        <f t="shared" si="8"/>
        <v>90</v>
      </c>
      <c r="Y107" s="64">
        <f t="shared" si="8"/>
        <v>0</v>
      </c>
      <c r="Z107" s="309">
        <f t="shared" si="8"/>
        <v>90</v>
      </c>
      <c r="AA107" s="310">
        <f t="shared" si="9"/>
        <v>15</v>
      </c>
      <c r="AB107" s="65">
        <f t="shared" si="9"/>
        <v>0</v>
      </c>
      <c r="AC107" s="311">
        <f t="shared" si="9"/>
        <v>15</v>
      </c>
      <c r="AD107" s="314" t="s">
        <v>15</v>
      </c>
    </row>
    <row r="108" spans="1:30" ht="15.75" hidden="1" customHeight="1">
      <c r="A108" s="302">
        <v>102</v>
      </c>
      <c r="B108" s="313" t="s">
        <v>2184</v>
      </c>
      <c r="C108" s="302" t="s">
        <v>2159</v>
      </c>
      <c r="D108" s="305" t="s">
        <v>2185</v>
      </c>
      <c r="E108" s="306">
        <v>12</v>
      </c>
      <c r="F108" s="307"/>
      <c r="G108" s="302"/>
      <c r="H108" s="294">
        <f t="shared" si="0"/>
        <v>0</v>
      </c>
      <c r="I108" s="307">
        <v>35</v>
      </c>
      <c r="J108" s="302"/>
      <c r="K108" s="294">
        <f t="shared" si="1"/>
        <v>35</v>
      </c>
      <c r="L108" s="307">
        <v>28</v>
      </c>
      <c r="M108" s="302"/>
      <c r="N108" s="294">
        <f t="shared" si="2"/>
        <v>28</v>
      </c>
      <c r="O108" s="307">
        <v>6</v>
      </c>
      <c r="P108" s="302"/>
      <c r="Q108" s="294">
        <f t="shared" si="3"/>
        <v>6</v>
      </c>
      <c r="R108" s="307"/>
      <c r="S108" s="302"/>
      <c r="T108" s="294">
        <f t="shared" si="4"/>
        <v>0</v>
      </c>
      <c r="U108" s="307">
        <v>35</v>
      </c>
      <c r="V108" s="302"/>
      <c r="W108" s="291">
        <f t="shared" si="5"/>
        <v>35</v>
      </c>
      <c r="X108" s="308">
        <f t="shared" si="8"/>
        <v>104</v>
      </c>
      <c r="Y108" s="64">
        <f t="shared" si="8"/>
        <v>0</v>
      </c>
      <c r="Z108" s="309">
        <f t="shared" si="8"/>
        <v>104</v>
      </c>
      <c r="AA108" s="310">
        <f t="shared" si="9"/>
        <v>17.333333333333332</v>
      </c>
      <c r="AB108" s="65">
        <f t="shared" si="9"/>
        <v>0</v>
      </c>
      <c r="AC108" s="311">
        <f t="shared" si="9"/>
        <v>17.333333333333332</v>
      </c>
      <c r="AD108" s="314" t="s">
        <v>15</v>
      </c>
    </row>
    <row r="109" spans="1:30" ht="15.75" hidden="1" customHeight="1">
      <c r="A109" s="289">
        <v>103</v>
      </c>
      <c r="B109" s="313" t="s">
        <v>2186</v>
      </c>
      <c r="C109" s="302" t="s">
        <v>2159</v>
      </c>
      <c r="D109" s="291" t="s">
        <v>2187</v>
      </c>
      <c r="E109" s="306">
        <v>6</v>
      </c>
      <c r="F109" s="307"/>
      <c r="G109" s="302"/>
      <c r="H109" s="294">
        <f t="shared" si="0"/>
        <v>0</v>
      </c>
      <c r="I109" s="307"/>
      <c r="J109" s="302"/>
      <c r="K109" s="294">
        <f t="shared" si="1"/>
        <v>0</v>
      </c>
      <c r="L109" s="307">
        <v>15</v>
      </c>
      <c r="M109" s="302"/>
      <c r="N109" s="294">
        <f t="shared" si="2"/>
        <v>15</v>
      </c>
      <c r="O109" s="307"/>
      <c r="P109" s="302"/>
      <c r="Q109" s="294">
        <f t="shared" si="3"/>
        <v>0</v>
      </c>
      <c r="R109" s="307"/>
      <c r="S109" s="302"/>
      <c r="T109" s="294">
        <f t="shared" si="4"/>
        <v>0</v>
      </c>
      <c r="U109" s="307">
        <v>15</v>
      </c>
      <c r="V109" s="302"/>
      <c r="W109" s="291">
        <f t="shared" si="5"/>
        <v>15</v>
      </c>
      <c r="X109" s="308">
        <f t="shared" si="8"/>
        <v>30</v>
      </c>
      <c r="Y109" s="64">
        <f t="shared" si="8"/>
        <v>0</v>
      </c>
      <c r="Z109" s="309">
        <f t="shared" si="8"/>
        <v>30</v>
      </c>
      <c r="AA109" s="310">
        <f t="shared" si="9"/>
        <v>5</v>
      </c>
      <c r="AB109" s="65">
        <f t="shared" si="9"/>
        <v>0</v>
      </c>
      <c r="AC109" s="311">
        <f t="shared" si="9"/>
        <v>5</v>
      </c>
      <c r="AD109" s="314" t="s">
        <v>15</v>
      </c>
    </row>
    <row r="110" spans="1:30" ht="15.75" hidden="1" customHeight="1">
      <c r="A110" s="302">
        <v>104</v>
      </c>
      <c r="B110" s="313" t="s">
        <v>2188</v>
      </c>
      <c r="C110" s="302" t="s">
        <v>2159</v>
      </c>
      <c r="D110" s="305" t="s">
        <v>2189</v>
      </c>
      <c r="E110" s="306">
        <v>12</v>
      </c>
      <c r="F110" s="307"/>
      <c r="G110" s="302"/>
      <c r="H110" s="294">
        <f t="shared" si="0"/>
        <v>0</v>
      </c>
      <c r="I110" s="307">
        <v>20</v>
      </c>
      <c r="J110" s="302"/>
      <c r="K110" s="294">
        <f t="shared" si="1"/>
        <v>20</v>
      </c>
      <c r="L110" s="307">
        <v>15</v>
      </c>
      <c r="M110" s="302"/>
      <c r="N110" s="294">
        <f t="shared" si="2"/>
        <v>15</v>
      </c>
      <c r="O110" s="307">
        <v>5</v>
      </c>
      <c r="P110" s="302"/>
      <c r="Q110" s="294">
        <f t="shared" si="3"/>
        <v>5</v>
      </c>
      <c r="R110" s="307"/>
      <c r="S110" s="302"/>
      <c r="T110" s="294">
        <f t="shared" si="4"/>
        <v>0</v>
      </c>
      <c r="U110" s="307">
        <v>28</v>
      </c>
      <c r="V110" s="302"/>
      <c r="W110" s="291">
        <f t="shared" si="5"/>
        <v>28</v>
      </c>
      <c r="X110" s="308">
        <f t="shared" si="8"/>
        <v>68</v>
      </c>
      <c r="Y110" s="64">
        <f t="shared" si="8"/>
        <v>0</v>
      </c>
      <c r="Z110" s="309">
        <f t="shared" si="8"/>
        <v>68</v>
      </c>
      <c r="AA110" s="310">
        <f t="shared" si="9"/>
        <v>11.333333333333334</v>
      </c>
      <c r="AB110" s="65">
        <f t="shared" si="9"/>
        <v>0</v>
      </c>
      <c r="AC110" s="311">
        <f t="shared" si="9"/>
        <v>11.333333333333334</v>
      </c>
      <c r="AD110" s="314" t="s">
        <v>15</v>
      </c>
    </row>
    <row r="111" spans="1:30" ht="15.75" hidden="1" customHeight="1">
      <c r="A111" s="289">
        <v>105</v>
      </c>
      <c r="B111" s="313" t="s">
        <v>2190</v>
      </c>
      <c r="C111" s="302" t="s">
        <v>2159</v>
      </c>
      <c r="D111" s="291" t="s">
        <v>2191</v>
      </c>
      <c r="E111" s="306">
        <v>10</v>
      </c>
      <c r="F111" s="307"/>
      <c r="G111" s="302"/>
      <c r="H111" s="294">
        <f t="shared" si="0"/>
        <v>0</v>
      </c>
      <c r="I111" s="307"/>
      <c r="J111" s="302"/>
      <c r="K111" s="294">
        <f t="shared" si="1"/>
        <v>0</v>
      </c>
      <c r="L111" s="307">
        <v>75</v>
      </c>
      <c r="M111" s="302"/>
      <c r="N111" s="294">
        <f t="shared" si="2"/>
        <v>75</v>
      </c>
      <c r="O111" s="307">
        <v>5</v>
      </c>
      <c r="P111" s="302"/>
      <c r="Q111" s="294">
        <f t="shared" si="3"/>
        <v>5</v>
      </c>
      <c r="R111" s="307"/>
      <c r="S111" s="302"/>
      <c r="T111" s="294">
        <f t="shared" si="4"/>
        <v>0</v>
      </c>
      <c r="U111" s="307">
        <v>20</v>
      </c>
      <c r="V111" s="302"/>
      <c r="W111" s="291">
        <f t="shared" si="5"/>
        <v>20</v>
      </c>
      <c r="X111" s="308">
        <f t="shared" si="8"/>
        <v>100</v>
      </c>
      <c r="Y111" s="64">
        <f t="shared" si="8"/>
        <v>0</v>
      </c>
      <c r="Z111" s="309">
        <f t="shared" si="8"/>
        <v>100</v>
      </c>
      <c r="AA111" s="310">
        <f t="shared" si="9"/>
        <v>16.666666666666668</v>
      </c>
      <c r="AB111" s="65">
        <f t="shared" si="9"/>
        <v>0</v>
      </c>
      <c r="AC111" s="311">
        <f t="shared" si="9"/>
        <v>16.666666666666668</v>
      </c>
      <c r="AD111" s="314" t="s">
        <v>15</v>
      </c>
    </row>
    <row r="112" spans="1:30" ht="15.75" hidden="1" customHeight="1">
      <c r="A112" s="450">
        <v>106</v>
      </c>
      <c r="B112" s="437" t="s">
        <v>2192</v>
      </c>
      <c r="C112" s="438" t="s">
        <v>2159</v>
      </c>
      <c r="D112" s="451" t="s">
        <v>2193</v>
      </c>
      <c r="E112" s="452">
        <v>117</v>
      </c>
      <c r="F112" s="441">
        <v>0</v>
      </c>
      <c r="G112" s="438">
        <v>0</v>
      </c>
      <c r="H112" s="442">
        <f t="shared" si="0"/>
        <v>0</v>
      </c>
      <c r="I112" s="441">
        <v>208</v>
      </c>
      <c r="J112" s="438">
        <v>0</v>
      </c>
      <c r="K112" s="442">
        <f t="shared" si="1"/>
        <v>208</v>
      </c>
      <c r="L112" s="441">
        <v>0</v>
      </c>
      <c r="M112" s="438">
        <v>0</v>
      </c>
      <c r="N112" s="442">
        <f t="shared" si="2"/>
        <v>0</v>
      </c>
      <c r="O112" s="441">
        <v>0</v>
      </c>
      <c r="P112" s="438">
        <v>0</v>
      </c>
      <c r="Q112" s="442">
        <f t="shared" si="3"/>
        <v>0</v>
      </c>
      <c r="R112" s="441">
        <v>0</v>
      </c>
      <c r="S112" s="438">
        <v>0</v>
      </c>
      <c r="T112" s="442">
        <f t="shared" si="4"/>
        <v>0</v>
      </c>
      <c r="U112" s="441">
        <v>0</v>
      </c>
      <c r="V112" s="438">
        <v>0</v>
      </c>
      <c r="W112" s="439">
        <f t="shared" si="5"/>
        <v>0</v>
      </c>
      <c r="X112" s="443">
        <f t="shared" si="8"/>
        <v>208</v>
      </c>
      <c r="Y112" s="444">
        <f t="shared" si="8"/>
        <v>0</v>
      </c>
      <c r="Z112" s="445">
        <f t="shared" si="8"/>
        <v>208</v>
      </c>
      <c r="AA112" s="446">
        <f t="shared" si="9"/>
        <v>34.666666666666664</v>
      </c>
      <c r="AB112" s="447">
        <f t="shared" si="9"/>
        <v>0</v>
      </c>
      <c r="AC112" s="448">
        <f t="shared" si="9"/>
        <v>34.666666666666664</v>
      </c>
      <c r="AD112" s="449" t="s">
        <v>15</v>
      </c>
    </row>
    <row r="113" spans="1:30" ht="15.75" customHeight="1">
      <c r="A113" s="436">
        <v>107</v>
      </c>
      <c r="B113" s="437" t="s">
        <v>2194</v>
      </c>
      <c r="C113" s="438" t="s">
        <v>2159</v>
      </c>
      <c r="D113" s="439" t="s">
        <v>2195</v>
      </c>
      <c r="E113" s="440">
        <v>278</v>
      </c>
      <c r="F113" s="441">
        <v>310</v>
      </c>
      <c r="G113" s="438">
        <v>0</v>
      </c>
      <c r="H113" s="442">
        <f t="shared" si="0"/>
        <v>310</v>
      </c>
      <c r="I113" s="441">
        <v>304</v>
      </c>
      <c r="J113" s="438">
        <v>0</v>
      </c>
      <c r="K113" s="442">
        <f t="shared" si="1"/>
        <v>304</v>
      </c>
      <c r="L113" s="441">
        <v>0</v>
      </c>
      <c r="M113" s="438">
        <v>0</v>
      </c>
      <c r="N113" s="442">
        <f t="shared" si="2"/>
        <v>0</v>
      </c>
      <c r="O113" s="441">
        <v>0</v>
      </c>
      <c r="P113" s="438">
        <v>0</v>
      </c>
      <c r="Q113" s="442">
        <f t="shared" si="3"/>
        <v>0</v>
      </c>
      <c r="R113" s="441">
        <v>570</v>
      </c>
      <c r="S113" s="438">
        <v>0</v>
      </c>
      <c r="T113" s="442">
        <f t="shared" si="4"/>
        <v>570</v>
      </c>
      <c r="U113" s="441">
        <v>608</v>
      </c>
      <c r="V113" s="438">
        <v>0</v>
      </c>
      <c r="W113" s="439">
        <f t="shared" si="5"/>
        <v>608</v>
      </c>
      <c r="X113" s="443">
        <f t="shared" si="8"/>
        <v>1792</v>
      </c>
      <c r="Y113" s="444">
        <f t="shared" si="8"/>
        <v>0</v>
      </c>
      <c r="Z113" s="445">
        <f t="shared" si="8"/>
        <v>1792</v>
      </c>
      <c r="AA113" s="446">
        <f t="shared" si="9"/>
        <v>298.66666666666669</v>
      </c>
      <c r="AB113" s="447">
        <f t="shared" si="9"/>
        <v>0</v>
      </c>
      <c r="AC113" s="448">
        <f t="shared" si="9"/>
        <v>298.66666666666669</v>
      </c>
      <c r="AD113" s="453" t="s">
        <v>15</v>
      </c>
    </row>
    <row r="114" spans="1:30" ht="15.75" customHeight="1">
      <c r="A114" s="450">
        <v>108</v>
      </c>
      <c r="B114" s="437" t="s">
        <v>2196</v>
      </c>
      <c r="C114" s="438" t="s">
        <v>2159</v>
      </c>
      <c r="D114" s="451" t="s">
        <v>2197</v>
      </c>
      <c r="E114" s="440">
        <v>385</v>
      </c>
      <c r="F114" s="441">
        <v>0</v>
      </c>
      <c r="G114" s="438">
        <v>0</v>
      </c>
      <c r="H114" s="442">
        <f t="shared" si="0"/>
        <v>0</v>
      </c>
      <c r="I114" s="441">
        <v>340</v>
      </c>
      <c r="J114" s="438">
        <v>0</v>
      </c>
      <c r="K114" s="442">
        <f t="shared" si="1"/>
        <v>340</v>
      </c>
      <c r="L114" s="441">
        <v>0</v>
      </c>
      <c r="M114" s="438">
        <v>0</v>
      </c>
      <c r="N114" s="442">
        <f t="shared" si="2"/>
        <v>0</v>
      </c>
      <c r="O114" s="441">
        <v>0</v>
      </c>
      <c r="P114" s="438">
        <v>0</v>
      </c>
      <c r="Q114" s="442">
        <f t="shared" si="3"/>
        <v>0</v>
      </c>
      <c r="R114" s="441"/>
      <c r="S114" s="438">
        <v>0</v>
      </c>
      <c r="T114" s="442">
        <f t="shared" si="4"/>
        <v>0</v>
      </c>
      <c r="U114" s="441">
        <v>0</v>
      </c>
      <c r="V114" s="438">
        <v>0</v>
      </c>
      <c r="W114" s="439">
        <f t="shared" si="5"/>
        <v>0</v>
      </c>
      <c r="X114" s="443">
        <f t="shared" si="8"/>
        <v>340</v>
      </c>
      <c r="Y114" s="444">
        <f t="shared" si="8"/>
        <v>0</v>
      </c>
      <c r="Z114" s="445">
        <f t="shared" si="8"/>
        <v>340</v>
      </c>
      <c r="AA114" s="446">
        <f t="shared" si="9"/>
        <v>56.666666666666664</v>
      </c>
      <c r="AB114" s="447">
        <f t="shared" si="9"/>
        <v>0</v>
      </c>
      <c r="AC114" s="448">
        <f t="shared" si="9"/>
        <v>56.666666666666664</v>
      </c>
      <c r="AD114" s="453" t="s">
        <v>15</v>
      </c>
    </row>
    <row r="115" spans="1:30" ht="15.75" hidden="1" customHeight="1">
      <c r="A115" s="289">
        <v>109</v>
      </c>
      <c r="B115" s="313" t="s">
        <v>2198</v>
      </c>
      <c r="C115" s="302" t="s">
        <v>2199</v>
      </c>
      <c r="D115" s="291" t="s">
        <v>2200</v>
      </c>
      <c r="E115" s="306">
        <v>12</v>
      </c>
      <c r="F115" s="307"/>
      <c r="G115" s="302"/>
      <c r="H115" s="294">
        <f t="shared" si="0"/>
        <v>0</v>
      </c>
      <c r="I115" s="307">
        <v>45</v>
      </c>
      <c r="J115" s="302"/>
      <c r="K115" s="294">
        <f t="shared" si="1"/>
        <v>45</v>
      </c>
      <c r="L115" s="307">
        <v>21</v>
      </c>
      <c r="M115" s="302"/>
      <c r="N115" s="294">
        <f t="shared" si="2"/>
        <v>21</v>
      </c>
      <c r="O115" s="307">
        <v>35</v>
      </c>
      <c r="P115" s="302">
        <v>15</v>
      </c>
      <c r="Q115" s="294">
        <f t="shared" si="3"/>
        <v>50</v>
      </c>
      <c r="R115" s="307"/>
      <c r="S115" s="302"/>
      <c r="T115" s="294">
        <f t="shared" si="4"/>
        <v>0</v>
      </c>
      <c r="U115" s="307">
        <v>30</v>
      </c>
      <c r="V115" s="302"/>
      <c r="W115" s="291">
        <f t="shared" si="5"/>
        <v>30</v>
      </c>
      <c r="X115" s="308">
        <f t="shared" si="8"/>
        <v>131</v>
      </c>
      <c r="Y115" s="64">
        <f t="shared" si="8"/>
        <v>15</v>
      </c>
      <c r="Z115" s="309">
        <f t="shared" si="8"/>
        <v>146</v>
      </c>
      <c r="AA115" s="310">
        <f t="shared" si="9"/>
        <v>21.833333333333332</v>
      </c>
      <c r="AB115" s="65">
        <f t="shared" si="9"/>
        <v>2.5</v>
      </c>
      <c r="AC115" s="311">
        <f t="shared" si="9"/>
        <v>24.333333333333332</v>
      </c>
      <c r="AD115" s="301" t="s">
        <v>18</v>
      </c>
    </row>
    <row r="116" spans="1:30" ht="15.75" hidden="1" customHeight="1">
      <c r="A116" s="302">
        <v>110</v>
      </c>
      <c r="B116" s="313" t="s">
        <v>2201</v>
      </c>
      <c r="C116" s="302" t="s">
        <v>2199</v>
      </c>
      <c r="D116" s="305" t="s">
        <v>2202</v>
      </c>
      <c r="E116" s="306">
        <v>6</v>
      </c>
      <c r="F116" s="307"/>
      <c r="G116" s="302"/>
      <c r="H116" s="294">
        <f t="shared" si="0"/>
        <v>0</v>
      </c>
      <c r="I116" s="307"/>
      <c r="J116" s="302"/>
      <c r="K116" s="294">
        <f t="shared" si="1"/>
        <v>0</v>
      </c>
      <c r="L116" s="307">
        <v>20</v>
      </c>
      <c r="M116" s="302"/>
      <c r="N116" s="294">
        <f t="shared" si="2"/>
        <v>20</v>
      </c>
      <c r="O116" s="307"/>
      <c r="P116" s="302"/>
      <c r="Q116" s="294">
        <f t="shared" si="3"/>
        <v>0</v>
      </c>
      <c r="R116" s="307"/>
      <c r="S116" s="302"/>
      <c r="T116" s="294">
        <f t="shared" si="4"/>
        <v>0</v>
      </c>
      <c r="U116" s="307">
        <v>30</v>
      </c>
      <c r="V116" s="302"/>
      <c r="W116" s="291">
        <f t="shared" si="5"/>
        <v>30</v>
      </c>
      <c r="X116" s="308">
        <f t="shared" si="8"/>
        <v>50</v>
      </c>
      <c r="Y116" s="64">
        <f t="shared" si="8"/>
        <v>0</v>
      </c>
      <c r="Z116" s="309">
        <f t="shared" si="8"/>
        <v>50</v>
      </c>
      <c r="AA116" s="310">
        <f t="shared" si="9"/>
        <v>8.3333333333333339</v>
      </c>
      <c r="AB116" s="65">
        <f t="shared" si="9"/>
        <v>0</v>
      </c>
      <c r="AC116" s="311">
        <f t="shared" si="9"/>
        <v>8.3333333333333339</v>
      </c>
      <c r="AD116" s="301" t="s">
        <v>18</v>
      </c>
    </row>
    <row r="117" spans="1:30" ht="15.75" hidden="1" customHeight="1">
      <c r="A117" s="289">
        <v>111</v>
      </c>
      <c r="B117" s="313" t="s">
        <v>2203</v>
      </c>
      <c r="C117" s="302" t="s">
        <v>2199</v>
      </c>
      <c r="D117" s="291" t="s">
        <v>2204</v>
      </c>
      <c r="E117" s="306">
        <v>10</v>
      </c>
      <c r="F117" s="307"/>
      <c r="G117" s="302"/>
      <c r="H117" s="294">
        <f t="shared" si="0"/>
        <v>0</v>
      </c>
      <c r="I117" s="307">
        <v>28</v>
      </c>
      <c r="J117" s="302"/>
      <c r="K117" s="294">
        <f t="shared" si="1"/>
        <v>28</v>
      </c>
      <c r="L117" s="307">
        <v>16</v>
      </c>
      <c r="M117" s="302"/>
      <c r="N117" s="294">
        <f t="shared" si="2"/>
        <v>16</v>
      </c>
      <c r="O117" s="307">
        <v>12</v>
      </c>
      <c r="P117" s="302"/>
      <c r="Q117" s="294">
        <f t="shared" si="3"/>
        <v>12</v>
      </c>
      <c r="R117" s="307"/>
      <c r="S117" s="302"/>
      <c r="T117" s="294">
        <f t="shared" si="4"/>
        <v>0</v>
      </c>
      <c r="U117" s="307">
        <v>8</v>
      </c>
      <c r="V117" s="302"/>
      <c r="W117" s="291">
        <f t="shared" si="5"/>
        <v>8</v>
      </c>
      <c r="X117" s="308">
        <f t="shared" si="8"/>
        <v>64</v>
      </c>
      <c r="Y117" s="64">
        <f t="shared" si="8"/>
        <v>0</v>
      </c>
      <c r="Z117" s="309">
        <f t="shared" si="8"/>
        <v>64</v>
      </c>
      <c r="AA117" s="310">
        <f t="shared" si="9"/>
        <v>10.666666666666666</v>
      </c>
      <c r="AB117" s="65">
        <f t="shared" si="9"/>
        <v>0</v>
      </c>
      <c r="AC117" s="311">
        <f t="shared" si="9"/>
        <v>10.666666666666666</v>
      </c>
      <c r="AD117" s="314" t="s">
        <v>15</v>
      </c>
    </row>
    <row r="118" spans="1:30" ht="15.75" hidden="1" customHeight="1">
      <c r="A118" s="302">
        <v>112</v>
      </c>
      <c r="B118" s="313" t="s">
        <v>2205</v>
      </c>
      <c r="C118" s="302" t="s">
        <v>2199</v>
      </c>
      <c r="D118" s="305" t="s">
        <v>2206</v>
      </c>
      <c r="E118" s="306">
        <v>5</v>
      </c>
      <c r="F118" s="307"/>
      <c r="G118" s="302"/>
      <c r="H118" s="294">
        <f t="shared" si="0"/>
        <v>0</v>
      </c>
      <c r="I118" s="307"/>
      <c r="J118" s="302"/>
      <c r="K118" s="294">
        <f t="shared" si="1"/>
        <v>0</v>
      </c>
      <c r="L118" s="307">
        <v>10</v>
      </c>
      <c r="M118" s="302"/>
      <c r="N118" s="294">
        <f t="shared" si="2"/>
        <v>10</v>
      </c>
      <c r="O118" s="307">
        <v>9</v>
      </c>
      <c r="P118" s="302"/>
      <c r="Q118" s="294">
        <f t="shared" si="3"/>
        <v>9</v>
      </c>
      <c r="R118" s="307"/>
      <c r="S118" s="302"/>
      <c r="T118" s="294">
        <f t="shared" si="4"/>
        <v>0</v>
      </c>
      <c r="U118" s="307">
        <v>5</v>
      </c>
      <c r="V118" s="302"/>
      <c r="W118" s="291">
        <f t="shared" si="5"/>
        <v>5</v>
      </c>
      <c r="X118" s="308">
        <f t="shared" si="8"/>
        <v>24</v>
      </c>
      <c r="Y118" s="64">
        <f t="shared" si="8"/>
        <v>0</v>
      </c>
      <c r="Z118" s="309">
        <f t="shared" si="8"/>
        <v>24</v>
      </c>
      <c r="AA118" s="310">
        <f t="shared" si="9"/>
        <v>4</v>
      </c>
      <c r="AB118" s="65">
        <f t="shared" si="9"/>
        <v>0</v>
      </c>
      <c r="AC118" s="311">
        <f t="shared" si="9"/>
        <v>4</v>
      </c>
      <c r="AD118" s="301" t="s">
        <v>18</v>
      </c>
    </row>
    <row r="119" spans="1:30" ht="15.75" hidden="1" customHeight="1">
      <c r="A119" s="289">
        <v>113</v>
      </c>
      <c r="B119" s="313" t="s">
        <v>2207</v>
      </c>
      <c r="C119" s="302" t="s">
        <v>2199</v>
      </c>
      <c r="D119" s="291" t="s">
        <v>2208</v>
      </c>
      <c r="E119" s="306">
        <v>15</v>
      </c>
      <c r="F119" s="307"/>
      <c r="G119" s="302"/>
      <c r="H119" s="294">
        <f t="shared" si="0"/>
        <v>0</v>
      </c>
      <c r="I119" s="307">
        <v>25</v>
      </c>
      <c r="J119" s="302"/>
      <c r="K119" s="294">
        <f t="shared" si="1"/>
        <v>25</v>
      </c>
      <c r="L119" s="307">
        <v>17.5</v>
      </c>
      <c r="M119" s="302"/>
      <c r="N119" s="294">
        <f t="shared" si="2"/>
        <v>17.5</v>
      </c>
      <c r="O119" s="307">
        <v>25</v>
      </c>
      <c r="P119" s="302"/>
      <c r="Q119" s="294">
        <f t="shared" si="3"/>
        <v>25</v>
      </c>
      <c r="R119" s="307"/>
      <c r="S119" s="302"/>
      <c r="T119" s="294">
        <f t="shared" si="4"/>
        <v>0</v>
      </c>
      <c r="U119" s="307">
        <v>10</v>
      </c>
      <c r="V119" s="302"/>
      <c r="W119" s="291">
        <f t="shared" si="5"/>
        <v>10</v>
      </c>
      <c r="X119" s="308">
        <f t="shared" si="8"/>
        <v>77.5</v>
      </c>
      <c r="Y119" s="64">
        <f t="shared" si="8"/>
        <v>0</v>
      </c>
      <c r="Z119" s="309">
        <f t="shared" si="8"/>
        <v>77.5</v>
      </c>
      <c r="AA119" s="310">
        <f t="shared" si="9"/>
        <v>12.916666666666666</v>
      </c>
      <c r="AB119" s="65">
        <f t="shared" si="9"/>
        <v>0</v>
      </c>
      <c r="AC119" s="311">
        <f t="shared" si="9"/>
        <v>12.916666666666666</v>
      </c>
      <c r="AD119" s="301" t="s">
        <v>18</v>
      </c>
    </row>
    <row r="120" spans="1:30" ht="15.75" hidden="1" customHeight="1">
      <c r="A120" s="302">
        <v>114</v>
      </c>
      <c r="B120" s="313" t="s">
        <v>2209</v>
      </c>
      <c r="C120" s="302" t="s">
        <v>2199</v>
      </c>
      <c r="D120" s="305" t="s">
        <v>2210</v>
      </c>
      <c r="E120" s="306">
        <v>26</v>
      </c>
      <c r="F120" s="307"/>
      <c r="G120" s="302"/>
      <c r="H120" s="294">
        <f t="shared" si="0"/>
        <v>0</v>
      </c>
      <c r="I120" s="307">
        <v>35</v>
      </c>
      <c r="J120" s="302"/>
      <c r="K120" s="294">
        <f t="shared" si="1"/>
        <v>35</v>
      </c>
      <c r="L120" s="307">
        <v>76</v>
      </c>
      <c r="M120" s="302"/>
      <c r="N120" s="294">
        <f t="shared" si="2"/>
        <v>76</v>
      </c>
      <c r="O120" s="307">
        <v>65</v>
      </c>
      <c r="P120" s="302"/>
      <c r="Q120" s="294">
        <f t="shared" si="3"/>
        <v>65</v>
      </c>
      <c r="R120" s="307"/>
      <c r="S120" s="302"/>
      <c r="T120" s="294">
        <f t="shared" si="4"/>
        <v>0</v>
      </c>
      <c r="U120" s="307">
        <v>35</v>
      </c>
      <c r="V120" s="302"/>
      <c r="W120" s="291">
        <f t="shared" si="5"/>
        <v>35</v>
      </c>
      <c r="X120" s="308">
        <f t="shared" si="8"/>
        <v>211</v>
      </c>
      <c r="Y120" s="64">
        <f t="shared" si="8"/>
        <v>0</v>
      </c>
      <c r="Z120" s="309">
        <f t="shared" si="8"/>
        <v>211</v>
      </c>
      <c r="AA120" s="310">
        <f t="shared" si="9"/>
        <v>35.166666666666664</v>
      </c>
      <c r="AB120" s="65">
        <f t="shared" si="9"/>
        <v>0</v>
      </c>
      <c r="AC120" s="311">
        <f t="shared" si="9"/>
        <v>35.166666666666664</v>
      </c>
      <c r="AD120" s="301" t="s">
        <v>18</v>
      </c>
    </row>
    <row r="121" spans="1:30" ht="15.75" hidden="1" customHeight="1">
      <c r="A121" s="289">
        <v>115</v>
      </c>
      <c r="B121" s="313" t="s">
        <v>2211</v>
      </c>
      <c r="C121" s="302" t="s">
        <v>2199</v>
      </c>
      <c r="D121" s="291" t="s">
        <v>2212</v>
      </c>
      <c r="E121" s="306">
        <v>9</v>
      </c>
      <c r="F121" s="307"/>
      <c r="G121" s="302"/>
      <c r="H121" s="294">
        <f t="shared" si="0"/>
        <v>0</v>
      </c>
      <c r="I121" s="307"/>
      <c r="J121" s="302"/>
      <c r="K121" s="294">
        <f t="shared" si="1"/>
        <v>0</v>
      </c>
      <c r="L121" s="307">
        <v>40</v>
      </c>
      <c r="M121" s="302"/>
      <c r="N121" s="294">
        <f t="shared" si="2"/>
        <v>40</v>
      </c>
      <c r="O121" s="307">
        <v>15</v>
      </c>
      <c r="P121" s="302"/>
      <c r="Q121" s="294">
        <f t="shared" si="3"/>
        <v>15</v>
      </c>
      <c r="R121" s="307"/>
      <c r="S121" s="302"/>
      <c r="T121" s="294">
        <f t="shared" si="4"/>
        <v>0</v>
      </c>
      <c r="U121" s="307">
        <v>5</v>
      </c>
      <c r="V121" s="302"/>
      <c r="W121" s="291">
        <f t="shared" si="5"/>
        <v>5</v>
      </c>
      <c r="X121" s="308">
        <f t="shared" si="8"/>
        <v>60</v>
      </c>
      <c r="Y121" s="64">
        <f t="shared" si="8"/>
        <v>0</v>
      </c>
      <c r="Z121" s="309">
        <f t="shared" si="8"/>
        <v>60</v>
      </c>
      <c r="AA121" s="310">
        <f t="shared" si="9"/>
        <v>10</v>
      </c>
      <c r="AB121" s="65">
        <f t="shared" si="9"/>
        <v>0</v>
      </c>
      <c r="AC121" s="311">
        <f t="shared" si="9"/>
        <v>10</v>
      </c>
      <c r="AD121" s="301" t="s">
        <v>18</v>
      </c>
    </row>
    <row r="122" spans="1:30" ht="15.75" hidden="1" customHeight="1">
      <c r="A122" s="302">
        <v>116</v>
      </c>
      <c r="B122" s="313" t="s">
        <v>2057</v>
      </c>
      <c r="C122" s="302" t="s">
        <v>2199</v>
      </c>
      <c r="D122" s="305" t="s">
        <v>2213</v>
      </c>
      <c r="E122" s="306">
        <v>5</v>
      </c>
      <c r="F122" s="307"/>
      <c r="G122" s="302"/>
      <c r="H122" s="294">
        <f t="shared" si="0"/>
        <v>0</v>
      </c>
      <c r="I122" s="307">
        <v>19</v>
      </c>
      <c r="J122" s="302"/>
      <c r="K122" s="294">
        <f t="shared" si="1"/>
        <v>19</v>
      </c>
      <c r="L122" s="307">
        <v>35</v>
      </c>
      <c r="M122" s="302"/>
      <c r="N122" s="294">
        <f t="shared" si="2"/>
        <v>35</v>
      </c>
      <c r="O122" s="307">
        <v>10</v>
      </c>
      <c r="P122" s="302"/>
      <c r="Q122" s="294">
        <f t="shared" si="3"/>
        <v>10</v>
      </c>
      <c r="R122" s="307"/>
      <c r="S122" s="302"/>
      <c r="T122" s="294">
        <f t="shared" si="4"/>
        <v>0</v>
      </c>
      <c r="U122" s="307">
        <v>9</v>
      </c>
      <c r="V122" s="302"/>
      <c r="W122" s="291">
        <f t="shared" si="5"/>
        <v>9</v>
      </c>
      <c r="X122" s="308">
        <f t="shared" si="8"/>
        <v>73</v>
      </c>
      <c r="Y122" s="64">
        <f t="shared" si="8"/>
        <v>0</v>
      </c>
      <c r="Z122" s="309">
        <f t="shared" si="8"/>
        <v>73</v>
      </c>
      <c r="AA122" s="310">
        <f t="shared" si="9"/>
        <v>12.166666666666666</v>
      </c>
      <c r="AB122" s="65">
        <f t="shared" si="9"/>
        <v>0</v>
      </c>
      <c r="AC122" s="311">
        <f t="shared" si="9"/>
        <v>12.166666666666666</v>
      </c>
      <c r="AD122" s="301" t="s">
        <v>15</v>
      </c>
    </row>
    <row r="123" spans="1:30" ht="15.75" hidden="1" customHeight="1">
      <c r="A123" s="289">
        <v>117</v>
      </c>
      <c r="B123" s="313" t="s">
        <v>2214</v>
      </c>
      <c r="C123" s="302" t="s">
        <v>2199</v>
      </c>
      <c r="D123" s="291" t="s">
        <v>2215</v>
      </c>
      <c r="E123" s="306">
        <v>6</v>
      </c>
      <c r="F123" s="307"/>
      <c r="G123" s="302"/>
      <c r="H123" s="294">
        <f t="shared" si="0"/>
        <v>0</v>
      </c>
      <c r="I123" s="307">
        <v>6</v>
      </c>
      <c r="J123" s="302"/>
      <c r="K123" s="294">
        <f t="shared" si="1"/>
        <v>6</v>
      </c>
      <c r="L123" s="307">
        <v>25</v>
      </c>
      <c r="M123" s="302"/>
      <c r="N123" s="294">
        <f t="shared" si="2"/>
        <v>25</v>
      </c>
      <c r="O123" s="307">
        <v>8</v>
      </c>
      <c r="P123" s="302"/>
      <c r="Q123" s="294">
        <f t="shared" si="3"/>
        <v>8</v>
      </c>
      <c r="R123" s="307"/>
      <c r="S123" s="302"/>
      <c r="T123" s="294">
        <f t="shared" si="4"/>
        <v>0</v>
      </c>
      <c r="U123" s="307">
        <v>10</v>
      </c>
      <c r="V123" s="302"/>
      <c r="W123" s="291">
        <f t="shared" si="5"/>
        <v>10</v>
      </c>
      <c r="X123" s="308">
        <f t="shared" si="8"/>
        <v>49</v>
      </c>
      <c r="Y123" s="64">
        <f t="shared" si="8"/>
        <v>0</v>
      </c>
      <c r="Z123" s="309">
        <f t="shared" si="8"/>
        <v>49</v>
      </c>
      <c r="AA123" s="310">
        <f t="shared" si="9"/>
        <v>8.1666666666666661</v>
      </c>
      <c r="AB123" s="65">
        <f t="shared" si="9"/>
        <v>0</v>
      </c>
      <c r="AC123" s="311">
        <f t="shared" si="9"/>
        <v>8.1666666666666661</v>
      </c>
      <c r="AD123" s="314" t="s">
        <v>15</v>
      </c>
    </row>
    <row r="124" spans="1:30" ht="15.75" hidden="1" customHeight="1">
      <c r="A124" s="302">
        <v>118</v>
      </c>
      <c r="B124" s="313" t="s">
        <v>2216</v>
      </c>
      <c r="C124" s="302" t="s">
        <v>2199</v>
      </c>
      <c r="D124" s="305" t="s">
        <v>2217</v>
      </c>
      <c r="E124" s="306">
        <v>3</v>
      </c>
      <c r="F124" s="307"/>
      <c r="G124" s="302"/>
      <c r="H124" s="294">
        <f t="shared" si="0"/>
        <v>0</v>
      </c>
      <c r="I124" s="307">
        <v>5</v>
      </c>
      <c r="J124" s="302"/>
      <c r="K124" s="294">
        <f t="shared" si="1"/>
        <v>5</v>
      </c>
      <c r="L124" s="307">
        <v>35</v>
      </c>
      <c r="M124" s="302"/>
      <c r="N124" s="294">
        <f t="shared" si="2"/>
        <v>35</v>
      </c>
      <c r="O124" s="307">
        <v>5</v>
      </c>
      <c r="P124" s="302"/>
      <c r="Q124" s="294">
        <f t="shared" si="3"/>
        <v>5</v>
      </c>
      <c r="R124" s="307"/>
      <c r="S124" s="302"/>
      <c r="T124" s="294">
        <f t="shared" si="4"/>
        <v>0</v>
      </c>
      <c r="U124" s="307">
        <v>5</v>
      </c>
      <c r="V124" s="302"/>
      <c r="W124" s="291">
        <f t="shared" si="5"/>
        <v>5</v>
      </c>
      <c r="X124" s="308">
        <f t="shared" si="8"/>
        <v>50</v>
      </c>
      <c r="Y124" s="64">
        <f t="shared" si="8"/>
        <v>0</v>
      </c>
      <c r="Z124" s="309">
        <f t="shared" si="8"/>
        <v>50</v>
      </c>
      <c r="AA124" s="310">
        <f t="shared" si="9"/>
        <v>8.3333333333333339</v>
      </c>
      <c r="AB124" s="65">
        <f t="shared" si="9"/>
        <v>0</v>
      </c>
      <c r="AC124" s="311">
        <f t="shared" si="9"/>
        <v>8.3333333333333339</v>
      </c>
      <c r="AD124" s="314" t="s">
        <v>15</v>
      </c>
    </row>
    <row r="125" spans="1:30" ht="15.75" hidden="1" customHeight="1">
      <c r="A125" s="289">
        <v>119</v>
      </c>
      <c r="B125" s="313" t="s">
        <v>2218</v>
      </c>
      <c r="C125" s="302" t="s">
        <v>2199</v>
      </c>
      <c r="D125" s="291" t="s">
        <v>2219</v>
      </c>
      <c r="E125" s="306">
        <v>10</v>
      </c>
      <c r="F125" s="307"/>
      <c r="G125" s="302"/>
      <c r="H125" s="294">
        <f t="shared" si="0"/>
        <v>0</v>
      </c>
      <c r="I125" s="307"/>
      <c r="J125" s="302"/>
      <c r="K125" s="294">
        <f t="shared" si="1"/>
        <v>0</v>
      </c>
      <c r="L125" s="307">
        <v>15</v>
      </c>
      <c r="M125" s="302"/>
      <c r="N125" s="294">
        <f t="shared" si="2"/>
        <v>15</v>
      </c>
      <c r="O125" s="307">
        <v>15</v>
      </c>
      <c r="P125" s="302"/>
      <c r="Q125" s="294">
        <f t="shared" si="3"/>
        <v>15</v>
      </c>
      <c r="R125" s="307"/>
      <c r="S125" s="302"/>
      <c r="T125" s="294">
        <f t="shared" si="4"/>
        <v>0</v>
      </c>
      <c r="U125" s="307">
        <v>10</v>
      </c>
      <c r="V125" s="302"/>
      <c r="W125" s="291">
        <f t="shared" si="5"/>
        <v>10</v>
      </c>
      <c r="X125" s="308">
        <f t="shared" si="8"/>
        <v>40</v>
      </c>
      <c r="Y125" s="64">
        <f t="shared" si="8"/>
        <v>0</v>
      </c>
      <c r="Z125" s="309">
        <f t="shared" si="8"/>
        <v>40</v>
      </c>
      <c r="AA125" s="310">
        <f t="shared" si="9"/>
        <v>6.666666666666667</v>
      </c>
      <c r="AB125" s="65">
        <f t="shared" si="9"/>
        <v>0</v>
      </c>
      <c r="AC125" s="311">
        <f t="shared" si="9"/>
        <v>6.666666666666667</v>
      </c>
      <c r="AD125" s="314" t="s">
        <v>15</v>
      </c>
    </row>
    <row r="126" spans="1:30" ht="15.75" hidden="1" customHeight="1">
      <c r="A126" s="302">
        <v>120</v>
      </c>
      <c r="B126" s="313" t="s">
        <v>2220</v>
      </c>
      <c r="C126" s="302" t="s">
        <v>2199</v>
      </c>
      <c r="D126" s="305" t="s">
        <v>2221</v>
      </c>
      <c r="E126" s="306">
        <v>8</v>
      </c>
      <c r="F126" s="307"/>
      <c r="G126" s="302"/>
      <c r="H126" s="294">
        <f t="shared" si="0"/>
        <v>0</v>
      </c>
      <c r="I126" s="307">
        <v>11</v>
      </c>
      <c r="J126" s="302"/>
      <c r="K126" s="294">
        <f t="shared" si="1"/>
        <v>11</v>
      </c>
      <c r="L126" s="307">
        <v>7.5</v>
      </c>
      <c r="M126" s="302"/>
      <c r="N126" s="294">
        <f t="shared" si="2"/>
        <v>7.5</v>
      </c>
      <c r="O126" s="307">
        <v>10</v>
      </c>
      <c r="P126" s="302"/>
      <c r="Q126" s="294">
        <f t="shared" si="3"/>
        <v>10</v>
      </c>
      <c r="R126" s="307"/>
      <c r="S126" s="302"/>
      <c r="T126" s="294">
        <f t="shared" si="4"/>
        <v>0</v>
      </c>
      <c r="U126" s="307">
        <v>7.5</v>
      </c>
      <c r="V126" s="302"/>
      <c r="W126" s="291">
        <f t="shared" si="5"/>
        <v>7.5</v>
      </c>
      <c r="X126" s="308">
        <f t="shared" si="8"/>
        <v>36</v>
      </c>
      <c r="Y126" s="64">
        <f t="shared" si="8"/>
        <v>0</v>
      </c>
      <c r="Z126" s="309">
        <f t="shared" si="8"/>
        <v>36</v>
      </c>
      <c r="AA126" s="310">
        <f t="shared" si="9"/>
        <v>6</v>
      </c>
      <c r="AB126" s="65">
        <f t="shared" si="9"/>
        <v>0</v>
      </c>
      <c r="AC126" s="311">
        <f t="shared" si="9"/>
        <v>6</v>
      </c>
      <c r="AD126" s="314" t="s">
        <v>15</v>
      </c>
    </row>
    <row r="127" spans="1:30" ht="15.75" hidden="1" customHeight="1">
      <c r="A127" s="289">
        <v>121</v>
      </c>
      <c r="B127" s="313" t="s">
        <v>2053</v>
      </c>
      <c r="C127" s="302" t="s">
        <v>2199</v>
      </c>
      <c r="D127" s="291" t="s">
        <v>2222</v>
      </c>
      <c r="E127" s="306">
        <v>5</v>
      </c>
      <c r="F127" s="307"/>
      <c r="G127" s="302"/>
      <c r="H127" s="294">
        <f t="shared" si="0"/>
        <v>0</v>
      </c>
      <c r="I127" s="307">
        <v>3</v>
      </c>
      <c r="J127" s="302"/>
      <c r="K127" s="294">
        <f t="shared" si="1"/>
        <v>3</v>
      </c>
      <c r="L127" s="307">
        <v>10</v>
      </c>
      <c r="M127" s="302"/>
      <c r="N127" s="294">
        <f t="shared" si="2"/>
        <v>10</v>
      </c>
      <c r="O127" s="307">
        <v>6</v>
      </c>
      <c r="P127" s="302"/>
      <c r="Q127" s="294">
        <f t="shared" si="3"/>
        <v>6</v>
      </c>
      <c r="R127" s="307"/>
      <c r="S127" s="302"/>
      <c r="T127" s="294">
        <f t="shared" si="4"/>
        <v>0</v>
      </c>
      <c r="U127" s="307">
        <v>6</v>
      </c>
      <c r="V127" s="302"/>
      <c r="W127" s="291">
        <f t="shared" si="5"/>
        <v>6</v>
      </c>
      <c r="X127" s="308">
        <f t="shared" si="8"/>
        <v>25</v>
      </c>
      <c r="Y127" s="64">
        <f t="shared" si="8"/>
        <v>0</v>
      </c>
      <c r="Z127" s="309">
        <f t="shared" si="8"/>
        <v>25</v>
      </c>
      <c r="AA127" s="310">
        <f t="shared" si="9"/>
        <v>4.166666666666667</v>
      </c>
      <c r="AB127" s="65">
        <f t="shared" si="9"/>
        <v>0</v>
      </c>
      <c r="AC127" s="311">
        <f t="shared" si="9"/>
        <v>4.166666666666667</v>
      </c>
      <c r="AD127" s="314" t="s">
        <v>15</v>
      </c>
    </row>
    <row r="128" spans="1:30" ht="15.75" hidden="1" customHeight="1">
      <c r="A128" s="302">
        <v>122</v>
      </c>
      <c r="B128" s="313" t="s">
        <v>2223</v>
      </c>
      <c r="C128" s="302" t="s">
        <v>2199</v>
      </c>
      <c r="D128" s="305" t="s">
        <v>2224</v>
      </c>
      <c r="E128" s="306">
        <v>5</v>
      </c>
      <c r="F128" s="307"/>
      <c r="G128" s="302"/>
      <c r="H128" s="294">
        <f t="shared" si="0"/>
        <v>0</v>
      </c>
      <c r="I128" s="307">
        <v>12</v>
      </c>
      <c r="J128" s="302"/>
      <c r="K128" s="294">
        <f t="shared" si="1"/>
        <v>12</v>
      </c>
      <c r="L128" s="307">
        <v>12</v>
      </c>
      <c r="M128" s="302"/>
      <c r="N128" s="294">
        <f t="shared" si="2"/>
        <v>12</v>
      </c>
      <c r="O128" s="307">
        <v>10</v>
      </c>
      <c r="P128" s="302"/>
      <c r="Q128" s="294">
        <f t="shared" si="3"/>
        <v>10</v>
      </c>
      <c r="R128" s="307"/>
      <c r="S128" s="302"/>
      <c r="T128" s="294">
        <f t="shared" si="4"/>
        <v>0</v>
      </c>
      <c r="U128" s="307">
        <v>9</v>
      </c>
      <c r="V128" s="302"/>
      <c r="W128" s="291">
        <f t="shared" si="5"/>
        <v>9</v>
      </c>
      <c r="X128" s="308">
        <f t="shared" si="8"/>
        <v>43</v>
      </c>
      <c r="Y128" s="64">
        <f t="shared" si="8"/>
        <v>0</v>
      </c>
      <c r="Z128" s="309">
        <f t="shared" si="8"/>
        <v>43</v>
      </c>
      <c r="AA128" s="310">
        <f t="shared" si="9"/>
        <v>7.166666666666667</v>
      </c>
      <c r="AB128" s="65">
        <f t="shared" si="9"/>
        <v>0</v>
      </c>
      <c r="AC128" s="311">
        <f t="shared" si="9"/>
        <v>7.166666666666667</v>
      </c>
      <c r="AD128" s="314" t="s">
        <v>15</v>
      </c>
    </row>
    <row r="129" spans="1:30" ht="15.75" hidden="1" customHeight="1">
      <c r="A129" s="289">
        <v>123</v>
      </c>
      <c r="B129" s="313" t="s">
        <v>2225</v>
      </c>
      <c r="C129" s="302" t="s">
        <v>2199</v>
      </c>
      <c r="D129" s="291" t="s">
        <v>2226</v>
      </c>
      <c r="E129" s="306">
        <v>10</v>
      </c>
      <c r="F129" s="307"/>
      <c r="G129" s="302"/>
      <c r="H129" s="294">
        <f t="shared" si="0"/>
        <v>0</v>
      </c>
      <c r="I129" s="307">
        <v>10</v>
      </c>
      <c r="J129" s="302"/>
      <c r="K129" s="294">
        <f t="shared" si="1"/>
        <v>10</v>
      </c>
      <c r="L129" s="307">
        <v>20</v>
      </c>
      <c r="M129" s="302"/>
      <c r="N129" s="294">
        <f t="shared" si="2"/>
        <v>20</v>
      </c>
      <c r="O129" s="307">
        <v>36</v>
      </c>
      <c r="P129" s="302"/>
      <c r="Q129" s="294">
        <f t="shared" si="3"/>
        <v>36</v>
      </c>
      <c r="R129" s="307"/>
      <c r="S129" s="302"/>
      <c r="T129" s="294">
        <f t="shared" si="4"/>
        <v>0</v>
      </c>
      <c r="U129" s="307">
        <v>10</v>
      </c>
      <c r="V129" s="302"/>
      <c r="W129" s="291">
        <f t="shared" si="5"/>
        <v>10</v>
      </c>
      <c r="X129" s="308">
        <f t="shared" si="8"/>
        <v>76</v>
      </c>
      <c r="Y129" s="64">
        <f t="shared" si="8"/>
        <v>0</v>
      </c>
      <c r="Z129" s="309">
        <f t="shared" si="8"/>
        <v>76</v>
      </c>
      <c r="AA129" s="310">
        <f t="shared" si="9"/>
        <v>12.666666666666666</v>
      </c>
      <c r="AB129" s="65">
        <f t="shared" si="9"/>
        <v>0</v>
      </c>
      <c r="AC129" s="311">
        <f t="shared" si="9"/>
        <v>12.666666666666666</v>
      </c>
      <c r="AD129" s="314" t="s">
        <v>15</v>
      </c>
    </row>
    <row r="130" spans="1:30" ht="15.75" hidden="1" customHeight="1">
      <c r="A130" s="302">
        <v>124</v>
      </c>
      <c r="B130" s="313" t="s">
        <v>2227</v>
      </c>
      <c r="C130" s="302" t="s">
        <v>2199</v>
      </c>
      <c r="D130" s="305" t="s">
        <v>2228</v>
      </c>
      <c r="E130" s="306">
        <v>5</v>
      </c>
      <c r="F130" s="307"/>
      <c r="G130" s="302"/>
      <c r="H130" s="294">
        <f t="shared" si="0"/>
        <v>0</v>
      </c>
      <c r="I130" s="307"/>
      <c r="J130" s="302"/>
      <c r="K130" s="294">
        <f t="shared" si="1"/>
        <v>0</v>
      </c>
      <c r="L130" s="307">
        <v>10</v>
      </c>
      <c r="M130" s="302"/>
      <c r="N130" s="294">
        <f t="shared" si="2"/>
        <v>10</v>
      </c>
      <c r="O130" s="307">
        <v>6</v>
      </c>
      <c r="P130" s="302"/>
      <c r="Q130" s="294">
        <f t="shared" si="3"/>
        <v>6</v>
      </c>
      <c r="R130" s="307"/>
      <c r="S130" s="302"/>
      <c r="T130" s="294">
        <f t="shared" si="4"/>
        <v>0</v>
      </c>
      <c r="U130" s="307">
        <v>5</v>
      </c>
      <c r="V130" s="302"/>
      <c r="W130" s="291">
        <f t="shared" si="5"/>
        <v>5</v>
      </c>
      <c r="X130" s="308">
        <f t="shared" si="8"/>
        <v>21</v>
      </c>
      <c r="Y130" s="64">
        <f t="shared" si="8"/>
        <v>0</v>
      </c>
      <c r="Z130" s="309">
        <f t="shared" si="8"/>
        <v>21</v>
      </c>
      <c r="AA130" s="310">
        <f t="shared" si="9"/>
        <v>3.5</v>
      </c>
      <c r="AB130" s="65">
        <f t="shared" si="9"/>
        <v>0</v>
      </c>
      <c r="AC130" s="311">
        <f t="shared" si="9"/>
        <v>3.5</v>
      </c>
      <c r="AD130" s="314" t="s">
        <v>15</v>
      </c>
    </row>
    <row r="131" spans="1:30" ht="15.75" hidden="1" customHeight="1">
      <c r="A131" s="289">
        <v>125</v>
      </c>
      <c r="B131" s="313" t="s">
        <v>2229</v>
      </c>
      <c r="C131" s="302" t="s">
        <v>2199</v>
      </c>
      <c r="D131" s="291" t="s">
        <v>2230</v>
      </c>
      <c r="E131" s="306">
        <v>7</v>
      </c>
      <c r="F131" s="307"/>
      <c r="G131" s="302"/>
      <c r="H131" s="294">
        <f t="shared" si="0"/>
        <v>0</v>
      </c>
      <c r="I131" s="307">
        <v>5</v>
      </c>
      <c r="J131" s="302">
        <v>9</v>
      </c>
      <c r="K131" s="294">
        <f t="shared" si="1"/>
        <v>14</v>
      </c>
      <c r="L131" s="307">
        <v>8</v>
      </c>
      <c r="M131" s="302"/>
      <c r="N131" s="294">
        <f t="shared" si="2"/>
        <v>8</v>
      </c>
      <c r="O131" s="307">
        <v>15</v>
      </c>
      <c r="P131" s="302"/>
      <c r="Q131" s="294">
        <f t="shared" si="3"/>
        <v>15</v>
      </c>
      <c r="R131" s="307"/>
      <c r="S131" s="302"/>
      <c r="T131" s="294">
        <f t="shared" si="4"/>
        <v>0</v>
      </c>
      <c r="U131" s="307">
        <v>10</v>
      </c>
      <c r="V131" s="302"/>
      <c r="W131" s="291">
        <f t="shared" si="5"/>
        <v>10</v>
      </c>
      <c r="X131" s="308">
        <f t="shared" si="8"/>
        <v>38</v>
      </c>
      <c r="Y131" s="64">
        <f t="shared" si="8"/>
        <v>9</v>
      </c>
      <c r="Z131" s="309">
        <f t="shared" si="8"/>
        <v>47</v>
      </c>
      <c r="AA131" s="310">
        <f t="shared" si="9"/>
        <v>6.333333333333333</v>
      </c>
      <c r="AB131" s="65">
        <f t="shared" si="9"/>
        <v>1.5</v>
      </c>
      <c r="AC131" s="311">
        <f t="shared" si="9"/>
        <v>7.833333333333333</v>
      </c>
      <c r="AD131" s="314" t="s">
        <v>15</v>
      </c>
    </row>
    <row r="132" spans="1:30" ht="15.75" hidden="1" customHeight="1">
      <c r="A132" s="302">
        <v>126</v>
      </c>
      <c r="B132" s="313" t="s">
        <v>2231</v>
      </c>
      <c r="C132" s="302" t="s">
        <v>2199</v>
      </c>
      <c r="D132" s="305" t="s">
        <v>2232</v>
      </c>
      <c r="E132" s="306">
        <v>10</v>
      </c>
      <c r="F132" s="307"/>
      <c r="G132" s="302"/>
      <c r="H132" s="294">
        <f t="shared" si="0"/>
        <v>0</v>
      </c>
      <c r="I132" s="307">
        <v>20</v>
      </c>
      <c r="J132" s="302"/>
      <c r="K132" s="294">
        <f t="shared" si="1"/>
        <v>20</v>
      </c>
      <c r="L132" s="307">
        <v>10</v>
      </c>
      <c r="M132" s="302"/>
      <c r="N132" s="294">
        <f t="shared" si="2"/>
        <v>10</v>
      </c>
      <c r="O132" s="307">
        <v>10</v>
      </c>
      <c r="P132" s="302"/>
      <c r="Q132" s="294">
        <f t="shared" si="3"/>
        <v>10</v>
      </c>
      <c r="R132" s="307"/>
      <c r="S132" s="302"/>
      <c r="T132" s="294">
        <f t="shared" si="4"/>
        <v>0</v>
      </c>
      <c r="U132" s="307">
        <v>10</v>
      </c>
      <c r="V132" s="302"/>
      <c r="W132" s="291">
        <f t="shared" si="5"/>
        <v>10</v>
      </c>
      <c r="X132" s="308">
        <f t="shared" si="8"/>
        <v>50</v>
      </c>
      <c r="Y132" s="64">
        <f t="shared" si="8"/>
        <v>0</v>
      </c>
      <c r="Z132" s="309">
        <f t="shared" si="8"/>
        <v>50</v>
      </c>
      <c r="AA132" s="310">
        <f t="shared" si="9"/>
        <v>8.3333333333333339</v>
      </c>
      <c r="AB132" s="65">
        <f t="shared" si="9"/>
        <v>0</v>
      </c>
      <c r="AC132" s="311">
        <f t="shared" si="9"/>
        <v>8.3333333333333339</v>
      </c>
      <c r="AD132" s="314" t="s">
        <v>15</v>
      </c>
    </row>
    <row r="133" spans="1:30" ht="15.75" hidden="1" customHeight="1">
      <c r="A133" s="289">
        <v>127</v>
      </c>
      <c r="B133" s="313" t="s">
        <v>2233</v>
      </c>
      <c r="C133" s="302" t="s">
        <v>2199</v>
      </c>
      <c r="D133" s="291" t="s">
        <v>2234</v>
      </c>
      <c r="E133" s="306">
        <v>5</v>
      </c>
      <c r="F133" s="307"/>
      <c r="G133" s="302"/>
      <c r="H133" s="294">
        <f t="shared" si="0"/>
        <v>0</v>
      </c>
      <c r="I133" s="307">
        <v>20</v>
      </c>
      <c r="J133" s="302"/>
      <c r="K133" s="294">
        <f t="shared" si="1"/>
        <v>20</v>
      </c>
      <c r="L133" s="307"/>
      <c r="M133" s="302"/>
      <c r="N133" s="294">
        <f t="shared" si="2"/>
        <v>0</v>
      </c>
      <c r="O133" s="307">
        <v>15</v>
      </c>
      <c r="P133" s="302"/>
      <c r="Q133" s="294">
        <f t="shared" si="3"/>
        <v>15</v>
      </c>
      <c r="R133" s="307"/>
      <c r="S133" s="302"/>
      <c r="T133" s="294">
        <f t="shared" si="4"/>
        <v>0</v>
      </c>
      <c r="U133" s="307">
        <v>10</v>
      </c>
      <c r="V133" s="302"/>
      <c r="W133" s="291">
        <f t="shared" si="5"/>
        <v>10</v>
      </c>
      <c r="X133" s="308">
        <f t="shared" si="8"/>
        <v>45</v>
      </c>
      <c r="Y133" s="64">
        <f t="shared" si="8"/>
        <v>0</v>
      </c>
      <c r="Z133" s="309">
        <f t="shared" si="8"/>
        <v>45</v>
      </c>
      <c r="AA133" s="310">
        <f t="shared" si="9"/>
        <v>7.5</v>
      </c>
      <c r="AB133" s="65">
        <f t="shared" si="9"/>
        <v>0</v>
      </c>
      <c r="AC133" s="311">
        <f t="shared" si="9"/>
        <v>7.5</v>
      </c>
      <c r="AD133" s="301" t="s">
        <v>15</v>
      </c>
    </row>
    <row r="134" spans="1:30" ht="15.75" customHeight="1">
      <c r="A134" s="302">
        <v>128</v>
      </c>
      <c r="B134" s="313" t="s">
        <v>2235</v>
      </c>
      <c r="C134" s="302" t="s">
        <v>2199</v>
      </c>
      <c r="D134" s="305" t="s">
        <v>2236</v>
      </c>
      <c r="E134" s="306">
        <v>25</v>
      </c>
      <c r="F134" s="307"/>
      <c r="G134" s="302"/>
      <c r="H134" s="294">
        <f t="shared" si="0"/>
        <v>0</v>
      </c>
      <c r="I134" s="307">
        <v>198</v>
      </c>
      <c r="J134" s="302"/>
      <c r="K134" s="294">
        <f t="shared" si="1"/>
        <v>198</v>
      </c>
      <c r="L134" s="307">
        <v>250</v>
      </c>
      <c r="M134" s="302"/>
      <c r="N134" s="294">
        <f t="shared" si="2"/>
        <v>250</v>
      </c>
      <c r="O134" s="307">
        <v>140</v>
      </c>
      <c r="P134" s="302">
        <v>7</v>
      </c>
      <c r="Q134" s="294">
        <f t="shared" si="3"/>
        <v>147</v>
      </c>
      <c r="R134" s="307">
        <v>182</v>
      </c>
      <c r="S134" s="302"/>
      <c r="T134" s="294">
        <f t="shared" si="4"/>
        <v>182</v>
      </c>
      <c r="U134" s="307">
        <v>55</v>
      </c>
      <c r="V134" s="302">
        <v>22</v>
      </c>
      <c r="W134" s="291">
        <f t="shared" si="5"/>
        <v>77</v>
      </c>
      <c r="X134" s="308">
        <f t="shared" si="8"/>
        <v>825</v>
      </c>
      <c r="Y134" s="64">
        <f t="shared" si="8"/>
        <v>29</v>
      </c>
      <c r="Z134" s="309">
        <f t="shared" si="8"/>
        <v>854</v>
      </c>
      <c r="AA134" s="310">
        <f t="shared" si="9"/>
        <v>137.5</v>
      </c>
      <c r="AB134" s="65">
        <f t="shared" si="9"/>
        <v>4.833333333333333</v>
      </c>
      <c r="AC134" s="311">
        <f t="shared" si="9"/>
        <v>142.33333333333334</v>
      </c>
      <c r="AD134" s="301" t="s">
        <v>18</v>
      </c>
    </row>
    <row r="135" spans="1:30" ht="15.75" hidden="1" customHeight="1">
      <c r="A135" s="289">
        <v>129</v>
      </c>
      <c r="B135" s="313" t="s">
        <v>2237</v>
      </c>
      <c r="C135" s="302" t="s">
        <v>2199</v>
      </c>
      <c r="D135" s="291" t="s">
        <v>2238</v>
      </c>
      <c r="E135" s="306">
        <v>18</v>
      </c>
      <c r="F135" s="307"/>
      <c r="G135" s="302"/>
      <c r="H135" s="294">
        <f t="shared" si="0"/>
        <v>0</v>
      </c>
      <c r="I135" s="307">
        <v>50</v>
      </c>
      <c r="J135" s="302"/>
      <c r="K135" s="294">
        <f t="shared" si="1"/>
        <v>50</v>
      </c>
      <c r="L135" s="307">
        <v>118</v>
      </c>
      <c r="M135" s="302"/>
      <c r="N135" s="294">
        <f t="shared" si="2"/>
        <v>118</v>
      </c>
      <c r="O135" s="307">
        <v>25</v>
      </c>
      <c r="P135" s="302"/>
      <c r="Q135" s="294">
        <f t="shared" si="3"/>
        <v>25</v>
      </c>
      <c r="R135" s="307">
        <v>55</v>
      </c>
      <c r="S135" s="302"/>
      <c r="T135" s="294">
        <f t="shared" si="4"/>
        <v>55</v>
      </c>
      <c r="U135" s="307">
        <v>20</v>
      </c>
      <c r="V135" s="302"/>
      <c r="W135" s="291">
        <f t="shared" si="5"/>
        <v>20</v>
      </c>
      <c r="X135" s="308">
        <f t="shared" si="8"/>
        <v>268</v>
      </c>
      <c r="Y135" s="64">
        <f t="shared" si="8"/>
        <v>0</v>
      </c>
      <c r="Z135" s="309">
        <f t="shared" si="8"/>
        <v>268</v>
      </c>
      <c r="AA135" s="310">
        <f t="shared" si="9"/>
        <v>44.666666666666664</v>
      </c>
      <c r="AB135" s="65">
        <f t="shared" si="9"/>
        <v>0</v>
      </c>
      <c r="AC135" s="311">
        <f t="shared" si="9"/>
        <v>44.666666666666664</v>
      </c>
      <c r="AD135" s="301" t="s">
        <v>18</v>
      </c>
    </row>
    <row r="136" spans="1:30" ht="15.75" hidden="1" customHeight="1">
      <c r="A136" s="450">
        <v>130</v>
      </c>
      <c r="B136" s="437" t="s">
        <v>2239</v>
      </c>
      <c r="C136" s="438" t="s">
        <v>2199</v>
      </c>
      <c r="D136" s="451" t="s">
        <v>2240</v>
      </c>
      <c r="E136" s="440">
        <v>58</v>
      </c>
      <c r="F136" s="441">
        <v>0</v>
      </c>
      <c r="G136" s="438">
        <v>0</v>
      </c>
      <c r="H136" s="442">
        <f t="shared" si="0"/>
        <v>0</v>
      </c>
      <c r="I136" s="441">
        <v>0</v>
      </c>
      <c r="J136" s="438">
        <v>0</v>
      </c>
      <c r="K136" s="442">
        <f t="shared" si="1"/>
        <v>0</v>
      </c>
      <c r="L136" s="441">
        <v>100</v>
      </c>
      <c r="M136" s="438">
        <v>0</v>
      </c>
      <c r="N136" s="442">
        <f t="shared" si="2"/>
        <v>100</v>
      </c>
      <c r="O136" s="441">
        <v>0</v>
      </c>
      <c r="P136" s="438">
        <v>0</v>
      </c>
      <c r="Q136" s="442">
        <f t="shared" si="3"/>
        <v>0</v>
      </c>
      <c r="R136" s="441">
        <v>0</v>
      </c>
      <c r="S136" s="438">
        <v>0</v>
      </c>
      <c r="T136" s="442">
        <f t="shared" si="4"/>
        <v>0</v>
      </c>
      <c r="U136" s="441">
        <v>0</v>
      </c>
      <c r="V136" s="438">
        <v>0</v>
      </c>
      <c r="W136" s="439">
        <f t="shared" si="5"/>
        <v>0</v>
      </c>
      <c r="X136" s="443">
        <f t="shared" ref="X136:Z159" si="10">F136+I136+L136+O136+R136+U136</f>
        <v>100</v>
      </c>
      <c r="Y136" s="444">
        <f t="shared" si="10"/>
        <v>0</v>
      </c>
      <c r="Z136" s="445">
        <f t="shared" si="10"/>
        <v>100</v>
      </c>
      <c r="AA136" s="446">
        <f t="shared" ref="AA136:AC159" si="11">X136/6</f>
        <v>16.666666666666668</v>
      </c>
      <c r="AB136" s="447">
        <f t="shared" si="11"/>
        <v>0</v>
      </c>
      <c r="AC136" s="448">
        <f t="shared" si="11"/>
        <v>16.666666666666668</v>
      </c>
      <c r="AD136" s="453" t="s">
        <v>18</v>
      </c>
    </row>
    <row r="137" spans="1:30" ht="15.75" customHeight="1">
      <c r="A137" s="436">
        <v>131</v>
      </c>
      <c r="B137" s="437" t="s">
        <v>2241</v>
      </c>
      <c r="C137" s="438" t="s">
        <v>2199</v>
      </c>
      <c r="D137" s="439" t="s">
        <v>2242</v>
      </c>
      <c r="E137" s="440">
        <v>132</v>
      </c>
      <c r="F137" s="441">
        <v>0</v>
      </c>
      <c r="G137" s="438">
        <v>0</v>
      </c>
      <c r="H137" s="442">
        <f t="shared" si="0"/>
        <v>0</v>
      </c>
      <c r="I137" s="441">
        <v>270</v>
      </c>
      <c r="J137" s="438">
        <v>0</v>
      </c>
      <c r="K137" s="442">
        <f t="shared" si="1"/>
        <v>270</v>
      </c>
      <c r="L137" s="441">
        <v>175</v>
      </c>
      <c r="M137" s="438">
        <v>0</v>
      </c>
      <c r="N137" s="442">
        <f t="shared" si="2"/>
        <v>175</v>
      </c>
      <c r="O137" s="441">
        <v>172</v>
      </c>
      <c r="P137" s="438">
        <v>0</v>
      </c>
      <c r="Q137" s="442">
        <f t="shared" si="3"/>
        <v>172</v>
      </c>
      <c r="R137" s="441">
        <v>146</v>
      </c>
      <c r="S137" s="438">
        <v>0</v>
      </c>
      <c r="T137" s="442">
        <f t="shared" si="4"/>
        <v>146</v>
      </c>
      <c r="U137" s="441">
        <v>284</v>
      </c>
      <c r="V137" s="438">
        <v>0</v>
      </c>
      <c r="W137" s="439">
        <f t="shared" si="5"/>
        <v>284</v>
      </c>
      <c r="X137" s="443">
        <f t="shared" si="10"/>
        <v>1047</v>
      </c>
      <c r="Y137" s="444">
        <f t="shared" si="10"/>
        <v>0</v>
      </c>
      <c r="Z137" s="445">
        <f t="shared" si="10"/>
        <v>1047</v>
      </c>
      <c r="AA137" s="446">
        <f t="shared" si="11"/>
        <v>174.5</v>
      </c>
      <c r="AB137" s="447">
        <f t="shared" si="11"/>
        <v>0</v>
      </c>
      <c r="AC137" s="448">
        <f t="shared" si="11"/>
        <v>174.5</v>
      </c>
      <c r="AD137" s="453" t="s">
        <v>18</v>
      </c>
    </row>
    <row r="138" spans="1:30" ht="15.75" hidden="1" customHeight="1">
      <c r="A138" s="302">
        <v>132</v>
      </c>
      <c r="B138" s="313" t="s">
        <v>2243</v>
      </c>
      <c r="C138" s="302" t="s">
        <v>2244</v>
      </c>
      <c r="D138" s="305" t="s">
        <v>2245</v>
      </c>
      <c r="E138" s="306">
        <v>19</v>
      </c>
      <c r="F138" s="307"/>
      <c r="G138" s="302"/>
      <c r="H138" s="294">
        <f t="shared" si="0"/>
        <v>0</v>
      </c>
      <c r="I138" s="307">
        <v>6</v>
      </c>
      <c r="J138" s="302"/>
      <c r="K138" s="294">
        <f t="shared" si="1"/>
        <v>6</v>
      </c>
      <c r="L138" s="307">
        <v>10</v>
      </c>
      <c r="M138" s="302"/>
      <c r="N138" s="294">
        <f t="shared" si="2"/>
        <v>10</v>
      </c>
      <c r="O138" s="307">
        <v>10</v>
      </c>
      <c r="P138" s="302"/>
      <c r="Q138" s="294">
        <f t="shared" si="3"/>
        <v>10</v>
      </c>
      <c r="R138" s="307"/>
      <c r="S138" s="302"/>
      <c r="T138" s="294">
        <f t="shared" si="4"/>
        <v>0</v>
      </c>
      <c r="U138" s="307">
        <v>5</v>
      </c>
      <c r="V138" s="302"/>
      <c r="W138" s="291">
        <f t="shared" si="5"/>
        <v>5</v>
      </c>
      <c r="X138" s="308">
        <f t="shared" si="10"/>
        <v>31</v>
      </c>
      <c r="Y138" s="64">
        <f t="shared" si="10"/>
        <v>0</v>
      </c>
      <c r="Z138" s="309">
        <f t="shared" si="10"/>
        <v>31</v>
      </c>
      <c r="AA138" s="310">
        <f t="shared" si="11"/>
        <v>5.166666666666667</v>
      </c>
      <c r="AB138" s="65">
        <f t="shared" si="11"/>
        <v>0</v>
      </c>
      <c r="AC138" s="311">
        <f t="shared" si="11"/>
        <v>5.166666666666667</v>
      </c>
      <c r="AD138" s="314" t="s">
        <v>15</v>
      </c>
    </row>
    <row r="139" spans="1:30" ht="15.75" hidden="1" customHeight="1">
      <c r="A139" s="289">
        <v>133</v>
      </c>
      <c r="B139" s="313" t="s">
        <v>2246</v>
      </c>
      <c r="C139" s="302" t="s">
        <v>2244</v>
      </c>
      <c r="D139" s="291" t="s">
        <v>2247</v>
      </c>
      <c r="E139" s="306">
        <v>14</v>
      </c>
      <c r="F139" s="307"/>
      <c r="G139" s="302"/>
      <c r="H139" s="294">
        <f t="shared" si="0"/>
        <v>0</v>
      </c>
      <c r="I139" s="307">
        <v>35</v>
      </c>
      <c r="J139" s="302"/>
      <c r="K139" s="294">
        <f t="shared" si="1"/>
        <v>35</v>
      </c>
      <c r="L139" s="307">
        <v>22</v>
      </c>
      <c r="M139" s="302"/>
      <c r="N139" s="294">
        <f t="shared" si="2"/>
        <v>22</v>
      </c>
      <c r="O139" s="307">
        <v>25</v>
      </c>
      <c r="P139" s="302">
        <v>2</v>
      </c>
      <c r="Q139" s="294">
        <f t="shared" si="3"/>
        <v>27</v>
      </c>
      <c r="R139" s="307"/>
      <c r="S139" s="302"/>
      <c r="T139" s="294">
        <f t="shared" si="4"/>
        <v>0</v>
      </c>
      <c r="U139" s="307">
        <v>6</v>
      </c>
      <c r="V139" s="302"/>
      <c r="W139" s="291">
        <f t="shared" si="5"/>
        <v>6</v>
      </c>
      <c r="X139" s="308">
        <f t="shared" si="10"/>
        <v>88</v>
      </c>
      <c r="Y139" s="64">
        <f t="shared" si="10"/>
        <v>2</v>
      </c>
      <c r="Z139" s="309">
        <f t="shared" si="10"/>
        <v>90</v>
      </c>
      <c r="AA139" s="310">
        <f t="shared" si="11"/>
        <v>14.666666666666666</v>
      </c>
      <c r="AB139" s="65">
        <f t="shared" si="11"/>
        <v>0.33333333333333331</v>
      </c>
      <c r="AC139" s="311">
        <f t="shared" si="11"/>
        <v>15</v>
      </c>
      <c r="AD139" s="301" t="s">
        <v>18</v>
      </c>
    </row>
    <row r="140" spans="1:30" ht="15.75" hidden="1" customHeight="1">
      <c r="A140" s="302">
        <v>134</v>
      </c>
      <c r="B140" s="313" t="s">
        <v>2248</v>
      </c>
      <c r="C140" s="302" t="s">
        <v>2244</v>
      </c>
      <c r="D140" s="305" t="s">
        <v>2249</v>
      </c>
      <c r="E140" s="306">
        <v>15</v>
      </c>
      <c r="F140" s="307"/>
      <c r="G140" s="302"/>
      <c r="H140" s="294">
        <f t="shared" si="0"/>
        <v>0</v>
      </c>
      <c r="I140" s="307">
        <v>65</v>
      </c>
      <c r="J140" s="302">
        <v>6</v>
      </c>
      <c r="K140" s="294">
        <f t="shared" si="1"/>
        <v>71</v>
      </c>
      <c r="L140" s="307">
        <v>38</v>
      </c>
      <c r="M140" s="302"/>
      <c r="N140" s="294">
        <f t="shared" si="2"/>
        <v>38</v>
      </c>
      <c r="O140" s="307">
        <v>55</v>
      </c>
      <c r="P140" s="302"/>
      <c r="Q140" s="294">
        <f t="shared" si="3"/>
        <v>55</v>
      </c>
      <c r="R140" s="307"/>
      <c r="S140" s="302"/>
      <c r="T140" s="294">
        <f t="shared" si="4"/>
        <v>0</v>
      </c>
      <c r="U140" s="307">
        <v>10</v>
      </c>
      <c r="V140" s="302">
        <v>10</v>
      </c>
      <c r="W140" s="291">
        <f t="shared" si="5"/>
        <v>20</v>
      </c>
      <c r="X140" s="308">
        <f t="shared" si="10"/>
        <v>168</v>
      </c>
      <c r="Y140" s="64">
        <f t="shared" si="10"/>
        <v>16</v>
      </c>
      <c r="Z140" s="309">
        <f t="shared" si="10"/>
        <v>184</v>
      </c>
      <c r="AA140" s="310">
        <f t="shared" si="11"/>
        <v>28</v>
      </c>
      <c r="AB140" s="65">
        <f t="shared" si="11"/>
        <v>2.6666666666666665</v>
      </c>
      <c r="AC140" s="311">
        <f t="shared" si="11"/>
        <v>30.666666666666668</v>
      </c>
      <c r="AD140" s="314" t="s">
        <v>15</v>
      </c>
    </row>
    <row r="141" spans="1:30" ht="15.75" hidden="1" customHeight="1">
      <c r="A141" s="289">
        <v>135</v>
      </c>
      <c r="B141" s="313" t="s">
        <v>2250</v>
      </c>
      <c r="C141" s="302" t="s">
        <v>2244</v>
      </c>
      <c r="D141" s="291" t="s">
        <v>2251</v>
      </c>
      <c r="E141" s="306">
        <v>20</v>
      </c>
      <c r="F141" s="307"/>
      <c r="G141" s="302"/>
      <c r="H141" s="294">
        <f t="shared" si="0"/>
        <v>0</v>
      </c>
      <c r="I141" s="307">
        <v>36</v>
      </c>
      <c r="J141" s="302"/>
      <c r="K141" s="294">
        <f t="shared" si="1"/>
        <v>36</v>
      </c>
      <c r="L141" s="307">
        <v>24</v>
      </c>
      <c r="M141" s="302"/>
      <c r="N141" s="294">
        <f t="shared" si="2"/>
        <v>24</v>
      </c>
      <c r="O141" s="307">
        <v>29</v>
      </c>
      <c r="P141" s="302">
        <v>12</v>
      </c>
      <c r="Q141" s="294">
        <f t="shared" si="3"/>
        <v>41</v>
      </c>
      <c r="R141" s="307"/>
      <c r="S141" s="302"/>
      <c r="T141" s="294">
        <f t="shared" si="4"/>
        <v>0</v>
      </c>
      <c r="U141" s="307">
        <v>18</v>
      </c>
      <c r="V141" s="302"/>
      <c r="W141" s="291">
        <f t="shared" si="5"/>
        <v>18</v>
      </c>
      <c r="X141" s="308">
        <f t="shared" si="10"/>
        <v>107</v>
      </c>
      <c r="Y141" s="64">
        <f t="shared" si="10"/>
        <v>12</v>
      </c>
      <c r="Z141" s="309">
        <f t="shared" si="10"/>
        <v>119</v>
      </c>
      <c r="AA141" s="310">
        <f t="shared" si="11"/>
        <v>17.833333333333332</v>
      </c>
      <c r="AB141" s="65">
        <f t="shared" si="11"/>
        <v>2</v>
      </c>
      <c r="AC141" s="311">
        <f t="shared" si="11"/>
        <v>19.833333333333332</v>
      </c>
      <c r="AD141" s="314" t="s">
        <v>15</v>
      </c>
    </row>
    <row r="142" spans="1:30" ht="15.75" hidden="1" customHeight="1">
      <c r="A142" s="302">
        <v>136</v>
      </c>
      <c r="B142" s="313" t="s">
        <v>2252</v>
      </c>
      <c r="C142" s="302" t="s">
        <v>2244</v>
      </c>
      <c r="D142" s="305" t="s">
        <v>2253</v>
      </c>
      <c r="E142" s="306">
        <v>15</v>
      </c>
      <c r="F142" s="307"/>
      <c r="G142" s="302"/>
      <c r="H142" s="294">
        <f t="shared" si="0"/>
        <v>0</v>
      </c>
      <c r="I142" s="307">
        <v>20</v>
      </c>
      <c r="J142" s="302"/>
      <c r="K142" s="294">
        <f t="shared" si="1"/>
        <v>20</v>
      </c>
      <c r="L142" s="307">
        <v>25</v>
      </c>
      <c r="M142" s="302"/>
      <c r="N142" s="294">
        <f t="shared" si="2"/>
        <v>25</v>
      </c>
      <c r="O142" s="307">
        <v>20</v>
      </c>
      <c r="P142" s="302"/>
      <c r="Q142" s="294">
        <f t="shared" si="3"/>
        <v>20</v>
      </c>
      <c r="R142" s="307"/>
      <c r="S142" s="302"/>
      <c r="T142" s="294">
        <f t="shared" si="4"/>
        <v>0</v>
      </c>
      <c r="U142" s="307">
        <v>20</v>
      </c>
      <c r="V142" s="302"/>
      <c r="W142" s="291">
        <f t="shared" si="5"/>
        <v>20</v>
      </c>
      <c r="X142" s="308">
        <f t="shared" si="10"/>
        <v>85</v>
      </c>
      <c r="Y142" s="64">
        <f t="shared" si="10"/>
        <v>0</v>
      </c>
      <c r="Z142" s="309">
        <f t="shared" si="10"/>
        <v>85</v>
      </c>
      <c r="AA142" s="310">
        <f t="shared" si="11"/>
        <v>14.166666666666666</v>
      </c>
      <c r="AB142" s="65">
        <f t="shared" si="11"/>
        <v>0</v>
      </c>
      <c r="AC142" s="311">
        <f t="shared" si="11"/>
        <v>14.166666666666666</v>
      </c>
      <c r="AD142" s="301" t="s">
        <v>18</v>
      </c>
    </row>
    <row r="143" spans="1:30" ht="15.75" hidden="1" customHeight="1">
      <c r="A143" s="289">
        <v>137</v>
      </c>
      <c r="B143" s="313" t="s">
        <v>2254</v>
      </c>
      <c r="C143" s="302" t="s">
        <v>2244</v>
      </c>
      <c r="D143" s="291" t="s">
        <v>2255</v>
      </c>
      <c r="E143" s="306">
        <v>5</v>
      </c>
      <c r="F143" s="307"/>
      <c r="G143" s="302"/>
      <c r="H143" s="294">
        <f t="shared" si="0"/>
        <v>0</v>
      </c>
      <c r="I143" s="307">
        <v>5</v>
      </c>
      <c r="J143" s="302"/>
      <c r="K143" s="294">
        <f t="shared" si="1"/>
        <v>5</v>
      </c>
      <c r="L143" s="307">
        <v>7.5</v>
      </c>
      <c r="M143" s="302"/>
      <c r="N143" s="294">
        <f t="shared" si="2"/>
        <v>7.5</v>
      </c>
      <c r="O143" s="307">
        <v>8</v>
      </c>
      <c r="P143" s="302"/>
      <c r="Q143" s="294">
        <f t="shared" si="3"/>
        <v>8</v>
      </c>
      <c r="R143" s="307"/>
      <c r="S143" s="302"/>
      <c r="T143" s="294">
        <f t="shared" si="4"/>
        <v>0</v>
      </c>
      <c r="U143" s="307">
        <v>5</v>
      </c>
      <c r="V143" s="302"/>
      <c r="W143" s="291">
        <f t="shared" si="5"/>
        <v>5</v>
      </c>
      <c r="X143" s="308">
        <f t="shared" si="10"/>
        <v>25.5</v>
      </c>
      <c r="Y143" s="64">
        <f t="shared" si="10"/>
        <v>0</v>
      </c>
      <c r="Z143" s="309">
        <f t="shared" si="10"/>
        <v>25.5</v>
      </c>
      <c r="AA143" s="310">
        <f t="shared" si="11"/>
        <v>4.25</v>
      </c>
      <c r="AB143" s="65">
        <f t="shared" si="11"/>
        <v>0</v>
      </c>
      <c r="AC143" s="311">
        <f t="shared" si="11"/>
        <v>4.25</v>
      </c>
      <c r="AD143" s="301" t="s">
        <v>15</v>
      </c>
    </row>
    <row r="144" spans="1:30" ht="15.75" hidden="1" customHeight="1">
      <c r="A144" s="302">
        <v>138</v>
      </c>
      <c r="B144" s="313" t="s">
        <v>2256</v>
      </c>
      <c r="C144" s="302" t="s">
        <v>2244</v>
      </c>
      <c r="D144" s="305" t="s">
        <v>2257</v>
      </c>
      <c r="E144" s="306">
        <v>10</v>
      </c>
      <c r="F144" s="307"/>
      <c r="G144" s="302"/>
      <c r="H144" s="294">
        <f t="shared" si="0"/>
        <v>0</v>
      </c>
      <c r="I144" s="307">
        <v>12</v>
      </c>
      <c r="J144" s="302"/>
      <c r="K144" s="294">
        <f t="shared" si="1"/>
        <v>12</v>
      </c>
      <c r="L144" s="307">
        <v>13.5</v>
      </c>
      <c r="M144" s="302"/>
      <c r="N144" s="294">
        <f t="shared" si="2"/>
        <v>13.5</v>
      </c>
      <c r="O144" s="307">
        <v>15</v>
      </c>
      <c r="P144" s="302"/>
      <c r="Q144" s="294">
        <f t="shared" si="3"/>
        <v>15</v>
      </c>
      <c r="R144" s="307"/>
      <c r="S144" s="302"/>
      <c r="T144" s="294">
        <f t="shared" si="4"/>
        <v>0</v>
      </c>
      <c r="U144" s="307">
        <v>25</v>
      </c>
      <c r="V144" s="302"/>
      <c r="W144" s="291">
        <f t="shared" si="5"/>
        <v>25</v>
      </c>
      <c r="X144" s="308">
        <f t="shared" si="10"/>
        <v>65.5</v>
      </c>
      <c r="Y144" s="64">
        <f t="shared" si="10"/>
        <v>0</v>
      </c>
      <c r="Z144" s="309">
        <f t="shared" si="10"/>
        <v>65.5</v>
      </c>
      <c r="AA144" s="310">
        <f t="shared" si="11"/>
        <v>10.916666666666666</v>
      </c>
      <c r="AB144" s="65">
        <f t="shared" si="11"/>
        <v>0</v>
      </c>
      <c r="AC144" s="311">
        <f t="shared" si="11"/>
        <v>10.916666666666666</v>
      </c>
      <c r="AD144" s="301" t="s">
        <v>18</v>
      </c>
    </row>
    <row r="145" spans="1:30" ht="15.75" hidden="1" customHeight="1">
      <c r="A145" s="289">
        <v>139</v>
      </c>
      <c r="B145" s="313" t="s">
        <v>2258</v>
      </c>
      <c r="C145" s="302" t="s">
        <v>2244</v>
      </c>
      <c r="D145" s="291" t="s">
        <v>2259</v>
      </c>
      <c r="E145" s="306">
        <v>5</v>
      </c>
      <c r="F145" s="307"/>
      <c r="G145" s="302"/>
      <c r="H145" s="294">
        <f t="shared" si="0"/>
        <v>0</v>
      </c>
      <c r="I145" s="307">
        <v>6</v>
      </c>
      <c r="J145" s="302"/>
      <c r="K145" s="294">
        <f t="shared" si="1"/>
        <v>6</v>
      </c>
      <c r="L145" s="307">
        <v>25</v>
      </c>
      <c r="M145" s="302"/>
      <c r="N145" s="294">
        <f t="shared" si="2"/>
        <v>25</v>
      </c>
      <c r="O145" s="307">
        <v>5</v>
      </c>
      <c r="P145" s="302"/>
      <c r="Q145" s="294">
        <f t="shared" si="3"/>
        <v>5</v>
      </c>
      <c r="R145" s="307"/>
      <c r="S145" s="302"/>
      <c r="T145" s="294">
        <f t="shared" si="4"/>
        <v>0</v>
      </c>
      <c r="U145" s="307">
        <v>6</v>
      </c>
      <c r="V145" s="302"/>
      <c r="W145" s="291">
        <f t="shared" si="5"/>
        <v>6</v>
      </c>
      <c r="X145" s="308">
        <f t="shared" si="10"/>
        <v>42</v>
      </c>
      <c r="Y145" s="64">
        <f t="shared" si="10"/>
        <v>0</v>
      </c>
      <c r="Z145" s="309">
        <f t="shared" si="10"/>
        <v>42</v>
      </c>
      <c r="AA145" s="310">
        <f t="shared" si="11"/>
        <v>7</v>
      </c>
      <c r="AB145" s="65">
        <f t="shared" si="11"/>
        <v>0</v>
      </c>
      <c r="AC145" s="311">
        <f t="shared" si="11"/>
        <v>7</v>
      </c>
      <c r="AD145" s="301" t="s">
        <v>18</v>
      </c>
    </row>
    <row r="146" spans="1:30" ht="15.75" hidden="1" customHeight="1">
      <c r="A146" s="302">
        <v>140</v>
      </c>
      <c r="B146" s="313" t="s">
        <v>2260</v>
      </c>
      <c r="C146" s="302" t="s">
        <v>2244</v>
      </c>
      <c r="D146" s="305" t="s">
        <v>2261</v>
      </c>
      <c r="E146" s="306">
        <v>30</v>
      </c>
      <c r="F146" s="307"/>
      <c r="G146" s="302"/>
      <c r="H146" s="294">
        <f t="shared" si="0"/>
        <v>0</v>
      </c>
      <c r="I146" s="307">
        <v>65</v>
      </c>
      <c r="J146" s="302"/>
      <c r="K146" s="294">
        <f t="shared" si="1"/>
        <v>65</v>
      </c>
      <c r="L146" s="307">
        <v>43</v>
      </c>
      <c r="M146" s="302"/>
      <c r="N146" s="294">
        <f t="shared" si="2"/>
        <v>43</v>
      </c>
      <c r="O146" s="307">
        <v>36</v>
      </c>
      <c r="P146" s="302"/>
      <c r="Q146" s="294">
        <f t="shared" si="3"/>
        <v>36</v>
      </c>
      <c r="R146" s="307"/>
      <c r="S146" s="302"/>
      <c r="T146" s="294">
        <f t="shared" si="4"/>
        <v>0</v>
      </c>
      <c r="U146" s="307">
        <v>28</v>
      </c>
      <c r="V146" s="302"/>
      <c r="W146" s="291">
        <f t="shared" si="5"/>
        <v>28</v>
      </c>
      <c r="X146" s="308">
        <f t="shared" si="10"/>
        <v>172</v>
      </c>
      <c r="Y146" s="64">
        <f t="shared" si="10"/>
        <v>0</v>
      </c>
      <c r="Z146" s="309">
        <f t="shared" si="10"/>
        <v>172</v>
      </c>
      <c r="AA146" s="310">
        <f t="shared" si="11"/>
        <v>28.666666666666668</v>
      </c>
      <c r="AB146" s="65">
        <f t="shared" si="11"/>
        <v>0</v>
      </c>
      <c r="AC146" s="311">
        <f t="shared" si="11"/>
        <v>28.666666666666668</v>
      </c>
      <c r="AD146" s="314" t="s">
        <v>15</v>
      </c>
    </row>
    <row r="147" spans="1:30" ht="15.75" hidden="1" customHeight="1">
      <c r="A147" s="289">
        <v>141</v>
      </c>
      <c r="B147" s="313" t="s">
        <v>2262</v>
      </c>
      <c r="C147" s="302" t="s">
        <v>2244</v>
      </c>
      <c r="D147" s="291" t="s">
        <v>2263</v>
      </c>
      <c r="E147" s="306">
        <v>12</v>
      </c>
      <c r="F147" s="307"/>
      <c r="G147" s="302"/>
      <c r="H147" s="294">
        <f t="shared" si="0"/>
        <v>0</v>
      </c>
      <c r="I147" s="307">
        <v>10</v>
      </c>
      <c r="J147" s="302"/>
      <c r="K147" s="294">
        <f t="shared" si="1"/>
        <v>10</v>
      </c>
      <c r="L147" s="307">
        <v>25</v>
      </c>
      <c r="M147" s="302"/>
      <c r="N147" s="294">
        <f t="shared" si="2"/>
        <v>25</v>
      </c>
      <c r="O147" s="307">
        <v>16</v>
      </c>
      <c r="P147" s="302"/>
      <c r="Q147" s="294">
        <f t="shared" si="3"/>
        <v>16</v>
      </c>
      <c r="R147" s="307"/>
      <c r="S147" s="302"/>
      <c r="T147" s="294">
        <f t="shared" si="4"/>
        <v>0</v>
      </c>
      <c r="U147" s="307">
        <v>10</v>
      </c>
      <c r="V147" s="302"/>
      <c r="W147" s="291">
        <f t="shared" si="5"/>
        <v>10</v>
      </c>
      <c r="X147" s="308">
        <f t="shared" si="10"/>
        <v>61</v>
      </c>
      <c r="Y147" s="64">
        <f t="shared" si="10"/>
        <v>0</v>
      </c>
      <c r="Z147" s="309">
        <f t="shared" si="10"/>
        <v>61</v>
      </c>
      <c r="AA147" s="310">
        <f t="shared" si="11"/>
        <v>10.166666666666666</v>
      </c>
      <c r="AB147" s="65">
        <f t="shared" si="11"/>
        <v>0</v>
      </c>
      <c r="AC147" s="311">
        <f t="shared" si="11"/>
        <v>10.166666666666666</v>
      </c>
      <c r="AD147" s="314" t="s">
        <v>15</v>
      </c>
    </row>
    <row r="148" spans="1:30" ht="15.75" hidden="1" customHeight="1">
      <c r="A148" s="302">
        <v>142</v>
      </c>
      <c r="B148" s="313" t="s">
        <v>2057</v>
      </c>
      <c r="C148" s="302" t="s">
        <v>2244</v>
      </c>
      <c r="D148" s="305" t="s">
        <v>2264</v>
      </c>
      <c r="E148" s="306">
        <v>7</v>
      </c>
      <c r="F148" s="307"/>
      <c r="G148" s="302"/>
      <c r="H148" s="294">
        <f t="shared" si="0"/>
        <v>0</v>
      </c>
      <c r="I148" s="307">
        <v>25</v>
      </c>
      <c r="J148" s="302"/>
      <c r="K148" s="294">
        <f t="shared" si="1"/>
        <v>25</v>
      </c>
      <c r="L148" s="307">
        <v>25</v>
      </c>
      <c r="M148" s="302"/>
      <c r="N148" s="294">
        <f t="shared" si="2"/>
        <v>25</v>
      </c>
      <c r="O148" s="307">
        <v>30</v>
      </c>
      <c r="P148" s="302"/>
      <c r="Q148" s="294">
        <f t="shared" si="3"/>
        <v>30</v>
      </c>
      <c r="R148" s="307"/>
      <c r="S148" s="302"/>
      <c r="T148" s="294">
        <f t="shared" si="4"/>
        <v>0</v>
      </c>
      <c r="U148" s="307">
        <v>12</v>
      </c>
      <c r="V148" s="302"/>
      <c r="W148" s="291">
        <f t="shared" si="5"/>
        <v>12</v>
      </c>
      <c r="X148" s="308">
        <f t="shared" si="10"/>
        <v>92</v>
      </c>
      <c r="Y148" s="64">
        <f t="shared" si="10"/>
        <v>0</v>
      </c>
      <c r="Z148" s="309">
        <f t="shared" si="10"/>
        <v>92</v>
      </c>
      <c r="AA148" s="310">
        <f t="shared" si="11"/>
        <v>15.333333333333334</v>
      </c>
      <c r="AB148" s="65">
        <f t="shared" si="11"/>
        <v>0</v>
      </c>
      <c r="AC148" s="311">
        <f t="shared" si="11"/>
        <v>15.333333333333334</v>
      </c>
      <c r="AD148" s="314" t="s">
        <v>15</v>
      </c>
    </row>
    <row r="149" spans="1:30" ht="15.75" hidden="1" customHeight="1">
      <c r="A149" s="289">
        <v>143</v>
      </c>
      <c r="B149" s="313" t="s">
        <v>2265</v>
      </c>
      <c r="C149" s="302" t="s">
        <v>2244</v>
      </c>
      <c r="D149" s="291" t="s">
        <v>2266</v>
      </c>
      <c r="E149" s="306">
        <v>12</v>
      </c>
      <c r="F149" s="307"/>
      <c r="G149" s="302"/>
      <c r="H149" s="294">
        <f t="shared" si="0"/>
        <v>0</v>
      </c>
      <c r="I149" s="307">
        <v>26</v>
      </c>
      <c r="J149" s="302"/>
      <c r="K149" s="294">
        <f t="shared" si="1"/>
        <v>26</v>
      </c>
      <c r="L149" s="307">
        <v>25</v>
      </c>
      <c r="M149" s="302"/>
      <c r="N149" s="294">
        <f t="shared" si="2"/>
        <v>25</v>
      </c>
      <c r="O149" s="307">
        <v>25</v>
      </c>
      <c r="P149" s="302"/>
      <c r="Q149" s="294">
        <f t="shared" si="3"/>
        <v>25</v>
      </c>
      <c r="R149" s="307"/>
      <c r="S149" s="302"/>
      <c r="T149" s="294">
        <f t="shared" si="4"/>
        <v>0</v>
      </c>
      <c r="U149" s="307">
        <v>9</v>
      </c>
      <c r="V149" s="302"/>
      <c r="W149" s="291">
        <f t="shared" si="5"/>
        <v>9</v>
      </c>
      <c r="X149" s="308">
        <f t="shared" si="10"/>
        <v>85</v>
      </c>
      <c r="Y149" s="64">
        <f t="shared" si="10"/>
        <v>0</v>
      </c>
      <c r="Z149" s="309">
        <f t="shared" si="10"/>
        <v>85</v>
      </c>
      <c r="AA149" s="310">
        <f t="shared" si="11"/>
        <v>14.166666666666666</v>
      </c>
      <c r="AB149" s="65">
        <f t="shared" si="11"/>
        <v>0</v>
      </c>
      <c r="AC149" s="311">
        <f t="shared" si="11"/>
        <v>14.166666666666666</v>
      </c>
      <c r="AD149" s="314" t="s">
        <v>15</v>
      </c>
    </row>
    <row r="150" spans="1:30" ht="15.75" hidden="1" customHeight="1">
      <c r="A150" s="302">
        <v>144</v>
      </c>
      <c r="B150" s="313" t="s">
        <v>2267</v>
      </c>
      <c r="C150" s="302" t="s">
        <v>2244</v>
      </c>
      <c r="D150" s="305" t="s">
        <v>2268</v>
      </c>
      <c r="E150" s="306">
        <v>10</v>
      </c>
      <c r="F150" s="307"/>
      <c r="G150" s="302"/>
      <c r="H150" s="294">
        <f t="shared" si="0"/>
        <v>0</v>
      </c>
      <c r="I150" s="307"/>
      <c r="J150" s="302"/>
      <c r="K150" s="294">
        <f t="shared" si="1"/>
        <v>0</v>
      </c>
      <c r="L150" s="307">
        <v>36</v>
      </c>
      <c r="M150" s="302"/>
      <c r="N150" s="294">
        <f t="shared" si="2"/>
        <v>36</v>
      </c>
      <c r="O150" s="307">
        <v>18</v>
      </c>
      <c r="P150" s="302"/>
      <c r="Q150" s="294">
        <f t="shared" si="3"/>
        <v>18</v>
      </c>
      <c r="R150" s="307"/>
      <c r="S150" s="302"/>
      <c r="T150" s="294">
        <f t="shared" si="4"/>
        <v>0</v>
      </c>
      <c r="U150" s="307">
        <v>12</v>
      </c>
      <c r="V150" s="302"/>
      <c r="W150" s="291">
        <f t="shared" si="5"/>
        <v>12</v>
      </c>
      <c r="X150" s="308">
        <f t="shared" si="10"/>
        <v>66</v>
      </c>
      <c r="Y150" s="64">
        <f t="shared" si="10"/>
        <v>0</v>
      </c>
      <c r="Z150" s="309">
        <f t="shared" si="10"/>
        <v>66</v>
      </c>
      <c r="AA150" s="310">
        <f t="shared" si="11"/>
        <v>11</v>
      </c>
      <c r="AB150" s="65">
        <f t="shared" si="11"/>
        <v>0</v>
      </c>
      <c r="AC150" s="311">
        <f t="shared" si="11"/>
        <v>11</v>
      </c>
      <c r="AD150" s="301" t="s">
        <v>18</v>
      </c>
    </row>
    <row r="151" spans="1:30" ht="15.75" hidden="1" customHeight="1">
      <c r="A151" s="289">
        <v>145</v>
      </c>
      <c r="B151" s="313" t="s">
        <v>2269</v>
      </c>
      <c r="C151" s="302" t="s">
        <v>2244</v>
      </c>
      <c r="D151" s="291" t="s">
        <v>2270</v>
      </c>
      <c r="E151" s="306">
        <v>9</v>
      </c>
      <c r="F151" s="307"/>
      <c r="G151" s="302"/>
      <c r="H151" s="294">
        <f t="shared" si="0"/>
        <v>0</v>
      </c>
      <c r="I151" s="307">
        <v>29</v>
      </c>
      <c r="J151" s="302">
        <v>20</v>
      </c>
      <c r="K151" s="294">
        <f t="shared" si="1"/>
        <v>49</v>
      </c>
      <c r="L151" s="307">
        <v>56</v>
      </c>
      <c r="M151" s="302"/>
      <c r="N151" s="294">
        <f t="shared" si="2"/>
        <v>56</v>
      </c>
      <c r="O151" s="307">
        <v>25</v>
      </c>
      <c r="P151" s="302">
        <v>10</v>
      </c>
      <c r="Q151" s="294">
        <f t="shared" si="3"/>
        <v>35</v>
      </c>
      <c r="R151" s="307"/>
      <c r="S151" s="302"/>
      <c r="T151" s="294">
        <f t="shared" si="4"/>
        <v>0</v>
      </c>
      <c r="U151" s="307">
        <v>18</v>
      </c>
      <c r="V151" s="302">
        <v>40</v>
      </c>
      <c r="W151" s="291">
        <f t="shared" si="5"/>
        <v>58</v>
      </c>
      <c r="X151" s="308">
        <f t="shared" si="10"/>
        <v>128</v>
      </c>
      <c r="Y151" s="64">
        <f t="shared" si="10"/>
        <v>70</v>
      </c>
      <c r="Z151" s="309">
        <f t="shared" si="10"/>
        <v>198</v>
      </c>
      <c r="AA151" s="310">
        <f t="shared" si="11"/>
        <v>21.333333333333332</v>
      </c>
      <c r="AB151" s="65">
        <f t="shared" si="11"/>
        <v>11.666666666666666</v>
      </c>
      <c r="AC151" s="311">
        <f t="shared" si="11"/>
        <v>33</v>
      </c>
      <c r="AD151" s="301" t="s">
        <v>18</v>
      </c>
    </row>
    <row r="152" spans="1:30" ht="15.75" hidden="1" customHeight="1">
      <c r="A152" s="302">
        <v>146</v>
      </c>
      <c r="B152" s="303" t="s">
        <v>2271</v>
      </c>
      <c r="C152" s="325" t="s">
        <v>2244</v>
      </c>
      <c r="D152" s="305" t="s">
        <v>2272</v>
      </c>
      <c r="E152" s="306">
        <v>5</v>
      </c>
      <c r="F152" s="307"/>
      <c r="G152" s="302"/>
      <c r="H152" s="294">
        <f t="shared" si="0"/>
        <v>0</v>
      </c>
      <c r="I152" s="307"/>
      <c r="J152" s="302"/>
      <c r="K152" s="294">
        <f t="shared" si="1"/>
        <v>0</v>
      </c>
      <c r="L152" s="307">
        <v>12</v>
      </c>
      <c r="M152" s="302"/>
      <c r="N152" s="294">
        <f t="shared" si="2"/>
        <v>12</v>
      </c>
      <c r="O152" s="307">
        <v>25</v>
      </c>
      <c r="P152" s="302"/>
      <c r="Q152" s="294">
        <f t="shared" si="3"/>
        <v>25</v>
      </c>
      <c r="R152" s="307"/>
      <c r="S152" s="302"/>
      <c r="T152" s="294">
        <f t="shared" si="4"/>
        <v>0</v>
      </c>
      <c r="U152" s="307">
        <v>10</v>
      </c>
      <c r="V152" s="302"/>
      <c r="W152" s="291">
        <f t="shared" si="5"/>
        <v>10</v>
      </c>
      <c r="X152" s="308">
        <f t="shared" si="10"/>
        <v>47</v>
      </c>
      <c r="Y152" s="64">
        <f t="shared" si="10"/>
        <v>0</v>
      </c>
      <c r="Z152" s="309">
        <f t="shared" si="10"/>
        <v>47</v>
      </c>
      <c r="AA152" s="310">
        <f t="shared" si="11"/>
        <v>7.833333333333333</v>
      </c>
      <c r="AB152" s="65">
        <f t="shared" si="11"/>
        <v>0</v>
      </c>
      <c r="AC152" s="311">
        <f t="shared" si="11"/>
        <v>7.833333333333333</v>
      </c>
      <c r="AD152" s="301" t="s">
        <v>15</v>
      </c>
    </row>
    <row r="153" spans="1:30" ht="15.75" hidden="1" customHeight="1">
      <c r="A153" s="289">
        <v>147</v>
      </c>
      <c r="B153" s="303" t="s">
        <v>2273</v>
      </c>
      <c r="C153" s="325" t="s">
        <v>2244</v>
      </c>
      <c r="D153" s="291" t="s">
        <v>2274</v>
      </c>
      <c r="E153" s="306">
        <v>10</v>
      </c>
      <c r="F153" s="307"/>
      <c r="G153" s="302"/>
      <c r="H153" s="294">
        <f t="shared" si="0"/>
        <v>0</v>
      </c>
      <c r="I153" s="307">
        <v>15</v>
      </c>
      <c r="J153" s="302"/>
      <c r="K153" s="294">
        <f t="shared" si="1"/>
        <v>15</v>
      </c>
      <c r="L153" s="307">
        <v>22</v>
      </c>
      <c r="M153" s="302"/>
      <c r="N153" s="294">
        <f t="shared" si="2"/>
        <v>22</v>
      </c>
      <c r="O153" s="307">
        <v>12</v>
      </c>
      <c r="P153" s="302"/>
      <c r="Q153" s="294">
        <f t="shared" si="3"/>
        <v>12</v>
      </c>
      <c r="R153" s="307"/>
      <c r="S153" s="302"/>
      <c r="T153" s="294">
        <f t="shared" si="4"/>
        <v>0</v>
      </c>
      <c r="U153" s="307">
        <v>35</v>
      </c>
      <c r="V153" s="302"/>
      <c r="W153" s="291">
        <f t="shared" si="5"/>
        <v>35</v>
      </c>
      <c r="X153" s="308">
        <f t="shared" si="10"/>
        <v>84</v>
      </c>
      <c r="Y153" s="64">
        <f t="shared" si="10"/>
        <v>0</v>
      </c>
      <c r="Z153" s="309">
        <f t="shared" si="10"/>
        <v>84</v>
      </c>
      <c r="AA153" s="310">
        <f t="shared" si="11"/>
        <v>14</v>
      </c>
      <c r="AB153" s="65">
        <f t="shared" si="11"/>
        <v>0</v>
      </c>
      <c r="AC153" s="311">
        <f t="shared" si="11"/>
        <v>14</v>
      </c>
      <c r="AD153" s="301" t="s">
        <v>18</v>
      </c>
    </row>
    <row r="154" spans="1:30" ht="15.75" customHeight="1">
      <c r="A154" s="450">
        <v>148</v>
      </c>
      <c r="B154" s="454" t="s">
        <v>2275</v>
      </c>
      <c r="C154" s="455" t="s">
        <v>2276</v>
      </c>
      <c r="D154" s="451" t="s">
        <v>2277</v>
      </c>
      <c r="E154" s="440">
        <v>1860</v>
      </c>
      <c r="F154" s="441">
        <v>2530</v>
      </c>
      <c r="G154" s="438">
        <v>108</v>
      </c>
      <c r="H154" s="442">
        <f t="shared" si="0"/>
        <v>2638</v>
      </c>
      <c r="I154" s="441">
        <v>3192</v>
      </c>
      <c r="J154" s="438">
        <v>270</v>
      </c>
      <c r="K154" s="442">
        <f t="shared" si="1"/>
        <v>3462</v>
      </c>
      <c r="L154" s="441">
        <v>2066</v>
      </c>
      <c r="M154" s="438">
        <v>180</v>
      </c>
      <c r="N154" s="442">
        <f t="shared" si="2"/>
        <v>2246</v>
      </c>
      <c r="O154" s="441">
        <v>1296</v>
      </c>
      <c r="P154" s="438">
        <v>36</v>
      </c>
      <c r="Q154" s="442">
        <f t="shared" si="3"/>
        <v>1332</v>
      </c>
      <c r="R154" s="441">
        <v>3290</v>
      </c>
      <c r="S154" s="438">
        <v>216</v>
      </c>
      <c r="T154" s="442">
        <f t="shared" si="4"/>
        <v>3506</v>
      </c>
      <c r="U154" s="441">
        <v>746</v>
      </c>
      <c r="V154" s="438">
        <v>108</v>
      </c>
      <c r="W154" s="439">
        <f t="shared" si="5"/>
        <v>854</v>
      </c>
      <c r="X154" s="443">
        <f t="shared" si="10"/>
        <v>13120</v>
      </c>
      <c r="Y154" s="444">
        <f t="shared" si="10"/>
        <v>918</v>
      </c>
      <c r="Z154" s="445">
        <f t="shared" si="10"/>
        <v>14038</v>
      </c>
      <c r="AA154" s="446">
        <f t="shared" si="11"/>
        <v>2186.6666666666665</v>
      </c>
      <c r="AB154" s="447">
        <f t="shared" si="11"/>
        <v>153</v>
      </c>
      <c r="AC154" s="448">
        <f t="shared" si="11"/>
        <v>2339.6666666666665</v>
      </c>
      <c r="AD154" s="453" t="s">
        <v>18</v>
      </c>
    </row>
    <row r="155" spans="1:30" ht="15.75" customHeight="1">
      <c r="A155" s="436">
        <v>149</v>
      </c>
      <c r="B155" s="437" t="s">
        <v>2278</v>
      </c>
      <c r="C155" s="438" t="s">
        <v>2279</v>
      </c>
      <c r="D155" s="439" t="s">
        <v>2280</v>
      </c>
      <c r="E155" s="440">
        <v>1095</v>
      </c>
      <c r="F155" s="441">
        <v>1170</v>
      </c>
      <c r="G155" s="438">
        <v>0</v>
      </c>
      <c r="H155" s="442">
        <f t="shared" si="0"/>
        <v>1170</v>
      </c>
      <c r="I155" s="441">
        <v>1170</v>
      </c>
      <c r="J155" s="438">
        <v>0</v>
      </c>
      <c r="K155" s="442">
        <f t="shared" si="1"/>
        <v>1170</v>
      </c>
      <c r="L155" s="441">
        <v>1000</v>
      </c>
      <c r="M155" s="438">
        <v>0</v>
      </c>
      <c r="N155" s="442">
        <f t="shared" si="2"/>
        <v>1000</v>
      </c>
      <c r="O155" s="441">
        <v>0</v>
      </c>
      <c r="P155" s="438">
        <v>0</v>
      </c>
      <c r="Q155" s="442">
        <f t="shared" si="3"/>
        <v>0</v>
      </c>
      <c r="R155" s="441">
        <v>2048</v>
      </c>
      <c r="S155" s="438">
        <v>0</v>
      </c>
      <c r="T155" s="442">
        <f t="shared" si="4"/>
        <v>2048</v>
      </c>
      <c r="U155" s="441">
        <v>2349</v>
      </c>
      <c r="V155" s="438">
        <v>0</v>
      </c>
      <c r="W155" s="439">
        <f t="shared" si="5"/>
        <v>2349</v>
      </c>
      <c r="X155" s="443">
        <f t="shared" si="10"/>
        <v>7737</v>
      </c>
      <c r="Y155" s="444">
        <f t="shared" si="10"/>
        <v>0</v>
      </c>
      <c r="Z155" s="445">
        <f t="shared" si="10"/>
        <v>7737</v>
      </c>
      <c r="AA155" s="446">
        <f t="shared" si="11"/>
        <v>1289.5</v>
      </c>
      <c r="AB155" s="447">
        <f t="shared" si="11"/>
        <v>0</v>
      </c>
      <c r="AC155" s="448">
        <f t="shared" si="11"/>
        <v>1289.5</v>
      </c>
      <c r="AD155" s="453" t="s">
        <v>18</v>
      </c>
    </row>
    <row r="156" spans="1:30" ht="15.75" hidden="1" customHeight="1">
      <c r="A156" s="450">
        <v>60</v>
      </c>
      <c r="B156" s="480" t="s">
        <v>2281</v>
      </c>
      <c r="C156" s="451" t="s">
        <v>2282</v>
      </c>
      <c r="D156" s="451" t="s">
        <v>2283</v>
      </c>
      <c r="E156" s="440">
        <v>215</v>
      </c>
      <c r="F156" s="456"/>
      <c r="G156" s="457"/>
      <c r="H156" s="457"/>
      <c r="I156" s="457"/>
      <c r="J156" s="457"/>
      <c r="K156" s="457"/>
      <c r="L156" s="457"/>
      <c r="M156" s="457"/>
      <c r="N156" s="458"/>
      <c r="O156" s="459">
        <v>0</v>
      </c>
      <c r="P156" s="460">
        <v>0</v>
      </c>
      <c r="Q156" s="442">
        <f t="shared" si="3"/>
        <v>0</v>
      </c>
      <c r="R156" s="459">
        <v>106</v>
      </c>
      <c r="S156" s="460">
        <v>0</v>
      </c>
      <c r="T156" s="442">
        <f t="shared" si="4"/>
        <v>106</v>
      </c>
      <c r="U156" s="459">
        <v>140</v>
      </c>
      <c r="V156" s="460">
        <v>0</v>
      </c>
      <c r="W156" s="439">
        <f t="shared" si="5"/>
        <v>140</v>
      </c>
      <c r="X156" s="443">
        <f t="shared" si="10"/>
        <v>246</v>
      </c>
      <c r="Y156" s="444">
        <f t="shared" si="10"/>
        <v>0</v>
      </c>
      <c r="Z156" s="445">
        <f t="shared" si="10"/>
        <v>246</v>
      </c>
      <c r="AA156" s="446">
        <f t="shared" si="11"/>
        <v>41</v>
      </c>
      <c r="AB156" s="447">
        <f t="shared" si="11"/>
        <v>0</v>
      </c>
      <c r="AC156" s="448">
        <f t="shared" si="11"/>
        <v>41</v>
      </c>
      <c r="AD156" s="453" t="s">
        <v>15</v>
      </c>
    </row>
    <row r="157" spans="1:30" ht="15.75" customHeight="1">
      <c r="A157" s="450">
        <v>62</v>
      </c>
      <c r="B157" s="461" t="s">
        <v>2284</v>
      </c>
      <c r="C157" s="451" t="s">
        <v>2282</v>
      </c>
      <c r="D157" s="451" t="s">
        <v>2285</v>
      </c>
      <c r="E157" s="440">
        <v>1003</v>
      </c>
      <c r="F157" s="462"/>
      <c r="G157" s="463"/>
      <c r="H157" s="463"/>
      <c r="I157" s="463"/>
      <c r="J157" s="463"/>
      <c r="K157" s="463"/>
      <c r="L157" s="463"/>
      <c r="M157" s="463"/>
      <c r="N157" s="464"/>
      <c r="O157" s="459">
        <v>600</v>
      </c>
      <c r="P157" s="460">
        <v>0</v>
      </c>
      <c r="Q157" s="442">
        <f t="shared" si="3"/>
        <v>600</v>
      </c>
      <c r="R157" s="459">
        <v>812</v>
      </c>
      <c r="S157" s="460">
        <v>0</v>
      </c>
      <c r="T157" s="442">
        <f t="shared" si="4"/>
        <v>812</v>
      </c>
      <c r="U157" s="459">
        <v>2579</v>
      </c>
      <c r="V157" s="460">
        <v>0</v>
      </c>
      <c r="W157" s="439">
        <f t="shared" si="5"/>
        <v>2579</v>
      </c>
      <c r="X157" s="443">
        <f t="shared" si="10"/>
        <v>3991</v>
      </c>
      <c r="Y157" s="444">
        <f t="shared" si="10"/>
        <v>0</v>
      </c>
      <c r="Z157" s="445">
        <f t="shared" si="10"/>
        <v>3991</v>
      </c>
      <c r="AA157" s="446">
        <f t="shared" si="11"/>
        <v>665.16666666666663</v>
      </c>
      <c r="AB157" s="447">
        <f t="shared" si="11"/>
        <v>0</v>
      </c>
      <c r="AC157" s="448">
        <f t="shared" si="11"/>
        <v>665.16666666666663</v>
      </c>
      <c r="AD157" s="453" t="s">
        <v>15</v>
      </c>
    </row>
    <row r="158" spans="1:30" ht="15.75" customHeight="1">
      <c r="A158" s="436">
        <v>63</v>
      </c>
      <c r="B158" s="461" t="s">
        <v>2286</v>
      </c>
      <c r="C158" s="451" t="s">
        <v>2282</v>
      </c>
      <c r="D158" s="439" t="s">
        <v>2287</v>
      </c>
      <c r="E158" s="440">
        <v>745</v>
      </c>
      <c r="F158" s="465"/>
      <c r="G158" s="466"/>
      <c r="H158" s="466"/>
      <c r="I158" s="466"/>
      <c r="J158" s="466"/>
      <c r="K158" s="466"/>
      <c r="L158" s="466"/>
      <c r="M158" s="466"/>
      <c r="N158" s="467"/>
      <c r="O158" s="459">
        <v>0</v>
      </c>
      <c r="P158" s="460">
        <v>0</v>
      </c>
      <c r="Q158" s="442">
        <f t="shared" si="3"/>
        <v>0</v>
      </c>
      <c r="R158" s="459">
        <v>4205</v>
      </c>
      <c r="S158" s="460">
        <v>0</v>
      </c>
      <c r="T158" s="442">
        <f t="shared" si="4"/>
        <v>4205</v>
      </c>
      <c r="U158" s="459">
        <v>0</v>
      </c>
      <c r="V158" s="460">
        <v>0</v>
      </c>
      <c r="W158" s="439">
        <f t="shared" si="5"/>
        <v>0</v>
      </c>
      <c r="X158" s="443">
        <f t="shared" si="10"/>
        <v>4205</v>
      </c>
      <c r="Y158" s="444">
        <f t="shared" si="10"/>
        <v>0</v>
      </c>
      <c r="Z158" s="445">
        <f t="shared" si="10"/>
        <v>4205</v>
      </c>
      <c r="AA158" s="446">
        <f t="shared" si="11"/>
        <v>700.83333333333337</v>
      </c>
      <c r="AB158" s="447">
        <f t="shared" si="11"/>
        <v>0</v>
      </c>
      <c r="AC158" s="448">
        <f t="shared" si="11"/>
        <v>700.83333333333337</v>
      </c>
      <c r="AD158" s="453" t="s">
        <v>15</v>
      </c>
    </row>
    <row r="159" spans="1:30" ht="15.75" hidden="1" customHeight="1" thickBot="1">
      <c r="A159" s="1006" t="s">
        <v>11</v>
      </c>
      <c r="B159" s="1007"/>
      <c r="C159" s="468"/>
      <c r="D159" s="468"/>
      <c r="E159" s="469">
        <f t="shared" ref="E159:W159" si="12">SUM(E7:E158)</f>
        <v>15146</v>
      </c>
      <c r="F159" s="470">
        <f t="shared" si="12"/>
        <v>14091</v>
      </c>
      <c r="G159" s="470">
        <f t="shared" si="12"/>
        <v>356</v>
      </c>
      <c r="H159" s="470">
        <f t="shared" si="12"/>
        <v>14447</v>
      </c>
      <c r="I159" s="470">
        <f t="shared" si="12"/>
        <v>16822.5</v>
      </c>
      <c r="J159" s="470">
        <f t="shared" si="12"/>
        <v>735.5</v>
      </c>
      <c r="K159" s="470">
        <f t="shared" si="12"/>
        <v>17558</v>
      </c>
      <c r="L159" s="470">
        <f t="shared" si="12"/>
        <v>15121</v>
      </c>
      <c r="M159" s="470">
        <f t="shared" si="12"/>
        <v>288</v>
      </c>
      <c r="N159" s="470">
        <f t="shared" si="12"/>
        <v>15409</v>
      </c>
      <c r="O159" s="471">
        <f t="shared" si="12"/>
        <v>10648</v>
      </c>
      <c r="P159" s="471">
        <f t="shared" si="12"/>
        <v>277</v>
      </c>
      <c r="Q159" s="471">
        <f t="shared" si="12"/>
        <v>10925</v>
      </c>
      <c r="R159" s="471">
        <f t="shared" si="12"/>
        <v>19971</v>
      </c>
      <c r="S159" s="471">
        <f t="shared" si="12"/>
        <v>580</v>
      </c>
      <c r="T159" s="471">
        <f t="shared" si="12"/>
        <v>20551</v>
      </c>
      <c r="U159" s="471">
        <f t="shared" si="12"/>
        <v>19787</v>
      </c>
      <c r="V159" s="471">
        <f t="shared" si="12"/>
        <v>342</v>
      </c>
      <c r="W159" s="472">
        <f t="shared" si="12"/>
        <v>20129</v>
      </c>
      <c r="X159" s="473">
        <f t="shared" si="10"/>
        <v>96440.5</v>
      </c>
      <c r="Y159" s="474">
        <f t="shared" si="10"/>
        <v>2578.5</v>
      </c>
      <c r="Z159" s="475">
        <f t="shared" si="10"/>
        <v>99019</v>
      </c>
      <c r="AA159" s="476">
        <f t="shared" si="11"/>
        <v>16073.416666666666</v>
      </c>
      <c r="AB159" s="477">
        <f t="shared" si="11"/>
        <v>429.75</v>
      </c>
      <c r="AC159" s="478">
        <f t="shared" si="11"/>
        <v>16503.166666666668</v>
      </c>
      <c r="AD159" s="479"/>
    </row>
    <row r="160" spans="1:30" ht="15.75" customHeight="1" thickBot="1">
      <c r="A160" s="151"/>
      <c r="B160" s="270"/>
      <c r="C160" s="270"/>
      <c r="D160" s="270"/>
      <c r="E160" s="431"/>
      <c r="F160" s="432"/>
      <c r="G160" s="432"/>
      <c r="H160" s="433"/>
      <c r="I160" s="433"/>
      <c r="J160" s="433"/>
      <c r="K160" s="433"/>
      <c r="L160" s="433"/>
      <c r="M160" s="433"/>
      <c r="N160" s="433"/>
      <c r="O160" s="434"/>
      <c r="P160" s="434"/>
      <c r="Q160" s="433"/>
      <c r="R160" s="434"/>
      <c r="S160" s="434"/>
      <c r="T160" s="433"/>
      <c r="U160" s="434"/>
      <c r="V160" s="434"/>
      <c r="W160" s="435"/>
      <c r="X160" s="435"/>
      <c r="Y160" s="435"/>
      <c r="Z160" s="435"/>
      <c r="AA160" s="270"/>
      <c r="AB160" s="270"/>
      <c r="AC160" s="270"/>
      <c r="AD160" s="151"/>
    </row>
    <row r="161" spans="1:29" ht="15.75">
      <c r="A161" s="104"/>
      <c r="B161" s="202" t="s">
        <v>338</v>
      </c>
      <c r="C161" s="203"/>
      <c r="D161" s="204"/>
      <c r="E161" s="210">
        <v>13429</v>
      </c>
      <c r="F161" s="205">
        <v>12374</v>
      </c>
      <c r="G161" s="206">
        <v>270</v>
      </c>
      <c r="H161" s="206">
        <f>F161+G161</f>
        <v>12644</v>
      </c>
      <c r="I161" s="206">
        <v>13727</v>
      </c>
      <c r="J161" s="206">
        <v>681</v>
      </c>
      <c r="K161" s="206">
        <f>I161+J161</f>
        <v>14408</v>
      </c>
      <c r="L161" s="206">
        <v>10752</v>
      </c>
      <c r="M161" s="206">
        <v>288</v>
      </c>
      <c r="N161" s="206">
        <f>L161+M161</f>
        <v>11040</v>
      </c>
      <c r="O161" s="206">
        <v>8003</v>
      </c>
      <c r="P161" s="206">
        <v>202</v>
      </c>
      <c r="Q161" s="206">
        <f>O161+P161</f>
        <v>8205</v>
      </c>
      <c r="R161" s="206">
        <v>19424</v>
      </c>
      <c r="S161" s="206">
        <v>580</v>
      </c>
      <c r="T161" s="206">
        <f>R161+S161</f>
        <v>20004</v>
      </c>
      <c r="U161" s="206">
        <v>17340</v>
      </c>
      <c r="V161" s="206">
        <v>270</v>
      </c>
      <c r="W161" s="206">
        <f>U161+V161</f>
        <v>17610</v>
      </c>
      <c r="X161" s="206">
        <f>F161+I161+L161+O161+R161+U161</f>
        <v>81620</v>
      </c>
      <c r="Y161" s="206">
        <f>G161+J161+M161+P161+S161+V161</f>
        <v>2291</v>
      </c>
      <c r="Z161" s="206">
        <f>X161+Y161</f>
        <v>83911</v>
      </c>
      <c r="AA161" s="207">
        <f t="shared" ref="AA161:AC162" si="13">X161/6</f>
        <v>13603.333333333334</v>
      </c>
      <c r="AB161" s="207">
        <f t="shared" si="13"/>
        <v>381.83333333333331</v>
      </c>
      <c r="AC161" s="208">
        <f t="shared" si="13"/>
        <v>13985.166666666666</v>
      </c>
    </row>
    <row r="162" spans="1:29">
      <c r="A162" s="78"/>
      <c r="B162" s="7" t="s">
        <v>339</v>
      </c>
      <c r="C162" s="6"/>
      <c r="D162" s="15"/>
      <c r="E162" s="212">
        <f>E159-E161</f>
        <v>1717</v>
      </c>
      <c r="F162" s="106">
        <f>F159-F161</f>
        <v>1717</v>
      </c>
      <c r="G162" s="102">
        <f>G159-G161</f>
        <v>86</v>
      </c>
      <c r="H162" s="102">
        <f t="shared" ref="H162:Z162" si="14">H159-H161</f>
        <v>1803</v>
      </c>
      <c r="I162" s="481">
        <f t="shared" si="14"/>
        <v>3095.5</v>
      </c>
      <c r="J162" s="481">
        <f t="shared" si="14"/>
        <v>54.5</v>
      </c>
      <c r="K162" s="102">
        <f t="shared" si="14"/>
        <v>3150</v>
      </c>
      <c r="L162" s="102">
        <f t="shared" si="14"/>
        <v>4369</v>
      </c>
      <c r="M162" s="102">
        <f t="shared" si="14"/>
        <v>0</v>
      </c>
      <c r="N162" s="102">
        <f t="shared" si="14"/>
        <v>4369</v>
      </c>
      <c r="O162" s="102">
        <f t="shared" si="14"/>
        <v>2645</v>
      </c>
      <c r="P162" s="102">
        <f t="shared" si="14"/>
        <v>75</v>
      </c>
      <c r="Q162" s="102">
        <f t="shared" si="14"/>
        <v>2720</v>
      </c>
      <c r="R162" s="102">
        <f t="shared" si="14"/>
        <v>547</v>
      </c>
      <c r="S162" s="102">
        <f t="shared" si="14"/>
        <v>0</v>
      </c>
      <c r="T162" s="102">
        <f t="shared" si="14"/>
        <v>547</v>
      </c>
      <c r="U162" s="102">
        <f t="shared" si="14"/>
        <v>2447</v>
      </c>
      <c r="V162" s="102">
        <f t="shared" si="14"/>
        <v>72</v>
      </c>
      <c r="W162" s="102">
        <f t="shared" si="14"/>
        <v>2519</v>
      </c>
      <c r="X162" s="481">
        <f t="shared" si="14"/>
        <v>14820.5</v>
      </c>
      <c r="Y162" s="481">
        <f t="shared" si="14"/>
        <v>287.5</v>
      </c>
      <c r="Z162" s="481">
        <f t="shared" si="14"/>
        <v>15108</v>
      </c>
      <c r="AA162" s="71">
        <f t="shared" si="13"/>
        <v>2470.0833333333335</v>
      </c>
      <c r="AB162" s="71">
        <f t="shared" si="13"/>
        <v>47.916666666666664</v>
      </c>
      <c r="AC162" s="72">
        <f t="shared" si="13"/>
        <v>2518</v>
      </c>
    </row>
    <row r="163" spans="1:29">
      <c r="A163" s="78"/>
      <c r="B163" s="7" t="s">
        <v>340</v>
      </c>
      <c r="C163" s="6"/>
      <c r="D163" s="15"/>
      <c r="E163" s="86">
        <f>E162/E159%</f>
        <v>11.336326422817905</v>
      </c>
      <c r="F163" s="107">
        <f t="shared" ref="F163:AC163" si="15">F162/F159%</f>
        <v>12.185082676885957</v>
      </c>
      <c r="G163" s="96">
        <f t="shared" si="15"/>
        <v>24.157303370786515</v>
      </c>
      <c r="H163" s="96">
        <f t="shared" si="15"/>
        <v>12.480099674672942</v>
      </c>
      <c r="I163" s="96">
        <f t="shared" si="15"/>
        <v>18.400951107148167</v>
      </c>
      <c r="J163" s="96">
        <f t="shared" si="15"/>
        <v>7.4099252209381365</v>
      </c>
      <c r="K163" s="96">
        <f t="shared" si="15"/>
        <v>17.940539924820595</v>
      </c>
      <c r="L163" s="96">
        <f t="shared" si="15"/>
        <v>28.893591693671052</v>
      </c>
      <c r="M163" s="96">
        <f t="shared" si="15"/>
        <v>0</v>
      </c>
      <c r="N163" s="96">
        <f t="shared" si="15"/>
        <v>28.353559608021285</v>
      </c>
      <c r="O163" s="96">
        <f t="shared" si="15"/>
        <v>24.840345604808412</v>
      </c>
      <c r="P163" s="96">
        <f t="shared" si="15"/>
        <v>27.075812274368232</v>
      </c>
      <c r="Q163" s="96">
        <f t="shared" si="15"/>
        <v>24.897025171624716</v>
      </c>
      <c r="R163" s="96">
        <f t="shared" si="15"/>
        <v>2.7389715086875968</v>
      </c>
      <c r="S163" s="96">
        <f t="shared" si="15"/>
        <v>0</v>
      </c>
      <c r="T163" s="96">
        <f t="shared" si="15"/>
        <v>2.6616709649165493</v>
      </c>
      <c r="U163" s="96">
        <f t="shared" si="15"/>
        <v>12.366705412644665</v>
      </c>
      <c r="V163" s="96">
        <f t="shared" si="15"/>
        <v>21.05263157894737</v>
      </c>
      <c r="W163" s="96">
        <f t="shared" si="15"/>
        <v>12.514282875453327</v>
      </c>
      <c r="X163" s="96">
        <f t="shared" si="15"/>
        <v>15.367506389950281</v>
      </c>
      <c r="Y163" s="96">
        <f t="shared" si="15"/>
        <v>11.149893348846229</v>
      </c>
      <c r="Z163" s="96">
        <f t="shared" si="15"/>
        <v>15.257677819408396</v>
      </c>
      <c r="AA163" s="96">
        <f t="shared" si="15"/>
        <v>15.367506389950282</v>
      </c>
      <c r="AB163" s="96">
        <f t="shared" si="15"/>
        <v>11.149893348846227</v>
      </c>
      <c r="AC163" s="86">
        <f t="shared" si="15"/>
        <v>15.257677819408396</v>
      </c>
    </row>
    <row r="164" spans="1:29" ht="14.65" thickBot="1">
      <c r="A164" s="80"/>
      <c r="B164" s="81" t="s">
        <v>341</v>
      </c>
      <c r="C164" s="82"/>
      <c r="D164" s="85"/>
      <c r="E164" s="87">
        <f>E161/E159%</f>
        <v>88.663673577182095</v>
      </c>
      <c r="F164" s="108">
        <f t="shared" ref="F164:AC164" si="16">F161/F159%</f>
        <v>87.814917323114045</v>
      </c>
      <c r="G164" s="97">
        <f t="shared" si="16"/>
        <v>75.842696629213478</v>
      </c>
      <c r="H164" s="97">
        <f t="shared" si="16"/>
        <v>87.519900325327058</v>
      </c>
      <c r="I164" s="97">
        <f t="shared" si="16"/>
        <v>81.59904889285184</v>
      </c>
      <c r="J164" s="97">
        <f t="shared" si="16"/>
        <v>92.590074779061851</v>
      </c>
      <c r="K164" s="97">
        <f t="shared" si="16"/>
        <v>82.059460075179402</v>
      </c>
      <c r="L164" s="97">
        <f t="shared" si="16"/>
        <v>71.106408306328944</v>
      </c>
      <c r="M164" s="97">
        <f t="shared" si="16"/>
        <v>100</v>
      </c>
      <c r="N164" s="97">
        <f t="shared" si="16"/>
        <v>71.646440391978715</v>
      </c>
      <c r="O164" s="97">
        <f t="shared" si="16"/>
        <v>75.159654395191581</v>
      </c>
      <c r="P164" s="97">
        <f t="shared" si="16"/>
        <v>72.924187725631768</v>
      </c>
      <c r="Q164" s="97">
        <f t="shared" si="16"/>
        <v>75.102974828375281</v>
      </c>
      <c r="R164" s="97">
        <f t="shared" si="16"/>
        <v>97.261028491312402</v>
      </c>
      <c r="S164" s="97">
        <f t="shared" si="16"/>
        <v>100</v>
      </c>
      <c r="T164" s="97">
        <f t="shared" si="16"/>
        <v>97.338329035083461</v>
      </c>
      <c r="U164" s="97">
        <f t="shared" si="16"/>
        <v>87.633294587355337</v>
      </c>
      <c r="V164" s="97">
        <f t="shared" si="16"/>
        <v>78.94736842105263</v>
      </c>
      <c r="W164" s="97">
        <f t="shared" si="16"/>
        <v>87.485717124546682</v>
      </c>
      <c r="X164" s="97">
        <f t="shared" si="16"/>
        <v>84.632493610049721</v>
      </c>
      <c r="Y164" s="97">
        <f t="shared" si="16"/>
        <v>88.850106651153766</v>
      </c>
      <c r="Z164" s="97">
        <f t="shared" si="16"/>
        <v>84.7423221805916</v>
      </c>
      <c r="AA164" s="97">
        <f t="shared" si="16"/>
        <v>84.632493610049735</v>
      </c>
      <c r="AB164" s="97">
        <f t="shared" si="16"/>
        <v>88.850106651153766</v>
      </c>
      <c r="AC164" s="87">
        <f t="shared" si="16"/>
        <v>84.7423221805916</v>
      </c>
    </row>
  </sheetData>
  <autoFilter ref="A5:AD159">
    <filterColumn colId="5" showButton="0"/>
    <filterColumn colId="6" showButton="0"/>
    <filterColumn colId="8" showButton="0"/>
    <filterColumn colId="9" showButton="0"/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20" showButton="0"/>
    <filterColumn colId="21" showButton="0"/>
    <filterColumn colId="23" showButton="0"/>
    <filterColumn colId="24" showButton="0"/>
    <filterColumn colId="26" showButton="0">
      <filters>
        <filter val="1078"/>
        <filter val="1290"/>
        <filter val="138"/>
        <filter val="140"/>
        <filter val="1568"/>
        <filter val="160"/>
        <filter val="170"/>
        <filter val="175"/>
        <filter val="1903"/>
        <filter val="2187"/>
        <filter val="230"/>
        <filter val="299"/>
        <filter val="302"/>
        <filter val="360"/>
        <filter val="387"/>
        <filter val="50"/>
        <filter val="57"/>
        <filter val="59"/>
        <filter val="635"/>
        <filter val="665"/>
        <filter val="67"/>
        <filter val="701"/>
        <filter val="71"/>
        <filter val="72"/>
        <filter val="894"/>
        <filter val="97"/>
      </filters>
    </filterColumn>
    <filterColumn colId="27" showButton="0"/>
  </autoFilter>
  <mergeCells count="12">
    <mergeCell ref="I5:K5"/>
    <mergeCell ref="L5:N5"/>
    <mergeCell ref="A159:B159"/>
    <mergeCell ref="A1:E1"/>
    <mergeCell ref="B2:C2"/>
    <mergeCell ref="B4:C4"/>
    <mergeCell ref="F5:H5"/>
    <mergeCell ref="O5:Q5"/>
    <mergeCell ref="R5:T5"/>
    <mergeCell ref="U5:W5"/>
    <mergeCell ref="X5:Z5"/>
    <mergeCell ref="AA5:AC5"/>
  </mergeCells>
  <pageMargins left="0.45" right="0.2" top="0.5" bottom="0.25" header="0" footer="0"/>
  <pageSetup scale="31" fitToHeight="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1" tint="0.34998626667073579"/>
    <pageSetUpPr fitToPage="1"/>
  </sheetPr>
  <dimension ref="A1:AD163"/>
  <sheetViews>
    <sheetView workbookViewId="0">
      <pane xSplit="5" ySplit="6" topLeftCell="F10" activePane="bottomRight" state="frozen"/>
      <selection pane="topRight" activeCell="F1" sqref="F1"/>
      <selection pane="bottomLeft" activeCell="A7" sqref="A7"/>
      <selection pane="bottomRight" activeCell="A13" sqref="A13"/>
    </sheetView>
  </sheetViews>
  <sheetFormatPr defaultColWidth="12.59765625" defaultRowHeight="14.25"/>
  <cols>
    <col min="1" max="1" width="4.265625" style="149" customWidth="1"/>
    <col min="2" max="2" width="28.265625" style="149" customWidth="1"/>
    <col min="3" max="3" width="15.86328125" style="149" bestFit="1" customWidth="1"/>
    <col min="4" max="4" width="8.59765625" style="149" bestFit="1" customWidth="1"/>
    <col min="5" max="5" width="9.265625" style="149" bestFit="1" customWidth="1"/>
    <col min="6" max="23" width="7.59765625" style="149" customWidth="1"/>
    <col min="24" max="24" width="9.59765625" style="149" customWidth="1"/>
    <col min="25" max="25" width="9.1328125" style="149" customWidth="1"/>
    <col min="26" max="26" width="8.86328125" style="149" customWidth="1"/>
    <col min="27" max="27" width="9.73046875" style="149" customWidth="1"/>
    <col min="28" max="28" width="8.73046875" style="149" customWidth="1"/>
    <col min="29" max="29" width="9.73046875" style="149" customWidth="1"/>
    <col min="30" max="30" width="7.59765625" style="149" customWidth="1"/>
    <col min="31" max="16384" width="12.59765625" style="149"/>
  </cols>
  <sheetData>
    <row r="1" spans="1:30" ht="25.9" thickBot="1">
      <c r="A1" s="1016" t="s">
        <v>1964</v>
      </c>
      <c r="B1" s="1017"/>
      <c r="C1" s="1017"/>
      <c r="D1" s="1017"/>
      <c r="E1" s="1017"/>
    </row>
    <row r="2" spans="1:30" ht="16.149999999999999" thickBot="1">
      <c r="A2" s="336"/>
      <c r="B2" s="1010" t="s">
        <v>2288</v>
      </c>
      <c r="C2" s="1001"/>
      <c r="D2" s="272"/>
      <c r="E2" s="270"/>
      <c r="AD2" s="270"/>
    </row>
    <row r="3" spans="1:30" ht="14.65" thickBot="1">
      <c r="A3" s="270"/>
      <c r="B3" s="270"/>
      <c r="C3" s="151"/>
      <c r="D3" s="151"/>
      <c r="E3" s="337" t="s">
        <v>1088</v>
      </c>
      <c r="AD3" s="151"/>
    </row>
    <row r="4" spans="1:30" ht="16.149999999999999" thickBot="1">
      <c r="A4" s="336"/>
      <c r="B4" s="1011" t="s">
        <v>2289</v>
      </c>
      <c r="C4" s="1012"/>
      <c r="D4" s="270"/>
      <c r="E4" s="270"/>
      <c r="AD4" s="270"/>
    </row>
    <row r="5" spans="1:30" ht="28.9" thickBot="1">
      <c r="A5" s="274"/>
      <c r="B5" s="275"/>
      <c r="C5" s="276"/>
      <c r="D5" s="276"/>
      <c r="E5" s="338" t="s">
        <v>904</v>
      </c>
      <c r="F5" s="1013" t="s">
        <v>1077</v>
      </c>
      <c r="G5" s="1001"/>
      <c r="H5" s="1002"/>
      <c r="I5" s="1013" t="s">
        <v>1078</v>
      </c>
      <c r="J5" s="1001"/>
      <c r="K5" s="1002"/>
      <c r="L5" s="1013" t="s">
        <v>1079</v>
      </c>
      <c r="M5" s="1001"/>
      <c r="N5" s="1002"/>
      <c r="O5" s="1013" t="s">
        <v>2290</v>
      </c>
      <c r="P5" s="1001"/>
      <c r="Q5" s="1002"/>
      <c r="R5" s="1013" t="s">
        <v>1081</v>
      </c>
      <c r="S5" s="1001"/>
      <c r="T5" s="1002"/>
      <c r="U5" s="1013" t="s">
        <v>1082</v>
      </c>
      <c r="V5" s="1001"/>
      <c r="W5" s="1001"/>
      <c r="X5" s="1003" t="s">
        <v>901</v>
      </c>
      <c r="Y5" s="1004"/>
      <c r="Z5" s="1005"/>
      <c r="AA5" s="1003" t="s">
        <v>902</v>
      </c>
      <c r="AB5" s="1004"/>
      <c r="AC5" s="1005"/>
      <c r="AD5" s="339" t="s">
        <v>903</v>
      </c>
    </row>
    <row r="6" spans="1:30" ht="14.65" hidden="1" thickBot="1">
      <c r="A6" s="279" t="s">
        <v>5</v>
      </c>
      <c r="B6" s="284" t="s">
        <v>6</v>
      </c>
      <c r="C6" s="282" t="s">
        <v>7</v>
      </c>
      <c r="D6" s="282" t="s">
        <v>8</v>
      </c>
      <c r="E6" s="340" t="s">
        <v>3</v>
      </c>
      <c r="F6" s="279" t="s">
        <v>9</v>
      </c>
      <c r="G6" s="284" t="s">
        <v>10</v>
      </c>
      <c r="H6" s="280" t="s">
        <v>11</v>
      </c>
      <c r="I6" s="279" t="s">
        <v>9</v>
      </c>
      <c r="J6" s="284" t="s">
        <v>10</v>
      </c>
      <c r="K6" s="280" t="s">
        <v>11</v>
      </c>
      <c r="L6" s="279" t="s">
        <v>9</v>
      </c>
      <c r="M6" s="284" t="s">
        <v>10</v>
      </c>
      <c r="N6" s="280" t="s">
        <v>11</v>
      </c>
      <c r="O6" s="279" t="s">
        <v>9</v>
      </c>
      <c r="P6" s="284" t="s">
        <v>10</v>
      </c>
      <c r="Q6" s="280" t="s">
        <v>11</v>
      </c>
      <c r="R6" s="279" t="s">
        <v>9</v>
      </c>
      <c r="S6" s="284" t="s">
        <v>10</v>
      </c>
      <c r="T6" s="280" t="s">
        <v>11</v>
      </c>
      <c r="U6" s="279" t="s">
        <v>9</v>
      </c>
      <c r="V6" s="284" t="s">
        <v>10</v>
      </c>
      <c r="W6" s="282" t="s">
        <v>11</v>
      </c>
      <c r="X6" s="285" t="s">
        <v>9</v>
      </c>
      <c r="Y6" s="286" t="s">
        <v>10</v>
      </c>
      <c r="Z6" s="287" t="s">
        <v>11</v>
      </c>
      <c r="AA6" s="285" t="s">
        <v>9</v>
      </c>
      <c r="AB6" s="286" t="s">
        <v>10</v>
      </c>
      <c r="AC6" s="287" t="s">
        <v>11</v>
      </c>
      <c r="AD6" s="341" t="s">
        <v>905</v>
      </c>
    </row>
    <row r="7" spans="1:30" ht="15.75" hidden="1">
      <c r="A7" s="289">
        <v>1</v>
      </c>
      <c r="B7" s="342" t="s">
        <v>2291</v>
      </c>
      <c r="C7" s="291" t="s">
        <v>2292</v>
      </c>
      <c r="D7" s="291" t="s">
        <v>2293</v>
      </c>
      <c r="E7" s="292">
        <v>10</v>
      </c>
      <c r="F7" s="293">
        <v>20</v>
      </c>
      <c r="G7" s="289"/>
      <c r="H7" s="294">
        <f t="shared" ref="H7:H158" si="0">F7+G7</f>
        <v>20</v>
      </c>
      <c r="I7" s="343">
        <v>18</v>
      </c>
      <c r="J7" s="289"/>
      <c r="K7" s="294">
        <f t="shared" ref="K7:K158" si="1">I7+J7</f>
        <v>18</v>
      </c>
      <c r="L7" s="343">
        <v>5</v>
      </c>
      <c r="M7" s="289"/>
      <c r="N7" s="294">
        <f t="shared" ref="N7:N158" si="2">L7+M7</f>
        <v>5</v>
      </c>
      <c r="O7" s="343">
        <v>6</v>
      </c>
      <c r="P7" s="289"/>
      <c r="Q7" s="294">
        <f t="shared" ref="Q7:Q158" si="3">O7+P7</f>
        <v>6</v>
      </c>
      <c r="R7" s="343">
        <v>10</v>
      </c>
      <c r="S7" s="289"/>
      <c r="T7" s="294">
        <f t="shared" ref="T7:T158" si="4">R7+S7</f>
        <v>10</v>
      </c>
      <c r="U7" s="343">
        <v>5</v>
      </c>
      <c r="V7" s="289"/>
      <c r="W7" s="294">
        <f t="shared" ref="W7:W158" si="5">U7+V7</f>
        <v>5</v>
      </c>
      <c r="X7" s="295">
        <f>F7+I7+L7+O7+R7+U7</f>
        <v>64</v>
      </c>
      <c r="Y7" s="296">
        <f>G7+J7+M7+P7+S7+V7</f>
        <v>0</v>
      </c>
      <c r="Z7" s="297">
        <f>H7+K7+N7+Q7+T7+W7</f>
        <v>64</v>
      </c>
      <c r="AA7" s="298">
        <f>X7/6</f>
        <v>10.666666666666666</v>
      </c>
      <c r="AB7" s="299">
        <f>Y7/6</f>
        <v>0</v>
      </c>
      <c r="AC7" s="300">
        <f>Z7/6</f>
        <v>10.666666666666666</v>
      </c>
      <c r="AD7" s="344" t="s">
        <v>15</v>
      </c>
    </row>
    <row r="8" spans="1:30" ht="15.75" hidden="1">
      <c r="A8" s="302">
        <v>2</v>
      </c>
      <c r="B8" s="345" t="s">
        <v>2294</v>
      </c>
      <c r="C8" s="305" t="s">
        <v>2292</v>
      </c>
      <c r="D8" s="305" t="s">
        <v>2295</v>
      </c>
      <c r="E8" s="306">
        <v>10</v>
      </c>
      <c r="F8" s="307">
        <v>5</v>
      </c>
      <c r="G8" s="289"/>
      <c r="H8" s="294">
        <f t="shared" si="0"/>
        <v>5</v>
      </c>
      <c r="I8" s="346">
        <v>5</v>
      </c>
      <c r="J8" s="289"/>
      <c r="K8" s="294">
        <f t="shared" si="1"/>
        <v>5</v>
      </c>
      <c r="L8" s="346">
        <v>5</v>
      </c>
      <c r="M8" s="289"/>
      <c r="N8" s="294">
        <f t="shared" si="2"/>
        <v>5</v>
      </c>
      <c r="O8" s="346">
        <v>9</v>
      </c>
      <c r="P8" s="289"/>
      <c r="Q8" s="294">
        <f t="shared" si="3"/>
        <v>9</v>
      </c>
      <c r="R8" s="346">
        <v>10</v>
      </c>
      <c r="S8" s="289"/>
      <c r="T8" s="294">
        <f t="shared" si="4"/>
        <v>10</v>
      </c>
      <c r="U8" s="346">
        <v>5</v>
      </c>
      <c r="V8" s="289"/>
      <c r="W8" s="294">
        <f t="shared" si="5"/>
        <v>5</v>
      </c>
      <c r="X8" s="308">
        <f t="shared" ref="X8:Z71" si="6">F8+I8+L8+O8+R8+U8</f>
        <v>39</v>
      </c>
      <c r="Y8" s="64">
        <f t="shared" si="6"/>
        <v>0</v>
      </c>
      <c r="Z8" s="309">
        <f t="shared" si="6"/>
        <v>39</v>
      </c>
      <c r="AA8" s="310">
        <f t="shared" ref="AA8:AC71" si="7">X8/6</f>
        <v>6.5</v>
      </c>
      <c r="AB8" s="65">
        <f t="shared" si="7"/>
        <v>0</v>
      </c>
      <c r="AC8" s="311">
        <f t="shared" si="7"/>
        <v>6.5</v>
      </c>
      <c r="AD8" s="347" t="s">
        <v>15</v>
      </c>
    </row>
    <row r="9" spans="1:30" ht="15.75" hidden="1">
      <c r="A9" s="289">
        <v>3</v>
      </c>
      <c r="B9" s="345" t="s">
        <v>2296</v>
      </c>
      <c r="C9" s="305" t="s">
        <v>2292</v>
      </c>
      <c r="D9" s="291" t="s">
        <v>2297</v>
      </c>
      <c r="E9" s="306">
        <v>10</v>
      </c>
      <c r="F9" s="307"/>
      <c r="G9" s="289"/>
      <c r="H9" s="294">
        <f t="shared" si="0"/>
        <v>0</v>
      </c>
      <c r="I9" s="346">
        <v>0</v>
      </c>
      <c r="J9" s="289"/>
      <c r="K9" s="294">
        <f t="shared" si="1"/>
        <v>0</v>
      </c>
      <c r="L9" s="346">
        <v>0</v>
      </c>
      <c r="M9" s="289"/>
      <c r="N9" s="294">
        <f t="shared" si="2"/>
        <v>0</v>
      </c>
      <c r="O9" s="346">
        <v>0</v>
      </c>
      <c r="P9" s="289"/>
      <c r="Q9" s="294">
        <f t="shared" si="3"/>
        <v>0</v>
      </c>
      <c r="R9" s="346">
        <v>0</v>
      </c>
      <c r="S9" s="289"/>
      <c r="T9" s="294">
        <f t="shared" si="4"/>
        <v>0</v>
      </c>
      <c r="U9" s="346">
        <v>0</v>
      </c>
      <c r="V9" s="289"/>
      <c r="W9" s="294">
        <f t="shared" si="5"/>
        <v>0</v>
      </c>
      <c r="X9" s="308">
        <f t="shared" si="6"/>
        <v>0</v>
      </c>
      <c r="Y9" s="64">
        <f t="shared" si="6"/>
        <v>0</v>
      </c>
      <c r="Z9" s="309">
        <f t="shared" si="6"/>
        <v>0</v>
      </c>
      <c r="AA9" s="310">
        <f t="shared" si="7"/>
        <v>0</v>
      </c>
      <c r="AB9" s="65">
        <f t="shared" si="7"/>
        <v>0</v>
      </c>
      <c r="AC9" s="311">
        <f t="shared" si="7"/>
        <v>0</v>
      </c>
      <c r="AD9" s="347" t="s">
        <v>15</v>
      </c>
    </row>
    <row r="10" spans="1:30" ht="15.75">
      <c r="A10" s="302">
        <v>4</v>
      </c>
      <c r="B10" s="345" t="s">
        <v>2298</v>
      </c>
      <c r="C10" s="305" t="s">
        <v>2292</v>
      </c>
      <c r="D10" s="305" t="s">
        <v>2299</v>
      </c>
      <c r="E10" s="306">
        <v>10</v>
      </c>
      <c r="F10" s="307">
        <v>80</v>
      </c>
      <c r="G10" s="289"/>
      <c r="H10" s="294">
        <f t="shared" si="0"/>
        <v>80</v>
      </c>
      <c r="I10" s="346">
        <v>115</v>
      </c>
      <c r="J10" s="289"/>
      <c r="K10" s="294">
        <f t="shared" si="1"/>
        <v>115</v>
      </c>
      <c r="L10" s="346">
        <v>25</v>
      </c>
      <c r="M10" s="289"/>
      <c r="N10" s="294">
        <f t="shared" si="2"/>
        <v>25</v>
      </c>
      <c r="O10" s="346">
        <v>65</v>
      </c>
      <c r="P10" s="289"/>
      <c r="Q10" s="294">
        <f t="shared" si="3"/>
        <v>65</v>
      </c>
      <c r="R10" s="346">
        <v>85</v>
      </c>
      <c r="S10" s="289"/>
      <c r="T10" s="294">
        <f t="shared" si="4"/>
        <v>85</v>
      </c>
      <c r="U10" s="346">
        <v>18</v>
      </c>
      <c r="V10" s="289"/>
      <c r="W10" s="294">
        <f t="shared" si="5"/>
        <v>18</v>
      </c>
      <c r="X10" s="308">
        <f t="shared" si="6"/>
        <v>388</v>
      </c>
      <c r="Y10" s="64">
        <f t="shared" si="6"/>
        <v>0</v>
      </c>
      <c r="Z10" s="309">
        <f t="shared" si="6"/>
        <v>388</v>
      </c>
      <c r="AA10" s="310">
        <f t="shared" si="7"/>
        <v>64.666666666666671</v>
      </c>
      <c r="AB10" s="65">
        <f t="shared" si="7"/>
        <v>0</v>
      </c>
      <c r="AC10" s="311">
        <f t="shared" si="7"/>
        <v>64.666666666666671</v>
      </c>
      <c r="AD10" s="347" t="s">
        <v>15</v>
      </c>
    </row>
    <row r="11" spans="1:30" ht="15.75" hidden="1">
      <c r="A11" s="289">
        <v>5</v>
      </c>
      <c r="B11" s="345" t="s">
        <v>2300</v>
      </c>
      <c r="C11" s="305" t="s">
        <v>2292</v>
      </c>
      <c r="D11" s="291" t="s">
        <v>2301</v>
      </c>
      <c r="E11" s="306">
        <v>25</v>
      </c>
      <c r="F11" s="307">
        <v>20</v>
      </c>
      <c r="G11" s="289"/>
      <c r="H11" s="294">
        <f t="shared" si="0"/>
        <v>20</v>
      </c>
      <c r="I11" s="346">
        <v>15</v>
      </c>
      <c r="J11" s="289"/>
      <c r="K11" s="294">
        <f t="shared" si="1"/>
        <v>15</v>
      </c>
      <c r="L11" s="346">
        <v>5</v>
      </c>
      <c r="M11" s="289"/>
      <c r="N11" s="294">
        <f t="shared" si="2"/>
        <v>5</v>
      </c>
      <c r="O11" s="346">
        <v>10</v>
      </c>
      <c r="P11" s="289"/>
      <c r="Q11" s="294">
        <f t="shared" si="3"/>
        <v>10</v>
      </c>
      <c r="R11" s="346">
        <v>15</v>
      </c>
      <c r="S11" s="289"/>
      <c r="T11" s="294">
        <f t="shared" si="4"/>
        <v>15</v>
      </c>
      <c r="U11" s="346">
        <v>5</v>
      </c>
      <c r="V11" s="289"/>
      <c r="W11" s="294">
        <f t="shared" si="5"/>
        <v>5</v>
      </c>
      <c r="X11" s="308">
        <f t="shared" si="6"/>
        <v>70</v>
      </c>
      <c r="Y11" s="64">
        <f t="shared" si="6"/>
        <v>0</v>
      </c>
      <c r="Z11" s="309">
        <f t="shared" si="6"/>
        <v>70</v>
      </c>
      <c r="AA11" s="310">
        <f t="shared" si="7"/>
        <v>11.666666666666666</v>
      </c>
      <c r="AB11" s="65">
        <f t="shared" si="7"/>
        <v>0</v>
      </c>
      <c r="AC11" s="311">
        <f t="shared" si="7"/>
        <v>11.666666666666666</v>
      </c>
      <c r="AD11" s="347" t="s">
        <v>15</v>
      </c>
    </row>
    <row r="12" spans="1:30" ht="15.75" hidden="1">
      <c r="A12" s="302">
        <v>6</v>
      </c>
      <c r="B12" s="345" t="s">
        <v>2302</v>
      </c>
      <c r="C12" s="305" t="s">
        <v>2292</v>
      </c>
      <c r="D12" s="305" t="s">
        <v>2303</v>
      </c>
      <c r="E12" s="306">
        <v>10</v>
      </c>
      <c r="F12" s="307"/>
      <c r="G12" s="289"/>
      <c r="H12" s="294">
        <f t="shared" si="0"/>
        <v>0</v>
      </c>
      <c r="I12" s="346">
        <v>5</v>
      </c>
      <c r="J12" s="289"/>
      <c r="K12" s="294">
        <f t="shared" si="1"/>
        <v>5</v>
      </c>
      <c r="L12" s="346">
        <v>5</v>
      </c>
      <c r="M12" s="289"/>
      <c r="N12" s="294">
        <f t="shared" si="2"/>
        <v>5</v>
      </c>
      <c r="O12" s="346">
        <v>8</v>
      </c>
      <c r="P12" s="289"/>
      <c r="Q12" s="294">
        <f t="shared" si="3"/>
        <v>8</v>
      </c>
      <c r="R12" s="346">
        <v>10</v>
      </c>
      <c r="S12" s="289"/>
      <c r="T12" s="294">
        <f t="shared" si="4"/>
        <v>10</v>
      </c>
      <c r="U12" s="346">
        <v>5</v>
      </c>
      <c r="V12" s="289"/>
      <c r="W12" s="294">
        <f t="shared" si="5"/>
        <v>5</v>
      </c>
      <c r="X12" s="308">
        <f t="shared" si="6"/>
        <v>33</v>
      </c>
      <c r="Y12" s="64">
        <f t="shared" si="6"/>
        <v>0</v>
      </c>
      <c r="Z12" s="309">
        <f t="shared" si="6"/>
        <v>33</v>
      </c>
      <c r="AA12" s="310">
        <f t="shared" si="7"/>
        <v>5.5</v>
      </c>
      <c r="AB12" s="65">
        <f t="shared" si="7"/>
        <v>0</v>
      </c>
      <c r="AC12" s="311">
        <f t="shared" si="7"/>
        <v>5.5</v>
      </c>
      <c r="AD12" s="347" t="s">
        <v>15</v>
      </c>
    </row>
    <row r="13" spans="1:30" ht="15.75">
      <c r="A13" s="289">
        <v>7</v>
      </c>
      <c r="B13" s="345" t="s">
        <v>2304</v>
      </c>
      <c r="C13" s="305" t="s">
        <v>2292</v>
      </c>
      <c r="D13" s="291" t="s">
        <v>2305</v>
      </c>
      <c r="E13" s="306">
        <v>25</v>
      </c>
      <c r="F13" s="307">
        <v>89</v>
      </c>
      <c r="G13" s="289"/>
      <c r="H13" s="294">
        <f t="shared" si="0"/>
        <v>89</v>
      </c>
      <c r="I13" s="346">
        <v>120</v>
      </c>
      <c r="J13" s="289"/>
      <c r="K13" s="294">
        <f t="shared" si="1"/>
        <v>120</v>
      </c>
      <c r="L13" s="346">
        <v>35</v>
      </c>
      <c r="M13" s="289"/>
      <c r="N13" s="294">
        <f t="shared" si="2"/>
        <v>35</v>
      </c>
      <c r="O13" s="346">
        <v>55</v>
      </c>
      <c r="P13" s="289"/>
      <c r="Q13" s="294">
        <f t="shared" si="3"/>
        <v>55</v>
      </c>
      <c r="R13" s="346">
        <v>65</v>
      </c>
      <c r="S13" s="289"/>
      <c r="T13" s="294">
        <f t="shared" si="4"/>
        <v>65</v>
      </c>
      <c r="U13" s="346">
        <v>20</v>
      </c>
      <c r="V13" s="289"/>
      <c r="W13" s="294">
        <f t="shared" si="5"/>
        <v>20</v>
      </c>
      <c r="X13" s="308">
        <f t="shared" si="6"/>
        <v>384</v>
      </c>
      <c r="Y13" s="64">
        <f t="shared" si="6"/>
        <v>0</v>
      </c>
      <c r="Z13" s="309">
        <f t="shared" si="6"/>
        <v>384</v>
      </c>
      <c r="AA13" s="310">
        <f t="shared" si="7"/>
        <v>64</v>
      </c>
      <c r="AB13" s="65">
        <f t="shared" si="7"/>
        <v>0</v>
      </c>
      <c r="AC13" s="311">
        <f t="shared" si="7"/>
        <v>64</v>
      </c>
      <c r="AD13" s="347" t="s">
        <v>18</v>
      </c>
    </row>
    <row r="14" spans="1:30" ht="15.75" hidden="1">
      <c r="A14" s="302">
        <v>8</v>
      </c>
      <c r="B14" s="345" t="s">
        <v>253</v>
      </c>
      <c r="C14" s="305" t="s">
        <v>2292</v>
      </c>
      <c r="D14" s="305" t="s">
        <v>2306</v>
      </c>
      <c r="E14" s="306">
        <v>15</v>
      </c>
      <c r="F14" s="307">
        <v>20</v>
      </c>
      <c r="G14" s="289"/>
      <c r="H14" s="294">
        <f t="shared" si="0"/>
        <v>20</v>
      </c>
      <c r="I14" s="346">
        <v>40</v>
      </c>
      <c r="J14" s="289"/>
      <c r="K14" s="294">
        <f t="shared" si="1"/>
        <v>40</v>
      </c>
      <c r="L14" s="346">
        <v>10</v>
      </c>
      <c r="M14" s="289"/>
      <c r="N14" s="294">
        <f t="shared" si="2"/>
        <v>10</v>
      </c>
      <c r="O14" s="346">
        <v>13</v>
      </c>
      <c r="P14" s="289"/>
      <c r="Q14" s="294">
        <f t="shared" si="3"/>
        <v>13</v>
      </c>
      <c r="R14" s="346">
        <v>20</v>
      </c>
      <c r="S14" s="289"/>
      <c r="T14" s="294">
        <f t="shared" si="4"/>
        <v>20</v>
      </c>
      <c r="U14" s="346">
        <v>9</v>
      </c>
      <c r="V14" s="289"/>
      <c r="W14" s="294">
        <f t="shared" si="5"/>
        <v>9</v>
      </c>
      <c r="X14" s="308">
        <f t="shared" si="6"/>
        <v>112</v>
      </c>
      <c r="Y14" s="64">
        <f t="shared" si="6"/>
        <v>0</v>
      </c>
      <c r="Z14" s="309">
        <f t="shared" si="6"/>
        <v>112</v>
      </c>
      <c r="AA14" s="310">
        <f t="shared" si="7"/>
        <v>18.666666666666668</v>
      </c>
      <c r="AB14" s="65">
        <f t="shared" si="7"/>
        <v>0</v>
      </c>
      <c r="AC14" s="311">
        <f t="shared" si="7"/>
        <v>18.666666666666668</v>
      </c>
      <c r="AD14" s="347" t="s">
        <v>18</v>
      </c>
    </row>
    <row r="15" spans="1:30" ht="15.75" hidden="1">
      <c r="A15" s="289">
        <v>9</v>
      </c>
      <c r="B15" s="345" t="s">
        <v>2307</v>
      </c>
      <c r="C15" s="305" t="s">
        <v>2292</v>
      </c>
      <c r="D15" s="291" t="s">
        <v>2308</v>
      </c>
      <c r="E15" s="306">
        <v>20</v>
      </c>
      <c r="F15" s="307">
        <v>35</v>
      </c>
      <c r="G15" s="289"/>
      <c r="H15" s="294">
        <f t="shared" si="0"/>
        <v>35</v>
      </c>
      <c r="I15" s="346">
        <v>55</v>
      </c>
      <c r="J15" s="289"/>
      <c r="K15" s="294">
        <f t="shared" si="1"/>
        <v>55</v>
      </c>
      <c r="L15" s="346">
        <v>15</v>
      </c>
      <c r="M15" s="289"/>
      <c r="N15" s="294">
        <f t="shared" si="2"/>
        <v>15</v>
      </c>
      <c r="O15" s="346">
        <v>20</v>
      </c>
      <c r="P15" s="289"/>
      <c r="Q15" s="294">
        <f t="shared" si="3"/>
        <v>20</v>
      </c>
      <c r="R15" s="346">
        <v>20</v>
      </c>
      <c r="S15" s="289"/>
      <c r="T15" s="294">
        <f t="shared" si="4"/>
        <v>20</v>
      </c>
      <c r="U15" s="346">
        <v>10</v>
      </c>
      <c r="V15" s="289"/>
      <c r="W15" s="294">
        <f t="shared" si="5"/>
        <v>10</v>
      </c>
      <c r="X15" s="308">
        <f t="shared" si="6"/>
        <v>155</v>
      </c>
      <c r="Y15" s="64">
        <f t="shared" si="6"/>
        <v>0</v>
      </c>
      <c r="Z15" s="309">
        <f t="shared" si="6"/>
        <v>155</v>
      </c>
      <c r="AA15" s="310">
        <f t="shared" si="7"/>
        <v>25.833333333333332</v>
      </c>
      <c r="AB15" s="65">
        <f t="shared" si="7"/>
        <v>0</v>
      </c>
      <c r="AC15" s="311">
        <f t="shared" si="7"/>
        <v>25.833333333333332</v>
      </c>
      <c r="AD15" s="347" t="s">
        <v>15</v>
      </c>
    </row>
    <row r="16" spans="1:30" ht="15.75" hidden="1">
      <c r="A16" s="302">
        <v>10</v>
      </c>
      <c r="B16" s="345" t="s">
        <v>2309</v>
      </c>
      <c r="C16" s="305" t="s">
        <v>2292</v>
      </c>
      <c r="D16" s="305" t="s">
        <v>2310</v>
      </c>
      <c r="E16" s="306">
        <v>25</v>
      </c>
      <c r="F16" s="307">
        <v>25</v>
      </c>
      <c r="G16" s="289"/>
      <c r="H16" s="294">
        <f t="shared" si="0"/>
        <v>25</v>
      </c>
      <c r="I16" s="346">
        <v>75</v>
      </c>
      <c r="J16" s="289"/>
      <c r="K16" s="294">
        <f t="shared" si="1"/>
        <v>75</v>
      </c>
      <c r="L16" s="346">
        <v>25</v>
      </c>
      <c r="M16" s="289"/>
      <c r="N16" s="294">
        <f t="shared" si="2"/>
        <v>25</v>
      </c>
      <c r="O16" s="346">
        <v>30</v>
      </c>
      <c r="P16" s="289"/>
      <c r="Q16" s="294">
        <f t="shared" si="3"/>
        <v>30</v>
      </c>
      <c r="R16" s="346">
        <v>35</v>
      </c>
      <c r="S16" s="289"/>
      <c r="T16" s="294">
        <f t="shared" si="4"/>
        <v>35</v>
      </c>
      <c r="U16" s="346">
        <v>15</v>
      </c>
      <c r="V16" s="289"/>
      <c r="W16" s="294">
        <f t="shared" si="5"/>
        <v>15</v>
      </c>
      <c r="X16" s="308">
        <f t="shared" si="6"/>
        <v>205</v>
      </c>
      <c r="Y16" s="64">
        <f t="shared" si="6"/>
        <v>0</v>
      </c>
      <c r="Z16" s="309">
        <f t="shared" si="6"/>
        <v>205</v>
      </c>
      <c r="AA16" s="310">
        <f t="shared" si="7"/>
        <v>34.166666666666664</v>
      </c>
      <c r="AB16" s="65">
        <f t="shared" si="7"/>
        <v>0</v>
      </c>
      <c r="AC16" s="311">
        <f t="shared" si="7"/>
        <v>34.166666666666664</v>
      </c>
      <c r="AD16" s="347" t="s">
        <v>18</v>
      </c>
    </row>
    <row r="17" spans="1:30" ht="15.75" hidden="1">
      <c r="A17" s="289">
        <v>11</v>
      </c>
      <c r="B17" s="345" t="s">
        <v>2311</v>
      </c>
      <c r="C17" s="305" t="s">
        <v>2292</v>
      </c>
      <c r="D17" s="291" t="s">
        <v>2312</v>
      </c>
      <c r="E17" s="306">
        <v>20</v>
      </c>
      <c r="F17" s="307">
        <v>20</v>
      </c>
      <c r="G17" s="289"/>
      <c r="H17" s="294">
        <f t="shared" si="0"/>
        <v>20</v>
      </c>
      <c r="I17" s="346">
        <v>40</v>
      </c>
      <c r="J17" s="289"/>
      <c r="K17" s="294">
        <f t="shared" si="1"/>
        <v>40</v>
      </c>
      <c r="L17" s="346">
        <v>15</v>
      </c>
      <c r="M17" s="289"/>
      <c r="N17" s="294">
        <f t="shared" si="2"/>
        <v>15</v>
      </c>
      <c r="O17" s="346">
        <v>20</v>
      </c>
      <c r="P17" s="289"/>
      <c r="Q17" s="294">
        <f t="shared" si="3"/>
        <v>20</v>
      </c>
      <c r="R17" s="346">
        <v>35</v>
      </c>
      <c r="S17" s="289"/>
      <c r="T17" s="294">
        <f t="shared" si="4"/>
        <v>35</v>
      </c>
      <c r="U17" s="346">
        <v>18</v>
      </c>
      <c r="V17" s="289">
        <v>9</v>
      </c>
      <c r="W17" s="294">
        <f t="shared" si="5"/>
        <v>27</v>
      </c>
      <c r="X17" s="308">
        <f t="shared" si="6"/>
        <v>148</v>
      </c>
      <c r="Y17" s="64">
        <f t="shared" si="6"/>
        <v>9</v>
      </c>
      <c r="Z17" s="309">
        <f t="shared" si="6"/>
        <v>157</v>
      </c>
      <c r="AA17" s="310">
        <f t="shared" si="7"/>
        <v>24.666666666666668</v>
      </c>
      <c r="AB17" s="65">
        <f t="shared" si="7"/>
        <v>1.5</v>
      </c>
      <c r="AC17" s="311">
        <f t="shared" si="7"/>
        <v>26.166666666666668</v>
      </c>
      <c r="AD17" s="347" t="s">
        <v>15</v>
      </c>
    </row>
    <row r="18" spans="1:30" ht="15.75" hidden="1">
      <c r="A18" s="302">
        <v>12</v>
      </c>
      <c r="B18" s="345" t="s">
        <v>2313</v>
      </c>
      <c r="C18" s="305" t="s">
        <v>2292</v>
      </c>
      <c r="D18" s="305" t="s">
        <v>2314</v>
      </c>
      <c r="E18" s="306">
        <v>15</v>
      </c>
      <c r="F18" s="307">
        <v>50</v>
      </c>
      <c r="G18" s="289"/>
      <c r="H18" s="294">
        <f t="shared" si="0"/>
        <v>50</v>
      </c>
      <c r="I18" s="346">
        <v>65</v>
      </c>
      <c r="J18" s="289"/>
      <c r="K18" s="294">
        <f t="shared" si="1"/>
        <v>65</v>
      </c>
      <c r="L18" s="346">
        <v>20</v>
      </c>
      <c r="M18" s="289"/>
      <c r="N18" s="294">
        <f t="shared" si="2"/>
        <v>20</v>
      </c>
      <c r="O18" s="346">
        <v>23</v>
      </c>
      <c r="P18" s="289"/>
      <c r="Q18" s="294">
        <f t="shared" si="3"/>
        <v>23</v>
      </c>
      <c r="R18" s="346">
        <v>20</v>
      </c>
      <c r="S18" s="289"/>
      <c r="T18" s="294">
        <f t="shared" si="4"/>
        <v>20</v>
      </c>
      <c r="U18" s="346">
        <v>10</v>
      </c>
      <c r="V18" s="289"/>
      <c r="W18" s="294">
        <f t="shared" si="5"/>
        <v>10</v>
      </c>
      <c r="X18" s="308">
        <f t="shared" si="6"/>
        <v>188</v>
      </c>
      <c r="Y18" s="64">
        <f t="shared" si="6"/>
        <v>0</v>
      </c>
      <c r="Z18" s="309">
        <f t="shared" si="6"/>
        <v>188</v>
      </c>
      <c r="AA18" s="310">
        <f t="shared" si="7"/>
        <v>31.333333333333332</v>
      </c>
      <c r="AB18" s="65">
        <f t="shared" si="7"/>
        <v>0</v>
      </c>
      <c r="AC18" s="311">
        <f t="shared" si="7"/>
        <v>31.333333333333332</v>
      </c>
      <c r="AD18" s="347" t="s">
        <v>18</v>
      </c>
    </row>
    <row r="19" spans="1:30" ht="15.75" hidden="1">
      <c r="A19" s="289">
        <v>13</v>
      </c>
      <c r="B19" s="345" t="s">
        <v>2315</v>
      </c>
      <c r="C19" s="305" t="s">
        <v>2292</v>
      </c>
      <c r="D19" s="291" t="s">
        <v>2316</v>
      </c>
      <c r="E19" s="306">
        <v>10</v>
      </c>
      <c r="F19" s="307"/>
      <c r="G19" s="289"/>
      <c r="H19" s="294">
        <f t="shared" si="0"/>
        <v>0</v>
      </c>
      <c r="I19" s="307"/>
      <c r="J19" s="289"/>
      <c r="K19" s="294">
        <f t="shared" si="1"/>
        <v>0</v>
      </c>
      <c r="L19" s="346">
        <v>0</v>
      </c>
      <c r="M19" s="289"/>
      <c r="N19" s="294">
        <f t="shared" si="2"/>
        <v>0</v>
      </c>
      <c r="O19" s="346">
        <v>0</v>
      </c>
      <c r="P19" s="289"/>
      <c r="Q19" s="294">
        <f t="shared" si="3"/>
        <v>0</v>
      </c>
      <c r="R19" s="346">
        <v>5</v>
      </c>
      <c r="S19" s="289"/>
      <c r="T19" s="294">
        <f t="shared" si="4"/>
        <v>5</v>
      </c>
      <c r="U19" s="346">
        <v>5</v>
      </c>
      <c r="V19" s="289"/>
      <c r="W19" s="294">
        <f t="shared" si="5"/>
        <v>5</v>
      </c>
      <c r="X19" s="308">
        <f t="shared" si="6"/>
        <v>10</v>
      </c>
      <c r="Y19" s="64">
        <f t="shared" si="6"/>
        <v>0</v>
      </c>
      <c r="Z19" s="309">
        <f t="shared" si="6"/>
        <v>10</v>
      </c>
      <c r="AA19" s="310">
        <f t="shared" si="7"/>
        <v>1.6666666666666667</v>
      </c>
      <c r="AB19" s="65">
        <f t="shared" si="7"/>
        <v>0</v>
      </c>
      <c r="AC19" s="311">
        <f t="shared" si="7"/>
        <v>1.6666666666666667</v>
      </c>
      <c r="AD19" s="347" t="s">
        <v>15</v>
      </c>
    </row>
    <row r="20" spans="1:30" ht="15.75" hidden="1">
      <c r="A20" s="302">
        <v>14</v>
      </c>
      <c r="B20" s="345" t="s">
        <v>2317</v>
      </c>
      <c r="C20" s="305" t="s">
        <v>2292</v>
      </c>
      <c r="D20" s="305" t="s">
        <v>2318</v>
      </c>
      <c r="E20" s="306">
        <v>20</v>
      </c>
      <c r="F20" s="307">
        <v>38</v>
      </c>
      <c r="G20" s="289"/>
      <c r="H20" s="294">
        <f t="shared" si="0"/>
        <v>38</v>
      </c>
      <c r="I20" s="346">
        <v>35</v>
      </c>
      <c r="J20" s="289"/>
      <c r="K20" s="294">
        <f t="shared" si="1"/>
        <v>35</v>
      </c>
      <c r="L20" s="346">
        <v>12</v>
      </c>
      <c r="M20" s="289"/>
      <c r="N20" s="294">
        <f t="shared" si="2"/>
        <v>12</v>
      </c>
      <c r="O20" s="346">
        <v>15</v>
      </c>
      <c r="P20" s="289"/>
      <c r="Q20" s="294">
        <f t="shared" si="3"/>
        <v>15</v>
      </c>
      <c r="R20" s="346">
        <v>20</v>
      </c>
      <c r="S20" s="289"/>
      <c r="T20" s="294">
        <f t="shared" si="4"/>
        <v>20</v>
      </c>
      <c r="U20" s="346">
        <v>9</v>
      </c>
      <c r="V20" s="289"/>
      <c r="W20" s="294">
        <f t="shared" si="5"/>
        <v>9</v>
      </c>
      <c r="X20" s="308">
        <f t="shared" si="6"/>
        <v>129</v>
      </c>
      <c r="Y20" s="64">
        <f t="shared" si="6"/>
        <v>0</v>
      </c>
      <c r="Z20" s="309">
        <f t="shared" si="6"/>
        <v>129</v>
      </c>
      <c r="AA20" s="310">
        <f t="shared" si="7"/>
        <v>21.5</v>
      </c>
      <c r="AB20" s="65">
        <f t="shared" si="7"/>
        <v>0</v>
      </c>
      <c r="AC20" s="311">
        <f t="shared" si="7"/>
        <v>21.5</v>
      </c>
      <c r="AD20" s="347" t="s">
        <v>15</v>
      </c>
    </row>
    <row r="21" spans="1:30" ht="15.75" hidden="1">
      <c r="A21" s="289">
        <v>15</v>
      </c>
      <c r="B21" s="345" t="s">
        <v>2319</v>
      </c>
      <c r="C21" s="305" t="s">
        <v>2292</v>
      </c>
      <c r="D21" s="291" t="s">
        <v>2320</v>
      </c>
      <c r="E21" s="306">
        <v>20</v>
      </c>
      <c r="F21" s="307">
        <v>30</v>
      </c>
      <c r="G21" s="289"/>
      <c r="H21" s="294">
        <f t="shared" si="0"/>
        <v>30</v>
      </c>
      <c r="I21" s="346">
        <v>80</v>
      </c>
      <c r="J21" s="289"/>
      <c r="K21" s="294">
        <f t="shared" si="1"/>
        <v>80</v>
      </c>
      <c r="L21" s="346">
        <v>25</v>
      </c>
      <c r="M21" s="289"/>
      <c r="N21" s="294">
        <f t="shared" si="2"/>
        <v>25</v>
      </c>
      <c r="O21" s="346">
        <v>35</v>
      </c>
      <c r="P21" s="289"/>
      <c r="Q21" s="294">
        <f t="shared" si="3"/>
        <v>35</v>
      </c>
      <c r="R21" s="346">
        <v>45</v>
      </c>
      <c r="S21" s="289"/>
      <c r="T21" s="294">
        <f t="shared" si="4"/>
        <v>45</v>
      </c>
      <c r="U21" s="346">
        <v>15</v>
      </c>
      <c r="V21" s="289"/>
      <c r="W21" s="294">
        <f t="shared" si="5"/>
        <v>15</v>
      </c>
      <c r="X21" s="308">
        <f t="shared" si="6"/>
        <v>230</v>
      </c>
      <c r="Y21" s="64">
        <f t="shared" si="6"/>
        <v>0</v>
      </c>
      <c r="Z21" s="309">
        <f t="shared" si="6"/>
        <v>230</v>
      </c>
      <c r="AA21" s="310">
        <f t="shared" si="7"/>
        <v>38.333333333333336</v>
      </c>
      <c r="AB21" s="65">
        <f t="shared" si="7"/>
        <v>0</v>
      </c>
      <c r="AC21" s="311">
        <f t="shared" si="7"/>
        <v>38.333333333333336</v>
      </c>
      <c r="AD21" s="347" t="s">
        <v>18</v>
      </c>
    </row>
    <row r="22" spans="1:30" ht="15.75" hidden="1">
      <c r="A22" s="302">
        <v>16</v>
      </c>
      <c r="B22" s="345" t="s">
        <v>2321</v>
      </c>
      <c r="C22" s="305" t="s">
        <v>2292</v>
      </c>
      <c r="D22" s="305" t="s">
        <v>2322</v>
      </c>
      <c r="E22" s="306">
        <v>15</v>
      </c>
      <c r="F22" s="307">
        <v>20</v>
      </c>
      <c r="G22" s="289"/>
      <c r="H22" s="294">
        <f t="shared" si="0"/>
        <v>20</v>
      </c>
      <c r="I22" s="346">
        <v>28</v>
      </c>
      <c r="J22" s="289"/>
      <c r="K22" s="294">
        <f t="shared" si="1"/>
        <v>28</v>
      </c>
      <c r="L22" s="346">
        <v>9</v>
      </c>
      <c r="M22" s="289"/>
      <c r="N22" s="294">
        <f t="shared" si="2"/>
        <v>9</v>
      </c>
      <c r="O22" s="346">
        <v>13</v>
      </c>
      <c r="P22" s="289"/>
      <c r="Q22" s="294">
        <f t="shared" si="3"/>
        <v>13</v>
      </c>
      <c r="R22" s="346">
        <v>15</v>
      </c>
      <c r="S22" s="289"/>
      <c r="T22" s="294">
        <f t="shared" si="4"/>
        <v>15</v>
      </c>
      <c r="U22" s="346">
        <v>5</v>
      </c>
      <c r="V22" s="289"/>
      <c r="W22" s="294">
        <f t="shared" si="5"/>
        <v>5</v>
      </c>
      <c r="X22" s="308">
        <f t="shared" si="6"/>
        <v>90</v>
      </c>
      <c r="Y22" s="64">
        <f t="shared" si="6"/>
        <v>0</v>
      </c>
      <c r="Z22" s="309">
        <f t="shared" si="6"/>
        <v>90</v>
      </c>
      <c r="AA22" s="310">
        <f t="shared" si="7"/>
        <v>15</v>
      </c>
      <c r="AB22" s="65">
        <f t="shared" si="7"/>
        <v>0</v>
      </c>
      <c r="AC22" s="311">
        <f t="shared" si="7"/>
        <v>15</v>
      </c>
      <c r="AD22" s="347" t="s">
        <v>15</v>
      </c>
    </row>
    <row r="23" spans="1:30" ht="15.75">
      <c r="A23" s="289">
        <v>17</v>
      </c>
      <c r="B23" s="345" t="s">
        <v>2323</v>
      </c>
      <c r="C23" s="305" t="s">
        <v>2292</v>
      </c>
      <c r="D23" s="291" t="s">
        <v>2324</v>
      </c>
      <c r="E23" s="306">
        <v>40</v>
      </c>
      <c r="F23" s="307">
        <v>50</v>
      </c>
      <c r="G23" s="289"/>
      <c r="H23" s="294">
        <f t="shared" si="0"/>
        <v>50</v>
      </c>
      <c r="I23" s="346">
        <v>95</v>
      </c>
      <c r="J23" s="289"/>
      <c r="K23" s="294">
        <f t="shared" si="1"/>
        <v>95</v>
      </c>
      <c r="L23" s="346">
        <v>35</v>
      </c>
      <c r="M23" s="289"/>
      <c r="N23" s="294">
        <f t="shared" si="2"/>
        <v>35</v>
      </c>
      <c r="O23" s="346">
        <v>65</v>
      </c>
      <c r="P23" s="289"/>
      <c r="Q23" s="294">
        <f t="shared" si="3"/>
        <v>65</v>
      </c>
      <c r="R23" s="346">
        <v>75</v>
      </c>
      <c r="S23" s="289"/>
      <c r="T23" s="294">
        <f t="shared" si="4"/>
        <v>75</v>
      </c>
      <c r="U23" s="346">
        <v>25</v>
      </c>
      <c r="V23" s="289"/>
      <c r="W23" s="294">
        <f t="shared" si="5"/>
        <v>25</v>
      </c>
      <c r="X23" s="308">
        <f t="shared" si="6"/>
        <v>345</v>
      </c>
      <c r="Y23" s="64">
        <f t="shared" si="6"/>
        <v>0</v>
      </c>
      <c r="Z23" s="309">
        <f t="shared" si="6"/>
        <v>345</v>
      </c>
      <c r="AA23" s="310">
        <f t="shared" si="7"/>
        <v>57.5</v>
      </c>
      <c r="AB23" s="65">
        <f t="shared" si="7"/>
        <v>0</v>
      </c>
      <c r="AC23" s="311">
        <f t="shared" si="7"/>
        <v>57.5</v>
      </c>
      <c r="AD23" s="347" t="s">
        <v>18</v>
      </c>
    </row>
    <row r="24" spans="1:30" ht="15.75" hidden="1">
      <c r="A24" s="302">
        <v>18</v>
      </c>
      <c r="B24" s="345" t="s">
        <v>2325</v>
      </c>
      <c r="C24" s="305" t="s">
        <v>2292</v>
      </c>
      <c r="D24" s="305" t="s">
        <v>2326</v>
      </c>
      <c r="E24" s="306">
        <v>10</v>
      </c>
      <c r="F24" s="307">
        <v>5</v>
      </c>
      <c r="G24" s="289"/>
      <c r="H24" s="294">
        <f t="shared" si="0"/>
        <v>5</v>
      </c>
      <c r="I24" s="346">
        <v>10</v>
      </c>
      <c r="J24" s="289"/>
      <c r="K24" s="294">
        <f t="shared" si="1"/>
        <v>10</v>
      </c>
      <c r="L24" s="346">
        <v>3</v>
      </c>
      <c r="M24" s="289"/>
      <c r="N24" s="294">
        <f t="shared" si="2"/>
        <v>3</v>
      </c>
      <c r="O24" s="346">
        <v>5</v>
      </c>
      <c r="P24" s="289"/>
      <c r="Q24" s="294">
        <f t="shared" si="3"/>
        <v>5</v>
      </c>
      <c r="R24" s="346">
        <v>10</v>
      </c>
      <c r="S24" s="289"/>
      <c r="T24" s="294">
        <f t="shared" si="4"/>
        <v>10</v>
      </c>
      <c r="U24" s="346">
        <v>5</v>
      </c>
      <c r="V24" s="289"/>
      <c r="W24" s="294">
        <f t="shared" si="5"/>
        <v>5</v>
      </c>
      <c r="X24" s="308">
        <f t="shared" si="6"/>
        <v>38</v>
      </c>
      <c r="Y24" s="64">
        <f t="shared" si="6"/>
        <v>0</v>
      </c>
      <c r="Z24" s="309">
        <f t="shared" si="6"/>
        <v>38</v>
      </c>
      <c r="AA24" s="310">
        <f t="shared" si="7"/>
        <v>6.333333333333333</v>
      </c>
      <c r="AB24" s="65">
        <f t="shared" si="7"/>
        <v>0</v>
      </c>
      <c r="AC24" s="311">
        <f t="shared" si="7"/>
        <v>6.333333333333333</v>
      </c>
      <c r="AD24" s="347" t="s">
        <v>15</v>
      </c>
    </row>
    <row r="25" spans="1:30" ht="15.75" hidden="1">
      <c r="A25" s="289">
        <v>19</v>
      </c>
      <c r="B25" s="345" t="s">
        <v>2327</v>
      </c>
      <c r="C25" s="305" t="s">
        <v>2292</v>
      </c>
      <c r="D25" s="291" t="s">
        <v>2328</v>
      </c>
      <c r="E25" s="306">
        <v>30</v>
      </c>
      <c r="F25" s="307">
        <v>40</v>
      </c>
      <c r="G25" s="289"/>
      <c r="H25" s="294">
        <f t="shared" si="0"/>
        <v>40</v>
      </c>
      <c r="I25" s="346">
        <v>85</v>
      </c>
      <c r="J25" s="289"/>
      <c r="K25" s="294">
        <f t="shared" si="1"/>
        <v>85</v>
      </c>
      <c r="L25" s="346">
        <v>25</v>
      </c>
      <c r="M25" s="289"/>
      <c r="N25" s="294">
        <f t="shared" si="2"/>
        <v>25</v>
      </c>
      <c r="O25" s="346">
        <v>50</v>
      </c>
      <c r="P25" s="289"/>
      <c r="Q25" s="294">
        <f t="shared" si="3"/>
        <v>50</v>
      </c>
      <c r="R25" s="346">
        <v>65</v>
      </c>
      <c r="S25" s="289"/>
      <c r="T25" s="294">
        <f t="shared" si="4"/>
        <v>65</v>
      </c>
      <c r="U25" s="346">
        <v>25</v>
      </c>
      <c r="V25" s="289">
        <v>10</v>
      </c>
      <c r="W25" s="294">
        <f t="shared" si="5"/>
        <v>35</v>
      </c>
      <c r="X25" s="308">
        <f t="shared" si="6"/>
        <v>290</v>
      </c>
      <c r="Y25" s="64">
        <f t="shared" si="6"/>
        <v>10</v>
      </c>
      <c r="Z25" s="309">
        <f t="shared" si="6"/>
        <v>300</v>
      </c>
      <c r="AA25" s="310">
        <f t="shared" si="7"/>
        <v>48.333333333333336</v>
      </c>
      <c r="AB25" s="65">
        <f t="shared" si="7"/>
        <v>1.6666666666666667</v>
      </c>
      <c r="AC25" s="311">
        <f t="shared" si="7"/>
        <v>50</v>
      </c>
      <c r="AD25" s="347" t="s">
        <v>18</v>
      </c>
    </row>
    <row r="26" spans="1:30" ht="15.75" hidden="1">
      <c r="A26" s="302">
        <v>20</v>
      </c>
      <c r="B26" s="345" t="s">
        <v>2329</v>
      </c>
      <c r="C26" s="305" t="s">
        <v>2292</v>
      </c>
      <c r="D26" s="305" t="s">
        <v>2330</v>
      </c>
      <c r="E26" s="306">
        <v>15</v>
      </c>
      <c r="F26" s="307">
        <v>15</v>
      </c>
      <c r="G26" s="289"/>
      <c r="H26" s="294">
        <f t="shared" si="0"/>
        <v>15</v>
      </c>
      <c r="I26" s="346">
        <v>10</v>
      </c>
      <c r="J26" s="289"/>
      <c r="K26" s="294">
        <f t="shared" si="1"/>
        <v>10</v>
      </c>
      <c r="L26" s="346">
        <v>5</v>
      </c>
      <c r="M26" s="289"/>
      <c r="N26" s="294">
        <f t="shared" si="2"/>
        <v>5</v>
      </c>
      <c r="O26" s="346">
        <v>8</v>
      </c>
      <c r="P26" s="289"/>
      <c r="Q26" s="294">
        <f t="shared" si="3"/>
        <v>8</v>
      </c>
      <c r="R26" s="346">
        <v>10</v>
      </c>
      <c r="S26" s="289"/>
      <c r="T26" s="294">
        <f t="shared" si="4"/>
        <v>10</v>
      </c>
      <c r="U26" s="346">
        <v>5</v>
      </c>
      <c r="V26" s="289"/>
      <c r="W26" s="294">
        <f t="shared" si="5"/>
        <v>5</v>
      </c>
      <c r="X26" s="308">
        <f t="shared" si="6"/>
        <v>53</v>
      </c>
      <c r="Y26" s="64">
        <f t="shared" si="6"/>
        <v>0</v>
      </c>
      <c r="Z26" s="309">
        <f t="shared" si="6"/>
        <v>53</v>
      </c>
      <c r="AA26" s="310">
        <f t="shared" si="7"/>
        <v>8.8333333333333339</v>
      </c>
      <c r="AB26" s="65">
        <f t="shared" si="7"/>
        <v>0</v>
      </c>
      <c r="AC26" s="311">
        <f t="shared" si="7"/>
        <v>8.8333333333333339</v>
      </c>
      <c r="AD26" s="347" t="s">
        <v>15</v>
      </c>
    </row>
    <row r="27" spans="1:30" ht="15.75" hidden="1">
      <c r="A27" s="289">
        <v>21</v>
      </c>
      <c r="B27" s="345" t="s">
        <v>2331</v>
      </c>
      <c r="C27" s="305" t="s">
        <v>2292</v>
      </c>
      <c r="D27" s="291" t="s">
        <v>2332</v>
      </c>
      <c r="E27" s="306">
        <v>10</v>
      </c>
      <c r="F27" s="307">
        <v>10</v>
      </c>
      <c r="G27" s="289"/>
      <c r="H27" s="294">
        <f t="shared" si="0"/>
        <v>10</v>
      </c>
      <c r="I27" s="346">
        <v>5</v>
      </c>
      <c r="J27" s="289"/>
      <c r="K27" s="294">
        <f t="shared" si="1"/>
        <v>5</v>
      </c>
      <c r="L27" s="346">
        <v>5</v>
      </c>
      <c r="M27" s="289"/>
      <c r="N27" s="294">
        <f t="shared" si="2"/>
        <v>5</v>
      </c>
      <c r="O27" s="346">
        <v>6</v>
      </c>
      <c r="P27" s="289"/>
      <c r="Q27" s="294">
        <f t="shared" si="3"/>
        <v>6</v>
      </c>
      <c r="R27" s="346">
        <v>9</v>
      </c>
      <c r="S27" s="289"/>
      <c r="T27" s="294">
        <f t="shared" si="4"/>
        <v>9</v>
      </c>
      <c r="U27" s="346">
        <v>5</v>
      </c>
      <c r="V27" s="289"/>
      <c r="W27" s="294">
        <f t="shared" si="5"/>
        <v>5</v>
      </c>
      <c r="X27" s="308">
        <f t="shared" si="6"/>
        <v>40</v>
      </c>
      <c r="Y27" s="64">
        <f t="shared" si="6"/>
        <v>0</v>
      </c>
      <c r="Z27" s="309">
        <f t="shared" si="6"/>
        <v>40</v>
      </c>
      <c r="AA27" s="310">
        <f t="shared" si="7"/>
        <v>6.666666666666667</v>
      </c>
      <c r="AB27" s="65">
        <f t="shared" si="7"/>
        <v>0</v>
      </c>
      <c r="AC27" s="311">
        <f t="shared" si="7"/>
        <v>6.666666666666667</v>
      </c>
      <c r="AD27" s="347" t="s">
        <v>15</v>
      </c>
    </row>
    <row r="28" spans="1:30" ht="15.75" hidden="1">
      <c r="A28" s="302">
        <v>22</v>
      </c>
      <c r="B28" s="345" t="s">
        <v>2333</v>
      </c>
      <c r="C28" s="305" t="s">
        <v>2292</v>
      </c>
      <c r="D28" s="305" t="s">
        <v>2334</v>
      </c>
      <c r="E28" s="306">
        <v>10</v>
      </c>
      <c r="F28" s="307">
        <v>25</v>
      </c>
      <c r="G28" s="289"/>
      <c r="H28" s="294">
        <f t="shared" si="0"/>
        <v>25</v>
      </c>
      <c r="I28" s="346">
        <v>15</v>
      </c>
      <c r="J28" s="289"/>
      <c r="K28" s="294">
        <f t="shared" si="1"/>
        <v>15</v>
      </c>
      <c r="L28" s="346">
        <v>5</v>
      </c>
      <c r="M28" s="289"/>
      <c r="N28" s="294">
        <f t="shared" si="2"/>
        <v>5</v>
      </c>
      <c r="O28" s="346">
        <v>10</v>
      </c>
      <c r="P28" s="289"/>
      <c r="Q28" s="294">
        <f t="shared" si="3"/>
        <v>10</v>
      </c>
      <c r="R28" s="346">
        <v>5</v>
      </c>
      <c r="S28" s="289"/>
      <c r="T28" s="294">
        <f t="shared" si="4"/>
        <v>5</v>
      </c>
      <c r="U28" s="346">
        <v>5</v>
      </c>
      <c r="V28" s="289"/>
      <c r="W28" s="294">
        <f t="shared" si="5"/>
        <v>5</v>
      </c>
      <c r="X28" s="308">
        <f t="shared" si="6"/>
        <v>65</v>
      </c>
      <c r="Y28" s="64">
        <f t="shared" si="6"/>
        <v>0</v>
      </c>
      <c r="Z28" s="309">
        <f t="shared" si="6"/>
        <v>65</v>
      </c>
      <c r="AA28" s="310">
        <f t="shared" si="7"/>
        <v>10.833333333333334</v>
      </c>
      <c r="AB28" s="65">
        <f t="shared" si="7"/>
        <v>0</v>
      </c>
      <c r="AC28" s="311">
        <f t="shared" si="7"/>
        <v>10.833333333333334</v>
      </c>
      <c r="AD28" s="347" t="s">
        <v>15</v>
      </c>
    </row>
    <row r="29" spans="1:30" ht="15.75" hidden="1">
      <c r="A29" s="289">
        <v>23</v>
      </c>
      <c r="B29" s="345" t="s">
        <v>2335</v>
      </c>
      <c r="C29" s="305" t="s">
        <v>2292</v>
      </c>
      <c r="D29" s="291" t="s">
        <v>2336</v>
      </c>
      <c r="E29" s="306">
        <v>10</v>
      </c>
      <c r="F29" s="307">
        <v>5</v>
      </c>
      <c r="G29" s="289"/>
      <c r="H29" s="294">
        <f t="shared" si="0"/>
        <v>5</v>
      </c>
      <c r="I29" s="346">
        <v>5</v>
      </c>
      <c r="J29" s="289"/>
      <c r="K29" s="294">
        <f t="shared" si="1"/>
        <v>5</v>
      </c>
      <c r="L29" s="346">
        <v>5</v>
      </c>
      <c r="M29" s="289"/>
      <c r="N29" s="294">
        <f t="shared" si="2"/>
        <v>5</v>
      </c>
      <c r="O29" s="346">
        <v>10</v>
      </c>
      <c r="P29" s="289"/>
      <c r="Q29" s="294">
        <f t="shared" si="3"/>
        <v>10</v>
      </c>
      <c r="R29" s="346">
        <v>8</v>
      </c>
      <c r="S29" s="289"/>
      <c r="T29" s="294">
        <f t="shared" si="4"/>
        <v>8</v>
      </c>
      <c r="U29" s="346">
        <v>5</v>
      </c>
      <c r="V29" s="289"/>
      <c r="W29" s="294">
        <f t="shared" si="5"/>
        <v>5</v>
      </c>
      <c r="X29" s="308">
        <f t="shared" si="6"/>
        <v>38</v>
      </c>
      <c r="Y29" s="64">
        <f t="shared" si="6"/>
        <v>0</v>
      </c>
      <c r="Z29" s="309">
        <f t="shared" si="6"/>
        <v>38</v>
      </c>
      <c r="AA29" s="310">
        <f t="shared" si="7"/>
        <v>6.333333333333333</v>
      </c>
      <c r="AB29" s="65">
        <f t="shared" si="7"/>
        <v>0</v>
      </c>
      <c r="AC29" s="311">
        <f t="shared" si="7"/>
        <v>6.333333333333333</v>
      </c>
      <c r="AD29" s="347" t="s">
        <v>15</v>
      </c>
    </row>
    <row r="30" spans="1:30" ht="15.75">
      <c r="A30" s="430">
        <v>24</v>
      </c>
      <c r="B30" s="348" t="s">
        <v>2337</v>
      </c>
      <c r="C30" s="323" t="s">
        <v>2292</v>
      </c>
      <c r="D30" s="323" t="s">
        <v>2338</v>
      </c>
      <c r="E30" s="317">
        <v>140</v>
      </c>
      <c r="F30" s="326">
        <v>0</v>
      </c>
      <c r="G30" s="327">
        <v>0</v>
      </c>
      <c r="H30" s="318">
        <f t="shared" si="0"/>
        <v>0</v>
      </c>
      <c r="I30" s="326">
        <v>135</v>
      </c>
      <c r="J30" s="327">
        <v>0</v>
      </c>
      <c r="K30" s="318">
        <f t="shared" si="1"/>
        <v>135</v>
      </c>
      <c r="L30" s="326">
        <v>211</v>
      </c>
      <c r="M30" s="327">
        <v>0</v>
      </c>
      <c r="N30" s="318">
        <f t="shared" si="2"/>
        <v>211</v>
      </c>
      <c r="O30" s="326">
        <v>0</v>
      </c>
      <c r="P30" s="327">
        <v>0</v>
      </c>
      <c r="Q30" s="318">
        <f t="shared" si="3"/>
        <v>0</v>
      </c>
      <c r="R30" s="326">
        <v>142</v>
      </c>
      <c r="S30" s="327">
        <v>0</v>
      </c>
      <c r="T30" s="318">
        <f t="shared" si="4"/>
        <v>142</v>
      </c>
      <c r="U30" s="326">
        <v>0</v>
      </c>
      <c r="V30" s="327">
        <v>0</v>
      </c>
      <c r="W30" s="318">
        <f t="shared" si="5"/>
        <v>0</v>
      </c>
      <c r="X30" s="319">
        <f t="shared" si="6"/>
        <v>488</v>
      </c>
      <c r="Y30" s="19">
        <f t="shared" si="6"/>
        <v>0</v>
      </c>
      <c r="Z30" s="320">
        <f t="shared" si="6"/>
        <v>488</v>
      </c>
      <c r="AA30" s="321">
        <f t="shared" si="7"/>
        <v>81.333333333333329</v>
      </c>
      <c r="AB30" s="60">
        <f t="shared" si="7"/>
        <v>0</v>
      </c>
      <c r="AC30" s="322">
        <f t="shared" si="7"/>
        <v>81.333333333333329</v>
      </c>
      <c r="AD30" s="317" t="s">
        <v>18</v>
      </c>
    </row>
    <row r="31" spans="1:30" ht="15.75">
      <c r="A31" s="429">
        <v>25</v>
      </c>
      <c r="B31" s="349" t="s">
        <v>2339</v>
      </c>
      <c r="C31" s="323" t="s">
        <v>2292</v>
      </c>
      <c r="D31" s="316" t="s">
        <v>2340</v>
      </c>
      <c r="E31" s="317">
        <v>937</v>
      </c>
      <c r="F31" s="326">
        <v>1168</v>
      </c>
      <c r="G31" s="327">
        <v>72</v>
      </c>
      <c r="H31" s="318">
        <f t="shared" si="0"/>
        <v>1240</v>
      </c>
      <c r="I31" s="326">
        <v>1410</v>
      </c>
      <c r="J31" s="327">
        <v>72</v>
      </c>
      <c r="K31" s="318">
        <f t="shared" si="1"/>
        <v>1482</v>
      </c>
      <c r="L31" s="326">
        <v>1170</v>
      </c>
      <c r="M31" s="327">
        <v>72</v>
      </c>
      <c r="N31" s="318">
        <f t="shared" si="2"/>
        <v>1242</v>
      </c>
      <c r="O31" s="326">
        <v>610</v>
      </c>
      <c r="P31" s="327">
        <v>0</v>
      </c>
      <c r="Q31" s="318">
        <f t="shared" si="3"/>
        <v>610</v>
      </c>
      <c r="R31" s="326">
        <v>2750</v>
      </c>
      <c r="S31" s="327">
        <v>288</v>
      </c>
      <c r="T31" s="318">
        <f t="shared" si="4"/>
        <v>3038</v>
      </c>
      <c r="U31" s="326">
        <v>624</v>
      </c>
      <c r="V31" s="327">
        <v>72</v>
      </c>
      <c r="W31" s="318">
        <f t="shared" si="5"/>
        <v>696</v>
      </c>
      <c r="X31" s="319">
        <f t="shared" si="6"/>
        <v>7732</v>
      </c>
      <c r="Y31" s="19">
        <f t="shared" si="6"/>
        <v>576</v>
      </c>
      <c r="Z31" s="320">
        <f t="shared" si="6"/>
        <v>8308</v>
      </c>
      <c r="AA31" s="321">
        <f t="shared" si="7"/>
        <v>1288.6666666666667</v>
      </c>
      <c r="AB31" s="60">
        <f t="shared" si="7"/>
        <v>96</v>
      </c>
      <c r="AC31" s="322">
        <f t="shared" si="7"/>
        <v>1384.6666666666667</v>
      </c>
      <c r="AD31" s="317" t="s">
        <v>18</v>
      </c>
    </row>
    <row r="32" spans="1:30" ht="15.75" hidden="1">
      <c r="A32" s="302">
        <v>26</v>
      </c>
      <c r="B32" s="350" t="s">
        <v>2341</v>
      </c>
      <c r="C32" s="305" t="s">
        <v>2282</v>
      </c>
      <c r="D32" s="305" t="s">
        <v>2342</v>
      </c>
      <c r="E32" s="306">
        <v>30</v>
      </c>
      <c r="F32" s="307">
        <v>45</v>
      </c>
      <c r="G32" s="289"/>
      <c r="H32" s="294">
        <f t="shared" si="0"/>
        <v>45</v>
      </c>
      <c r="I32" s="346">
        <v>65</v>
      </c>
      <c r="J32" s="289"/>
      <c r="K32" s="294">
        <f t="shared" si="1"/>
        <v>65</v>
      </c>
      <c r="L32" s="346">
        <v>30</v>
      </c>
      <c r="M32" s="289"/>
      <c r="N32" s="294">
        <f t="shared" si="2"/>
        <v>30</v>
      </c>
      <c r="O32" s="346">
        <v>35</v>
      </c>
      <c r="P32" s="289"/>
      <c r="Q32" s="294">
        <f t="shared" si="3"/>
        <v>35</v>
      </c>
      <c r="R32" s="346">
        <v>45</v>
      </c>
      <c r="S32" s="289"/>
      <c r="T32" s="294">
        <f t="shared" si="4"/>
        <v>45</v>
      </c>
      <c r="U32" s="346">
        <v>15</v>
      </c>
      <c r="V32" s="289"/>
      <c r="W32" s="294">
        <f t="shared" si="5"/>
        <v>15</v>
      </c>
      <c r="X32" s="308">
        <f t="shared" si="6"/>
        <v>235</v>
      </c>
      <c r="Y32" s="64">
        <f t="shared" si="6"/>
        <v>0</v>
      </c>
      <c r="Z32" s="309">
        <f t="shared" si="6"/>
        <v>235</v>
      </c>
      <c r="AA32" s="310">
        <f t="shared" si="7"/>
        <v>39.166666666666664</v>
      </c>
      <c r="AB32" s="65">
        <f t="shared" si="7"/>
        <v>0</v>
      </c>
      <c r="AC32" s="311">
        <f t="shared" si="7"/>
        <v>39.166666666666664</v>
      </c>
      <c r="AD32" s="347" t="s">
        <v>15</v>
      </c>
    </row>
    <row r="33" spans="1:30" ht="15.75">
      <c r="A33" s="289">
        <v>27</v>
      </c>
      <c r="B33" s="351" t="s">
        <v>2343</v>
      </c>
      <c r="C33" s="305" t="s">
        <v>2282</v>
      </c>
      <c r="D33" s="291" t="s">
        <v>2344</v>
      </c>
      <c r="E33" s="306">
        <v>45</v>
      </c>
      <c r="F33" s="307">
        <v>55</v>
      </c>
      <c r="G33" s="289"/>
      <c r="H33" s="294">
        <f t="shared" si="0"/>
        <v>55</v>
      </c>
      <c r="I33" s="346">
        <v>125</v>
      </c>
      <c r="J33" s="289"/>
      <c r="K33" s="294">
        <f t="shared" si="1"/>
        <v>125</v>
      </c>
      <c r="L33" s="346">
        <v>45</v>
      </c>
      <c r="M33" s="289"/>
      <c r="N33" s="294">
        <f t="shared" si="2"/>
        <v>45</v>
      </c>
      <c r="O33" s="346">
        <v>60</v>
      </c>
      <c r="P33" s="289"/>
      <c r="Q33" s="294">
        <f t="shared" si="3"/>
        <v>60</v>
      </c>
      <c r="R33" s="346">
        <v>75</v>
      </c>
      <c r="S33" s="289"/>
      <c r="T33" s="294">
        <f t="shared" si="4"/>
        <v>75</v>
      </c>
      <c r="U33" s="346">
        <v>25</v>
      </c>
      <c r="V33" s="289"/>
      <c r="W33" s="294">
        <f t="shared" si="5"/>
        <v>25</v>
      </c>
      <c r="X33" s="308">
        <f t="shared" si="6"/>
        <v>385</v>
      </c>
      <c r="Y33" s="64">
        <f t="shared" si="6"/>
        <v>0</v>
      </c>
      <c r="Z33" s="309">
        <f t="shared" si="6"/>
        <v>385</v>
      </c>
      <c r="AA33" s="310">
        <f t="shared" si="7"/>
        <v>64.166666666666671</v>
      </c>
      <c r="AB33" s="65">
        <f t="shared" si="7"/>
        <v>0</v>
      </c>
      <c r="AC33" s="311">
        <f t="shared" si="7"/>
        <v>64.166666666666671</v>
      </c>
      <c r="AD33" s="347" t="s">
        <v>18</v>
      </c>
    </row>
    <row r="34" spans="1:30" ht="15.75" hidden="1">
      <c r="A34" s="302">
        <v>28</v>
      </c>
      <c r="B34" s="351" t="s">
        <v>2345</v>
      </c>
      <c r="C34" s="305" t="s">
        <v>2282</v>
      </c>
      <c r="D34" s="305" t="s">
        <v>2346</v>
      </c>
      <c r="E34" s="306">
        <v>30</v>
      </c>
      <c r="F34" s="307">
        <v>40</v>
      </c>
      <c r="G34" s="289"/>
      <c r="H34" s="294">
        <f t="shared" si="0"/>
        <v>40</v>
      </c>
      <c r="I34" s="346">
        <v>45</v>
      </c>
      <c r="J34" s="289"/>
      <c r="K34" s="294">
        <f t="shared" si="1"/>
        <v>45</v>
      </c>
      <c r="L34" s="346">
        <v>15</v>
      </c>
      <c r="M34" s="289"/>
      <c r="N34" s="294">
        <f t="shared" si="2"/>
        <v>15</v>
      </c>
      <c r="O34" s="346">
        <v>40</v>
      </c>
      <c r="P34" s="289"/>
      <c r="Q34" s="294">
        <f t="shared" si="3"/>
        <v>40</v>
      </c>
      <c r="R34" s="346">
        <v>55</v>
      </c>
      <c r="S34" s="289"/>
      <c r="T34" s="294">
        <f t="shared" si="4"/>
        <v>55</v>
      </c>
      <c r="U34" s="346">
        <v>20</v>
      </c>
      <c r="V34" s="289"/>
      <c r="W34" s="294">
        <f t="shared" si="5"/>
        <v>20</v>
      </c>
      <c r="X34" s="308">
        <f t="shared" si="6"/>
        <v>215</v>
      </c>
      <c r="Y34" s="64">
        <f t="shared" si="6"/>
        <v>0</v>
      </c>
      <c r="Z34" s="309">
        <f t="shared" si="6"/>
        <v>215</v>
      </c>
      <c r="AA34" s="310">
        <f t="shared" si="7"/>
        <v>35.833333333333336</v>
      </c>
      <c r="AB34" s="65">
        <f t="shared" si="7"/>
        <v>0</v>
      </c>
      <c r="AC34" s="311">
        <f t="shared" si="7"/>
        <v>35.833333333333336</v>
      </c>
      <c r="AD34" s="347" t="s">
        <v>18</v>
      </c>
    </row>
    <row r="35" spans="1:30" ht="15.75" hidden="1">
      <c r="A35" s="289">
        <v>29</v>
      </c>
      <c r="B35" s="351" t="s">
        <v>2347</v>
      </c>
      <c r="C35" s="305" t="s">
        <v>2282</v>
      </c>
      <c r="D35" s="291" t="s">
        <v>2348</v>
      </c>
      <c r="E35" s="306">
        <v>10</v>
      </c>
      <c r="F35" s="307">
        <v>5</v>
      </c>
      <c r="G35" s="289"/>
      <c r="H35" s="294">
        <f t="shared" si="0"/>
        <v>5</v>
      </c>
      <c r="I35" s="346">
        <v>5</v>
      </c>
      <c r="J35" s="289"/>
      <c r="K35" s="294">
        <f t="shared" si="1"/>
        <v>5</v>
      </c>
      <c r="L35" s="346">
        <v>5</v>
      </c>
      <c r="M35" s="289"/>
      <c r="N35" s="294">
        <f t="shared" si="2"/>
        <v>5</v>
      </c>
      <c r="O35" s="346">
        <v>3</v>
      </c>
      <c r="P35" s="289"/>
      <c r="Q35" s="294">
        <f t="shared" si="3"/>
        <v>3</v>
      </c>
      <c r="R35" s="346">
        <v>5</v>
      </c>
      <c r="S35" s="289"/>
      <c r="T35" s="294">
        <f t="shared" si="4"/>
        <v>5</v>
      </c>
      <c r="U35" s="346">
        <v>5</v>
      </c>
      <c r="V35" s="289"/>
      <c r="W35" s="294">
        <f t="shared" si="5"/>
        <v>5</v>
      </c>
      <c r="X35" s="308">
        <f t="shared" si="6"/>
        <v>28</v>
      </c>
      <c r="Y35" s="64">
        <f t="shared" si="6"/>
        <v>0</v>
      </c>
      <c r="Z35" s="309">
        <f t="shared" si="6"/>
        <v>28</v>
      </c>
      <c r="AA35" s="310">
        <f t="shared" si="7"/>
        <v>4.666666666666667</v>
      </c>
      <c r="AB35" s="65">
        <f t="shared" si="7"/>
        <v>0</v>
      </c>
      <c r="AC35" s="311">
        <f t="shared" si="7"/>
        <v>4.666666666666667</v>
      </c>
      <c r="AD35" s="347" t="s">
        <v>15</v>
      </c>
    </row>
    <row r="36" spans="1:30" ht="15.75" hidden="1">
      <c r="A36" s="302">
        <v>30</v>
      </c>
      <c r="B36" s="351" t="s">
        <v>2349</v>
      </c>
      <c r="C36" s="305" t="s">
        <v>2282</v>
      </c>
      <c r="D36" s="305" t="s">
        <v>2350</v>
      </c>
      <c r="E36" s="306">
        <v>10</v>
      </c>
      <c r="F36" s="307">
        <v>5</v>
      </c>
      <c r="G36" s="289"/>
      <c r="H36" s="294">
        <f t="shared" si="0"/>
        <v>5</v>
      </c>
      <c r="I36" s="346">
        <v>6</v>
      </c>
      <c r="J36" s="289"/>
      <c r="K36" s="294">
        <f t="shared" si="1"/>
        <v>6</v>
      </c>
      <c r="L36" s="346">
        <v>5</v>
      </c>
      <c r="M36" s="289"/>
      <c r="N36" s="294">
        <f t="shared" si="2"/>
        <v>5</v>
      </c>
      <c r="O36" s="346">
        <v>5</v>
      </c>
      <c r="P36" s="289"/>
      <c r="Q36" s="294">
        <f t="shared" si="3"/>
        <v>5</v>
      </c>
      <c r="R36" s="346">
        <v>8</v>
      </c>
      <c r="S36" s="289"/>
      <c r="T36" s="294">
        <f t="shared" si="4"/>
        <v>8</v>
      </c>
      <c r="U36" s="346">
        <v>5</v>
      </c>
      <c r="V36" s="289"/>
      <c r="W36" s="294">
        <f t="shared" si="5"/>
        <v>5</v>
      </c>
      <c r="X36" s="308">
        <f t="shared" si="6"/>
        <v>34</v>
      </c>
      <c r="Y36" s="64">
        <f t="shared" si="6"/>
        <v>0</v>
      </c>
      <c r="Z36" s="309">
        <f t="shared" si="6"/>
        <v>34</v>
      </c>
      <c r="AA36" s="310">
        <f t="shared" si="7"/>
        <v>5.666666666666667</v>
      </c>
      <c r="AB36" s="65">
        <f t="shared" si="7"/>
        <v>0</v>
      </c>
      <c r="AC36" s="311">
        <f t="shared" si="7"/>
        <v>5.666666666666667</v>
      </c>
      <c r="AD36" s="347" t="s">
        <v>15</v>
      </c>
    </row>
    <row r="37" spans="1:30" ht="15.75" hidden="1">
      <c r="A37" s="289">
        <v>31</v>
      </c>
      <c r="B37" s="351" t="s">
        <v>2351</v>
      </c>
      <c r="C37" s="305" t="s">
        <v>2282</v>
      </c>
      <c r="D37" s="291" t="s">
        <v>2352</v>
      </c>
      <c r="E37" s="306">
        <v>15</v>
      </c>
      <c r="F37" s="307">
        <v>10</v>
      </c>
      <c r="G37" s="289"/>
      <c r="H37" s="294">
        <f t="shared" si="0"/>
        <v>10</v>
      </c>
      <c r="I37" s="346">
        <v>6</v>
      </c>
      <c r="J37" s="289"/>
      <c r="K37" s="294">
        <f t="shared" si="1"/>
        <v>6</v>
      </c>
      <c r="L37" s="346">
        <v>5</v>
      </c>
      <c r="M37" s="289"/>
      <c r="N37" s="294">
        <f t="shared" si="2"/>
        <v>5</v>
      </c>
      <c r="O37" s="346">
        <v>5</v>
      </c>
      <c r="P37" s="289"/>
      <c r="Q37" s="294">
        <f t="shared" si="3"/>
        <v>5</v>
      </c>
      <c r="R37" s="346">
        <v>9</v>
      </c>
      <c r="S37" s="289"/>
      <c r="T37" s="294">
        <f t="shared" si="4"/>
        <v>9</v>
      </c>
      <c r="U37" s="346">
        <v>3</v>
      </c>
      <c r="V37" s="289"/>
      <c r="W37" s="294">
        <f t="shared" si="5"/>
        <v>3</v>
      </c>
      <c r="X37" s="308">
        <f t="shared" si="6"/>
        <v>38</v>
      </c>
      <c r="Y37" s="64">
        <f t="shared" si="6"/>
        <v>0</v>
      </c>
      <c r="Z37" s="309">
        <f t="shared" si="6"/>
        <v>38</v>
      </c>
      <c r="AA37" s="310">
        <f t="shared" si="7"/>
        <v>6.333333333333333</v>
      </c>
      <c r="AB37" s="65">
        <f t="shared" si="7"/>
        <v>0</v>
      </c>
      <c r="AC37" s="311">
        <f t="shared" si="7"/>
        <v>6.333333333333333</v>
      </c>
      <c r="AD37" s="347" t="s">
        <v>15</v>
      </c>
    </row>
    <row r="38" spans="1:30" ht="15.75" hidden="1">
      <c r="A38" s="302">
        <v>32</v>
      </c>
      <c r="B38" s="351" t="s">
        <v>2353</v>
      </c>
      <c r="C38" s="305" t="s">
        <v>2282</v>
      </c>
      <c r="D38" s="305" t="s">
        <v>2354</v>
      </c>
      <c r="E38" s="306">
        <v>40</v>
      </c>
      <c r="F38" s="307">
        <v>35</v>
      </c>
      <c r="G38" s="289"/>
      <c r="H38" s="294">
        <f t="shared" si="0"/>
        <v>35</v>
      </c>
      <c r="I38" s="346">
        <v>58</v>
      </c>
      <c r="J38" s="289"/>
      <c r="K38" s="294">
        <f t="shared" si="1"/>
        <v>58</v>
      </c>
      <c r="L38" s="346">
        <v>18</v>
      </c>
      <c r="M38" s="289"/>
      <c r="N38" s="294">
        <f t="shared" si="2"/>
        <v>18</v>
      </c>
      <c r="O38" s="346">
        <v>23</v>
      </c>
      <c r="P38" s="289"/>
      <c r="Q38" s="294">
        <f t="shared" si="3"/>
        <v>23</v>
      </c>
      <c r="R38" s="346">
        <v>35</v>
      </c>
      <c r="S38" s="289"/>
      <c r="T38" s="294">
        <f t="shared" si="4"/>
        <v>35</v>
      </c>
      <c r="U38" s="346">
        <v>10</v>
      </c>
      <c r="V38" s="289"/>
      <c r="W38" s="294">
        <f t="shared" si="5"/>
        <v>10</v>
      </c>
      <c r="X38" s="308">
        <f t="shared" si="6"/>
        <v>179</v>
      </c>
      <c r="Y38" s="64">
        <f t="shared" si="6"/>
        <v>0</v>
      </c>
      <c r="Z38" s="309">
        <f t="shared" si="6"/>
        <v>179</v>
      </c>
      <c r="AA38" s="310">
        <f t="shared" si="7"/>
        <v>29.833333333333332</v>
      </c>
      <c r="AB38" s="65">
        <f t="shared" si="7"/>
        <v>0</v>
      </c>
      <c r="AC38" s="311">
        <f t="shared" si="7"/>
        <v>29.833333333333332</v>
      </c>
      <c r="AD38" s="347" t="s">
        <v>15</v>
      </c>
    </row>
    <row r="39" spans="1:30" ht="15.75" hidden="1">
      <c r="A39" s="289">
        <v>33</v>
      </c>
      <c r="B39" s="351" t="s">
        <v>2355</v>
      </c>
      <c r="C39" s="305" t="s">
        <v>2282</v>
      </c>
      <c r="D39" s="291" t="s">
        <v>2356</v>
      </c>
      <c r="E39" s="306">
        <v>15</v>
      </c>
      <c r="F39" s="307">
        <v>5</v>
      </c>
      <c r="G39" s="289"/>
      <c r="H39" s="294">
        <f t="shared" si="0"/>
        <v>5</v>
      </c>
      <c r="I39" s="346">
        <v>3</v>
      </c>
      <c r="J39" s="289"/>
      <c r="K39" s="294">
        <f t="shared" si="1"/>
        <v>3</v>
      </c>
      <c r="L39" s="346">
        <v>0</v>
      </c>
      <c r="M39" s="289"/>
      <c r="N39" s="294">
        <f t="shared" si="2"/>
        <v>0</v>
      </c>
      <c r="O39" s="346">
        <v>0</v>
      </c>
      <c r="P39" s="289"/>
      <c r="Q39" s="294">
        <f t="shared" si="3"/>
        <v>0</v>
      </c>
      <c r="R39" s="346">
        <v>0</v>
      </c>
      <c r="S39" s="289"/>
      <c r="T39" s="294">
        <f t="shared" si="4"/>
        <v>0</v>
      </c>
      <c r="U39" s="346">
        <v>3</v>
      </c>
      <c r="V39" s="289"/>
      <c r="W39" s="294">
        <f t="shared" si="5"/>
        <v>3</v>
      </c>
      <c r="X39" s="308">
        <f t="shared" si="6"/>
        <v>11</v>
      </c>
      <c r="Y39" s="64">
        <f t="shared" si="6"/>
        <v>0</v>
      </c>
      <c r="Z39" s="309">
        <f t="shared" si="6"/>
        <v>11</v>
      </c>
      <c r="AA39" s="310">
        <f t="shared" si="7"/>
        <v>1.8333333333333333</v>
      </c>
      <c r="AB39" s="65">
        <f t="shared" si="7"/>
        <v>0</v>
      </c>
      <c r="AC39" s="311">
        <f t="shared" si="7"/>
        <v>1.8333333333333333</v>
      </c>
      <c r="AD39" s="347" t="s">
        <v>15</v>
      </c>
    </row>
    <row r="40" spans="1:30" ht="15.75">
      <c r="A40" s="302">
        <v>34</v>
      </c>
      <c r="B40" s="351" t="s">
        <v>2357</v>
      </c>
      <c r="C40" s="305" t="s">
        <v>2282</v>
      </c>
      <c r="D40" s="305" t="s">
        <v>2358</v>
      </c>
      <c r="E40" s="306">
        <v>50</v>
      </c>
      <c r="F40" s="307">
        <v>45</v>
      </c>
      <c r="G40" s="289"/>
      <c r="H40" s="294">
        <f t="shared" si="0"/>
        <v>45</v>
      </c>
      <c r="I40" s="346">
        <v>170</v>
      </c>
      <c r="J40" s="289"/>
      <c r="K40" s="294">
        <f t="shared" si="1"/>
        <v>170</v>
      </c>
      <c r="L40" s="346">
        <v>50</v>
      </c>
      <c r="M40" s="289"/>
      <c r="N40" s="294">
        <f t="shared" si="2"/>
        <v>50</v>
      </c>
      <c r="O40" s="346">
        <v>65</v>
      </c>
      <c r="P40" s="289"/>
      <c r="Q40" s="294">
        <f t="shared" si="3"/>
        <v>65</v>
      </c>
      <c r="R40" s="346">
        <v>75</v>
      </c>
      <c r="S40" s="289"/>
      <c r="T40" s="294">
        <f t="shared" si="4"/>
        <v>75</v>
      </c>
      <c r="U40" s="346">
        <v>25</v>
      </c>
      <c r="V40" s="289"/>
      <c r="W40" s="294">
        <f t="shared" si="5"/>
        <v>25</v>
      </c>
      <c r="X40" s="308">
        <f t="shared" si="6"/>
        <v>430</v>
      </c>
      <c r="Y40" s="64">
        <f t="shared" si="6"/>
        <v>0</v>
      </c>
      <c r="Z40" s="309">
        <f t="shared" si="6"/>
        <v>430</v>
      </c>
      <c r="AA40" s="310">
        <f t="shared" si="7"/>
        <v>71.666666666666671</v>
      </c>
      <c r="AB40" s="65">
        <f t="shared" si="7"/>
        <v>0</v>
      </c>
      <c r="AC40" s="311">
        <f t="shared" si="7"/>
        <v>71.666666666666671</v>
      </c>
      <c r="AD40" s="347" t="s">
        <v>18</v>
      </c>
    </row>
    <row r="41" spans="1:30" ht="15.75" hidden="1">
      <c r="A41" s="289">
        <v>35</v>
      </c>
      <c r="B41" s="351" t="s">
        <v>2359</v>
      </c>
      <c r="C41" s="305" t="s">
        <v>2282</v>
      </c>
      <c r="D41" s="291" t="s">
        <v>2360</v>
      </c>
      <c r="E41" s="306">
        <v>25</v>
      </c>
      <c r="F41" s="307">
        <v>10</v>
      </c>
      <c r="G41" s="289"/>
      <c r="H41" s="294">
        <f t="shared" si="0"/>
        <v>10</v>
      </c>
      <c r="I41" s="346">
        <v>15</v>
      </c>
      <c r="J41" s="289"/>
      <c r="K41" s="294">
        <f t="shared" si="1"/>
        <v>15</v>
      </c>
      <c r="L41" s="346">
        <v>5</v>
      </c>
      <c r="M41" s="289"/>
      <c r="N41" s="294">
        <f t="shared" si="2"/>
        <v>5</v>
      </c>
      <c r="O41" s="346">
        <v>5</v>
      </c>
      <c r="P41" s="289"/>
      <c r="Q41" s="294">
        <f t="shared" si="3"/>
        <v>5</v>
      </c>
      <c r="R41" s="346">
        <v>10</v>
      </c>
      <c r="S41" s="289"/>
      <c r="T41" s="294">
        <f t="shared" si="4"/>
        <v>10</v>
      </c>
      <c r="U41" s="346">
        <v>5</v>
      </c>
      <c r="V41" s="289"/>
      <c r="W41" s="294">
        <f t="shared" si="5"/>
        <v>5</v>
      </c>
      <c r="X41" s="308">
        <f t="shared" si="6"/>
        <v>50</v>
      </c>
      <c r="Y41" s="64">
        <f t="shared" si="6"/>
        <v>0</v>
      </c>
      <c r="Z41" s="309">
        <f t="shared" si="6"/>
        <v>50</v>
      </c>
      <c r="AA41" s="310">
        <f t="shared" si="7"/>
        <v>8.3333333333333339</v>
      </c>
      <c r="AB41" s="65">
        <f t="shared" si="7"/>
        <v>0</v>
      </c>
      <c r="AC41" s="311">
        <f t="shared" si="7"/>
        <v>8.3333333333333339</v>
      </c>
      <c r="AD41" s="347" t="s">
        <v>15</v>
      </c>
    </row>
    <row r="42" spans="1:30" ht="15.75" hidden="1">
      <c r="A42" s="302">
        <v>36</v>
      </c>
      <c r="B42" s="351" t="s">
        <v>2361</v>
      </c>
      <c r="C42" s="305" t="s">
        <v>2282</v>
      </c>
      <c r="D42" s="305" t="s">
        <v>2362</v>
      </c>
      <c r="E42" s="306">
        <v>25</v>
      </c>
      <c r="F42" s="307">
        <v>6</v>
      </c>
      <c r="G42" s="289"/>
      <c r="H42" s="294">
        <f t="shared" si="0"/>
        <v>6</v>
      </c>
      <c r="I42" s="346">
        <v>9</v>
      </c>
      <c r="J42" s="289"/>
      <c r="K42" s="294">
        <f t="shared" si="1"/>
        <v>9</v>
      </c>
      <c r="L42" s="346">
        <v>5</v>
      </c>
      <c r="M42" s="289"/>
      <c r="N42" s="294">
        <f t="shared" si="2"/>
        <v>5</v>
      </c>
      <c r="O42" s="346">
        <v>10</v>
      </c>
      <c r="P42" s="289"/>
      <c r="Q42" s="294">
        <f t="shared" si="3"/>
        <v>10</v>
      </c>
      <c r="R42" s="346">
        <v>15</v>
      </c>
      <c r="S42" s="289"/>
      <c r="T42" s="294">
        <f t="shared" si="4"/>
        <v>15</v>
      </c>
      <c r="U42" s="346">
        <v>5</v>
      </c>
      <c r="V42" s="289"/>
      <c r="W42" s="294">
        <f t="shared" si="5"/>
        <v>5</v>
      </c>
      <c r="X42" s="308">
        <f t="shared" si="6"/>
        <v>50</v>
      </c>
      <c r="Y42" s="64">
        <f t="shared" si="6"/>
        <v>0</v>
      </c>
      <c r="Z42" s="309">
        <f t="shared" si="6"/>
        <v>50</v>
      </c>
      <c r="AA42" s="310">
        <f t="shared" si="7"/>
        <v>8.3333333333333339</v>
      </c>
      <c r="AB42" s="65">
        <f t="shared" si="7"/>
        <v>0</v>
      </c>
      <c r="AC42" s="311">
        <f t="shared" si="7"/>
        <v>8.3333333333333339</v>
      </c>
      <c r="AD42" s="347" t="s">
        <v>15</v>
      </c>
    </row>
    <row r="43" spans="1:30" ht="15.75" hidden="1">
      <c r="A43" s="289">
        <v>37</v>
      </c>
      <c r="B43" s="351" t="s">
        <v>2363</v>
      </c>
      <c r="C43" s="305" t="s">
        <v>2282</v>
      </c>
      <c r="D43" s="291" t="s">
        <v>2364</v>
      </c>
      <c r="E43" s="306">
        <v>10</v>
      </c>
      <c r="F43" s="307">
        <v>5</v>
      </c>
      <c r="G43" s="289"/>
      <c r="H43" s="294">
        <f t="shared" si="0"/>
        <v>5</v>
      </c>
      <c r="I43" s="346">
        <v>10</v>
      </c>
      <c r="J43" s="289"/>
      <c r="K43" s="294">
        <f t="shared" si="1"/>
        <v>10</v>
      </c>
      <c r="L43" s="346">
        <v>5</v>
      </c>
      <c r="M43" s="289"/>
      <c r="N43" s="294">
        <f t="shared" si="2"/>
        <v>5</v>
      </c>
      <c r="O43" s="346">
        <v>5</v>
      </c>
      <c r="P43" s="289"/>
      <c r="Q43" s="294">
        <f t="shared" si="3"/>
        <v>5</v>
      </c>
      <c r="R43" s="346">
        <v>9</v>
      </c>
      <c r="S43" s="289"/>
      <c r="T43" s="294">
        <f t="shared" si="4"/>
        <v>9</v>
      </c>
      <c r="U43" s="346">
        <v>5</v>
      </c>
      <c r="V43" s="289"/>
      <c r="W43" s="294">
        <f t="shared" si="5"/>
        <v>5</v>
      </c>
      <c r="X43" s="308">
        <f t="shared" si="6"/>
        <v>39</v>
      </c>
      <c r="Y43" s="64">
        <f t="shared" si="6"/>
        <v>0</v>
      </c>
      <c r="Z43" s="309">
        <f t="shared" si="6"/>
        <v>39</v>
      </c>
      <c r="AA43" s="310">
        <f t="shared" si="7"/>
        <v>6.5</v>
      </c>
      <c r="AB43" s="65">
        <f t="shared" si="7"/>
        <v>0</v>
      </c>
      <c r="AC43" s="311">
        <f t="shared" si="7"/>
        <v>6.5</v>
      </c>
      <c r="AD43" s="347" t="s">
        <v>15</v>
      </c>
    </row>
    <row r="44" spans="1:30" ht="15.75" hidden="1">
      <c r="A44" s="302">
        <v>38</v>
      </c>
      <c r="B44" s="351" t="s">
        <v>1324</v>
      </c>
      <c r="C44" s="305" t="s">
        <v>2282</v>
      </c>
      <c r="D44" s="305" t="s">
        <v>2365</v>
      </c>
      <c r="E44" s="306">
        <v>10</v>
      </c>
      <c r="F44" s="307">
        <v>20</v>
      </c>
      <c r="G44" s="289"/>
      <c r="H44" s="294">
        <f t="shared" si="0"/>
        <v>20</v>
      </c>
      <c r="I44" s="346">
        <v>15</v>
      </c>
      <c r="J44" s="289"/>
      <c r="K44" s="294">
        <f t="shared" si="1"/>
        <v>15</v>
      </c>
      <c r="L44" s="346">
        <v>5</v>
      </c>
      <c r="M44" s="289"/>
      <c r="N44" s="294">
        <f t="shared" si="2"/>
        <v>5</v>
      </c>
      <c r="O44" s="346">
        <v>10</v>
      </c>
      <c r="P44" s="289"/>
      <c r="Q44" s="294">
        <f t="shared" si="3"/>
        <v>10</v>
      </c>
      <c r="R44" s="346">
        <v>15</v>
      </c>
      <c r="S44" s="289"/>
      <c r="T44" s="294">
        <f t="shared" si="4"/>
        <v>15</v>
      </c>
      <c r="U44" s="346">
        <v>5</v>
      </c>
      <c r="V44" s="289"/>
      <c r="W44" s="294">
        <f t="shared" si="5"/>
        <v>5</v>
      </c>
      <c r="X44" s="308">
        <f t="shared" si="6"/>
        <v>70</v>
      </c>
      <c r="Y44" s="64">
        <f t="shared" si="6"/>
        <v>0</v>
      </c>
      <c r="Z44" s="309">
        <f t="shared" si="6"/>
        <v>70</v>
      </c>
      <c r="AA44" s="310">
        <f t="shared" si="7"/>
        <v>11.666666666666666</v>
      </c>
      <c r="AB44" s="65">
        <f t="shared" si="7"/>
        <v>0</v>
      </c>
      <c r="AC44" s="311">
        <f t="shared" si="7"/>
        <v>11.666666666666666</v>
      </c>
      <c r="AD44" s="347" t="s">
        <v>15</v>
      </c>
    </row>
    <row r="45" spans="1:30" ht="15.75" hidden="1">
      <c r="A45" s="289">
        <v>39</v>
      </c>
      <c r="B45" s="351" t="s">
        <v>2366</v>
      </c>
      <c r="C45" s="305" t="s">
        <v>2282</v>
      </c>
      <c r="D45" s="291" t="s">
        <v>2367</v>
      </c>
      <c r="E45" s="306">
        <v>20</v>
      </c>
      <c r="F45" s="307">
        <v>22</v>
      </c>
      <c r="G45" s="289"/>
      <c r="H45" s="294">
        <f t="shared" si="0"/>
        <v>22</v>
      </c>
      <c r="I45" s="346">
        <v>25</v>
      </c>
      <c r="J45" s="289"/>
      <c r="K45" s="294">
        <f t="shared" si="1"/>
        <v>25</v>
      </c>
      <c r="L45" s="346">
        <v>5</v>
      </c>
      <c r="M45" s="289"/>
      <c r="N45" s="294">
        <f t="shared" si="2"/>
        <v>5</v>
      </c>
      <c r="O45" s="346">
        <v>8</v>
      </c>
      <c r="P45" s="289"/>
      <c r="Q45" s="294">
        <f t="shared" si="3"/>
        <v>8</v>
      </c>
      <c r="R45" s="346">
        <v>13</v>
      </c>
      <c r="S45" s="289"/>
      <c r="T45" s="294">
        <f t="shared" si="4"/>
        <v>13</v>
      </c>
      <c r="U45" s="346">
        <v>8</v>
      </c>
      <c r="V45" s="289"/>
      <c r="W45" s="294">
        <f t="shared" si="5"/>
        <v>8</v>
      </c>
      <c r="X45" s="308">
        <f t="shared" si="6"/>
        <v>81</v>
      </c>
      <c r="Y45" s="64">
        <f t="shared" si="6"/>
        <v>0</v>
      </c>
      <c r="Z45" s="309">
        <f t="shared" si="6"/>
        <v>81</v>
      </c>
      <c r="AA45" s="310">
        <f t="shared" si="7"/>
        <v>13.5</v>
      </c>
      <c r="AB45" s="65">
        <f t="shared" si="7"/>
        <v>0</v>
      </c>
      <c r="AC45" s="311">
        <f t="shared" si="7"/>
        <v>13.5</v>
      </c>
      <c r="AD45" s="347" t="s">
        <v>15</v>
      </c>
    </row>
    <row r="46" spans="1:30" ht="15.75" hidden="1">
      <c r="A46" s="302">
        <v>40</v>
      </c>
      <c r="B46" s="351" t="s">
        <v>2368</v>
      </c>
      <c r="C46" s="305" t="s">
        <v>2282</v>
      </c>
      <c r="D46" s="305" t="s">
        <v>2369</v>
      </c>
      <c r="E46" s="306">
        <v>15</v>
      </c>
      <c r="F46" s="307">
        <v>5</v>
      </c>
      <c r="G46" s="289"/>
      <c r="H46" s="294">
        <f t="shared" si="0"/>
        <v>5</v>
      </c>
      <c r="I46" s="346">
        <v>20</v>
      </c>
      <c r="J46" s="289"/>
      <c r="K46" s="294">
        <f t="shared" si="1"/>
        <v>20</v>
      </c>
      <c r="L46" s="346">
        <v>8</v>
      </c>
      <c r="M46" s="289"/>
      <c r="N46" s="294">
        <f t="shared" si="2"/>
        <v>8</v>
      </c>
      <c r="O46" s="346">
        <v>10</v>
      </c>
      <c r="P46" s="289"/>
      <c r="Q46" s="294">
        <f t="shared" si="3"/>
        <v>10</v>
      </c>
      <c r="R46" s="346">
        <v>15</v>
      </c>
      <c r="S46" s="289"/>
      <c r="T46" s="294">
        <f t="shared" si="4"/>
        <v>15</v>
      </c>
      <c r="U46" s="346">
        <v>5</v>
      </c>
      <c r="V46" s="289"/>
      <c r="W46" s="294">
        <f t="shared" si="5"/>
        <v>5</v>
      </c>
      <c r="X46" s="308">
        <f t="shared" si="6"/>
        <v>63</v>
      </c>
      <c r="Y46" s="64">
        <f t="shared" si="6"/>
        <v>0</v>
      </c>
      <c r="Z46" s="309">
        <f t="shared" si="6"/>
        <v>63</v>
      </c>
      <c r="AA46" s="310">
        <f t="shared" si="7"/>
        <v>10.5</v>
      </c>
      <c r="AB46" s="65">
        <f t="shared" si="7"/>
        <v>0</v>
      </c>
      <c r="AC46" s="311">
        <f t="shared" si="7"/>
        <v>10.5</v>
      </c>
      <c r="AD46" s="347" t="s">
        <v>15</v>
      </c>
    </row>
    <row r="47" spans="1:30" ht="15.75" hidden="1">
      <c r="A47" s="289">
        <v>41</v>
      </c>
      <c r="B47" s="351" t="s">
        <v>2370</v>
      </c>
      <c r="C47" s="305" t="s">
        <v>2282</v>
      </c>
      <c r="D47" s="291" t="s">
        <v>2371</v>
      </c>
      <c r="E47" s="306">
        <v>10</v>
      </c>
      <c r="F47" s="307"/>
      <c r="G47" s="289"/>
      <c r="H47" s="294">
        <f t="shared" si="0"/>
        <v>0</v>
      </c>
      <c r="I47" s="346">
        <v>5</v>
      </c>
      <c r="J47" s="289"/>
      <c r="K47" s="294">
        <f t="shared" si="1"/>
        <v>5</v>
      </c>
      <c r="L47" s="346">
        <v>5</v>
      </c>
      <c r="M47" s="289"/>
      <c r="N47" s="294">
        <f t="shared" si="2"/>
        <v>5</v>
      </c>
      <c r="O47" s="346">
        <v>5</v>
      </c>
      <c r="P47" s="289"/>
      <c r="Q47" s="294">
        <f t="shared" si="3"/>
        <v>5</v>
      </c>
      <c r="R47" s="346">
        <v>9</v>
      </c>
      <c r="S47" s="289"/>
      <c r="T47" s="294">
        <f t="shared" si="4"/>
        <v>9</v>
      </c>
      <c r="U47" s="346">
        <v>5</v>
      </c>
      <c r="V47" s="289"/>
      <c r="W47" s="294">
        <f t="shared" si="5"/>
        <v>5</v>
      </c>
      <c r="X47" s="308">
        <f t="shared" si="6"/>
        <v>29</v>
      </c>
      <c r="Y47" s="64">
        <f t="shared" si="6"/>
        <v>0</v>
      </c>
      <c r="Z47" s="309">
        <f t="shared" si="6"/>
        <v>29</v>
      </c>
      <c r="AA47" s="310">
        <f t="shared" si="7"/>
        <v>4.833333333333333</v>
      </c>
      <c r="AB47" s="65">
        <f t="shared" si="7"/>
        <v>0</v>
      </c>
      <c r="AC47" s="311">
        <f t="shared" si="7"/>
        <v>4.833333333333333</v>
      </c>
      <c r="AD47" s="347" t="s">
        <v>15</v>
      </c>
    </row>
    <row r="48" spans="1:30" ht="15.75">
      <c r="A48" s="302">
        <v>42</v>
      </c>
      <c r="B48" s="351" t="s">
        <v>2372</v>
      </c>
      <c r="C48" s="305" t="s">
        <v>2282</v>
      </c>
      <c r="D48" s="305" t="s">
        <v>2373</v>
      </c>
      <c r="E48" s="306">
        <v>50</v>
      </c>
      <c r="F48" s="307">
        <v>45</v>
      </c>
      <c r="G48" s="289">
        <v>6</v>
      </c>
      <c r="H48" s="294">
        <f t="shared" si="0"/>
        <v>51</v>
      </c>
      <c r="I48" s="346">
        <v>125</v>
      </c>
      <c r="J48" s="289"/>
      <c r="K48" s="294">
        <f t="shared" si="1"/>
        <v>125</v>
      </c>
      <c r="L48" s="346">
        <v>55</v>
      </c>
      <c r="M48" s="289"/>
      <c r="N48" s="294">
        <f t="shared" si="2"/>
        <v>55</v>
      </c>
      <c r="O48" s="346">
        <v>70</v>
      </c>
      <c r="P48" s="289"/>
      <c r="Q48" s="294">
        <f t="shared" si="3"/>
        <v>70</v>
      </c>
      <c r="R48" s="346">
        <v>75</v>
      </c>
      <c r="S48" s="289"/>
      <c r="T48" s="294">
        <f t="shared" si="4"/>
        <v>75</v>
      </c>
      <c r="U48" s="346">
        <v>30</v>
      </c>
      <c r="V48" s="289">
        <v>18</v>
      </c>
      <c r="W48" s="294">
        <f t="shared" si="5"/>
        <v>48</v>
      </c>
      <c r="X48" s="308">
        <f t="shared" si="6"/>
        <v>400</v>
      </c>
      <c r="Y48" s="64">
        <f t="shared" si="6"/>
        <v>24</v>
      </c>
      <c r="Z48" s="309">
        <f t="shared" si="6"/>
        <v>424</v>
      </c>
      <c r="AA48" s="310">
        <f t="shared" si="7"/>
        <v>66.666666666666671</v>
      </c>
      <c r="AB48" s="65">
        <f t="shared" si="7"/>
        <v>4</v>
      </c>
      <c r="AC48" s="311">
        <f t="shared" si="7"/>
        <v>70.666666666666671</v>
      </c>
      <c r="AD48" s="347" t="s">
        <v>18</v>
      </c>
    </row>
    <row r="49" spans="1:30" ht="15.75" hidden="1">
      <c r="A49" s="289">
        <v>43</v>
      </c>
      <c r="B49" s="351" t="s">
        <v>1199</v>
      </c>
      <c r="C49" s="305" t="s">
        <v>2282</v>
      </c>
      <c r="D49" s="291" t="s">
        <v>2374</v>
      </c>
      <c r="E49" s="306">
        <v>40</v>
      </c>
      <c r="F49" s="307">
        <v>35</v>
      </c>
      <c r="G49" s="289"/>
      <c r="H49" s="294">
        <f t="shared" si="0"/>
        <v>35</v>
      </c>
      <c r="I49" s="346">
        <v>45</v>
      </c>
      <c r="J49" s="289"/>
      <c r="K49" s="294">
        <f t="shared" si="1"/>
        <v>45</v>
      </c>
      <c r="L49" s="346">
        <v>15</v>
      </c>
      <c r="M49" s="289"/>
      <c r="N49" s="294">
        <f t="shared" si="2"/>
        <v>15</v>
      </c>
      <c r="O49" s="346">
        <v>35</v>
      </c>
      <c r="P49" s="289"/>
      <c r="Q49" s="294">
        <f t="shared" si="3"/>
        <v>35</v>
      </c>
      <c r="R49" s="346">
        <v>45</v>
      </c>
      <c r="S49" s="289"/>
      <c r="T49" s="294">
        <f t="shared" si="4"/>
        <v>45</v>
      </c>
      <c r="U49" s="346">
        <v>20</v>
      </c>
      <c r="V49" s="289"/>
      <c r="W49" s="294">
        <f t="shared" si="5"/>
        <v>20</v>
      </c>
      <c r="X49" s="308">
        <f t="shared" si="6"/>
        <v>195</v>
      </c>
      <c r="Y49" s="64">
        <f t="shared" si="6"/>
        <v>0</v>
      </c>
      <c r="Z49" s="309">
        <f t="shared" si="6"/>
        <v>195</v>
      </c>
      <c r="AA49" s="310">
        <f t="shared" si="7"/>
        <v>32.5</v>
      </c>
      <c r="AB49" s="65">
        <f t="shared" si="7"/>
        <v>0</v>
      </c>
      <c r="AC49" s="311">
        <f t="shared" si="7"/>
        <v>32.5</v>
      </c>
      <c r="AD49" s="347" t="s">
        <v>15</v>
      </c>
    </row>
    <row r="50" spans="1:30" ht="15.75" hidden="1">
      <c r="A50" s="302">
        <v>44</v>
      </c>
      <c r="B50" s="351" t="s">
        <v>174</v>
      </c>
      <c r="C50" s="305" t="s">
        <v>2282</v>
      </c>
      <c r="D50" s="305" t="s">
        <v>2375</v>
      </c>
      <c r="E50" s="306">
        <v>20</v>
      </c>
      <c r="F50" s="307">
        <v>5</v>
      </c>
      <c r="G50" s="289"/>
      <c r="H50" s="294">
        <f t="shared" si="0"/>
        <v>5</v>
      </c>
      <c r="I50" s="346">
        <v>0</v>
      </c>
      <c r="J50" s="289"/>
      <c r="K50" s="294">
        <f t="shared" si="1"/>
        <v>0</v>
      </c>
      <c r="L50" s="346">
        <v>5</v>
      </c>
      <c r="M50" s="289"/>
      <c r="N50" s="294">
        <f t="shared" si="2"/>
        <v>5</v>
      </c>
      <c r="O50" s="346">
        <v>5</v>
      </c>
      <c r="P50" s="289"/>
      <c r="Q50" s="294">
        <f t="shared" si="3"/>
        <v>5</v>
      </c>
      <c r="R50" s="346">
        <v>10</v>
      </c>
      <c r="S50" s="289"/>
      <c r="T50" s="294">
        <f t="shared" si="4"/>
        <v>10</v>
      </c>
      <c r="U50" s="346">
        <v>5</v>
      </c>
      <c r="V50" s="289"/>
      <c r="W50" s="294">
        <f t="shared" si="5"/>
        <v>5</v>
      </c>
      <c r="X50" s="308">
        <f t="shared" si="6"/>
        <v>30</v>
      </c>
      <c r="Y50" s="64">
        <f t="shared" si="6"/>
        <v>0</v>
      </c>
      <c r="Z50" s="309">
        <f t="shared" si="6"/>
        <v>30</v>
      </c>
      <c r="AA50" s="310">
        <f t="shared" si="7"/>
        <v>5</v>
      </c>
      <c r="AB50" s="65">
        <f t="shared" si="7"/>
        <v>0</v>
      </c>
      <c r="AC50" s="311">
        <f t="shared" si="7"/>
        <v>5</v>
      </c>
      <c r="AD50" s="347" t="s">
        <v>15</v>
      </c>
    </row>
    <row r="51" spans="1:30" ht="15.75" hidden="1">
      <c r="A51" s="289">
        <v>45</v>
      </c>
      <c r="B51" s="351" t="s">
        <v>1324</v>
      </c>
      <c r="C51" s="305" t="s">
        <v>2282</v>
      </c>
      <c r="D51" s="291" t="s">
        <v>2376</v>
      </c>
      <c r="E51" s="306">
        <v>10</v>
      </c>
      <c r="F51" s="307">
        <v>10</v>
      </c>
      <c r="G51" s="289"/>
      <c r="H51" s="294">
        <f t="shared" si="0"/>
        <v>10</v>
      </c>
      <c r="I51" s="346">
        <v>13</v>
      </c>
      <c r="J51" s="289"/>
      <c r="K51" s="294">
        <f t="shared" si="1"/>
        <v>13</v>
      </c>
      <c r="L51" s="346">
        <v>5</v>
      </c>
      <c r="M51" s="289"/>
      <c r="N51" s="294">
        <f t="shared" si="2"/>
        <v>5</v>
      </c>
      <c r="O51" s="346">
        <v>10</v>
      </c>
      <c r="P51" s="289"/>
      <c r="Q51" s="294">
        <f t="shared" si="3"/>
        <v>10</v>
      </c>
      <c r="R51" s="346">
        <v>15</v>
      </c>
      <c r="S51" s="289"/>
      <c r="T51" s="294">
        <f t="shared" si="4"/>
        <v>15</v>
      </c>
      <c r="U51" s="346">
        <v>8</v>
      </c>
      <c r="V51" s="289"/>
      <c r="W51" s="294">
        <f t="shared" si="5"/>
        <v>8</v>
      </c>
      <c r="X51" s="308">
        <f t="shared" si="6"/>
        <v>61</v>
      </c>
      <c r="Y51" s="64">
        <f t="shared" si="6"/>
        <v>0</v>
      </c>
      <c r="Z51" s="309">
        <f t="shared" si="6"/>
        <v>61</v>
      </c>
      <c r="AA51" s="310">
        <f t="shared" si="7"/>
        <v>10.166666666666666</v>
      </c>
      <c r="AB51" s="65">
        <f t="shared" si="7"/>
        <v>0</v>
      </c>
      <c r="AC51" s="311">
        <f t="shared" si="7"/>
        <v>10.166666666666666</v>
      </c>
      <c r="AD51" s="347" t="s">
        <v>15</v>
      </c>
    </row>
    <row r="52" spans="1:30" ht="15.75" hidden="1">
      <c r="A52" s="302">
        <v>46</v>
      </c>
      <c r="B52" s="351" t="s">
        <v>2377</v>
      </c>
      <c r="C52" s="305" t="s">
        <v>2282</v>
      </c>
      <c r="D52" s="305" t="s">
        <v>2378</v>
      </c>
      <c r="E52" s="306">
        <v>10</v>
      </c>
      <c r="F52" s="307">
        <v>10</v>
      </c>
      <c r="G52" s="289"/>
      <c r="H52" s="294">
        <f t="shared" si="0"/>
        <v>10</v>
      </c>
      <c r="I52" s="346">
        <v>5</v>
      </c>
      <c r="J52" s="289"/>
      <c r="K52" s="294">
        <f t="shared" si="1"/>
        <v>5</v>
      </c>
      <c r="L52" s="346">
        <v>5</v>
      </c>
      <c r="M52" s="289"/>
      <c r="N52" s="294">
        <f t="shared" si="2"/>
        <v>5</v>
      </c>
      <c r="O52" s="346">
        <v>5</v>
      </c>
      <c r="P52" s="289"/>
      <c r="Q52" s="294">
        <f t="shared" si="3"/>
        <v>5</v>
      </c>
      <c r="R52" s="346">
        <v>10</v>
      </c>
      <c r="S52" s="289"/>
      <c r="T52" s="294">
        <f t="shared" si="4"/>
        <v>10</v>
      </c>
      <c r="U52" s="346">
        <v>5</v>
      </c>
      <c r="V52" s="289"/>
      <c r="W52" s="294">
        <f t="shared" si="5"/>
        <v>5</v>
      </c>
      <c r="X52" s="308">
        <f t="shared" si="6"/>
        <v>40</v>
      </c>
      <c r="Y52" s="64">
        <f t="shared" si="6"/>
        <v>0</v>
      </c>
      <c r="Z52" s="309">
        <f t="shared" si="6"/>
        <v>40</v>
      </c>
      <c r="AA52" s="310">
        <f t="shared" si="7"/>
        <v>6.666666666666667</v>
      </c>
      <c r="AB52" s="65">
        <f t="shared" si="7"/>
        <v>0</v>
      </c>
      <c r="AC52" s="311">
        <f t="shared" si="7"/>
        <v>6.666666666666667</v>
      </c>
      <c r="AD52" s="347" t="s">
        <v>15</v>
      </c>
    </row>
    <row r="53" spans="1:30" ht="15.75" hidden="1">
      <c r="A53" s="289">
        <v>47</v>
      </c>
      <c r="B53" s="351" t="s">
        <v>2379</v>
      </c>
      <c r="C53" s="305" t="s">
        <v>2282</v>
      </c>
      <c r="D53" s="291" t="s">
        <v>2380</v>
      </c>
      <c r="E53" s="306">
        <v>10</v>
      </c>
      <c r="F53" s="307"/>
      <c r="G53" s="289"/>
      <c r="H53" s="294">
        <f t="shared" si="0"/>
        <v>0</v>
      </c>
      <c r="I53" s="346">
        <v>5</v>
      </c>
      <c r="J53" s="289"/>
      <c r="K53" s="294">
        <f t="shared" si="1"/>
        <v>5</v>
      </c>
      <c r="L53" s="346">
        <v>5</v>
      </c>
      <c r="M53" s="289"/>
      <c r="N53" s="294">
        <f t="shared" si="2"/>
        <v>5</v>
      </c>
      <c r="O53" s="346">
        <v>3</v>
      </c>
      <c r="P53" s="289"/>
      <c r="Q53" s="294">
        <f t="shared" si="3"/>
        <v>3</v>
      </c>
      <c r="R53" s="346">
        <v>9</v>
      </c>
      <c r="S53" s="289"/>
      <c r="T53" s="294">
        <f t="shared" si="4"/>
        <v>9</v>
      </c>
      <c r="U53" s="346">
        <v>5</v>
      </c>
      <c r="V53" s="289"/>
      <c r="W53" s="294">
        <f t="shared" si="5"/>
        <v>5</v>
      </c>
      <c r="X53" s="308">
        <f t="shared" si="6"/>
        <v>27</v>
      </c>
      <c r="Y53" s="64">
        <f t="shared" si="6"/>
        <v>0</v>
      </c>
      <c r="Z53" s="309">
        <f t="shared" si="6"/>
        <v>27</v>
      </c>
      <c r="AA53" s="310">
        <f t="shared" si="7"/>
        <v>4.5</v>
      </c>
      <c r="AB53" s="65">
        <f t="shared" si="7"/>
        <v>0</v>
      </c>
      <c r="AC53" s="311">
        <f t="shared" si="7"/>
        <v>4.5</v>
      </c>
      <c r="AD53" s="347" t="s">
        <v>15</v>
      </c>
    </row>
    <row r="54" spans="1:30" ht="15.75" hidden="1">
      <c r="A54" s="302">
        <v>48</v>
      </c>
      <c r="B54" s="351" t="s">
        <v>2381</v>
      </c>
      <c r="C54" s="305" t="s">
        <v>2282</v>
      </c>
      <c r="D54" s="305" t="s">
        <v>2382</v>
      </c>
      <c r="E54" s="306">
        <v>15</v>
      </c>
      <c r="F54" s="307">
        <v>12</v>
      </c>
      <c r="G54" s="289"/>
      <c r="H54" s="294">
        <f t="shared" si="0"/>
        <v>12</v>
      </c>
      <c r="I54" s="346">
        <v>24</v>
      </c>
      <c r="J54" s="289"/>
      <c r="K54" s="294">
        <f t="shared" si="1"/>
        <v>24</v>
      </c>
      <c r="L54" s="346">
        <v>6</v>
      </c>
      <c r="M54" s="289"/>
      <c r="N54" s="294">
        <f t="shared" si="2"/>
        <v>6</v>
      </c>
      <c r="O54" s="346">
        <v>9</v>
      </c>
      <c r="P54" s="289"/>
      <c r="Q54" s="294">
        <f t="shared" si="3"/>
        <v>9</v>
      </c>
      <c r="R54" s="346">
        <v>15</v>
      </c>
      <c r="S54" s="289"/>
      <c r="T54" s="294">
        <f t="shared" si="4"/>
        <v>15</v>
      </c>
      <c r="U54" s="346">
        <v>5</v>
      </c>
      <c r="V54" s="289"/>
      <c r="W54" s="294">
        <f t="shared" si="5"/>
        <v>5</v>
      </c>
      <c r="X54" s="308">
        <f t="shared" si="6"/>
        <v>71</v>
      </c>
      <c r="Y54" s="64">
        <f t="shared" si="6"/>
        <v>0</v>
      </c>
      <c r="Z54" s="309">
        <f t="shared" si="6"/>
        <v>71</v>
      </c>
      <c r="AA54" s="310">
        <f t="shared" si="7"/>
        <v>11.833333333333334</v>
      </c>
      <c r="AB54" s="65">
        <f t="shared" si="7"/>
        <v>0</v>
      </c>
      <c r="AC54" s="311">
        <f t="shared" si="7"/>
        <v>11.833333333333334</v>
      </c>
      <c r="AD54" s="347" t="s">
        <v>15</v>
      </c>
    </row>
    <row r="55" spans="1:30" ht="15.75" hidden="1">
      <c r="A55" s="289">
        <v>49</v>
      </c>
      <c r="B55" s="351" t="s">
        <v>2383</v>
      </c>
      <c r="C55" s="305" t="s">
        <v>2282</v>
      </c>
      <c r="D55" s="291" t="s">
        <v>2384</v>
      </c>
      <c r="E55" s="306">
        <v>25</v>
      </c>
      <c r="F55" s="307">
        <v>28</v>
      </c>
      <c r="G55" s="289"/>
      <c r="H55" s="294">
        <f t="shared" si="0"/>
        <v>28</v>
      </c>
      <c r="I55" s="346">
        <v>50</v>
      </c>
      <c r="J55" s="289"/>
      <c r="K55" s="294">
        <f t="shared" si="1"/>
        <v>50</v>
      </c>
      <c r="L55" s="346">
        <v>18</v>
      </c>
      <c r="M55" s="289"/>
      <c r="N55" s="294">
        <f t="shared" si="2"/>
        <v>18</v>
      </c>
      <c r="O55" s="346">
        <v>25</v>
      </c>
      <c r="P55" s="289"/>
      <c r="Q55" s="294">
        <f t="shared" si="3"/>
        <v>25</v>
      </c>
      <c r="R55" s="346">
        <v>45</v>
      </c>
      <c r="S55" s="289"/>
      <c r="T55" s="294">
        <f t="shared" si="4"/>
        <v>45</v>
      </c>
      <c r="U55" s="346">
        <v>25</v>
      </c>
      <c r="V55" s="289">
        <v>10</v>
      </c>
      <c r="W55" s="294">
        <f t="shared" si="5"/>
        <v>35</v>
      </c>
      <c r="X55" s="308">
        <f t="shared" si="6"/>
        <v>191</v>
      </c>
      <c r="Y55" s="64">
        <f t="shared" si="6"/>
        <v>10</v>
      </c>
      <c r="Z55" s="309">
        <f t="shared" si="6"/>
        <v>201</v>
      </c>
      <c r="AA55" s="310">
        <f t="shared" si="7"/>
        <v>31.833333333333332</v>
      </c>
      <c r="AB55" s="65">
        <f t="shared" si="7"/>
        <v>1.6666666666666667</v>
      </c>
      <c r="AC55" s="311">
        <f t="shared" si="7"/>
        <v>33.5</v>
      </c>
      <c r="AD55" s="347" t="s">
        <v>15</v>
      </c>
    </row>
    <row r="56" spans="1:30" ht="15.75" hidden="1">
      <c r="A56" s="302">
        <v>50</v>
      </c>
      <c r="B56" s="351" t="s">
        <v>2385</v>
      </c>
      <c r="C56" s="305" t="s">
        <v>2282</v>
      </c>
      <c r="D56" s="305" t="s">
        <v>2386</v>
      </c>
      <c r="E56" s="306">
        <v>10</v>
      </c>
      <c r="F56" s="307"/>
      <c r="G56" s="289"/>
      <c r="H56" s="294">
        <f t="shared" si="0"/>
        <v>0</v>
      </c>
      <c r="I56" s="346">
        <v>3</v>
      </c>
      <c r="J56" s="289"/>
      <c r="K56" s="294">
        <f t="shared" si="1"/>
        <v>3</v>
      </c>
      <c r="L56" s="346">
        <v>0</v>
      </c>
      <c r="M56" s="289"/>
      <c r="N56" s="294">
        <f t="shared" si="2"/>
        <v>0</v>
      </c>
      <c r="O56" s="346">
        <v>0</v>
      </c>
      <c r="P56" s="289"/>
      <c r="Q56" s="294">
        <f t="shared" si="3"/>
        <v>0</v>
      </c>
      <c r="R56" s="346">
        <v>0</v>
      </c>
      <c r="S56" s="289"/>
      <c r="T56" s="294">
        <f t="shared" si="4"/>
        <v>0</v>
      </c>
      <c r="U56" s="346">
        <v>0</v>
      </c>
      <c r="V56" s="289"/>
      <c r="W56" s="294">
        <f t="shared" si="5"/>
        <v>0</v>
      </c>
      <c r="X56" s="308">
        <f t="shared" si="6"/>
        <v>3</v>
      </c>
      <c r="Y56" s="64">
        <f t="shared" si="6"/>
        <v>0</v>
      </c>
      <c r="Z56" s="309">
        <f t="shared" si="6"/>
        <v>3</v>
      </c>
      <c r="AA56" s="310">
        <f t="shared" si="7"/>
        <v>0.5</v>
      </c>
      <c r="AB56" s="65">
        <f t="shared" si="7"/>
        <v>0</v>
      </c>
      <c r="AC56" s="311">
        <f t="shared" si="7"/>
        <v>0.5</v>
      </c>
      <c r="AD56" s="347" t="s">
        <v>15</v>
      </c>
    </row>
    <row r="57" spans="1:30" ht="15.75" hidden="1">
      <c r="A57" s="289">
        <v>51</v>
      </c>
      <c r="B57" s="351" t="s">
        <v>2387</v>
      </c>
      <c r="C57" s="305" t="s">
        <v>2282</v>
      </c>
      <c r="D57" s="291" t="s">
        <v>2388</v>
      </c>
      <c r="E57" s="306">
        <v>10</v>
      </c>
      <c r="F57" s="307">
        <v>3</v>
      </c>
      <c r="G57" s="289"/>
      <c r="H57" s="294">
        <f t="shared" si="0"/>
        <v>3</v>
      </c>
      <c r="I57" s="346">
        <v>5</v>
      </c>
      <c r="J57" s="289"/>
      <c r="K57" s="294">
        <f t="shared" si="1"/>
        <v>5</v>
      </c>
      <c r="L57" s="346">
        <v>5</v>
      </c>
      <c r="M57" s="289"/>
      <c r="N57" s="294">
        <f t="shared" si="2"/>
        <v>5</v>
      </c>
      <c r="O57" s="346">
        <v>8</v>
      </c>
      <c r="P57" s="289"/>
      <c r="Q57" s="294">
        <f t="shared" si="3"/>
        <v>8</v>
      </c>
      <c r="R57" s="346">
        <v>10</v>
      </c>
      <c r="S57" s="289"/>
      <c r="T57" s="294">
        <f t="shared" si="4"/>
        <v>10</v>
      </c>
      <c r="U57" s="346">
        <v>5</v>
      </c>
      <c r="V57" s="289"/>
      <c r="W57" s="294">
        <f t="shared" si="5"/>
        <v>5</v>
      </c>
      <c r="X57" s="308">
        <f t="shared" si="6"/>
        <v>36</v>
      </c>
      <c r="Y57" s="64">
        <f t="shared" si="6"/>
        <v>0</v>
      </c>
      <c r="Z57" s="309">
        <f t="shared" si="6"/>
        <v>36</v>
      </c>
      <c r="AA57" s="310">
        <f t="shared" si="7"/>
        <v>6</v>
      </c>
      <c r="AB57" s="65">
        <f t="shared" si="7"/>
        <v>0</v>
      </c>
      <c r="AC57" s="311">
        <f t="shared" si="7"/>
        <v>6</v>
      </c>
      <c r="AD57" s="347" t="s">
        <v>15</v>
      </c>
    </row>
    <row r="58" spans="1:30" ht="15.75" hidden="1">
      <c r="A58" s="302">
        <v>52</v>
      </c>
      <c r="B58" s="352" t="s">
        <v>2389</v>
      </c>
      <c r="C58" s="305" t="s">
        <v>2282</v>
      </c>
      <c r="D58" s="305" t="s">
        <v>2390</v>
      </c>
      <c r="E58" s="306">
        <v>15</v>
      </c>
      <c r="F58" s="307">
        <v>15</v>
      </c>
      <c r="G58" s="289"/>
      <c r="H58" s="294">
        <f t="shared" si="0"/>
        <v>15</v>
      </c>
      <c r="I58" s="346">
        <v>25</v>
      </c>
      <c r="J58" s="289"/>
      <c r="K58" s="294">
        <f t="shared" si="1"/>
        <v>25</v>
      </c>
      <c r="L58" s="346">
        <v>10</v>
      </c>
      <c r="M58" s="289"/>
      <c r="N58" s="294">
        <f t="shared" si="2"/>
        <v>10</v>
      </c>
      <c r="O58" s="346">
        <v>15</v>
      </c>
      <c r="P58" s="289"/>
      <c r="Q58" s="294">
        <f t="shared" si="3"/>
        <v>15</v>
      </c>
      <c r="R58" s="346">
        <v>20</v>
      </c>
      <c r="S58" s="289"/>
      <c r="T58" s="294">
        <f t="shared" si="4"/>
        <v>20</v>
      </c>
      <c r="U58" s="346">
        <v>10</v>
      </c>
      <c r="V58" s="289"/>
      <c r="W58" s="294">
        <f t="shared" si="5"/>
        <v>10</v>
      </c>
      <c r="X58" s="308">
        <f t="shared" si="6"/>
        <v>95</v>
      </c>
      <c r="Y58" s="64">
        <f t="shared" si="6"/>
        <v>0</v>
      </c>
      <c r="Z58" s="309">
        <f t="shared" si="6"/>
        <v>95</v>
      </c>
      <c r="AA58" s="310">
        <f t="shared" si="7"/>
        <v>15.833333333333334</v>
      </c>
      <c r="AB58" s="65">
        <f t="shared" si="7"/>
        <v>0</v>
      </c>
      <c r="AC58" s="311">
        <f t="shared" si="7"/>
        <v>15.833333333333334</v>
      </c>
      <c r="AD58" s="347" t="s">
        <v>15</v>
      </c>
    </row>
    <row r="59" spans="1:30" ht="15.75" hidden="1">
      <c r="A59" s="289">
        <v>53</v>
      </c>
      <c r="B59" s="351" t="s">
        <v>2391</v>
      </c>
      <c r="C59" s="305" t="s">
        <v>2282</v>
      </c>
      <c r="D59" s="291" t="s">
        <v>2392</v>
      </c>
      <c r="E59" s="306">
        <v>35</v>
      </c>
      <c r="F59" s="307">
        <v>25</v>
      </c>
      <c r="G59" s="289"/>
      <c r="H59" s="294">
        <f t="shared" si="0"/>
        <v>25</v>
      </c>
      <c r="I59" s="346">
        <v>55</v>
      </c>
      <c r="J59" s="289"/>
      <c r="K59" s="294">
        <f t="shared" si="1"/>
        <v>55</v>
      </c>
      <c r="L59" s="346">
        <v>15</v>
      </c>
      <c r="M59" s="289"/>
      <c r="N59" s="294">
        <f t="shared" si="2"/>
        <v>15</v>
      </c>
      <c r="O59" s="346">
        <v>18</v>
      </c>
      <c r="P59" s="289"/>
      <c r="Q59" s="294">
        <f t="shared" si="3"/>
        <v>18</v>
      </c>
      <c r="R59" s="346">
        <v>25</v>
      </c>
      <c r="S59" s="289"/>
      <c r="T59" s="294">
        <f t="shared" si="4"/>
        <v>25</v>
      </c>
      <c r="U59" s="346">
        <v>15</v>
      </c>
      <c r="V59" s="289"/>
      <c r="W59" s="294">
        <f t="shared" si="5"/>
        <v>15</v>
      </c>
      <c r="X59" s="308">
        <f t="shared" si="6"/>
        <v>153</v>
      </c>
      <c r="Y59" s="64">
        <f t="shared" si="6"/>
        <v>0</v>
      </c>
      <c r="Z59" s="309">
        <f t="shared" si="6"/>
        <v>153</v>
      </c>
      <c r="AA59" s="310">
        <f t="shared" si="7"/>
        <v>25.5</v>
      </c>
      <c r="AB59" s="65">
        <f t="shared" si="7"/>
        <v>0</v>
      </c>
      <c r="AC59" s="311">
        <f t="shared" si="7"/>
        <v>25.5</v>
      </c>
      <c r="AD59" s="347" t="s">
        <v>15</v>
      </c>
    </row>
    <row r="60" spans="1:30" ht="15.75" hidden="1">
      <c r="A60" s="302">
        <v>54</v>
      </c>
      <c r="B60" s="351" t="s">
        <v>1116</v>
      </c>
      <c r="C60" s="305" t="s">
        <v>2282</v>
      </c>
      <c r="D60" s="305" t="s">
        <v>2393</v>
      </c>
      <c r="E60" s="306">
        <v>25</v>
      </c>
      <c r="F60" s="307">
        <v>12</v>
      </c>
      <c r="G60" s="289"/>
      <c r="H60" s="294">
        <f t="shared" si="0"/>
        <v>12</v>
      </c>
      <c r="I60" s="346">
        <v>29</v>
      </c>
      <c r="J60" s="289"/>
      <c r="K60" s="294">
        <f t="shared" si="1"/>
        <v>29</v>
      </c>
      <c r="L60" s="346">
        <v>10</v>
      </c>
      <c r="M60" s="289"/>
      <c r="N60" s="294">
        <f t="shared" si="2"/>
        <v>10</v>
      </c>
      <c r="O60" s="346">
        <v>13</v>
      </c>
      <c r="P60" s="289"/>
      <c r="Q60" s="294">
        <f t="shared" si="3"/>
        <v>13</v>
      </c>
      <c r="R60" s="346">
        <v>20</v>
      </c>
      <c r="S60" s="289"/>
      <c r="T60" s="294">
        <f t="shared" si="4"/>
        <v>20</v>
      </c>
      <c r="U60" s="346">
        <v>13</v>
      </c>
      <c r="V60" s="289"/>
      <c r="W60" s="294">
        <f t="shared" si="5"/>
        <v>13</v>
      </c>
      <c r="X60" s="308">
        <f t="shared" si="6"/>
        <v>97</v>
      </c>
      <c r="Y60" s="64">
        <f t="shared" si="6"/>
        <v>0</v>
      </c>
      <c r="Z60" s="309">
        <f t="shared" si="6"/>
        <v>97</v>
      </c>
      <c r="AA60" s="310">
        <f t="shared" si="7"/>
        <v>16.166666666666668</v>
      </c>
      <c r="AB60" s="65">
        <f t="shared" si="7"/>
        <v>0</v>
      </c>
      <c r="AC60" s="311">
        <f t="shared" si="7"/>
        <v>16.166666666666668</v>
      </c>
      <c r="AD60" s="347" t="s">
        <v>15</v>
      </c>
    </row>
    <row r="61" spans="1:30" ht="15.75" hidden="1">
      <c r="A61" s="289">
        <v>55</v>
      </c>
      <c r="B61" s="351" t="s">
        <v>2394</v>
      </c>
      <c r="C61" s="305" t="s">
        <v>2282</v>
      </c>
      <c r="D61" s="291" t="s">
        <v>2395</v>
      </c>
      <c r="E61" s="306">
        <v>25</v>
      </c>
      <c r="F61" s="307">
        <v>18</v>
      </c>
      <c r="G61" s="289"/>
      <c r="H61" s="294">
        <f t="shared" si="0"/>
        <v>18</v>
      </c>
      <c r="I61" s="346">
        <v>25</v>
      </c>
      <c r="J61" s="289"/>
      <c r="K61" s="294">
        <f t="shared" si="1"/>
        <v>25</v>
      </c>
      <c r="L61" s="346">
        <v>10</v>
      </c>
      <c r="M61" s="289"/>
      <c r="N61" s="294">
        <f t="shared" si="2"/>
        <v>10</v>
      </c>
      <c r="O61" s="346">
        <v>15</v>
      </c>
      <c r="P61" s="289"/>
      <c r="Q61" s="294">
        <f t="shared" si="3"/>
        <v>15</v>
      </c>
      <c r="R61" s="346">
        <v>20</v>
      </c>
      <c r="S61" s="289"/>
      <c r="T61" s="294">
        <f t="shared" si="4"/>
        <v>20</v>
      </c>
      <c r="U61" s="346">
        <v>15</v>
      </c>
      <c r="V61" s="289"/>
      <c r="W61" s="294">
        <f t="shared" si="5"/>
        <v>15</v>
      </c>
      <c r="X61" s="308">
        <f t="shared" si="6"/>
        <v>103</v>
      </c>
      <c r="Y61" s="64">
        <f t="shared" si="6"/>
        <v>0</v>
      </c>
      <c r="Z61" s="309">
        <f t="shared" si="6"/>
        <v>103</v>
      </c>
      <c r="AA61" s="310">
        <f t="shared" si="7"/>
        <v>17.166666666666668</v>
      </c>
      <c r="AB61" s="65">
        <f t="shared" si="7"/>
        <v>0</v>
      </c>
      <c r="AC61" s="311">
        <f t="shared" si="7"/>
        <v>17.166666666666668</v>
      </c>
      <c r="AD61" s="347" t="s">
        <v>15</v>
      </c>
    </row>
    <row r="62" spans="1:30" ht="15.75" hidden="1">
      <c r="A62" s="302">
        <v>56</v>
      </c>
      <c r="B62" s="351" t="s">
        <v>2396</v>
      </c>
      <c r="C62" s="305" t="s">
        <v>2282</v>
      </c>
      <c r="D62" s="305" t="s">
        <v>2397</v>
      </c>
      <c r="E62" s="306">
        <v>20</v>
      </c>
      <c r="F62" s="307">
        <v>35</v>
      </c>
      <c r="G62" s="289"/>
      <c r="H62" s="294">
        <f t="shared" si="0"/>
        <v>35</v>
      </c>
      <c r="I62" s="346">
        <v>40</v>
      </c>
      <c r="J62" s="289"/>
      <c r="K62" s="294">
        <f t="shared" si="1"/>
        <v>40</v>
      </c>
      <c r="L62" s="346">
        <v>20</v>
      </c>
      <c r="M62" s="289"/>
      <c r="N62" s="294">
        <f t="shared" si="2"/>
        <v>20</v>
      </c>
      <c r="O62" s="346">
        <v>25</v>
      </c>
      <c r="P62" s="289"/>
      <c r="Q62" s="294">
        <f t="shared" si="3"/>
        <v>25</v>
      </c>
      <c r="R62" s="346">
        <v>35</v>
      </c>
      <c r="S62" s="289"/>
      <c r="T62" s="294">
        <f t="shared" si="4"/>
        <v>35</v>
      </c>
      <c r="U62" s="346">
        <v>20</v>
      </c>
      <c r="V62" s="289"/>
      <c r="W62" s="294">
        <f t="shared" si="5"/>
        <v>20</v>
      </c>
      <c r="X62" s="308">
        <f t="shared" si="6"/>
        <v>175</v>
      </c>
      <c r="Y62" s="64">
        <f t="shared" si="6"/>
        <v>0</v>
      </c>
      <c r="Z62" s="309">
        <f t="shared" si="6"/>
        <v>175</v>
      </c>
      <c r="AA62" s="310">
        <f t="shared" si="7"/>
        <v>29.166666666666668</v>
      </c>
      <c r="AB62" s="65">
        <f t="shared" si="7"/>
        <v>0</v>
      </c>
      <c r="AC62" s="311">
        <f t="shared" si="7"/>
        <v>29.166666666666668</v>
      </c>
      <c r="AD62" s="347" t="s">
        <v>18</v>
      </c>
    </row>
    <row r="63" spans="1:30" ht="15.75" hidden="1">
      <c r="A63" s="289">
        <v>57</v>
      </c>
      <c r="B63" s="352" t="s">
        <v>2398</v>
      </c>
      <c r="C63" s="305" t="s">
        <v>2282</v>
      </c>
      <c r="D63" s="291" t="s">
        <v>2399</v>
      </c>
      <c r="E63" s="306">
        <v>30</v>
      </c>
      <c r="F63" s="307">
        <v>45</v>
      </c>
      <c r="G63" s="289"/>
      <c r="H63" s="294">
        <f t="shared" si="0"/>
        <v>45</v>
      </c>
      <c r="I63" s="346">
        <v>75</v>
      </c>
      <c r="J63" s="289"/>
      <c r="K63" s="294">
        <f t="shared" si="1"/>
        <v>75</v>
      </c>
      <c r="L63" s="346">
        <v>25</v>
      </c>
      <c r="M63" s="289"/>
      <c r="N63" s="294">
        <f t="shared" si="2"/>
        <v>25</v>
      </c>
      <c r="O63" s="346">
        <v>30</v>
      </c>
      <c r="P63" s="289"/>
      <c r="Q63" s="294">
        <f t="shared" si="3"/>
        <v>30</v>
      </c>
      <c r="R63" s="346">
        <v>33</v>
      </c>
      <c r="S63" s="289"/>
      <c r="T63" s="294">
        <f t="shared" si="4"/>
        <v>33</v>
      </c>
      <c r="U63" s="346">
        <v>15</v>
      </c>
      <c r="V63" s="289"/>
      <c r="W63" s="294">
        <f t="shared" si="5"/>
        <v>15</v>
      </c>
      <c r="X63" s="308">
        <f t="shared" si="6"/>
        <v>223</v>
      </c>
      <c r="Y63" s="64">
        <f t="shared" si="6"/>
        <v>0</v>
      </c>
      <c r="Z63" s="309">
        <f t="shared" si="6"/>
        <v>223</v>
      </c>
      <c r="AA63" s="310">
        <f t="shared" si="7"/>
        <v>37.166666666666664</v>
      </c>
      <c r="AB63" s="65">
        <f t="shared" si="7"/>
        <v>0</v>
      </c>
      <c r="AC63" s="311">
        <f t="shared" si="7"/>
        <v>37.166666666666664</v>
      </c>
      <c r="AD63" s="347" t="s">
        <v>18</v>
      </c>
    </row>
    <row r="64" spans="1:30" ht="15.75">
      <c r="A64" s="450">
        <v>58</v>
      </c>
      <c r="B64" s="461" t="s">
        <v>2400</v>
      </c>
      <c r="C64" s="451" t="s">
        <v>2282</v>
      </c>
      <c r="D64" s="451" t="s">
        <v>2401</v>
      </c>
      <c r="E64" s="440">
        <v>46</v>
      </c>
      <c r="F64" s="459">
        <v>41</v>
      </c>
      <c r="G64" s="460">
        <v>0</v>
      </c>
      <c r="H64" s="442">
        <f t="shared" si="0"/>
        <v>41</v>
      </c>
      <c r="I64" s="459">
        <v>112</v>
      </c>
      <c r="J64" s="460">
        <v>0</v>
      </c>
      <c r="K64" s="442">
        <f t="shared" si="1"/>
        <v>112</v>
      </c>
      <c r="L64" s="459">
        <v>112</v>
      </c>
      <c r="M64" s="460">
        <v>0</v>
      </c>
      <c r="N64" s="442">
        <f t="shared" si="2"/>
        <v>112</v>
      </c>
      <c r="O64" s="459">
        <v>59</v>
      </c>
      <c r="P64" s="460">
        <v>0</v>
      </c>
      <c r="Q64" s="442">
        <f t="shared" si="3"/>
        <v>59</v>
      </c>
      <c r="R64" s="459">
        <v>61</v>
      </c>
      <c r="S64" s="460">
        <v>0</v>
      </c>
      <c r="T64" s="442">
        <f t="shared" si="4"/>
        <v>61</v>
      </c>
      <c r="U64" s="459">
        <v>0</v>
      </c>
      <c r="V64" s="460">
        <v>0</v>
      </c>
      <c r="W64" s="442">
        <f t="shared" si="5"/>
        <v>0</v>
      </c>
      <c r="X64" s="482">
        <f t="shared" si="6"/>
        <v>385</v>
      </c>
      <c r="Y64" s="54">
        <f t="shared" si="6"/>
        <v>0</v>
      </c>
      <c r="Z64" s="483">
        <f t="shared" si="6"/>
        <v>385</v>
      </c>
      <c r="AA64" s="484">
        <f t="shared" si="7"/>
        <v>64.166666666666671</v>
      </c>
      <c r="AB64" s="485">
        <f t="shared" si="7"/>
        <v>0</v>
      </c>
      <c r="AC64" s="486">
        <f t="shared" si="7"/>
        <v>64.166666666666671</v>
      </c>
      <c r="AD64" s="440" t="s">
        <v>18</v>
      </c>
    </row>
    <row r="65" spans="1:30" ht="15.75" customHeight="1">
      <c r="A65" s="436">
        <v>59</v>
      </c>
      <c r="B65" s="461" t="s">
        <v>2402</v>
      </c>
      <c r="C65" s="451" t="s">
        <v>2282</v>
      </c>
      <c r="D65" s="439" t="s">
        <v>2403</v>
      </c>
      <c r="E65" s="440">
        <v>76</v>
      </c>
      <c r="F65" s="459">
        <v>93</v>
      </c>
      <c r="G65" s="460">
        <v>0</v>
      </c>
      <c r="H65" s="442">
        <f t="shared" si="0"/>
        <v>93</v>
      </c>
      <c r="I65" s="459">
        <v>85</v>
      </c>
      <c r="J65" s="460">
        <v>0</v>
      </c>
      <c r="K65" s="442">
        <f t="shared" si="1"/>
        <v>85</v>
      </c>
      <c r="L65" s="459">
        <v>144</v>
      </c>
      <c r="M65" s="460">
        <v>0</v>
      </c>
      <c r="N65" s="442">
        <f t="shared" si="2"/>
        <v>144</v>
      </c>
      <c r="O65" s="459">
        <v>20</v>
      </c>
      <c r="P65" s="460">
        <v>0</v>
      </c>
      <c r="Q65" s="442">
        <f t="shared" si="3"/>
        <v>20</v>
      </c>
      <c r="R65" s="459">
        <v>50</v>
      </c>
      <c r="S65" s="460">
        <v>0</v>
      </c>
      <c r="T65" s="442">
        <f t="shared" si="4"/>
        <v>50</v>
      </c>
      <c r="U65" s="459">
        <v>85</v>
      </c>
      <c r="V65" s="460">
        <v>0</v>
      </c>
      <c r="W65" s="442">
        <f t="shared" si="5"/>
        <v>85</v>
      </c>
      <c r="X65" s="482">
        <f t="shared" si="6"/>
        <v>477</v>
      </c>
      <c r="Y65" s="54">
        <f t="shared" si="6"/>
        <v>0</v>
      </c>
      <c r="Z65" s="483">
        <f t="shared" si="6"/>
        <v>477</v>
      </c>
      <c r="AA65" s="484">
        <f t="shared" si="7"/>
        <v>79.5</v>
      </c>
      <c r="AB65" s="485">
        <f t="shared" si="7"/>
        <v>0</v>
      </c>
      <c r="AC65" s="486">
        <f t="shared" si="7"/>
        <v>79.5</v>
      </c>
      <c r="AD65" s="440" t="s">
        <v>18</v>
      </c>
    </row>
    <row r="66" spans="1:30" ht="15.75" hidden="1" customHeight="1">
      <c r="A66" s="450">
        <v>60</v>
      </c>
      <c r="B66" s="480" t="s">
        <v>2281</v>
      </c>
      <c r="C66" s="451" t="s">
        <v>2282</v>
      </c>
      <c r="D66" s="451" t="s">
        <v>2283</v>
      </c>
      <c r="E66" s="440">
        <v>215</v>
      </c>
      <c r="F66" s="459">
        <v>0</v>
      </c>
      <c r="G66" s="460">
        <v>0</v>
      </c>
      <c r="H66" s="442">
        <f t="shared" si="0"/>
        <v>0</v>
      </c>
      <c r="I66" s="459">
        <v>241</v>
      </c>
      <c r="J66" s="460">
        <v>0</v>
      </c>
      <c r="K66" s="442">
        <f t="shared" si="1"/>
        <v>241</v>
      </c>
      <c r="L66" s="459">
        <v>0</v>
      </c>
      <c r="M66" s="460">
        <v>0</v>
      </c>
      <c r="N66" s="442">
        <f t="shared" si="2"/>
        <v>0</v>
      </c>
      <c r="O66" s="487">
        <v>0</v>
      </c>
      <c r="P66" s="488">
        <v>0</v>
      </c>
      <c r="Q66" s="489">
        <f t="shared" si="3"/>
        <v>0</v>
      </c>
      <c r="R66" s="487">
        <v>0</v>
      </c>
      <c r="S66" s="488">
        <v>0</v>
      </c>
      <c r="T66" s="489">
        <f t="shared" si="4"/>
        <v>0</v>
      </c>
      <c r="U66" s="487">
        <v>0</v>
      </c>
      <c r="V66" s="488">
        <v>0</v>
      </c>
      <c r="W66" s="489">
        <f t="shared" si="5"/>
        <v>0</v>
      </c>
      <c r="X66" s="482">
        <f t="shared" si="6"/>
        <v>241</v>
      </c>
      <c r="Y66" s="54">
        <f t="shared" si="6"/>
        <v>0</v>
      </c>
      <c r="Z66" s="483">
        <f t="shared" si="6"/>
        <v>241</v>
      </c>
      <c r="AA66" s="484">
        <f t="shared" si="7"/>
        <v>40.166666666666664</v>
      </c>
      <c r="AB66" s="485">
        <f t="shared" si="7"/>
        <v>0</v>
      </c>
      <c r="AC66" s="486">
        <f t="shared" si="7"/>
        <v>40.166666666666664</v>
      </c>
      <c r="AD66" s="440" t="s">
        <v>15</v>
      </c>
    </row>
    <row r="67" spans="1:30" ht="15.75" customHeight="1">
      <c r="A67" s="436">
        <v>61</v>
      </c>
      <c r="B67" s="461" t="s">
        <v>2404</v>
      </c>
      <c r="C67" s="451" t="s">
        <v>2282</v>
      </c>
      <c r="D67" s="439" t="s">
        <v>2405</v>
      </c>
      <c r="E67" s="440">
        <v>389</v>
      </c>
      <c r="F67" s="459">
        <v>500</v>
      </c>
      <c r="G67" s="460">
        <v>0</v>
      </c>
      <c r="H67" s="442">
        <f t="shared" si="0"/>
        <v>500</v>
      </c>
      <c r="I67" s="459">
        <v>501</v>
      </c>
      <c r="J67" s="460">
        <v>0</v>
      </c>
      <c r="K67" s="442">
        <f t="shared" si="1"/>
        <v>501</v>
      </c>
      <c r="L67" s="459">
        <v>501</v>
      </c>
      <c r="M67" s="460">
        <v>36</v>
      </c>
      <c r="N67" s="442">
        <f t="shared" si="2"/>
        <v>537</v>
      </c>
      <c r="O67" s="459">
        <v>0</v>
      </c>
      <c r="P67" s="460">
        <v>0</v>
      </c>
      <c r="Q67" s="442">
        <f t="shared" si="3"/>
        <v>0</v>
      </c>
      <c r="R67" s="459">
        <v>0</v>
      </c>
      <c r="S67" s="460">
        <v>0</v>
      </c>
      <c r="T67" s="442">
        <f t="shared" si="4"/>
        <v>0</v>
      </c>
      <c r="U67" s="459">
        <v>502</v>
      </c>
      <c r="V67" s="460">
        <v>0</v>
      </c>
      <c r="W67" s="442">
        <f t="shared" si="5"/>
        <v>502</v>
      </c>
      <c r="X67" s="482">
        <f t="shared" si="6"/>
        <v>2004</v>
      </c>
      <c r="Y67" s="54">
        <f t="shared" si="6"/>
        <v>36</v>
      </c>
      <c r="Z67" s="483">
        <f t="shared" si="6"/>
        <v>2040</v>
      </c>
      <c r="AA67" s="484">
        <f t="shared" si="7"/>
        <v>334</v>
      </c>
      <c r="AB67" s="485">
        <f t="shared" si="7"/>
        <v>6</v>
      </c>
      <c r="AC67" s="486">
        <f t="shared" si="7"/>
        <v>340</v>
      </c>
      <c r="AD67" s="440" t="s">
        <v>15</v>
      </c>
    </row>
    <row r="68" spans="1:30" ht="15.75" customHeight="1">
      <c r="A68" s="450">
        <v>62</v>
      </c>
      <c r="B68" s="461" t="s">
        <v>2284</v>
      </c>
      <c r="C68" s="451" t="s">
        <v>2282</v>
      </c>
      <c r="D68" s="451" t="s">
        <v>2285</v>
      </c>
      <c r="E68" s="440">
        <v>1003</v>
      </c>
      <c r="F68" s="459">
        <v>422</v>
      </c>
      <c r="G68" s="460">
        <v>0</v>
      </c>
      <c r="H68" s="442">
        <f t="shared" si="0"/>
        <v>422</v>
      </c>
      <c r="I68" s="459">
        <v>770</v>
      </c>
      <c r="J68" s="460">
        <v>0</v>
      </c>
      <c r="K68" s="442">
        <f t="shared" si="1"/>
        <v>770</v>
      </c>
      <c r="L68" s="459">
        <v>798</v>
      </c>
      <c r="M68" s="460">
        <v>0</v>
      </c>
      <c r="N68" s="442">
        <f t="shared" si="2"/>
        <v>798</v>
      </c>
      <c r="O68" s="487">
        <v>0</v>
      </c>
      <c r="P68" s="488">
        <v>0</v>
      </c>
      <c r="Q68" s="489">
        <f t="shared" si="3"/>
        <v>0</v>
      </c>
      <c r="R68" s="487">
        <v>0</v>
      </c>
      <c r="S68" s="488">
        <v>0</v>
      </c>
      <c r="T68" s="489">
        <f t="shared" si="4"/>
        <v>0</v>
      </c>
      <c r="U68" s="487">
        <v>0</v>
      </c>
      <c r="V68" s="488">
        <v>0</v>
      </c>
      <c r="W68" s="489">
        <f t="shared" si="5"/>
        <v>0</v>
      </c>
      <c r="X68" s="482">
        <f t="shared" si="6"/>
        <v>1990</v>
      </c>
      <c r="Y68" s="54">
        <f t="shared" si="6"/>
        <v>0</v>
      </c>
      <c r="Z68" s="483">
        <f t="shared" si="6"/>
        <v>1990</v>
      </c>
      <c r="AA68" s="484">
        <f t="shared" si="7"/>
        <v>331.66666666666669</v>
      </c>
      <c r="AB68" s="485">
        <f t="shared" si="7"/>
        <v>0</v>
      </c>
      <c r="AC68" s="486">
        <f t="shared" si="7"/>
        <v>331.66666666666669</v>
      </c>
      <c r="AD68" s="440" t="s">
        <v>15</v>
      </c>
    </row>
    <row r="69" spans="1:30" ht="15.75" customHeight="1">
      <c r="A69" s="436">
        <v>63</v>
      </c>
      <c r="B69" s="461" t="s">
        <v>2286</v>
      </c>
      <c r="C69" s="451" t="s">
        <v>2282</v>
      </c>
      <c r="D69" s="439" t="s">
        <v>2287</v>
      </c>
      <c r="E69" s="440">
        <v>745</v>
      </c>
      <c r="F69" s="459">
        <v>880</v>
      </c>
      <c r="G69" s="460">
        <v>0</v>
      </c>
      <c r="H69" s="442">
        <f t="shared" si="0"/>
        <v>880</v>
      </c>
      <c r="I69" s="459">
        <v>0</v>
      </c>
      <c r="J69" s="460">
        <v>0</v>
      </c>
      <c r="K69" s="442">
        <f t="shared" si="1"/>
        <v>0</v>
      </c>
      <c r="L69" s="459">
        <v>1065</v>
      </c>
      <c r="M69" s="460">
        <v>0</v>
      </c>
      <c r="N69" s="442">
        <f t="shared" si="2"/>
        <v>1065</v>
      </c>
      <c r="O69" s="487">
        <v>0</v>
      </c>
      <c r="P69" s="488">
        <v>0</v>
      </c>
      <c r="Q69" s="489">
        <f t="shared" si="3"/>
        <v>0</v>
      </c>
      <c r="R69" s="487">
        <v>0</v>
      </c>
      <c r="S69" s="488">
        <v>0</v>
      </c>
      <c r="T69" s="489">
        <f t="shared" si="4"/>
        <v>0</v>
      </c>
      <c r="U69" s="487">
        <v>0</v>
      </c>
      <c r="V69" s="488">
        <v>0</v>
      </c>
      <c r="W69" s="489">
        <f t="shared" si="5"/>
        <v>0</v>
      </c>
      <c r="X69" s="482">
        <f t="shared" si="6"/>
        <v>1945</v>
      </c>
      <c r="Y69" s="54">
        <f t="shared" si="6"/>
        <v>0</v>
      </c>
      <c r="Z69" s="483">
        <f t="shared" si="6"/>
        <v>1945</v>
      </c>
      <c r="AA69" s="484">
        <f t="shared" si="7"/>
        <v>324.16666666666669</v>
      </c>
      <c r="AB69" s="485">
        <f t="shared" si="7"/>
        <v>0</v>
      </c>
      <c r="AC69" s="486">
        <f t="shared" si="7"/>
        <v>324.16666666666669</v>
      </c>
      <c r="AD69" s="440" t="s">
        <v>15</v>
      </c>
    </row>
    <row r="70" spans="1:30" ht="15.75" customHeight="1">
      <c r="A70" s="450">
        <v>64</v>
      </c>
      <c r="B70" s="461" t="s">
        <v>2406</v>
      </c>
      <c r="C70" s="451" t="s">
        <v>2282</v>
      </c>
      <c r="D70" s="451" t="s">
        <v>2407</v>
      </c>
      <c r="E70" s="440">
        <v>224</v>
      </c>
      <c r="F70" s="459">
        <v>307</v>
      </c>
      <c r="G70" s="460">
        <v>0</v>
      </c>
      <c r="H70" s="442">
        <f t="shared" si="0"/>
        <v>307</v>
      </c>
      <c r="I70" s="459">
        <v>0</v>
      </c>
      <c r="J70" s="460">
        <v>0</v>
      </c>
      <c r="K70" s="442">
        <f t="shared" si="1"/>
        <v>0</v>
      </c>
      <c r="L70" s="459">
        <v>354</v>
      </c>
      <c r="M70" s="460">
        <v>0</v>
      </c>
      <c r="N70" s="442">
        <f t="shared" si="2"/>
        <v>354</v>
      </c>
      <c r="O70" s="459">
        <v>362</v>
      </c>
      <c r="P70" s="460">
        <v>0</v>
      </c>
      <c r="Q70" s="442">
        <f t="shared" si="3"/>
        <v>362</v>
      </c>
      <c r="R70" s="459">
        <v>0</v>
      </c>
      <c r="S70" s="460">
        <v>0</v>
      </c>
      <c r="T70" s="442">
        <f t="shared" si="4"/>
        <v>0</v>
      </c>
      <c r="U70" s="459">
        <v>326</v>
      </c>
      <c r="V70" s="460">
        <v>0</v>
      </c>
      <c r="W70" s="442">
        <f t="shared" si="5"/>
        <v>326</v>
      </c>
      <c r="X70" s="482">
        <f t="shared" si="6"/>
        <v>1349</v>
      </c>
      <c r="Y70" s="54">
        <f t="shared" si="6"/>
        <v>0</v>
      </c>
      <c r="Z70" s="483">
        <f t="shared" si="6"/>
        <v>1349</v>
      </c>
      <c r="AA70" s="484">
        <f t="shared" si="7"/>
        <v>224.83333333333334</v>
      </c>
      <c r="AB70" s="485">
        <f t="shared" si="7"/>
        <v>0</v>
      </c>
      <c r="AC70" s="486">
        <f t="shared" si="7"/>
        <v>224.83333333333334</v>
      </c>
      <c r="AD70" s="440" t="s">
        <v>18</v>
      </c>
    </row>
    <row r="71" spans="1:30" ht="15.75" hidden="1" customHeight="1">
      <c r="A71" s="289">
        <v>65</v>
      </c>
      <c r="B71" s="350" t="s">
        <v>2408</v>
      </c>
      <c r="C71" s="305" t="s">
        <v>2409</v>
      </c>
      <c r="D71" s="291" t="s">
        <v>2410</v>
      </c>
      <c r="E71" s="306">
        <v>10</v>
      </c>
      <c r="F71" s="307">
        <v>5</v>
      </c>
      <c r="G71" s="302"/>
      <c r="H71" s="294">
        <f t="shared" si="0"/>
        <v>5</v>
      </c>
      <c r="I71" s="346">
        <v>35</v>
      </c>
      <c r="J71" s="302"/>
      <c r="K71" s="294">
        <f t="shared" si="1"/>
        <v>35</v>
      </c>
      <c r="L71" s="346">
        <v>15</v>
      </c>
      <c r="M71" s="302"/>
      <c r="N71" s="294">
        <f t="shared" si="2"/>
        <v>15</v>
      </c>
      <c r="O71" s="346">
        <v>30</v>
      </c>
      <c r="P71" s="302"/>
      <c r="Q71" s="294">
        <f t="shared" si="3"/>
        <v>30</v>
      </c>
      <c r="R71" s="346">
        <v>35</v>
      </c>
      <c r="S71" s="302"/>
      <c r="T71" s="294">
        <f t="shared" si="4"/>
        <v>35</v>
      </c>
      <c r="U71" s="346">
        <v>15</v>
      </c>
      <c r="V71" s="302"/>
      <c r="W71" s="294">
        <f t="shared" si="5"/>
        <v>15</v>
      </c>
      <c r="X71" s="308">
        <f t="shared" si="6"/>
        <v>135</v>
      </c>
      <c r="Y71" s="64">
        <f t="shared" si="6"/>
        <v>0</v>
      </c>
      <c r="Z71" s="309">
        <f t="shared" si="6"/>
        <v>135</v>
      </c>
      <c r="AA71" s="310">
        <f t="shared" si="7"/>
        <v>22.5</v>
      </c>
      <c r="AB71" s="65">
        <f t="shared" si="7"/>
        <v>0</v>
      </c>
      <c r="AC71" s="311">
        <f t="shared" si="7"/>
        <v>22.5</v>
      </c>
      <c r="AD71" s="347" t="s">
        <v>15</v>
      </c>
    </row>
    <row r="72" spans="1:30" ht="15.75" hidden="1" customHeight="1">
      <c r="A72" s="302">
        <v>66</v>
      </c>
      <c r="B72" s="351" t="s">
        <v>2411</v>
      </c>
      <c r="C72" s="305" t="s">
        <v>2409</v>
      </c>
      <c r="D72" s="305" t="s">
        <v>2412</v>
      </c>
      <c r="E72" s="306">
        <v>10</v>
      </c>
      <c r="F72" s="307"/>
      <c r="G72" s="302"/>
      <c r="H72" s="294">
        <f t="shared" si="0"/>
        <v>0</v>
      </c>
      <c r="I72" s="346">
        <v>0</v>
      </c>
      <c r="J72" s="302"/>
      <c r="K72" s="294">
        <f t="shared" si="1"/>
        <v>0</v>
      </c>
      <c r="L72" s="346">
        <v>0</v>
      </c>
      <c r="M72" s="302"/>
      <c r="N72" s="294">
        <f t="shared" si="2"/>
        <v>0</v>
      </c>
      <c r="O72" s="346">
        <v>0</v>
      </c>
      <c r="P72" s="302"/>
      <c r="Q72" s="294">
        <f t="shared" si="3"/>
        <v>0</v>
      </c>
      <c r="R72" s="346">
        <v>0</v>
      </c>
      <c r="S72" s="302"/>
      <c r="T72" s="294">
        <f t="shared" si="4"/>
        <v>0</v>
      </c>
      <c r="U72" s="346">
        <v>0</v>
      </c>
      <c r="V72" s="302"/>
      <c r="W72" s="294">
        <f t="shared" si="5"/>
        <v>0</v>
      </c>
      <c r="X72" s="308">
        <f t="shared" ref="X72:Z135" si="8">F72+I72+L72+O72+R72+U72</f>
        <v>0</v>
      </c>
      <c r="Y72" s="64">
        <f t="shared" si="8"/>
        <v>0</v>
      </c>
      <c r="Z72" s="309">
        <f t="shared" si="8"/>
        <v>0</v>
      </c>
      <c r="AA72" s="310">
        <f t="shared" ref="AA72:AC135" si="9">X72/6</f>
        <v>0</v>
      </c>
      <c r="AB72" s="65">
        <f t="shared" si="9"/>
        <v>0</v>
      </c>
      <c r="AC72" s="311">
        <f t="shared" si="9"/>
        <v>0</v>
      </c>
      <c r="AD72" s="347" t="s">
        <v>15</v>
      </c>
    </row>
    <row r="73" spans="1:30" ht="15.75" customHeight="1">
      <c r="A73" s="289">
        <v>67</v>
      </c>
      <c r="B73" s="351" t="s">
        <v>2413</v>
      </c>
      <c r="C73" s="305" t="s">
        <v>2409</v>
      </c>
      <c r="D73" s="291" t="s">
        <v>2414</v>
      </c>
      <c r="E73" s="306">
        <v>100</v>
      </c>
      <c r="F73" s="307">
        <v>120</v>
      </c>
      <c r="G73" s="302"/>
      <c r="H73" s="294">
        <f t="shared" si="0"/>
        <v>120</v>
      </c>
      <c r="I73" s="346">
        <v>195</v>
      </c>
      <c r="J73" s="302"/>
      <c r="K73" s="294">
        <f t="shared" si="1"/>
        <v>195</v>
      </c>
      <c r="L73" s="346">
        <v>45</v>
      </c>
      <c r="M73" s="302"/>
      <c r="N73" s="294">
        <f t="shared" si="2"/>
        <v>45</v>
      </c>
      <c r="O73" s="346">
        <v>120</v>
      </c>
      <c r="P73" s="302"/>
      <c r="Q73" s="294">
        <f t="shared" si="3"/>
        <v>120</v>
      </c>
      <c r="R73" s="346">
        <v>135</v>
      </c>
      <c r="S73" s="302"/>
      <c r="T73" s="294">
        <f t="shared" si="4"/>
        <v>135</v>
      </c>
      <c r="U73" s="346">
        <v>45</v>
      </c>
      <c r="V73" s="302"/>
      <c r="W73" s="294">
        <f t="shared" si="5"/>
        <v>45</v>
      </c>
      <c r="X73" s="308">
        <f t="shared" si="8"/>
        <v>660</v>
      </c>
      <c r="Y73" s="64">
        <f t="shared" si="8"/>
        <v>0</v>
      </c>
      <c r="Z73" s="309">
        <f t="shared" si="8"/>
        <v>660</v>
      </c>
      <c r="AA73" s="310">
        <f t="shared" si="9"/>
        <v>110</v>
      </c>
      <c r="AB73" s="65">
        <f t="shared" si="9"/>
        <v>0</v>
      </c>
      <c r="AC73" s="311">
        <f t="shared" si="9"/>
        <v>110</v>
      </c>
      <c r="AD73" s="347" t="s">
        <v>15</v>
      </c>
    </row>
    <row r="74" spans="1:30" ht="15.75" hidden="1" customHeight="1">
      <c r="A74" s="302">
        <v>68</v>
      </c>
      <c r="B74" s="351" t="s">
        <v>2415</v>
      </c>
      <c r="C74" s="305" t="s">
        <v>2409</v>
      </c>
      <c r="D74" s="305" t="s">
        <v>2416</v>
      </c>
      <c r="E74" s="306">
        <v>10</v>
      </c>
      <c r="F74" s="307"/>
      <c r="G74" s="302"/>
      <c r="H74" s="294">
        <f t="shared" si="0"/>
        <v>0</v>
      </c>
      <c r="I74" s="346">
        <v>10</v>
      </c>
      <c r="J74" s="302"/>
      <c r="K74" s="294">
        <f t="shared" si="1"/>
        <v>10</v>
      </c>
      <c r="L74" s="346">
        <v>5</v>
      </c>
      <c r="M74" s="302"/>
      <c r="N74" s="294">
        <f t="shared" si="2"/>
        <v>5</v>
      </c>
      <c r="O74" s="346">
        <v>8</v>
      </c>
      <c r="P74" s="302"/>
      <c r="Q74" s="294">
        <f t="shared" si="3"/>
        <v>8</v>
      </c>
      <c r="R74" s="346">
        <v>13</v>
      </c>
      <c r="S74" s="302"/>
      <c r="T74" s="294">
        <f t="shared" si="4"/>
        <v>13</v>
      </c>
      <c r="U74" s="346">
        <v>5</v>
      </c>
      <c r="V74" s="302"/>
      <c r="W74" s="294">
        <f t="shared" si="5"/>
        <v>5</v>
      </c>
      <c r="X74" s="308">
        <f t="shared" si="8"/>
        <v>41</v>
      </c>
      <c r="Y74" s="64">
        <f t="shared" si="8"/>
        <v>0</v>
      </c>
      <c r="Z74" s="309">
        <f t="shared" si="8"/>
        <v>41</v>
      </c>
      <c r="AA74" s="310">
        <f t="shared" si="9"/>
        <v>6.833333333333333</v>
      </c>
      <c r="AB74" s="65">
        <f t="shared" si="9"/>
        <v>0</v>
      </c>
      <c r="AC74" s="311">
        <f t="shared" si="9"/>
        <v>6.833333333333333</v>
      </c>
      <c r="AD74" s="347" t="s">
        <v>15</v>
      </c>
    </row>
    <row r="75" spans="1:30" ht="15.75" hidden="1" customHeight="1">
      <c r="A75" s="289">
        <v>69</v>
      </c>
      <c r="B75" s="351" t="s">
        <v>2417</v>
      </c>
      <c r="C75" s="305" t="s">
        <v>2409</v>
      </c>
      <c r="D75" s="291" t="s">
        <v>2418</v>
      </c>
      <c r="E75" s="306">
        <v>10</v>
      </c>
      <c r="F75" s="307">
        <v>8</v>
      </c>
      <c r="G75" s="302"/>
      <c r="H75" s="294">
        <f t="shared" si="0"/>
        <v>8</v>
      </c>
      <c r="I75" s="346">
        <v>5</v>
      </c>
      <c r="J75" s="302"/>
      <c r="K75" s="294">
        <f t="shared" si="1"/>
        <v>5</v>
      </c>
      <c r="L75" s="346">
        <v>5</v>
      </c>
      <c r="M75" s="302"/>
      <c r="N75" s="294">
        <f t="shared" si="2"/>
        <v>5</v>
      </c>
      <c r="O75" s="346">
        <v>10</v>
      </c>
      <c r="P75" s="302"/>
      <c r="Q75" s="294">
        <f t="shared" si="3"/>
        <v>10</v>
      </c>
      <c r="R75" s="346">
        <v>15</v>
      </c>
      <c r="S75" s="302"/>
      <c r="T75" s="294">
        <f t="shared" si="4"/>
        <v>15</v>
      </c>
      <c r="U75" s="346">
        <v>5</v>
      </c>
      <c r="V75" s="302"/>
      <c r="W75" s="294">
        <f t="shared" si="5"/>
        <v>5</v>
      </c>
      <c r="X75" s="308">
        <f t="shared" si="8"/>
        <v>48</v>
      </c>
      <c r="Y75" s="64">
        <f t="shared" si="8"/>
        <v>0</v>
      </c>
      <c r="Z75" s="309">
        <f t="shared" si="8"/>
        <v>48</v>
      </c>
      <c r="AA75" s="310">
        <f t="shared" si="9"/>
        <v>8</v>
      </c>
      <c r="AB75" s="65">
        <f t="shared" si="9"/>
        <v>0</v>
      </c>
      <c r="AC75" s="311">
        <f t="shared" si="9"/>
        <v>8</v>
      </c>
      <c r="AD75" s="347" t="s">
        <v>15</v>
      </c>
    </row>
    <row r="76" spans="1:30" ht="15.75" hidden="1" customHeight="1">
      <c r="A76" s="302">
        <v>70</v>
      </c>
      <c r="B76" s="351" t="s">
        <v>2419</v>
      </c>
      <c r="C76" s="305" t="s">
        <v>2409</v>
      </c>
      <c r="D76" s="305" t="s">
        <v>2420</v>
      </c>
      <c r="E76" s="306">
        <v>10</v>
      </c>
      <c r="F76" s="307">
        <v>5</v>
      </c>
      <c r="G76" s="302"/>
      <c r="H76" s="294">
        <f t="shared" si="0"/>
        <v>5</v>
      </c>
      <c r="I76" s="346">
        <v>3</v>
      </c>
      <c r="J76" s="302"/>
      <c r="K76" s="294">
        <f t="shared" si="1"/>
        <v>3</v>
      </c>
      <c r="L76" s="346">
        <v>0</v>
      </c>
      <c r="M76" s="302"/>
      <c r="N76" s="294">
        <f t="shared" si="2"/>
        <v>0</v>
      </c>
      <c r="O76" s="346">
        <v>5</v>
      </c>
      <c r="P76" s="302"/>
      <c r="Q76" s="294">
        <f t="shared" si="3"/>
        <v>5</v>
      </c>
      <c r="R76" s="346">
        <v>8</v>
      </c>
      <c r="S76" s="302"/>
      <c r="T76" s="294">
        <f t="shared" si="4"/>
        <v>8</v>
      </c>
      <c r="U76" s="346">
        <v>3</v>
      </c>
      <c r="V76" s="302"/>
      <c r="W76" s="294">
        <f t="shared" si="5"/>
        <v>3</v>
      </c>
      <c r="X76" s="308">
        <f t="shared" si="8"/>
        <v>24</v>
      </c>
      <c r="Y76" s="64">
        <f t="shared" si="8"/>
        <v>0</v>
      </c>
      <c r="Z76" s="309">
        <f t="shared" si="8"/>
        <v>24</v>
      </c>
      <c r="AA76" s="310">
        <f t="shared" si="9"/>
        <v>4</v>
      </c>
      <c r="AB76" s="65">
        <f t="shared" si="9"/>
        <v>0</v>
      </c>
      <c r="AC76" s="311">
        <f t="shared" si="9"/>
        <v>4</v>
      </c>
      <c r="AD76" s="347" t="s">
        <v>15</v>
      </c>
    </row>
    <row r="77" spans="1:30" ht="15.75" hidden="1" customHeight="1">
      <c r="A77" s="289">
        <v>71</v>
      </c>
      <c r="B77" s="351" t="s">
        <v>2421</v>
      </c>
      <c r="C77" s="305" t="s">
        <v>2409</v>
      </c>
      <c r="D77" s="291" t="s">
        <v>2422</v>
      </c>
      <c r="E77" s="306">
        <v>80</v>
      </c>
      <c r="F77" s="307">
        <v>20</v>
      </c>
      <c r="G77" s="302"/>
      <c r="H77" s="294">
        <f t="shared" si="0"/>
        <v>20</v>
      </c>
      <c r="I77" s="346">
        <v>65</v>
      </c>
      <c r="J77" s="302"/>
      <c r="K77" s="294">
        <f t="shared" si="1"/>
        <v>65</v>
      </c>
      <c r="L77" s="346">
        <v>25</v>
      </c>
      <c r="M77" s="302"/>
      <c r="N77" s="294">
        <f t="shared" si="2"/>
        <v>25</v>
      </c>
      <c r="O77" s="346">
        <v>30</v>
      </c>
      <c r="P77" s="302"/>
      <c r="Q77" s="294">
        <f t="shared" si="3"/>
        <v>30</v>
      </c>
      <c r="R77" s="346">
        <v>35</v>
      </c>
      <c r="S77" s="302"/>
      <c r="T77" s="294">
        <f t="shared" si="4"/>
        <v>35</v>
      </c>
      <c r="U77" s="346">
        <v>15</v>
      </c>
      <c r="V77" s="302"/>
      <c r="W77" s="294">
        <f t="shared" si="5"/>
        <v>15</v>
      </c>
      <c r="X77" s="308">
        <f t="shared" si="8"/>
        <v>190</v>
      </c>
      <c r="Y77" s="64">
        <f t="shared" si="8"/>
        <v>0</v>
      </c>
      <c r="Z77" s="309">
        <f t="shared" si="8"/>
        <v>190</v>
      </c>
      <c r="AA77" s="310">
        <f t="shared" si="9"/>
        <v>31.666666666666668</v>
      </c>
      <c r="AB77" s="65">
        <f t="shared" si="9"/>
        <v>0</v>
      </c>
      <c r="AC77" s="311">
        <f t="shared" si="9"/>
        <v>31.666666666666668</v>
      </c>
      <c r="AD77" s="347" t="s">
        <v>18</v>
      </c>
    </row>
    <row r="78" spans="1:30" ht="15.75" hidden="1" customHeight="1">
      <c r="A78" s="302">
        <v>72</v>
      </c>
      <c r="B78" s="351" t="s">
        <v>2423</v>
      </c>
      <c r="C78" s="305" t="s">
        <v>2409</v>
      </c>
      <c r="D78" s="305" t="s">
        <v>2424</v>
      </c>
      <c r="E78" s="306">
        <v>35</v>
      </c>
      <c r="F78" s="307">
        <v>10</v>
      </c>
      <c r="G78" s="302"/>
      <c r="H78" s="294">
        <f t="shared" si="0"/>
        <v>10</v>
      </c>
      <c r="I78" s="346">
        <v>40</v>
      </c>
      <c r="J78" s="302"/>
      <c r="K78" s="294">
        <f t="shared" si="1"/>
        <v>40</v>
      </c>
      <c r="L78" s="346">
        <v>15</v>
      </c>
      <c r="M78" s="302"/>
      <c r="N78" s="294">
        <f t="shared" si="2"/>
        <v>15</v>
      </c>
      <c r="O78" s="346">
        <v>10</v>
      </c>
      <c r="P78" s="302"/>
      <c r="Q78" s="294">
        <f t="shared" si="3"/>
        <v>10</v>
      </c>
      <c r="R78" s="346">
        <v>15</v>
      </c>
      <c r="S78" s="302"/>
      <c r="T78" s="294">
        <f t="shared" si="4"/>
        <v>15</v>
      </c>
      <c r="U78" s="346">
        <v>5</v>
      </c>
      <c r="V78" s="302"/>
      <c r="W78" s="294">
        <f t="shared" si="5"/>
        <v>5</v>
      </c>
      <c r="X78" s="308">
        <f t="shared" si="8"/>
        <v>95</v>
      </c>
      <c r="Y78" s="64">
        <f t="shared" si="8"/>
        <v>0</v>
      </c>
      <c r="Z78" s="309">
        <f t="shared" si="8"/>
        <v>95</v>
      </c>
      <c r="AA78" s="310">
        <f t="shared" si="9"/>
        <v>15.833333333333334</v>
      </c>
      <c r="AB78" s="65">
        <f t="shared" si="9"/>
        <v>0</v>
      </c>
      <c r="AC78" s="311">
        <f t="shared" si="9"/>
        <v>15.833333333333334</v>
      </c>
      <c r="AD78" s="347" t="s">
        <v>15</v>
      </c>
    </row>
    <row r="79" spans="1:30" ht="15.75" hidden="1" customHeight="1">
      <c r="A79" s="289">
        <v>73</v>
      </c>
      <c r="B79" s="351" t="s">
        <v>2411</v>
      </c>
      <c r="C79" s="305" t="s">
        <v>2409</v>
      </c>
      <c r="D79" s="291" t="s">
        <v>2425</v>
      </c>
      <c r="E79" s="306">
        <v>35</v>
      </c>
      <c r="F79" s="307">
        <v>15</v>
      </c>
      <c r="G79" s="302"/>
      <c r="H79" s="294">
        <f t="shared" si="0"/>
        <v>15</v>
      </c>
      <c r="I79" s="346">
        <v>5</v>
      </c>
      <c r="J79" s="302"/>
      <c r="K79" s="294">
        <f t="shared" si="1"/>
        <v>5</v>
      </c>
      <c r="L79" s="346">
        <v>3</v>
      </c>
      <c r="M79" s="302"/>
      <c r="N79" s="294">
        <f t="shared" si="2"/>
        <v>3</v>
      </c>
      <c r="O79" s="346">
        <v>5</v>
      </c>
      <c r="P79" s="302"/>
      <c r="Q79" s="294">
        <f t="shared" si="3"/>
        <v>5</v>
      </c>
      <c r="R79" s="346">
        <v>8</v>
      </c>
      <c r="S79" s="302"/>
      <c r="T79" s="294">
        <f t="shared" si="4"/>
        <v>8</v>
      </c>
      <c r="U79" s="346">
        <v>5</v>
      </c>
      <c r="V79" s="302"/>
      <c r="W79" s="294">
        <f t="shared" si="5"/>
        <v>5</v>
      </c>
      <c r="X79" s="308">
        <f t="shared" si="8"/>
        <v>41</v>
      </c>
      <c r="Y79" s="64">
        <f t="shared" si="8"/>
        <v>0</v>
      </c>
      <c r="Z79" s="309">
        <f t="shared" si="8"/>
        <v>41</v>
      </c>
      <c r="AA79" s="310">
        <f t="shared" si="9"/>
        <v>6.833333333333333</v>
      </c>
      <c r="AB79" s="65">
        <f t="shared" si="9"/>
        <v>0</v>
      </c>
      <c r="AC79" s="311">
        <f t="shared" si="9"/>
        <v>6.833333333333333</v>
      </c>
      <c r="AD79" s="347" t="s">
        <v>15</v>
      </c>
    </row>
    <row r="80" spans="1:30" ht="15.75" hidden="1" customHeight="1">
      <c r="A80" s="302">
        <v>74</v>
      </c>
      <c r="B80" s="351" t="s">
        <v>2426</v>
      </c>
      <c r="C80" s="305" t="s">
        <v>2409</v>
      </c>
      <c r="D80" s="305" t="s">
        <v>2427</v>
      </c>
      <c r="E80" s="306">
        <v>45</v>
      </c>
      <c r="F80" s="307">
        <v>35</v>
      </c>
      <c r="G80" s="302"/>
      <c r="H80" s="294">
        <f t="shared" si="0"/>
        <v>35</v>
      </c>
      <c r="I80" s="346">
        <v>50</v>
      </c>
      <c r="J80" s="302"/>
      <c r="K80" s="294">
        <f t="shared" si="1"/>
        <v>50</v>
      </c>
      <c r="L80" s="346">
        <v>15</v>
      </c>
      <c r="M80" s="302"/>
      <c r="N80" s="294">
        <f t="shared" si="2"/>
        <v>15</v>
      </c>
      <c r="O80" s="346">
        <v>10</v>
      </c>
      <c r="P80" s="302"/>
      <c r="Q80" s="294">
        <f t="shared" si="3"/>
        <v>10</v>
      </c>
      <c r="R80" s="346">
        <v>13</v>
      </c>
      <c r="S80" s="302"/>
      <c r="T80" s="294">
        <f t="shared" si="4"/>
        <v>13</v>
      </c>
      <c r="U80" s="346">
        <v>8</v>
      </c>
      <c r="V80" s="302"/>
      <c r="W80" s="294">
        <f t="shared" si="5"/>
        <v>8</v>
      </c>
      <c r="X80" s="308">
        <f t="shared" si="8"/>
        <v>131</v>
      </c>
      <c r="Y80" s="64">
        <f t="shared" si="8"/>
        <v>0</v>
      </c>
      <c r="Z80" s="309">
        <f t="shared" si="8"/>
        <v>131</v>
      </c>
      <c r="AA80" s="310">
        <f t="shared" si="9"/>
        <v>21.833333333333332</v>
      </c>
      <c r="AB80" s="65">
        <f t="shared" si="9"/>
        <v>0</v>
      </c>
      <c r="AC80" s="311">
        <f t="shared" si="9"/>
        <v>21.833333333333332</v>
      </c>
      <c r="AD80" s="347" t="s">
        <v>18</v>
      </c>
    </row>
    <row r="81" spans="1:30" ht="15.75" hidden="1">
      <c r="A81" s="289">
        <v>75</v>
      </c>
      <c r="B81" s="351" t="s">
        <v>2428</v>
      </c>
      <c r="C81" s="305" t="s">
        <v>2409</v>
      </c>
      <c r="D81" s="291" t="s">
        <v>2429</v>
      </c>
      <c r="E81" s="306">
        <v>10</v>
      </c>
      <c r="F81" s="307">
        <v>5</v>
      </c>
      <c r="G81" s="302"/>
      <c r="H81" s="294">
        <f t="shared" si="0"/>
        <v>5</v>
      </c>
      <c r="I81" s="346">
        <v>5</v>
      </c>
      <c r="J81" s="302"/>
      <c r="K81" s="294">
        <f t="shared" si="1"/>
        <v>5</v>
      </c>
      <c r="L81" s="346">
        <v>5</v>
      </c>
      <c r="M81" s="302"/>
      <c r="N81" s="294">
        <f t="shared" si="2"/>
        <v>5</v>
      </c>
      <c r="O81" s="346">
        <v>5</v>
      </c>
      <c r="P81" s="302"/>
      <c r="Q81" s="294">
        <f t="shared" si="3"/>
        <v>5</v>
      </c>
      <c r="R81" s="346">
        <v>8</v>
      </c>
      <c r="S81" s="302"/>
      <c r="T81" s="294">
        <f t="shared" si="4"/>
        <v>8</v>
      </c>
      <c r="U81" s="346">
        <v>5</v>
      </c>
      <c r="V81" s="302"/>
      <c r="W81" s="294">
        <f t="shared" si="5"/>
        <v>5</v>
      </c>
      <c r="X81" s="308">
        <f t="shared" si="8"/>
        <v>33</v>
      </c>
      <c r="Y81" s="64">
        <f t="shared" si="8"/>
        <v>0</v>
      </c>
      <c r="Z81" s="309">
        <f t="shared" si="8"/>
        <v>33</v>
      </c>
      <c r="AA81" s="310">
        <f t="shared" si="9"/>
        <v>5.5</v>
      </c>
      <c r="AB81" s="65">
        <f t="shared" si="9"/>
        <v>0</v>
      </c>
      <c r="AC81" s="311">
        <f t="shared" si="9"/>
        <v>5.5</v>
      </c>
      <c r="AD81" s="347" t="s">
        <v>15</v>
      </c>
    </row>
    <row r="82" spans="1:30" ht="15.75" hidden="1">
      <c r="A82" s="302">
        <v>76</v>
      </c>
      <c r="B82" s="351" t="s">
        <v>2430</v>
      </c>
      <c r="C82" s="305" t="s">
        <v>2409</v>
      </c>
      <c r="D82" s="305" t="s">
        <v>2431</v>
      </c>
      <c r="E82" s="306">
        <v>20</v>
      </c>
      <c r="F82" s="307">
        <v>8</v>
      </c>
      <c r="G82" s="302"/>
      <c r="H82" s="294">
        <f t="shared" si="0"/>
        <v>8</v>
      </c>
      <c r="I82" s="346">
        <v>18</v>
      </c>
      <c r="J82" s="302"/>
      <c r="K82" s="294">
        <f t="shared" si="1"/>
        <v>18</v>
      </c>
      <c r="L82" s="346">
        <v>10</v>
      </c>
      <c r="M82" s="302"/>
      <c r="N82" s="294">
        <f t="shared" si="2"/>
        <v>10</v>
      </c>
      <c r="O82" s="346">
        <v>11</v>
      </c>
      <c r="P82" s="302"/>
      <c r="Q82" s="294">
        <f t="shared" si="3"/>
        <v>11</v>
      </c>
      <c r="R82" s="346">
        <v>15</v>
      </c>
      <c r="S82" s="302"/>
      <c r="T82" s="294">
        <f t="shared" si="4"/>
        <v>15</v>
      </c>
      <c r="U82" s="346">
        <v>5</v>
      </c>
      <c r="V82" s="302"/>
      <c r="W82" s="294">
        <f t="shared" si="5"/>
        <v>5</v>
      </c>
      <c r="X82" s="308">
        <f t="shared" si="8"/>
        <v>67</v>
      </c>
      <c r="Y82" s="64">
        <f t="shared" si="8"/>
        <v>0</v>
      </c>
      <c r="Z82" s="309">
        <f t="shared" si="8"/>
        <v>67</v>
      </c>
      <c r="AA82" s="310">
        <f t="shared" si="9"/>
        <v>11.166666666666666</v>
      </c>
      <c r="AB82" s="65">
        <f t="shared" si="9"/>
        <v>0</v>
      </c>
      <c r="AC82" s="311">
        <f t="shared" si="9"/>
        <v>11.166666666666666</v>
      </c>
      <c r="AD82" s="347" t="s">
        <v>15</v>
      </c>
    </row>
    <row r="83" spans="1:30" ht="15.75" hidden="1">
      <c r="A83" s="289">
        <v>77</v>
      </c>
      <c r="B83" s="351" t="s">
        <v>2432</v>
      </c>
      <c r="C83" s="305" t="s">
        <v>2409</v>
      </c>
      <c r="D83" s="291" t="s">
        <v>2433</v>
      </c>
      <c r="E83" s="306">
        <v>10</v>
      </c>
      <c r="F83" s="307">
        <v>5</v>
      </c>
      <c r="G83" s="302"/>
      <c r="H83" s="294">
        <f t="shared" si="0"/>
        <v>5</v>
      </c>
      <c r="I83" s="346">
        <v>5</v>
      </c>
      <c r="J83" s="302"/>
      <c r="K83" s="294">
        <f t="shared" si="1"/>
        <v>5</v>
      </c>
      <c r="L83" s="346">
        <v>5</v>
      </c>
      <c r="M83" s="302"/>
      <c r="N83" s="294">
        <f t="shared" si="2"/>
        <v>5</v>
      </c>
      <c r="O83" s="346">
        <v>5</v>
      </c>
      <c r="P83" s="302"/>
      <c r="Q83" s="294">
        <f t="shared" si="3"/>
        <v>5</v>
      </c>
      <c r="R83" s="346">
        <v>9</v>
      </c>
      <c r="S83" s="302"/>
      <c r="T83" s="294">
        <f t="shared" si="4"/>
        <v>9</v>
      </c>
      <c r="U83" s="346">
        <v>6</v>
      </c>
      <c r="V83" s="302"/>
      <c r="W83" s="294">
        <f t="shared" si="5"/>
        <v>6</v>
      </c>
      <c r="X83" s="308">
        <f t="shared" si="8"/>
        <v>35</v>
      </c>
      <c r="Y83" s="64">
        <f t="shared" si="8"/>
        <v>0</v>
      </c>
      <c r="Z83" s="309">
        <f t="shared" si="8"/>
        <v>35</v>
      </c>
      <c r="AA83" s="310">
        <f t="shared" si="9"/>
        <v>5.833333333333333</v>
      </c>
      <c r="AB83" s="65">
        <f t="shared" si="9"/>
        <v>0</v>
      </c>
      <c r="AC83" s="311">
        <f t="shared" si="9"/>
        <v>5.833333333333333</v>
      </c>
      <c r="AD83" s="347" t="s">
        <v>15</v>
      </c>
    </row>
    <row r="84" spans="1:30" ht="15.75" hidden="1">
      <c r="A84" s="302">
        <v>78</v>
      </c>
      <c r="B84" s="351" t="s">
        <v>2434</v>
      </c>
      <c r="C84" s="305" t="s">
        <v>2409</v>
      </c>
      <c r="D84" s="305" t="s">
        <v>2435</v>
      </c>
      <c r="E84" s="306">
        <v>30</v>
      </c>
      <c r="F84" s="307">
        <v>30</v>
      </c>
      <c r="G84" s="302"/>
      <c r="H84" s="294">
        <f t="shared" si="0"/>
        <v>30</v>
      </c>
      <c r="I84" s="346">
        <v>45</v>
      </c>
      <c r="J84" s="302"/>
      <c r="K84" s="294">
        <f t="shared" si="1"/>
        <v>45</v>
      </c>
      <c r="L84" s="346">
        <v>18</v>
      </c>
      <c r="M84" s="302"/>
      <c r="N84" s="294">
        <f t="shared" si="2"/>
        <v>18</v>
      </c>
      <c r="O84" s="346">
        <v>25</v>
      </c>
      <c r="P84" s="302"/>
      <c r="Q84" s="294">
        <f t="shared" si="3"/>
        <v>25</v>
      </c>
      <c r="R84" s="346">
        <v>30</v>
      </c>
      <c r="S84" s="302"/>
      <c r="T84" s="294">
        <f t="shared" si="4"/>
        <v>30</v>
      </c>
      <c r="U84" s="346">
        <v>10</v>
      </c>
      <c r="V84" s="302"/>
      <c r="W84" s="294">
        <f t="shared" si="5"/>
        <v>10</v>
      </c>
      <c r="X84" s="308">
        <f t="shared" si="8"/>
        <v>158</v>
      </c>
      <c r="Y84" s="64">
        <f t="shared" si="8"/>
        <v>0</v>
      </c>
      <c r="Z84" s="309">
        <f t="shared" si="8"/>
        <v>158</v>
      </c>
      <c r="AA84" s="310">
        <f t="shared" si="9"/>
        <v>26.333333333333332</v>
      </c>
      <c r="AB84" s="65">
        <f t="shared" si="9"/>
        <v>0</v>
      </c>
      <c r="AC84" s="311">
        <f t="shared" si="9"/>
        <v>26.333333333333332</v>
      </c>
      <c r="AD84" s="347" t="s">
        <v>15</v>
      </c>
    </row>
    <row r="85" spans="1:30" ht="15.75" hidden="1">
      <c r="A85" s="289">
        <v>79</v>
      </c>
      <c r="B85" s="351" t="s">
        <v>2436</v>
      </c>
      <c r="C85" s="305" t="s">
        <v>2409</v>
      </c>
      <c r="D85" s="291" t="s">
        <v>2437</v>
      </c>
      <c r="E85" s="306">
        <v>20</v>
      </c>
      <c r="F85" s="307">
        <v>5</v>
      </c>
      <c r="G85" s="302"/>
      <c r="H85" s="294">
        <f t="shared" si="0"/>
        <v>5</v>
      </c>
      <c r="I85" s="346">
        <v>10</v>
      </c>
      <c r="J85" s="302"/>
      <c r="K85" s="294">
        <f t="shared" si="1"/>
        <v>10</v>
      </c>
      <c r="L85" s="346">
        <v>8</v>
      </c>
      <c r="M85" s="302"/>
      <c r="N85" s="294">
        <f t="shared" si="2"/>
        <v>8</v>
      </c>
      <c r="O85" s="346">
        <v>10</v>
      </c>
      <c r="P85" s="302"/>
      <c r="Q85" s="294">
        <f t="shared" si="3"/>
        <v>10</v>
      </c>
      <c r="R85" s="346">
        <v>15</v>
      </c>
      <c r="S85" s="302"/>
      <c r="T85" s="294">
        <f t="shared" si="4"/>
        <v>15</v>
      </c>
      <c r="U85" s="346">
        <v>8</v>
      </c>
      <c r="V85" s="302"/>
      <c r="W85" s="294">
        <f t="shared" si="5"/>
        <v>8</v>
      </c>
      <c r="X85" s="308">
        <f t="shared" si="8"/>
        <v>56</v>
      </c>
      <c r="Y85" s="64">
        <f t="shared" si="8"/>
        <v>0</v>
      </c>
      <c r="Z85" s="309">
        <f t="shared" si="8"/>
        <v>56</v>
      </c>
      <c r="AA85" s="310">
        <f t="shared" si="9"/>
        <v>9.3333333333333339</v>
      </c>
      <c r="AB85" s="65">
        <f t="shared" si="9"/>
        <v>0</v>
      </c>
      <c r="AC85" s="311">
        <f t="shared" si="9"/>
        <v>9.3333333333333339</v>
      </c>
      <c r="AD85" s="347" t="s">
        <v>15</v>
      </c>
    </row>
    <row r="86" spans="1:30" ht="15.75" hidden="1">
      <c r="A86" s="302">
        <v>80</v>
      </c>
      <c r="B86" s="351" t="s">
        <v>2317</v>
      </c>
      <c r="C86" s="305" t="s">
        <v>2409</v>
      </c>
      <c r="D86" s="305" t="s">
        <v>2438</v>
      </c>
      <c r="E86" s="306">
        <v>25</v>
      </c>
      <c r="F86" s="307">
        <v>15</v>
      </c>
      <c r="G86" s="302"/>
      <c r="H86" s="294">
        <f t="shared" si="0"/>
        <v>15</v>
      </c>
      <c r="I86" s="346">
        <v>85</v>
      </c>
      <c r="J86" s="302"/>
      <c r="K86" s="294">
        <f t="shared" si="1"/>
        <v>85</v>
      </c>
      <c r="L86" s="346">
        <v>25</v>
      </c>
      <c r="M86" s="302"/>
      <c r="N86" s="294">
        <f t="shared" si="2"/>
        <v>25</v>
      </c>
      <c r="O86" s="346">
        <v>35</v>
      </c>
      <c r="P86" s="302"/>
      <c r="Q86" s="294">
        <f t="shared" si="3"/>
        <v>35</v>
      </c>
      <c r="R86" s="346">
        <v>40</v>
      </c>
      <c r="S86" s="302"/>
      <c r="T86" s="294">
        <f t="shared" si="4"/>
        <v>40</v>
      </c>
      <c r="U86" s="346">
        <v>15</v>
      </c>
      <c r="V86" s="302"/>
      <c r="W86" s="294">
        <f t="shared" si="5"/>
        <v>15</v>
      </c>
      <c r="X86" s="308">
        <f t="shared" si="8"/>
        <v>215</v>
      </c>
      <c r="Y86" s="64">
        <f t="shared" si="8"/>
        <v>0</v>
      </c>
      <c r="Z86" s="309">
        <f t="shared" si="8"/>
        <v>215</v>
      </c>
      <c r="AA86" s="310">
        <f t="shared" si="9"/>
        <v>35.833333333333336</v>
      </c>
      <c r="AB86" s="65">
        <f t="shared" si="9"/>
        <v>0</v>
      </c>
      <c r="AC86" s="311">
        <f t="shared" si="9"/>
        <v>35.833333333333336</v>
      </c>
      <c r="AD86" s="347" t="s">
        <v>15</v>
      </c>
    </row>
    <row r="87" spans="1:30" ht="15.75" hidden="1">
      <c r="A87" s="289">
        <v>81</v>
      </c>
      <c r="B87" s="351" t="s">
        <v>2439</v>
      </c>
      <c r="C87" s="305" t="s">
        <v>2409</v>
      </c>
      <c r="D87" s="291" t="s">
        <v>2440</v>
      </c>
      <c r="E87" s="306">
        <v>30</v>
      </c>
      <c r="F87" s="307">
        <v>36</v>
      </c>
      <c r="G87" s="302"/>
      <c r="H87" s="294">
        <f t="shared" si="0"/>
        <v>36</v>
      </c>
      <c r="I87" s="346">
        <v>25</v>
      </c>
      <c r="J87" s="302"/>
      <c r="K87" s="294">
        <f t="shared" si="1"/>
        <v>25</v>
      </c>
      <c r="L87" s="346">
        <v>18</v>
      </c>
      <c r="M87" s="302"/>
      <c r="N87" s="294">
        <f t="shared" si="2"/>
        <v>18</v>
      </c>
      <c r="O87" s="346">
        <v>25</v>
      </c>
      <c r="P87" s="302"/>
      <c r="Q87" s="294">
        <f t="shared" si="3"/>
        <v>25</v>
      </c>
      <c r="R87" s="346">
        <v>30</v>
      </c>
      <c r="S87" s="302"/>
      <c r="T87" s="294">
        <f t="shared" si="4"/>
        <v>30</v>
      </c>
      <c r="U87" s="346">
        <v>13</v>
      </c>
      <c r="V87" s="302"/>
      <c r="W87" s="294">
        <f t="shared" si="5"/>
        <v>13</v>
      </c>
      <c r="X87" s="308">
        <f t="shared" si="8"/>
        <v>147</v>
      </c>
      <c r="Y87" s="64">
        <f t="shared" si="8"/>
        <v>0</v>
      </c>
      <c r="Z87" s="309">
        <f t="shared" si="8"/>
        <v>147</v>
      </c>
      <c r="AA87" s="310">
        <f t="shared" si="9"/>
        <v>24.5</v>
      </c>
      <c r="AB87" s="65">
        <f t="shared" si="9"/>
        <v>0</v>
      </c>
      <c r="AC87" s="311">
        <f t="shared" si="9"/>
        <v>24.5</v>
      </c>
      <c r="AD87" s="347" t="s">
        <v>18</v>
      </c>
    </row>
    <row r="88" spans="1:30" ht="15.75">
      <c r="A88" s="430">
        <v>82</v>
      </c>
      <c r="B88" s="353" t="s">
        <v>2441</v>
      </c>
      <c r="C88" s="323" t="s">
        <v>2409</v>
      </c>
      <c r="D88" s="323" t="s">
        <v>2442</v>
      </c>
      <c r="E88" s="317">
        <v>63</v>
      </c>
      <c r="F88" s="326">
        <v>178</v>
      </c>
      <c r="G88" s="327">
        <v>0</v>
      </c>
      <c r="H88" s="318">
        <f t="shared" si="0"/>
        <v>178</v>
      </c>
      <c r="I88" s="326">
        <v>137</v>
      </c>
      <c r="J88" s="327">
        <v>0</v>
      </c>
      <c r="K88" s="318">
        <f t="shared" si="1"/>
        <v>137</v>
      </c>
      <c r="L88" s="326">
        <v>137</v>
      </c>
      <c r="M88" s="327">
        <v>0</v>
      </c>
      <c r="N88" s="318">
        <f t="shared" si="2"/>
        <v>137</v>
      </c>
      <c r="O88" s="326">
        <v>140</v>
      </c>
      <c r="P88" s="327">
        <v>0</v>
      </c>
      <c r="Q88" s="318">
        <f t="shared" si="3"/>
        <v>140</v>
      </c>
      <c r="R88" s="326">
        <v>36</v>
      </c>
      <c r="S88" s="327">
        <v>0</v>
      </c>
      <c r="T88" s="318">
        <f t="shared" si="4"/>
        <v>36</v>
      </c>
      <c r="U88" s="326">
        <v>104</v>
      </c>
      <c r="V88" s="327">
        <v>0</v>
      </c>
      <c r="W88" s="318">
        <f t="shared" si="5"/>
        <v>104</v>
      </c>
      <c r="X88" s="319">
        <f t="shared" si="8"/>
        <v>732</v>
      </c>
      <c r="Y88" s="19">
        <f t="shared" si="8"/>
        <v>0</v>
      </c>
      <c r="Z88" s="320">
        <f t="shared" si="8"/>
        <v>732</v>
      </c>
      <c r="AA88" s="321">
        <f t="shared" si="9"/>
        <v>122</v>
      </c>
      <c r="AB88" s="60">
        <f t="shared" si="9"/>
        <v>0</v>
      </c>
      <c r="AC88" s="322">
        <f t="shared" si="9"/>
        <v>122</v>
      </c>
      <c r="AD88" s="317" t="s">
        <v>18</v>
      </c>
    </row>
    <row r="89" spans="1:30" ht="15.75">
      <c r="A89" s="429">
        <v>83</v>
      </c>
      <c r="B89" s="353" t="s">
        <v>2443</v>
      </c>
      <c r="C89" s="323" t="s">
        <v>2409</v>
      </c>
      <c r="D89" s="316" t="s">
        <v>2444</v>
      </c>
      <c r="E89" s="317">
        <v>909</v>
      </c>
      <c r="F89" s="326">
        <v>0</v>
      </c>
      <c r="G89" s="327">
        <v>0</v>
      </c>
      <c r="H89" s="318">
        <f t="shared" si="0"/>
        <v>0</v>
      </c>
      <c r="I89" s="326">
        <v>620</v>
      </c>
      <c r="J89" s="327">
        <v>0</v>
      </c>
      <c r="K89" s="318">
        <f t="shared" si="1"/>
        <v>620</v>
      </c>
      <c r="L89" s="326">
        <v>0</v>
      </c>
      <c r="M89" s="327">
        <v>0</v>
      </c>
      <c r="N89" s="318">
        <f t="shared" si="2"/>
        <v>0</v>
      </c>
      <c r="O89" s="326">
        <v>1003</v>
      </c>
      <c r="P89" s="327">
        <v>0</v>
      </c>
      <c r="Q89" s="318">
        <f t="shared" si="3"/>
        <v>1003</v>
      </c>
      <c r="R89" s="326">
        <v>997</v>
      </c>
      <c r="S89" s="327">
        <v>0</v>
      </c>
      <c r="T89" s="318">
        <f t="shared" si="4"/>
        <v>997</v>
      </c>
      <c r="U89" s="326">
        <v>0</v>
      </c>
      <c r="V89" s="327">
        <v>0</v>
      </c>
      <c r="W89" s="318">
        <f t="shared" si="5"/>
        <v>0</v>
      </c>
      <c r="X89" s="319">
        <f t="shared" si="8"/>
        <v>2620</v>
      </c>
      <c r="Y89" s="19">
        <f t="shared" si="8"/>
        <v>0</v>
      </c>
      <c r="Z89" s="320">
        <f t="shared" si="8"/>
        <v>2620</v>
      </c>
      <c r="AA89" s="321">
        <f t="shared" si="9"/>
        <v>436.66666666666669</v>
      </c>
      <c r="AB89" s="60">
        <f t="shared" si="9"/>
        <v>0</v>
      </c>
      <c r="AC89" s="322">
        <f t="shared" si="9"/>
        <v>436.66666666666669</v>
      </c>
      <c r="AD89" s="317" t="s">
        <v>18</v>
      </c>
    </row>
    <row r="90" spans="1:30" ht="15.75" hidden="1">
      <c r="A90" s="302">
        <v>84</v>
      </c>
      <c r="B90" s="354" t="s">
        <v>1214</v>
      </c>
      <c r="C90" s="305" t="s">
        <v>2409</v>
      </c>
      <c r="D90" s="305" t="s">
        <v>2445</v>
      </c>
      <c r="E90" s="306">
        <v>10</v>
      </c>
      <c r="F90" s="307"/>
      <c r="G90" s="302"/>
      <c r="H90" s="294">
        <f t="shared" si="0"/>
        <v>0</v>
      </c>
      <c r="I90" s="346">
        <v>0</v>
      </c>
      <c r="J90" s="302"/>
      <c r="K90" s="294">
        <f t="shared" si="1"/>
        <v>0</v>
      </c>
      <c r="L90" s="346">
        <v>0</v>
      </c>
      <c r="M90" s="302"/>
      <c r="N90" s="294">
        <f t="shared" si="2"/>
        <v>0</v>
      </c>
      <c r="O90" s="346">
        <v>0</v>
      </c>
      <c r="P90" s="302"/>
      <c r="Q90" s="294">
        <f t="shared" si="3"/>
        <v>0</v>
      </c>
      <c r="R90" s="346">
        <v>0</v>
      </c>
      <c r="S90" s="302"/>
      <c r="T90" s="294">
        <f t="shared" si="4"/>
        <v>0</v>
      </c>
      <c r="U90" s="346">
        <v>0</v>
      </c>
      <c r="V90" s="302"/>
      <c r="W90" s="294">
        <f t="shared" si="5"/>
        <v>0</v>
      </c>
      <c r="X90" s="308">
        <f t="shared" si="8"/>
        <v>0</v>
      </c>
      <c r="Y90" s="64">
        <f t="shared" si="8"/>
        <v>0</v>
      </c>
      <c r="Z90" s="309">
        <f t="shared" si="8"/>
        <v>0</v>
      </c>
      <c r="AA90" s="310">
        <f t="shared" si="9"/>
        <v>0</v>
      </c>
      <c r="AB90" s="65">
        <f t="shared" si="9"/>
        <v>0</v>
      </c>
      <c r="AC90" s="311">
        <f t="shared" si="9"/>
        <v>0</v>
      </c>
      <c r="AD90" s="347" t="s">
        <v>15</v>
      </c>
    </row>
    <row r="91" spans="1:30" ht="15.75">
      <c r="A91" s="289">
        <v>85</v>
      </c>
      <c r="B91" s="350" t="s">
        <v>2446</v>
      </c>
      <c r="C91" s="305" t="s">
        <v>2447</v>
      </c>
      <c r="D91" s="291" t="s">
        <v>2448</v>
      </c>
      <c r="E91" s="306">
        <v>90</v>
      </c>
      <c r="F91" s="307">
        <v>120</v>
      </c>
      <c r="G91" s="302"/>
      <c r="H91" s="294">
        <f t="shared" si="0"/>
        <v>120</v>
      </c>
      <c r="I91" s="346">
        <v>175</v>
      </c>
      <c r="J91" s="302"/>
      <c r="K91" s="294">
        <f t="shared" si="1"/>
        <v>175</v>
      </c>
      <c r="L91" s="346">
        <v>55</v>
      </c>
      <c r="M91" s="302"/>
      <c r="N91" s="294">
        <f t="shared" si="2"/>
        <v>55</v>
      </c>
      <c r="O91" s="346">
        <v>90</v>
      </c>
      <c r="P91" s="302"/>
      <c r="Q91" s="294">
        <f t="shared" si="3"/>
        <v>90</v>
      </c>
      <c r="R91" s="346">
        <v>110</v>
      </c>
      <c r="S91" s="302"/>
      <c r="T91" s="294">
        <f t="shared" si="4"/>
        <v>110</v>
      </c>
      <c r="U91" s="346">
        <v>35</v>
      </c>
      <c r="V91" s="302"/>
      <c r="W91" s="294">
        <f t="shared" si="5"/>
        <v>35</v>
      </c>
      <c r="X91" s="308">
        <f t="shared" si="8"/>
        <v>585</v>
      </c>
      <c r="Y91" s="64">
        <f t="shared" si="8"/>
        <v>0</v>
      </c>
      <c r="Z91" s="309">
        <f t="shared" si="8"/>
        <v>585</v>
      </c>
      <c r="AA91" s="310">
        <f t="shared" si="9"/>
        <v>97.5</v>
      </c>
      <c r="AB91" s="65">
        <f t="shared" si="9"/>
        <v>0</v>
      </c>
      <c r="AC91" s="311">
        <f t="shared" si="9"/>
        <v>97.5</v>
      </c>
      <c r="AD91" s="347" t="s">
        <v>18</v>
      </c>
    </row>
    <row r="92" spans="1:30" ht="15.75" hidden="1">
      <c r="A92" s="302">
        <v>86</v>
      </c>
      <c r="B92" s="351" t="s">
        <v>2449</v>
      </c>
      <c r="C92" s="305" t="s">
        <v>2447</v>
      </c>
      <c r="D92" s="305" t="s">
        <v>2450</v>
      </c>
      <c r="E92" s="306">
        <v>25</v>
      </c>
      <c r="F92" s="307">
        <v>40</v>
      </c>
      <c r="G92" s="302"/>
      <c r="H92" s="294">
        <f t="shared" si="0"/>
        <v>40</v>
      </c>
      <c r="I92" s="346">
        <v>55</v>
      </c>
      <c r="J92" s="302"/>
      <c r="K92" s="294">
        <f t="shared" si="1"/>
        <v>55</v>
      </c>
      <c r="L92" s="346">
        <v>15</v>
      </c>
      <c r="M92" s="302"/>
      <c r="N92" s="294">
        <f t="shared" si="2"/>
        <v>15</v>
      </c>
      <c r="O92" s="346">
        <v>10</v>
      </c>
      <c r="P92" s="302"/>
      <c r="Q92" s="294">
        <f t="shared" si="3"/>
        <v>10</v>
      </c>
      <c r="R92" s="346">
        <v>15</v>
      </c>
      <c r="S92" s="302"/>
      <c r="T92" s="294">
        <f t="shared" si="4"/>
        <v>15</v>
      </c>
      <c r="U92" s="346">
        <v>8</v>
      </c>
      <c r="V92" s="302"/>
      <c r="W92" s="294">
        <f t="shared" si="5"/>
        <v>8</v>
      </c>
      <c r="X92" s="308">
        <f t="shared" si="8"/>
        <v>143</v>
      </c>
      <c r="Y92" s="64">
        <f t="shared" si="8"/>
        <v>0</v>
      </c>
      <c r="Z92" s="309">
        <f t="shared" si="8"/>
        <v>143</v>
      </c>
      <c r="AA92" s="310">
        <f t="shared" si="9"/>
        <v>23.833333333333332</v>
      </c>
      <c r="AB92" s="65">
        <f t="shared" si="9"/>
        <v>0</v>
      </c>
      <c r="AC92" s="311">
        <f t="shared" si="9"/>
        <v>23.833333333333332</v>
      </c>
      <c r="AD92" s="347" t="s">
        <v>18</v>
      </c>
    </row>
    <row r="93" spans="1:30" ht="15.75" hidden="1">
      <c r="A93" s="289">
        <v>87</v>
      </c>
      <c r="B93" s="351" t="s">
        <v>2317</v>
      </c>
      <c r="C93" s="305" t="s">
        <v>2447</v>
      </c>
      <c r="D93" s="291" t="s">
        <v>2451</v>
      </c>
      <c r="E93" s="306">
        <v>20</v>
      </c>
      <c r="F93" s="307">
        <v>10</v>
      </c>
      <c r="G93" s="302"/>
      <c r="H93" s="294">
        <f t="shared" si="0"/>
        <v>10</v>
      </c>
      <c r="I93" s="346">
        <v>25</v>
      </c>
      <c r="J93" s="302"/>
      <c r="K93" s="294">
        <f t="shared" si="1"/>
        <v>25</v>
      </c>
      <c r="L93" s="346">
        <v>10</v>
      </c>
      <c r="M93" s="302"/>
      <c r="N93" s="294">
        <f t="shared" si="2"/>
        <v>10</v>
      </c>
      <c r="O93" s="346">
        <v>8</v>
      </c>
      <c r="P93" s="302"/>
      <c r="Q93" s="294">
        <f t="shared" si="3"/>
        <v>8</v>
      </c>
      <c r="R93" s="346">
        <v>10</v>
      </c>
      <c r="S93" s="302"/>
      <c r="T93" s="294">
        <f t="shared" si="4"/>
        <v>10</v>
      </c>
      <c r="U93" s="346">
        <v>5</v>
      </c>
      <c r="V93" s="302"/>
      <c r="W93" s="294">
        <f t="shared" si="5"/>
        <v>5</v>
      </c>
      <c r="X93" s="308">
        <f t="shared" si="8"/>
        <v>68</v>
      </c>
      <c r="Y93" s="64">
        <f t="shared" si="8"/>
        <v>0</v>
      </c>
      <c r="Z93" s="309">
        <f t="shared" si="8"/>
        <v>68</v>
      </c>
      <c r="AA93" s="310">
        <f t="shared" si="9"/>
        <v>11.333333333333334</v>
      </c>
      <c r="AB93" s="65">
        <f t="shared" si="9"/>
        <v>0</v>
      </c>
      <c r="AC93" s="311">
        <f t="shared" si="9"/>
        <v>11.333333333333334</v>
      </c>
      <c r="AD93" s="347" t="s">
        <v>15</v>
      </c>
    </row>
    <row r="94" spans="1:30" ht="15.75" hidden="1">
      <c r="A94" s="302">
        <v>88</v>
      </c>
      <c r="B94" s="351" t="s">
        <v>2452</v>
      </c>
      <c r="C94" s="305" t="s">
        <v>2447</v>
      </c>
      <c r="D94" s="305" t="s">
        <v>2453</v>
      </c>
      <c r="E94" s="306">
        <v>20</v>
      </c>
      <c r="F94" s="307">
        <v>45</v>
      </c>
      <c r="G94" s="302"/>
      <c r="H94" s="294">
        <f t="shared" si="0"/>
        <v>45</v>
      </c>
      <c r="I94" s="346">
        <v>35</v>
      </c>
      <c r="J94" s="302"/>
      <c r="K94" s="294">
        <f t="shared" si="1"/>
        <v>35</v>
      </c>
      <c r="L94" s="346">
        <v>15</v>
      </c>
      <c r="M94" s="302"/>
      <c r="N94" s="294">
        <f t="shared" si="2"/>
        <v>15</v>
      </c>
      <c r="O94" s="346">
        <v>10</v>
      </c>
      <c r="P94" s="302"/>
      <c r="Q94" s="294">
        <f t="shared" si="3"/>
        <v>10</v>
      </c>
      <c r="R94" s="346">
        <v>15</v>
      </c>
      <c r="S94" s="302"/>
      <c r="T94" s="294">
        <f t="shared" si="4"/>
        <v>15</v>
      </c>
      <c r="U94" s="346">
        <v>5</v>
      </c>
      <c r="V94" s="302"/>
      <c r="W94" s="294">
        <f t="shared" si="5"/>
        <v>5</v>
      </c>
      <c r="X94" s="308">
        <f t="shared" si="8"/>
        <v>125</v>
      </c>
      <c r="Y94" s="64">
        <f t="shared" si="8"/>
        <v>0</v>
      </c>
      <c r="Z94" s="309">
        <f t="shared" si="8"/>
        <v>125</v>
      </c>
      <c r="AA94" s="310">
        <f t="shared" si="9"/>
        <v>20.833333333333332</v>
      </c>
      <c r="AB94" s="65">
        <f t="shared" si="9"/>
        <v>0</v>
      </c>
      <c r="AC94" s="311">
        <f t="shared" si="9"/>
        <v>20.833333333333332</v>
      </c>
      <c r="AD94" s="347" t="s">
        <v>15</v>
      </c>
    </row>
    <row r="95" spans="1:30" ht="15.75" hidden="1">
      <c r="A95" s="289">
        <v>89</v>
      </c>
      <c r="B95" s="351" t="s">
        <v>47</v>
      </c>
      <c r="C95" s="305" t="s">
        <v>2447</v>
      </c>
      <c r="D95" s="291" t="s">
        <v>2454</v>
      </c>
      <c r="E95" s="306">
        <v>25</v>
      </c>
      <c r="F95" s="307">
        <v>55</v>
      </c>
      <c r="G95" s="302"/>
      <c r="H95" s="294">
        <f t="shared" si="0"/>
        <v>55</v>
      </c>
      <c r="I95" s="346">
        <v>40</v>
      </c>
      <c r="J95" s="302"/>
      <c r="K95" s="294">
        <f t="shared" si="1"/>
        <v>40</v>
      </c>
      <c r="L95" s="346">
        <v>18</v>
      </c>
      <c r="M95" s="302"/>
      <c r="N95" s="294">
        <f t="shared" si="2"/>
        <v>18</v>
      </c>
      <c r="O95" s="346">
        <v>15</v>
      </c>
      <c r="P95" s="302"/>
      <c r="Q95" s="294">
        <f t="shared" si="3"/>
        <v>15</v>
      </c>
      <c r="R95" s="346">
        <v>18</v>
      </c>
      <c r="S95" s="302"/>
      <c r="T95" s="294">
        <f t="shared" si="4"/>
        <v>18</v>
      </c>
      <c r="U95" s="346">
        <v>8</v>
      </c>
      <c r="V95" s="302"/>
      <c r="W95" s="294">
        <f t="shared" si="5"/>
        <v>8</v>
      </c>
      <c r="X95" s="308">
        <f t="shared" si="8"/>
        <v>154</v>
      </c>
      <c r="Y95" s="64">
        <f t="shared" si="8"/>
        <v>0</v>
      </c>
      <c r="Z95" s="309">
        <f t="shared" si="8"/>
        <v>154</v>
      </c>
      <c r="AA95" s="310">
        <f t="shared" si="9"/>
        <v>25.666666666666668</v>
      </c>
      <c r="AB95" s="65">
        <f t="shared" si="9"/>
        <v>0</v>
      </c>
      <c r="AC95" s="311">
        <f t="shared" si="9"/>
        <v>25.666666666666668</v>
      </c>
      <c r="AD95" s="347" t="s">
        <v>15</v>
      </c>
    </row>
    <row r="96" spans="1:30" ht="15.75" hidden="1">
      <c r="A96" s="302">
        <v>90</v>
      </c>
      <c r="B96" s="351" t="s">
        <v>2455</v>
      </c>
      <c r="C96" s="305" t="s">
        <v>2447</v>
      </c>
      <c r="D96" s="305" t="s">
        <v>2456</v>
      </c>
      <c r="E96" s="306">
        <v>15</v>
      </c>
      <c r="F96" s="307">
        <v>5</v>
      </c>
      <c r="G96" s="302"/>
      <c r="H96" s="294">
        <f t="shared" si="0"/>
        <v>5</v>
      </c>
      <c r="I96" s="346">
        <v>10</v>
      </c>
      <c r="J96" s="302"/>
      <c r="K96" s="294">
        <f t="shared" si="1"/>
        <v>10</v>
      </c>
      <c r="L96" s="346">
        <v>5</v>
      </c>
      <c r="M96" s="302"/>
      <c r="N96" s="294">
        <f t="shared" si="2"/>
        <v>5</v>
      </c>
      <c r="O96" s="346">
        <v>5</v>
      </c>
      <c r="P96" s="302"/>
      <c r="Q96" s="294">
        <f t="shared" si="3"/>
        <v>5</v>
      </c>
      <c r="R96" s="346">
        <v>10</v>
      </c>
      <c r="S96" s="302"/>
      <c r="T96" s="294">
        <f t="shared" si="4"/>
        <v>10</v>
      </c>
      <c r="U96" s="346">
        <v>5</v>
      </c>
      <c r="V96" s="302"/>
      <c r="W96" s="294">
        <f t="shared" si="5"/>
        <v>5</v>
      </c>
      <c r="X96" s="308">
        <f t="shared" si="8"/>
        <v>40</v>
      </c>
      <c r="Y96" s="64">
        <f t="shared" si="8"/>
        <v>0</v>
      </c>
      <c r="Z96" s="309">
        <f t="shared" si="8"/>
        <v>40</v>
      </c>
      <c r="AA96" s="310">
        <f t="shared" si="9"/>
        <v>6.666666666666667</v>
      </c>
      <c r="AB96" s="65">
        <f t="shared" si="9"/>
        <v>0</v>
      </c>
      <c r="AC96" s="311">
        <f t="shared" si="9"/>
        <v>6.666666666666667</v>
      </c>
      <c r="AD96" s="347" t="s">
        <v>15</v>
      </c>
    </row>
    <row r="97" spans="1:30" ht="15.75" hidden="1">
      <c r="A97" s="289">
        <v>91</v>
      </c>
      <c r="B97" s="351" t="s">
        <v>2457</v>
      </c>
      <c r="C97" s="305" t="s">
        <v>2447</v>
      </c>
      <c r="D97" s="291" t="s">
        <v>2458</v>
      </c>
      <c r="E97" s="306">
        <v>10</v>
      </c>
      <c r="F97" s="307">
        <v>0</v>
      </c>
      <c r="G97" s="302"/>
      <c r="H97" s="294">
        <f t="shared" si="0"/>
        <v>0</v>
      </c>
      <c r="I97" s="346">
        <v>0</v>
      </c>
      <c r="J97" s="302"/>
      <c r="K97" s="294">
        <f t="shared" si="1"/>
        <v>0</v>
      </c>
      <c r="L97" s="346">
        <v>0</v>
      </c>
      <c r="M97" s="302"/>
      <c r="N97" s="294">
        <f t="shared" si="2"/>
        <v>0</v>
      </c>
      <c r="O97" s="346">
        <v>0</v>
      </c>
      <c r="P97" s="302"/>
      <c r="Q97" s="294">
        <f t="shared" si="3"/>
        <v>0</v>
      </c>
      <c r="R97" s="346">
        <v>0</v>
      </c>
      <c r="S97" s="302"/>
      <c r="T97" s="294">
        <f t="shared" si="4"/>
        <v>0</v>
      </c>
      <c r="U97" s="346">
        <v>0</v>
      </c>
      <c r="V97" s="302"/>
      <c r="W97" s="294">
        <f t="shared" si="5"/>
        <v>0</v>
      </c>
      <c r="X97" s="308">
        <f t="shared" si="8"/>
        <v>0</v>
      </c>
      <c r="Y97" s="64">
        <f t="shared" si="8"/>
        <v>0</v>
      </c>
      <c r="Z97" s="309">
        <f t="shared" si="8"/>
        <v>0</v>
      </c>
      <c r="AA97" s="310">
        <f t="shared" si="9"/>
        <v>0</v>
      </c>
      <c r="AB97" s="65">
        <f t="shared" si="9"/>
        <v>0</v>
      </c>
      <c r="AC97" s="311">
        <f t="shared" si="9"/>
        <v>0</v>
      </c>
      <c r="AD97" s="347" t="s">
        <v>18</v>
      </c>
    </row>
    <row r="98" spans="1:30" ht="15.75">
      <c r="A98" s="302">
        <v>92</v>
      </c>
      <c r="B98" s="351" t="s">
        <v>2459</v>
      </c>
      <c r="C98" s="305" t="s">
        <v>2447</v>
      </c>
      <c r="D98" s="305" t="s">
        <v>2460</v>
      </c>
      <c r="E98" s="306">
        <v>70</v>
      </c>
      <c r="F98" s="307">
        <v>50</v>
      </c>
      <c r="G98" s="302"/>
      <c r="H98" s="294">
        <f t="shared" si="0"/>
        <v>50</v>
      </c>
      <c r="I98" s="346">
        <v>180</v>
      </c>
      <c r="J98" s="302"/>
      <c r="K98" s="294">
        <f t="shared" si="1"/>
        <v>180</v>
      </c>
      <c r="L98" s="346">
        <v>45</v>
      </c>
      <c r="M98" s="302"/>
      <c r="N98" s="294">
        <f t="shared" si="2"/>
        <v>45</v>
      </c>
      <c r="O98" s="346">
        <v>65</v>
      </c>
      <c r="P98" s="302"/>
      <c r="Q98" s="294">
        <f t="shared" si="3"/>
        <v>65</v>
      </c>
      <c r="R98" s="346">
        <v>85</v>
      </c>
      <c r="S98" s="302"/>
      <c r="T98" s="294">
        <f t="shared" si="4"/>
        <v>85</v>
      </c>
      <c r="U98" s="346">
        <v>35</v>
      </c>
      <c r="V98" s="302"/>
      <c r="W98" s="294">
        <f t="shared" si="5"/>
        <v>35</v>
      </c>
      <c r="X98" s="308">
        <f t="shared" si="8"/>
        <v>460</v>
      </c>
      <c r="Y98" s="64">
        <f t="shared" si="8"/>
        <v>0</v>
      </c>
      <c r="Z98" s="309">
        <f t="shared" si="8"/>
        <v>460</v>
      </c>
      <c r="AA98" s="310">
        <f t="shared" si="9"/>
        <v>76.666666666666671</v>
      </c>
      <c r="AB98" s="65">
        <f t="shared" si="9"/>
        <v>0</v>
      </c>
      <c r="AC98" s="311">
        <f t="shared" si="9"/>
        <v>76.666666666666671</v>
      </c>
      <c r="AD98" s="347" t="s">
        <v>18</v>
      </c>
    </row>
    <row r="99" spans="1:30" ht="15.75">
      <c r="A99" s="289">
        <v>93</v>
      </c>
      <c r="B99" s="351" t="s">
        <v>2461</v>
      </c>
      <c r="C99" s="305" t="s">
        <v>2447</v>
      </c>
      <c r="D99" s="291" t="s">
        <v>2462</v>
      </c>
      <c r="E99" s="306">
        <v>80</v>
      </c>
      <c r="F99" s="307">
        <v>120</v>
      </c>
      <c r="G99" s="302"/>
      <c r="H99" s="294">
        <f t="shared" si="0"/>
        <v>120</v>
      </c>
      <c r="I99" s="346">
        <v>195</v>
      </c>
      <c r="J99" s="302"/>
      <c r="K99" s="294">
        <f t="shared" si="1"/>
        <v>195</v>
      </c>
      <c r="L99" s="346">
        <v>60</v>
      </c>
      <c r="M99" s="302"/>
      <c r="N99" s="294">
        <f t="shared" si="2"/>
        <v>60</v>
      </c>
      <c r="O99" s="346">
        <v>85</v>
      </c>
      <c r="P99" s="302"/>
      <c r="Q99" s="294">
        <f t="shared" si="3"/>
        <v>85</v>
      </c>
      <c r="R99" s="346">
        <v>100</v>
      </c>
      <c r="S99" s="302"/>
      <c r="T99" s="294">
        <f t="shared" si="4"/>
        <v>100</v>
      </c>
      <c r="U99" s="346">
        <v>40</v>
      </c>
      <c r="V99" s="302"/>
      <c r="W99" s="294">
        <f t="shared" si="5"/>
        <v>40</v>
      </c>
      <c r="X99" s="308">
        <f t="shared" si="8"/>
        <v>600</v>
      </c>
      <c r="Y99" s="64">
        <f t="shared" si="8"/>
        <v>0</v>
      </c>
      <c r="Z99" s="309">
        <f t="shared" si="8"/>
        <v>600</v>
      </c>
      <c r="AA99" s="310">
        <f t="shared" si="9"/>
        <v>100</v>
      </c>
      <c r="AB99" s="65">
        <f t="shared" si="9"/>
        <v>0</v>
      </c>
      <c r="AC99" s="311">
        <f t="shared" si="9"/>
        <v>100</v>
      </c>
      <c r="AD99" s="347" t="s">
        <v>18</v>
      </c>
    </row>
    <row r="100" spans="1:30" ht="15.75" hidden="1">
      <c r="A100" s="302">
        <v>94</v>
      </c>
      <c r="B100" s="351" t="s">
        <v>2463</v>
      </c>
      <c r="C100" s="305" t="s">
        <v>2447</v>
      </c>
      <c r="D100" s="305" t="s">
        <v>2464</v>
      </c>
      <c r="E100" s="306">
        <v>20</v>
      </c>
      <c r="F100" s="307">
        <v>10</v>
      </c>
      <c r="G100" s="302"/>
      <c r="H100" s="294">
        <f t="shared" si="0"/>
        <v>10</v>
      </c>
      <c r="I100" s="346">
        <v>25</v>
      </c>
      <c r="J100" s="302"/>
      <c r="K100" s="294">
        <f t="shared" si="1"/>
        <v>25</v>
      </c>
      <c r="L100" s="346">
        <v>10</v>
      </c>
      <c r="M100" s="302"/>
      <c r="N100" s="294">
        <f t="shared" si="2"/>
        <v>10</v>
      </c>
      <c r="O100" s="346">
        <v>15</v>
      </c>
      <c r="P100" s="302"/>
      <c r="Q100" s="294">
        <f t="shared" si="3"/>
        <v>15</v>
      </c>
      <c r="R100" s="346">
        <v>25</v>
      </c>
      <c r="S100" s="302"/>
      <c r="T100" s="294">
        <f t="shared" si="4"/>
        <v>25</v>
      </c>
      <c r="U100" s="346">
        <v>10</v>
      </c>
      <c r="V100" s="302"/>
      <c r="W100" s="294">
        <f t="shared" si="5"/>
        <v>10</v>
      </c>
      <c r="X100" s="308">
        <f t="shared" si="8"/>
        <v>95</v>
      </c>
      <c r="Y100" s="64">
        <f t="shared" si="8"/>
        <v>0</v>
      </c>
      <c r="Z100" s="309">
        <f t="shared" si="8"/>
        <v>95</v>
      </c>
      <c r="AA100" s="310">
        <f t="shared" si="9"/>
        <v>15.833333333333334</v>
      </c>
      <c r="AB100" s="65">
        <f t="shared" si="9"/>
        <v>0</v>
      </c>
      <c r="AC100" s="311">
        <f t="shared" si="9"/>
        <v>15.833333333333334</v>
      </c>
      <c r="AD100" s="347" t="s">
        <v>15</v>
      </c>
    </row>
    <row r="101" spans="1:30" ht="15.75" hidden="1">
      <c r="A101" s="289">
        <v>95</v>
      </c>
      <c r="B101" s="351" t="s">
        <v>2465</v>
      </c>
      <c r="C101" s="305" t="s">
        <v>2447</v>
      </c>
      <c r="D101" s="291" t="s">
        <v>2466</v>
      </c>
      <c r="E101" s="306">
        <v>20</v>
      </c>
      <c r="F101" s="307">
        <v>70</v>
      </c>
      <c r="G101" s="302"/>
      <c r="H101" s="294">
        <f t="shared" si="0"/>
        <v>70</v>
      </c>
      <c r="I101" s="346">
        <v>30</v>
      </c>
      <c r="J101" s="302"/>
      <c r="K101" s="294">
        <f t="shared" si="1"/>
        <v>30</v>
      </c>
      <c r="L101" s="346">
        <v>5</v>
      </c>
      <c r="M101" s="302"/>
      <c r="N101" s="294">
        <f t="shared" si="2"/>
        <v>5</v>
      </c>
      <c r="O101" s="346">
        <v>15</v>
      </c>
      <c r="P101" s="302"/>
      <c r="Q101" s="294">
        <f t="shared" si="3"/>
        <v>15</v>
      </c>
      <c r="R101" s="346">
        <v>20</v>
      </c>
      <c r="S101" s="302"/>
      <c r="T101" s="294">
        <f t="shared" si="4"/>
        <v>20</v>
      </c>
      <c r="U101" s="346">
        <v>10</v>
      </c>
      <c r="V101" s="302"/>
      <c r="W101" s="294">
        <f t="shared" si="5"/>
        <v>10</v>
      </c>
      <c r="X101" s="308">
        <f t="shared" si="8"/>
        <v>150</v>
      </c>
      <c r="Y101" s="64">
        <f t="shared" si="8"/>
        <v>0</v>
      </c>
      <c r="Z101" s="309">
        <f t="shared" si="8"/>
        <v>150</v>
      </c>
      <c r="AA101" s="310">
        <f t="shared" si="9"/>
        <v>25</v>
      </c>
      <c r="AB101" s="65">
        <f t="shared" si="9"/>
        <v>0</v>
      </c>
      <c r="AC101" s="311">
        <f t="shared" si="9"/>
        <v>25</v>
      </c>
      <c r="AD101" s="347" t="s">
        <v>15</v>
      </c>
    </row>
    <row r="102" spans="1:30" ht="15.75" hidden="1">
      <c r="A102" s="302">
        <v>96</v>
      </c>
      <c r="B102" s="351" t="s">
        <v>1547</v>
      </c>
      <c r="C102" s="305" t="s">
        <v>2447</v>
      </c>
      <c r="D102" s="305" t="s">
        <v>2467</v>
      </c>
      <c r="E102" s="306">
        <v>10</v>
      </c>
      <c r="F102" s="307"/>
      <c r="G102" s="302"/>
      <c r="H102" s="294">
        <f t="shared" si="0"/>
        <v>0</v>
      </c>
      <c r="I102" s="346">
        <v>5</v>
      </c>
      <c r="J102" s="302"/>
      <c r="K102" s="294">
        <f t="shared" si="1"/>
        <v>5</v>
      </c>
      <c r="L102" s="346">
        <v>5</v>
      </c>
      <c r="M102" s="302"/>
      <c r="N102" s="294">
        <f t="shared" si="2"/>
        <v>5</v>
      </c>
      <c r="O102" s="346">
        <v>5</v>
      </c>
      <c r="P102" s="302"/>
      <c r="Q102" s="294">
        <f t="shared" si="3"/>
        <v>5</v>
      </c>
      <c r="R102" s="346">
        <v>10</v>
      </c>
      <c r="S102" s="302"/>
      <c r="T102" s="294">
        <f t="shared" si="4"/>
        <v>10</v>
      </c>
      <c r="U102" s="346">
        <v>5</v>
      </c>
      <c r="V102" s="302"/>
      <c r="W102" s="294">
        <f t="shared" si="5"/>
        <v>5</v>
      </c>
      <c r="X102" s="308">
        <f t="shared" si="8"/>
        <v>30</v>
      </c>
      <c r="Y102" s="64">
        <f t="shared" si="8"/>
        <v>0</v>
      </c>
      <c r="Z102" s="309">
        <f t="shared" si="8"/>
        <v>30</v>
      </c>
      <c r="AA102" s="310">
        <f t="shared" si="9"/>
        <v>5</v>
      </c>
      <c r="AB102" s="65">
        <f t="shared" si="9"/>
        <v>0</v>
      </c>
      <c r="AC102" s="311">
        <f t="shared" si="9"/>
        <v>5</v>
      </c>
      <c r="AD102" s="347" t="s">
        <v>15</v>
      </c>
    </row>
    <row r="103" spans="1:30" ht="15.75" hidden="1">
      <c r="A103" s="289">
        <v>97</v>
      </c>
      <c r="B103" s="351" t="s">
        <v>2468</v>
      </c>
      <c r="C103" s="305" t="s">
        <v>2447</v>
      </c>
      <c r="D103" s="291" t="s">
        <v>2469</v>
      </c>
      <c r="E103" s="306">
        <v>25</v>
      </c>
      <c r="F103" s="307">
        <v>50</v>
      </c>
      <c r="G103" s="302"/>
      <c r="H103" s="294">
        <f t="shared" si="0"/>
        <v>50</v>
      </c>
      <c r="I103" s="346">
        <v>70</v>
      </c>
      <c r="J103" s="302"/>
      <c r="K103" s="294">
        <f t="shared" si="1"/>
        <v>70</v>
      </c>
      <c r="L103" s="346">
        <v>20</v>
      </c>
      <c r="M103" s="302"/>
      <c r="N103" s="294">
        <f t="shared" si="2"/>
        <v>20</v>
      </c>
      <c r="O103" s="346">
        <v>30</v>
      </c>
      <c r="P103" s="302"/>
      <c r="Q103" s="294">
        <f t="shared" si="3"/>
        <v>30</v>
      </c>
      <c r="R103" s="346">
        <v>45</v>
      </c>
      <c r="S103" s="302"/>
      <c r="T103" s="294">
        <f t="shared" si="4"/>
        <v>45</v>
      </c>
      <c r="U103" s="346">
        <v>20</v>
      </c>
      <c r="V103" s="302"/>
      <c r="W103" s="294">
        <f t="shared" si="5"/>
        <v>20</v>
      </c>
      <c r="X103" s="308">
        <f t="shared" si="8"/>
        <v>235</v>
      </c>
      <c r="Y103" s="64">
        <f t="shared" si="8"/>
        <v>0</v>
      </c>
      <c r="Z103" s="309">
        <f t="shared" si="8"/>
        <v>235</v>
      </c>
      <c r="AA103" s="310">
        <f t="shared" si="9"/>
        <v>39.166666666666664</v>
      </c>
      <c r="AB103" s="65">
        <f t="shared" si="9"/>
        <v>0</v>
      </c>
      <c r="AC103" s="311">
        <f t="shared" si="9"/>
        <v>39.166666666666664</v>
      </c>
      <c r="AD103" s="347" t="s">
        <v>15</v>
      </c>
    </row>
    <row r="104" spans="1:30" ht="15.75" hidden="1">
      <c r="A104" s="302">
        <v>98</v>
      </c>
      <c r="B104" s="351" t="s">
        <v>51</v>
      </c>
      <c r="C104" s="305" t="s">
        <v>2447</v>
      </c>
      <c r="D104" s="305" t="s">
        <v>2470</v>
      </c>
      <c r="E104" s="306">
        <v>10</v>
      </c>
      <c r="F104" s="307"/>
      <c r="G104" s="302"/>
      <c r="H104" s="294">
        <f t="shared" si="0"/>
        <v>0</v>
      </c>
      <c r="I104" s="346">
        <v>0</v>
      </c>
      <c r="J104" s="302"/>
      <c r="K104" s="294">
        <f t="shared" si="1"/>
        <v>0</v>
      </c>
      <c r="L104" s="346">
        <v>0</v>
      </c>
      <c r="M104" s="302"/>
      <c r="N104" s="294">
        <f t="shared" si="2"/>
        <v>0</v>
      </c>
      <c r="O104" s="346">
        <v>0</v>
      </c>
      <c r="P104" s="302"/>
      <c r="Q104" s="294">
        <f t="shared" si="3"/>
        <v>0</v>
      </c>
      <c r="R104" s="346">
        <v>0</v>
      </c>
      <c r="S104" s="302"/>
      <c r="T104" s="294">
        <f t="shared" si="4"/>
        <v>0</v>
      </c>
      <c r="U104" s="346">
        <v>0</v>
      </c>
      <c r="V104" s="302"/>
      <c r="W104" s="294">
        <f t="shared" si="5"/>
        <v>0</v>
      </c>
      <c r="X104" s="308">
        <f t="shared" si="8"/>
        <v>0</v>
      </c>
      <c r="Y104" s="64">
        <f t="shared" si="8"/>
        <v>0</v>
      </c>
      <c r="Z104" s="309">
        <f t="shared" si="8"/>
        <v>0</v>
      </c>
      <c r="AA104" s="310">
        <f t="shared" si="9"/>
        <v>0</v>
      </c>
      <c r="AB104" s="65">
        <f t="shared" si="9"/>
        <v>0</v>
      </c>
      <c r="AC104" s="311">
        <f t="shared" si="9"/>
        <v>0</v>
      </c>
      <c r="AD104" s="347" t="s">
        <v>15</v>
      </c>
    </row>
    <row r="105" spans="1:30" ht="15.75">
      <c r="A105" s="289">
        <v>99</v>
      </c>
      <c r="B105" s="351" t="s">
        <v>2471</v>
      </c>
      <c r="C105" s="305" t="s">
        <v>2447</v>
      </c>
      <c r="D105" s="291" t="s">
        <v>2472</v>
      </c>
      <c r="E105" s="306">
        <v>90</v>
      </c>
      <c r="F105" s="307">
        <v>110</v>
      </c>
      <c r="G105" s="302"/>
      <c r="H105" s="294">
        <f t="shared" si="0"/>
        <v>110</v>
      </c>
      <c r="I105" s="346">
        <v>110</v>
      </c>
      <c r="J105" s="302"/>
      <c r="K105" s="294">
        <f t="shared" si="1"/>
        <v>110</v>
      </c>
      <c r="L105" s="346">
        <v>45</v>
      </c>
      <c r="M105" s="302"/>
      <c r="N105" s="294">
        <f t="shared" si="2"/>
        <v>45</v>
      </c>
      <c r="O105" s="346">
        <v>75</v>
      </c>
      <c r="P105" s="302"/>
      <c r="Q105" s="294">
        <f t="shared" si="3"/>
        <v>75</v>
      </c>
      <c r="R105" s="346">
        <v>95</v>
      </c>
      <c r="S105" s="302"/>
      <c r="T105" s="294">
        <f t="shared" si="4"/>
        <v>95</v>
      </c>
      <c r="U105" s="346">
        <v>35</v>
      </c>
      <c r="V105" s="302"/>
      <c r="W105" s="294">
        <f t="shared" si="5"/>
        <v>35</v>
      </c>
      <c r="X105" s="308">
        <f t="shared" si="8"/>
        <v>470</v>
      </c>
      <c r="Y105" s="64">
        <f t="shared" si="8"/>
        <v>0</v>
      </c>
      <c r="Z105" s="309">
        <f t="shared" si="8"/>
        <v>470</v>
      </c>
      <c r="AA105" s="310">
        <f t="shared" si="9"/>
        <v>78.333333333333329</v>
      </c>
      <c r="AB105" s="65">
        <f t="shared" si="9"/>
        <v>0</v>
      </c>
      <c r="AC105" s="311">
        <f t="shared" si="9"/>
        <v>78.333333333333329</v>
      </c>
      <c r="AD105" s="347" t="s">
        <v>15</v>
      </c>
    </row>
    <row r="106" spans="1:30" ht="15.75" hidden="1">
      <c r="A106" s="302">
        <v>100</v>
      </c>
      <c r="B106" s="351" t="s">
        <v>2473</v>
      </c>
      <c r="C106" s="305" t="s">
        <v>2447</v>
      </c>
      <c r="D106" s="305" t="s">
        <v>2474</v>
      </c>
      <c r="E106" s="306">
        <v>50</v>
      </c>
      <c r="F106" s="307">
        <v>40</v>
      </c>
      <c r="G106" s="302"/>
      <c r="H106" s="294">
        <f t="shared" si="0"/>
        <v>40</v>
      </c>
      <c r="I106" s="346">
        <v>75</v>
      </c>
      <c r="J106" s="302"/>
      <c r="K106" s="294">
        <f t="shared" si="1"/>
        <v>75</v>
      </c>
      <c r="L106" s="346">
        <v>30</v>
      </c>
      <c r="M106" s="302"/>
      <c r="N106" s="294">
        <f t="shared" si="2"/>
        <v>30</v>
      </c>
      <c r="O106" s="346">
        <v>50</v>
      </c>
      <c r="P106" s="302"/>
      <c r="Q106" s="294">
        <f t="shared" si="3"/>
        <v>50</v>
      </c>
      <c r="R106" s="346">
        <v>65</v>
      </c>
      <c r="S106" s="302"/>
      <c r="T106" s="294">
        <f t="shared" si="4"/>
        <v>65</v>
      </c>
      <c r="U106" s="346">
        <v>25</v>
      </c>
      <c r="V106" s="302"/>
      <c r="W106" s="294">
        <f t="shared" si="5"/>
        <v>25</v>
      </c>
      <c r="X106" s="308">
        <f t="shared" si="8"/>
        <v>285</v>
      </c>
      <c r="Y106" s="64">
        <f t="shared" si="8"/>
        <v>0</v>
      </c>
      <c r="Z106" s="309">
        <f t="shared" si="8"/>
        <v>285</v>
      </c>
      <c r="AA106" s="310">
        <f t="shared" si="9"/>
        <v>47.5</v>
      </c>
      <c r="AB106" s="65">
        <f t="shared" si="9"/>
        <v>0</v>
      </c>
      <c r="AC106" s="311">
        <f t="shared" si="9"/>
        <v>47.5</v>
      </c>
      <c r="AD106" s="347" t="s">
        <v>18</v>
      </c>
    </row>
    <row r="107" spans="1:30" ht="15.75" hidden="1">
      <c r="A107" s="289">
        <v>101</v>
      </c>
      <c r="B107" s="351" t="s">
        <v>2475</v>
      </c>
      <c r="C107" s="305" t="s">
        <v>2447</v>
      </c>
      <c r="D107" s="291" t="s">
        <v>2476</v>
      </c>
      <c r="E107" s="306">
        <v>10</v>
      </c>
      <c r="F107" s="307">
        <v>5</v>
      </c>
      <c r="G107" s="302"/>
      <c r="H107" s="294">
        <f t="shared" si="0"/>
        <v>5</v>
      </c>
      <c r="I107" s="346">
        <v>5</v>
      </c>
      <c r="J107" s="302"/>
      <c r="K107" s="294">
        <f t="shared" si="1"/>
        <v>5</v>
      </c>
      <c r="L107" s="346">
        <v>5</v>
      </c>
      <c r="M107" s="302"/>
      <c r="N107" s="294">
        <f t="shared" si="2"/>
        <v>5</v>
      </c>
      <c r="O107" s="346">
        <v>10</v>
      </c>
      <c r="P107" s="302"/>
      <c r="Q107" s="294">
        <f t="shared" si="3"/>
        <v>10</v>
      </c>
      <c r="R107" s="346">
        <v>18</v>
      </c>
      <c r="S107" s="302"/>
      <c r="T107" s="294">
        <f t="shared" si="4"/>
        <v>18</v>
      </c>
      <c r="U107" s="346">
        <v>10</v>
      </c>
      <c r="V107" s="302"/>
      <c r="W107" s="294">
        <f t="shared" si="5"/>
        <v>10</v>
      </c>
      <c r="X107" s="308">
        <f t="shared" si="8"/>
        <v>53</v>
      </c>
      <c r="Y107" s="64">
        <f t="shared" si="8"/>
        <v>0</v>
      </c>
      <c r="Z107" s="309">
        <f t="shared" si="8"/>
        <v>53</v>
      </c>
      <c r="AA107" s="310">
        <f t="shared" si="9"/>
        <v>8.8333333333333339</v>
      </c>
      <c r="AB107" s="65">
        <f t="shared" si="9"/>
        <v>0</v>
      </c>
      <c r="AC107" s="311">
        <f t="shared" si="9"/>
        <v>8.8333333333333339</v>
      </c>
      <c r="AD107" s="347" t="s">
        <v>15</v>
      </c>
    </row>
    <row r="108" spans="1:30" ht="15.75" hidden="1">
      <c r="A108" s="302">
        <v>102</v>
      </c>
      <c r="B108" s="351" t="s">
        <v>2477</v>
      </c>
      <c r="C108" s="305" t="s">
        <v>2447</v>
      </c>
      <c r="D108" s="305" t="s">
        <v>2478</v>
      </c>
      <c r="E108" s="306">
        <v>30</v>
      </c>
      <c r="F108" s="307">
        <v>25</v>
      </c>
      <c r="G108" s="302"/>
      <c r="H108" s="294">
        <f t="shared" si="0"/>
        <v>25</v>
      </c>
      <c r="I108" s="346">
        <v>36</v>
      </c>
      <c r="J108" s="302"/>
      <c r="K108" s="294">
        <f t="shared" si="1"/>
        <v>36</v>
      </c>
      <c r="L108" s="346">
        <v>10</v>
      </c>
      <c r="M108" s="302"/>
      <c r="N108" s="294">
        <f t="shared" si="2"/>
        <v>10</v>
      </c>
      <c r="O108" s="346">
        <v>18</v>
      </c>
      <c r="P108" s="302"/>
      <c r="Q108" s="294">
        <f t="shared" si="3"/>
        <v>18</v>
      </c>
      <c r="R108" s="346">
        <v>25</v>
      </c>
      <c r="S108" s="302"/>
      <c r="T108" s="294">
        <f t="shared" si="4"/>
        <v>25</v>
      </c>
      <c r="U108" s="346">
        <v>10</v>
      </c>
      <c r="V108" s="302"/>
      <c r="W108" s="294">
        <f t="shared" si="5"/>
        <v>10</v>
      </c>
      <c r="X108" s="308">
        <f t="shared" si="8"/>
        <v>124</v>
      </c>
      <c r="Y108" s="64">
        <f t="shared" si="8"/>
        <v>0</v>
      </c>
      <c r="Z108" s="309">
        <f t="shared" si="8"/>
        <v>124</v>
      </c>
      <c r="AA108" s="310">
        <f t="shared" si="9"/>
        <v>20.666666666666668</v>
      </c>
      <c r="AB108" s="65">
        <f t="shared" si="9"/>
        <v>0</v>
      </c>
      <c r="AC108" s="311">
        <f t="shared" si="9"/>
        <v>20.666666666666668</v>
      </c>
      <c r="AD108" s="347" t="s">
        <v>15</v>
      </c>
    </row>
    <row r="109" spans="1:30" ht="15.75" hidden="1">
      <c r="A109" s="289">
        <v>103</v>
      </c>
      <c r="B109" s="351" t="s">
        <v>108</v>
      </c>
      <c r="C109" s="305" t="s">
        <v>2447</v>
      </c>
      <c r="D109" s="291" t="s">
        <v>2479</v>
      </c>
      <c r="E109" s="306">
        <v>10</v>
      </c>
      <c r="F109" s="307">
        <v>15</v>
      </c>
      <c r="G109" s="302"/>
      <c r="H109" s="294">
        <f t="shared" si="0"/>
        <v>15</v>
      </c>
      <c r="I109" s="346">
        <v>5</v>
      </c>
      <c r="J109" s="302"/>
      <c r="K109" s="294">
        <f t="shared" si="1"/>
        <v>5</v>
      </c>
      <c r="L109" s="346">
        <v>3</v>
      </c>
      <c r="M109" s="302"/>
      <c r="N109" s="294">
        <f t="shared" si="2"/>
        <v>3</v>
      </c>
      <c r="O109" s="346">
        <v>10</v>
      </c>
      <c r="P109" s="302"/>
      <c r="Q109" s="294">
        <f t="shared" si="3"/>
        <v>10</v>
      </c>
      <c r="R109" s="346">
        <v>15</v>
      </c>
      <c r="S109" s="302"/>
      <c r="T109" s="294">
        <f t="shared" si="4"/>
        <v>15</v>
      </c>
      <c r="U109" s="346">
        <v>8</v>
      </c>
      <c r="V109" s="302"/>
      <c r="W109" s="294">
        <f t="shared" si="5"/>
        <v>8</v>
      </c>
      <c r="X109" s="308">
        <f t="shared" si="8"/>
        <v>56</v>
      </c>
      <c r="Y109" s="64">
        <f t="shared" si="8"/>
        <v>0</v>
      </c>
      <c r="Z109" s="309">
        <f t="shared" si="8"/>
        <v>56</v>
      </c>
      <c r="AA109" s="310">
        <f t="shared" si="9"/>
        <v>9.3333333333333339</v>
      </c>
      <c r="AB109" s="65">
        <f t="shared" si="9"/>
        <v>0</v>
      </c>
      <c r="AC109" s="311">
        <f t="shared" si="9"/>
        <v>9.3333333333333339</v>
      </c>
      <c r="AD109" s="347" t="s">
        <v>15</v>
      </c>
    </row>
    <row r="110" spans="1:30" ht="15.75" hidden="1">
      <c r="A110" s="302">
        <v>104</v>
      </c>
      <c r="B110" s="351" t="s">
        <v>2480</v>
      </c>
      <c r="C110" s="305" t="s">
        <v>2447</v>
      </c>
      <c r="D110" s="305" t="s">
        <v>2481</v>
      </c>
      <c r="E110" s="306">
        <v>10</v>
      </c>
      <c r="F110" s="307">
        <v>5</v>
      </c>
      <c r="G110" s="302"/>
      <c r="H110" s="294">
        <f t="shared" si="0"/>
        <v>5</v>
      </c>
      <c r="I110" s="346">
        <v>5</v>
      </c>
      <c r="J110" s="302"/>
      <c r="K110" s="294">
        <f t="shared" si="1"/>
        <v>5</v>
      </c>
      <c r="L110" s="346">
        <v>5</v>
      </c>
      <c r="M110" s="302"/>
      <c r="N110" s="294">
        <f t="shared" si="2"/>
        <v>5</v>
      </c>
      <c r="O110" s="346">
        <v>5</v>
      </c>
      <c r="P110" s="302"/>
      <c r="Q110" s="294">
        <f t="shared" si="3"/>
        <v>5</v>
      </c>
      <c r="R110" s="346">
        <v>9</v>
      </c>
      <c r="S110" s="302"/>
      <c r="T110" s="294">
        <f t="shared" si="4"/>
        <v>9</v>
      </c>
      <c r="U110" s="346">
        <v>5</v>
      </c>
      <c r="V110" s="302"/>
      <c r="W110" s="294">
        <f t="shared" si="5"/>
        <v>5</v>
      </c>
      <c r="X110" s="308">
        <f t="shared" si="8"/>
        <v>34</v>
      </c>
      <c r="Y110" s="64">
        <f t="shared" si="8"/>
        <v>0</v>
      </c>
      <c r="Z110" s="309">
        <f t="shared" si="8"/>
        <v>34</v>
      </c>
      <c r="AA110" s="310">
        <f t="shared" si="9"/>
        <v>5.666666666666667</v>
      </c>
      <c r="AB110" s="65">
        <f t="shared" si="9"/>
        <v>0</v>
      </c>
      <c r="AC110" s="311">
        <f t="shared" si="9"/>
        <v>5.666666666666667</v>
      </c>
      <c r="AD110" s="347" t="s">
        <v>15</v>
      </c>
    </row>
    <row r="111" spans="1:30" ht="15.75" hidden="1">
      <c r="A111" s="289">
        <v>105</v>
      </c>
      <c r="B111" s="351" t="s">
        <v>2482</v>
      </c>
      <c r="C111" s="305" t="s">
        <v>2447</v>
      </c>
      <c r="D111" s="291" t="s">
        <v>2483</v>
      </c>
      <c r="E111" s="306">
        <v>10</v>
      </c>
      <c r="F111" s="307"/>
      <c r="G111" s="302"/>
      <c r="H111" s="294">
        <f t="shared" si="0"/>
        <v>0</v>
      </c>
      <c r="I111" s="346">
        <v>0</v>
      </c>
      <c r="J111" s="302"/>
      <c r="K111" s="294">
        <f t="shared" si="1"/>
        <v>0</v>
      </c>
      <c r="L111" s="346">
        <v>0</v>
      </c>
      <c r="M111" s="302"/>
      <c r="N111" s="294">
        <f t="shared" si="2"/>
        <v>0</v>
      </c>
      <c r="O111" s="346">
        <v>0</v>
      </c>
      <c r="P111" s="302"/>
      <c r="Q111" s="294">
        <f t="shared" si="3"/>
        <v>0</v>
      </c>
      <c r="R111" s="346">
        <v>0</v>
      </c>
      <c r="S111" s="302"/>
      <c r="T111" s="294">
        <f t="shared" si="4"/>
        <v>0</v>
      </c>
      <c r="U111" s="346">
        <v>0</v>
      </c>
      <c r="V111" s="302"/>
      <c r="W111" s="294">
        <f t="shared" si="5"/>
        <v>0</v>
      </c>
      <c r="X111" s="308">
        <f t="shared" si="8"/>
        <v>0</v>
      </c>
      <c r="Y111" s="64">
        <f t="shared" si="8"/>
        <v>0</v>
      </c>
      <c r="Z111" s="309">
        <f t="shared" si="8"/>
        <v>0</v>
      </c>
      <c r="AA111" s="310">
        <f t="shared" si="9"/>
        <v>0</v>
      </c>
      <c r="AB111" s="65">
        <f t="shared" si="9"/>
        <v>0</v>
      </c>
      <c r="AC111" s="311">
        <f t="shared" si="9"/>
        <v>0</v>
      </c>
      <c r="AD111" s="347" t="s">
        <v>15</v>
      </c>
    </row>
    <row r="112" spans="1:30" ht="15.75" hidden="1">
      <c r="A112" s="302">
        <v>106</v>
      </c>
      <c r="B112" s="351" t="s">
        <v>2484</v>
      </c>
      <c r="C112" s="305" t="s">
        <v>2447</v>
      </c>
      <c r="D112" s="305" t="s">
        <v>2485</v>
      </c>
      <c r="E112" s="306">
        <v>25</v>
      </c>
      <c r="F112" s="307">
        <v>5</v>
      </c>
      <c r="G112" s="302"/>
      <c r="H112" s="294">
        <f t="shared" si="0"/>
        <v>5</v>
      </c>
      <c r="I112" s="346">
        <v>8</v>
      </c>
      <c r="J112" s="302"/>
      <c r="K112" s="294">
        <f t="shared" si="1"/>
        <v>8</v>
      </c>
      <c r="L112" s="346">
        <v>5</v>
      </c>
      <c r="M112" s="302"/>
      <c r="N112" s="294">
        <f t="shared" si="2"/>
        <v>5</v>
      </c>
      <c r="O112" s="346">
        <v>5</v>
      </c>
      <c r="P112" s="302"/>
      <c r="Q112" s="294">
        <f t="shared" si="3"/>
        <v>5</v>
      </c>
      <c r="R112" s="346">
        <v>9</v>
      </c>
      <c r="S112" s="302"/>
      <c r="T112" s="294">
        <f t="shared" si="4"/>
        <v>9</v>
      </c>
      <c r="U112" s="346">
        <v>3</v>
      </c>
      <c r="V112" s="302"/>
      <c r="W112" s="294">
        <f t="shared" si="5"/>
        <v>3</v>
      </c>
      <c r="X112" s="308">
        <f t="shared" si="8"/>
        <v>35</v>
      </c>
      <c r="Y112" s="64">
        <f t="shared" si="8"/>
        <v>0</v>
      </c>
      <c r="Z112" s="309">
        <f t="shared" si="8"/>
        <v>35</v>
      </c>
      <c r="AA112" s="310">
        <f t="shared" si="9"/>
        <v>5.833333333333333</v>
      </c>
      <c r="AB112" s="65">
        <f t="shared" si="9"/>
        <v>0</v>
      </c>
      <c r="AC112" s="311">
        <f t="shared" si="9"/>
        <v>5.833333333333333</v>
      </c>
      <c r="AD112" s="347" t="s">
        <v>15</v>
      </c>
    </row>
    <row r="113" spans="1:30" ht="15.75" hidden="1">
      <c r="A113" s="289">
        <v>107</v>
      </c>
      <c r="B113" s="351" t="s">
        <v>174</v>
      </c>
      <c r="C113" s="305" t="s">
        <v>2447</v>
      </c>
      <c r="D113" s="291" t="s">
        <v>2486</v>
      </c>
      <c r="E113" s="306">
        <v>15</v>
      </c>
      <c r="F113" s="307">
        <v>5</v>
      </c>
      <c r="G113" s="302"/>
      <c r="H113" s="294">
        <f t="shared" si="0"/>
        <v>5</v>
      </c>
      <c r="I113" s="346">
        <v>10</v>
      </c>
      <c r="J113" s="302"/>
      <c r="K113" s="294">
        <f t="shared" si="1"/>
        <v>10</v>
      </c>
      <c r="L113" s="346">
        <v>5</v>
      </c>
      <c r="M113" s="302"/>
      <c r="N113" s="294">
        <f t="shared" si="2"/>
        <v>5</v>
      </c>
      <c r="O113" s="346">
        <v>5</v>
      </c>
      <c r="P113" s="302"/>
      <c r="Q113" s="294">
        <f t="shared" si="3"/>
        <v>5</v>
      </c>
      <c r="R113" s="346">
        <v>10</v>
      </c>
      <c r="S113" s="302"/>
      <c r="T113" s="294">
        <f t="shared" si="4"/>
        <v>10</v>
      </c>
      <c r="U113" s="346">
        <v>5</v>
      </c>
      <c r="V113" s="302"/>
      <c r="W113" s="294">
        <f t="shared" si="5"/>
        <v>5</v>
      </c>
      <c r="X113" s="308">
        <f t="shared" si="8"/>
        <v>40</v>
      </c>
      <c r="Y113" s="64">
        <f t="shared" si="8"/>
        <v>0</v>
      </c>
      <c r="Z113" s="309">
        <f t="shared" si="8"/>
        <v>40</v>
      </c>
      <c r="AA113" s="310">
        <f t="shared" si="9"/>
        <v>6.666666666666667</v>
      </c>
      <c r="AB113" s="65">
        <f t="shared" si="9"/>
        <v>0</v>
      </c>
      <c r="AC113" s="311">
        <f t="shared" si="9"/>
        <v>6.666666666666667</v>
      </c>
      <c r="AD113" s="347" t="s">
        <v>15</v>
      </c>
    </row>
    <row r="114" spans="1:30" ht="15.75" hidden="1">
      <c r="A114" s="302">
        <v>108</v>
      </c>
      <c r="B114" s="351" t="s">
        <v>2487</v>
      </c>
      <c r="C114" s="305" t="s">
        <v>2447</v>
      </c>
      <c r="D114" s="305" t="s">
        <v>2488</v>
      </c>
      <c r="E114" s="306">
        <v>20</v>
      </c>
      <c r="F114" s="307">
        <v>50</v>
      </c>
      <c r="G114" s="302"/>
      <c r="H114" s="294">
        <f t="shared" si="0"/>
        <v>50</v>
      </c>
      <c r="I114" s="346">
        <v>60</v>
      </c>
      <c r="J114" s="302"/>
      <c r="K114" s="294">
        <f t="shared" si="1"/>
        <v>60</v>
      </c>
      <c r="L114" s="346">
        <v>20</v>
      </c>
      <c r="M114" s="302"/>
      <c r="N114" s="294">
        <f t="shared" si="2"/>
        <v>20</v>
      </c>
      <c r="O114" s="346">
        <v>45</v>
      </c>
      <c r="P114" s="302"/>
      <c r="Q114" s="294">
        <f t="shared" si="3"/>
        <v>45</v>
      </c>
      <c r="R114" s="346">
        <v>55</v>
      </c>
      <c r="S114" s="302"/>
      <c r="T114" s="294">
        <f t="shared" si="4"/>
        <v>55</v>
      </c>
      <c r="U114" s="346">
        <v>20</v>
      </c>
      <c r="V114" s="302"/>
      <c r="W114" s="294">
        <f t="shared" si="5"/>
        <v>20</v>
      </c>
      <c r="X114" s="308">
        <f t="shared" si="8"/>
        <v>250</v>
      </c>
      <c r="Y114" s="64">
        <f t="shared" si="8"/>
        <v>0</v>
      </c>
      <c r="Z114" s="309">
        <f t="shared" si="8"/>
        <v>250</v>
      </c>
      <c r="AA114" s="310">
        <f t="shared" si="9"/>
        <v>41.666666666666664</v>
      </c>
      <c r="AB114" s="65">
        <f t="shared" si="9"/>
        <v>0</v>
      </c>
      <c r="AC114" s="311">
        <f t="shared" si="9"/>
        <v>41.666666666666664</v>
      </c>
      <c r="AD114" s="347" t="s">
        <v>18</v>
      </c>
    </row>
    <row r="115" spans="1:30" ht="15.75" hidden="1">
      <c r="A115" s="289">
        <v>109</v>
      </c>
      <c r="B115" s="351" t="s">
        <v>1222</v>
      </c>
      <c r="C115" s="305" t="s">
        <v>2447</v>
      </c>
      <c r="D115" s="291" t="s">
        <v>2489</v>
      </c>
      <c r="E115" s="306">
        <v>25</v>
      </c>
      <c r="F115" s="307">
        <v>40</v>
      </c>
      <c r="G115" s="302"/>
      <c r="H115" s="294">
        <f t="shared" si="0"/>
        <v>40</v>
      </c>
      <c r="I115" s="346">
        <v>65</v>
      </c>
      <c r="J115" s="302"/>
      <c r="K115" s="294">
        <f t="shared" si="1"/>
        <v>65</v>
      </c>
      <c r="L115" s="346">
        <v>20</v>
      </c>
      <c r="M115" s="302"/>
      <c r="N115" s="294">
        <f t="shared" si="2"/>
        <v>20</v>
      </c>
      <c r="O115" s="346">
        <v>35</v>
      </c>
      <c r="P115" s="302"/>
      <c r="Q115" s="294">
        <f t="shared" si="3"/>
        <v>35</v>
      </c>
      <c r="R115" s="346">
        <v>45</v>
      </c>
      <c r="S115" s="302"/>
      <c r="T115" s="294">
        <f t="shared" si="4"/>
        <v>45</v>
      </c>
      <c r="U115" s="346">
        <v>15</v>
      </c>
      <c r="V115" s="302"/>
      <c r="W115" s="294">
        <f t="shared" si="5"/>
        <v>15</v>
      </c>
      <c r="X115" s="308">
        <f t="shared" si="8"/>
        <v>220</v>
      </c>
      <c r="Y115" s="64">
        <f t="shared" si="8"/>
        <v>0</v>
      </c>
      <c r="Z115" s="309">
        <f t="shared" si="8"/>
        <v>220</v>
      </c>
      <c r="AA115" s="310">
        <f t="shared" si="9"/>
        <v>36.666666666666664</v>
      </c>
      <c r="AB115" s="65">
        <f t="shared" si="9"/>
        <v>0</v>
      </c>
      <c r="AC115" s="311">
        <f t="shared" si="9"/>
        <v>36.666666666666664</v>
      </c>
      <c r="AD115" s="347" t="s">
        <v>15</v>
      </c>
    </row>
    <row r="116" spans="1:30" ht="15.75" hidden="1">
      <c r="A116" s="302">
        <v>110</v>
      </c>
      <c r="B116" s="351" t="s">
        <v>2490</v>
      </c>
      <c r="C116" s="305" t="s">
        <v>2447</v>
      </c>
      <c r="D116" s="305" t="s">
        <v>2491</v>
      </c>
      <c r="E116" s="306">
        <v>10</v>
      </c>
      <c r="F116" s="307">
        <v>5</v>
      </c>
      <c r="G116" s="302"/>
      <c r="H116" s="294">
        <f t="shared" si="0"/>
        <v>5</v>
      </c>
      <c r="I116" s="346">
        <v>15</v>
      </c>
      <c r="J116" s="302"/>
      <c r="K116" s="294">
        <f t="shared" si="1"/>
        <v>15</v>
      </c>
      <c r="L116" s="346">
        <v>5</v>
      </c>
      <c r="M116" s="302"/>
      <c r="N116" s="294">
        <f t="shared" si="2"/>
        <v>5</v>
      </c>
      <c r="O116" s="346">
        <v>10</v>
      </c>
      <c r="P116" s="302"/>
      <c r="Q116" s="294">
        <f t="shared" si="3"/>
        <v>10</v>
      </c>
      <c r="R116" s="346">
        <v>20</v>
      </c>
      <c r="S116" s="302"/>
      <c r="T116" s="294">
        <f t="shared" si="4"/>
        <v>20</v>
      </c>
      <c r="U116" s="346">
        <v>10</v>
      </c>
      <c r="V116" s="302"/>
      <c r="W116" s="294">
        <f t="shared" si="5"/>
        <v>10</v>
      </c>
      <c r="X116" s="308">
        <f t="shared" si="8"/>
        <v>65</v>
      </c>
      <c r="Y116" s="64">
        <f t="shared" si="8"/>
        <v>0</v>
      </c>
      <c r="Z116" s="309">
        <f t="shared" si="8"/>
        <v>65</v>
      </c>
      <c r="AA116" s="310">
        <f t="shared" si="9"/>
        <v>10.833333333333334</v>
      </c>
      <c r="AB116" s="65">
        <f t="shared" si="9"/>
        <v>0</v>
      </c>
      <c r="AC116" s="311">
        <f t="shared" si="9"/>
        <v>10.833333333333334</v>
      </c>
      <c r="AD116" s="347" t="s">
        <v>15</v>
      </c>
    </row>
    <row r="117" spans="1:30" ht="15.75" hidden="1">
      <c r="A117" s="289">
        <v>111</v>
      </c>
      <c r="B117" s="352" t="s">
        <v>2492</v>
      </c>
      <c r="C117" s="305" t="s">
        <v>2447</v>
      </c>
      <c r="D117" s="291" t="s">
        <v>2493</v>
      </c>
      <c r="E117" s="306">
        <v>10</v>
      </c>
      <c r="F117" s="307"/>
      <c r="G117" s="302"/>
      <c r="H117" s="294">
        <f t="shared" si="0"/>
        <v>0</v>
      </c>
      <c r="I117" s="346">
        <v>5</v>
      </c>
      <c r="J117" s="302"/>
      <c r="K117" s="294">
        <f t="shared" si="1"/>
        <v>5</v>
      </c>
      <c r="L117" s="346">
        <v>5</v>
      </c>
      <c r="M117" s="302"/>
      <c r="N117" s="294">
        <f t="shared" si="2"/>
        <v>5</v>
      </c>
      <c r="O117" s="346">
        <v>5</v>
      </c>
      <c r="P117" s="302"/>
      <c r="Q117" s="294">
        <f t="shared" si="3"/>
        <v>5</v>
      </c>
      <c r="R117" s="346">
        <v>9</v>
      </c>
      <c r="S117" s="302"/>
      <c r="T117" s="294">
        <f t="shared" si="4"/>
        <v>9</v>
      </c>
      <c r="U117" s="346">
        <v>5</v>
      </c>
      <c r="V117" s="302"/>
      <c r="W117" s="294">
        <f t="shared" si="5"/>
        <v>5</v>
      </c>
      <c r="X117" s="308">
        <f t="shared" si="8"/>
        <v>29</v>
      </c>
      <c r="Y117" s="64">
        <f t="shared" si="8"/>
        <v>0</v>
      </c>
      <c r="Z117" s="309">
        <f t="shared" si="8"/>
        <v>29</v>
      </c>
      <c r="AA117" s="310">
        <f t="shared" si="9"/>
        <v>4.833333333333333</v>
      </c>
      <c r="AB117" s="65">
        <f t="shared" si="9"/>
        <v>0</v>
      </c>
      <c r="AC117" s="311">
        <f t="shared" si="9"/>
        <v>4.833333333333333</v>
      </c>
      <c r="AD117" s="347" t="s">
        <v>15</v>
      </c>
    </row>
    <row r="118" spans="1:30" ht="15.75" hidden="1">
      <c r="A118" s="302">
        <v>112</v>
      </c>
      <c r="B118" s="351" t="s">
        <v>2494</v>
      </c>
      <c r="C118" s="305" t="s">
        <v>2447</v>
      </c>
      <c r="D118" s="305" t="s">
        <v>2495</v>
      </c>
      <c r="E118" s="306">
        <v>10</v>
      </c>
      <c r="F118" s="307">
        <v>5</v>
      </c>
      <c r="G118" s="302"/>
      <c r="H118" s="294">
        <f t="shared" si="0"/>
        <v>5</v>
      </c>
      <c r="I118" s="346">
        <v>8</v>
      </c>
      <c r="J118" s="302"/>
      <c r="K118" s="294">
        <f t="shared" si="1"/>
        <v>8</v>
      </c>
      <c r="L118" s="346">
        <v>5</v>
      </c>
      <c r="M118" s="302"/>
      <c r="N118" s="294">
        <f t="shared" si="2"/>
        <v>5</v>
      </c>
      <c r="O118" s="346">
        <v>5</v>
      </c>
      <c r="P118" s="302"/>
      <c r="Q118" s="294">
        <f t="shared" si="3"/>
        <v>5</v>
      </c>
      <c r="R118" s="346">
        <v>10</v>
      </c>
      <c r="S118" s="302"/>
      <c r="T118" s="294">
        <f t="shared" si="4"/>
        <v>10</v>
      </c>
      <c r="U118" s="346">
        <v>3</v>
      </c>
      <c r="V118" s="302"/>
      <c r="W118" s="294">
        <f t="shared" si="5"/>
        <v>3</v>
      </c>
      <c r="X118" s="308">
        <f t="shared" si="8"/>
        <v>36</v>
      </c>
      <c r="Y118" s="64">
        <f t="shared" si="8"/>
        <v>0</v>
      </c>
      <c r="Z118" s="309">
        <f t="shared" si="8"/>
        <v>36</v>
      </c>
      <c r="AA118" s="310">
        <f t="shared" si="9"/>
        <v>6</v>
      </c>
      <c r="AB118" s="65">
        <f t="shared" si="9"/>
        <v>0</v>
      </c>
      <c r="AC118" s="311">
        <f t="shared" si="9"/>
        <v>6</v>
      </c>
      <c r="AD118" s="347" t="s">
        <v>15</v>
      </c>
    </row>
    <row r="119" spans="1:30" ht="15.75" hidden="1">
      <c r="A119" s="289">
        <v>113</v>
      </c>
      <c r="B119" s="351" t="s">
        <v>2496</v>
      </c>
      <c r="C119" s="305" t="s">
        <v>2447</v>
      </c>
      <c r="D119" s="291" t="s">
        <v>2497</v>
      </c>
      <c r="E119" s="306">
        <v>10</v>
      </c>
      <c r="F119" s="307">
        <v>25</v>
      </c>
      <c r="G119" s="302"/>
      <c r="H119" s="294">
        <f t="shared" si="0"/>
        <v>25</v>
      </c>
      <c r="I119" s="346">
        <v>10</v>
      </c>
      <c r="J119" s="302"/>
      <c r="K119" s="294">
        <f t="shared" si="1"/>
        <v>10</v>
      </c>
      <c r="L119" s="346">
        <v>5</v>
      </c>
      <c r="M119" s="302"/>
      <c r="N119" s="294">
        <f t="shared" si="2"/>
        <v>5</v>
      </c>
      <c r="O119" s="346">
        <v>8</v>
      </c>
      <c r="P119" s="302"/>
      <c r="Q119" s="294">
        <f t="shared" si="3"/>
        <v>8</v>
      </c>
      <c r="R119" s="346">
        <v>13</v>
      </c>
      <c r="S119" s="302"/>
      <c r="T119" s="294">
        <f t="shared" si="4"/>
        <v>13</v>
      </c>
      <c r="U119" s="346">
        <v>8</v>
      </c>
      <c r="V119" s="302"/>
      <c r="W119" s="294">
        <f t="shared" si="5"/>
        <v>8</v>
      </c>
      <c r="X119" s="308">
        <f t="shared" si="8"/>
        <v>69</v>
      </c>
      <c r="Y119" s="64">
        <f t="shared" si="8"/>
        <v>0</v>
      </c>
      <c r="Z119" s="309">
        <f t="shared" si="8"/>
        <v>69</v>
      </c>
      <c r="AA119" s="310">
        <f t="shared" si="9"/>
        <v>11.5</v>
      </c>
      <c r="AB119" s="65">
        <f t="shared" si="9"/>
        <v>0</v>
      </c>
      <c r="AC119" s="311">
        <f t="shared" si="9"/>
        <v>11.5</v>
      </c>
      <c r="AD119" s="347" t="s">
        <v>15</v>
      </c>
    </row>
    <row r="120" spans="1:30" ht="15.75" hidden="1">
      <c r="A120" s="302">
        <v>114</v>
      </c>
      <c r="B120" s="351" t="s">
        <v>2498</v>
      </c>
      <c r="C120" s="305" t="s">
        <v>2447</v>
      </c>
      <c r="D120" s="305" t="s">
        <v>2499</v>
      </c>
      <c r="E120" s="306">
        <v>10</v>
      </c>
      <c r="F120" s="307">
        <v>5</v>
      </c>
      <c r="G120" s="302"/>
      <c r="H120" s="294">
        <f t="shared" si="0"/>
        <v>5</v>
      </c>
      <c r="I120" s="346">
        <v>5</v>
      </c>
      <c r="J120" s="302"/>
      <c r="K120" s="294">
        <f t="shared" si="1"/>
        <v>5</v>
      </c>
      <c r="L120" s="346">
        <v>5</v>
      </c>
      <c r="M120" s="302"/>
      <c r="N120" s="294">
        <f t="shared" si="2"/>
        <v>5</v>
      </c>
      <c r="O120" s="346">
        <v>5</v>
      </c>
      <c r="P120" s="302"/>
      <c r="Q120" s="294">
        <f t="shared" si="3"/>
        <v>5</v>
      </c>
      <c r="R120" s="346">
        <v>13</v>
      </c>
      <c r="S120" s="302"/>
      <c r="T120" s="294">
        <f t="shared" si="4"/>
        <v>13</v>
      </c>
      <c r="U120" s="346">
        <v>10</v>
      </c>
      <c r="V120" s="302"/>
      <c r="W120" s="294">
        <f t="shared" si="5"/>
        <v>10</v>
      </c>
      <c r="X120" s="308">
        <f t="shared" si="8"/>
        <v>43</v>
      </c>
      <c r="Y120" s="64">
        <f t="shared" si="8"/>
        <v>0</v>
      </c>
      <c r="Z120" s="309">
        <f t="shared" si="8"/>
        <v>43</v>
      </c>
      <c r="AA120" s="310">
        <f t="shared" si="9"/>
        <v>7.166666666666667</v>
      </c>
      <c r="AB120" s="65">
        <f t="shared" si="9"/>
        <v>0</v>
      </c>
      <c r="AC120" s="311">
        <f t="shared" si="9"/>
        <v>7.166666666666667</v>
      </c>
      <c r="AD120" s="347" t="s">
        <v>15</v>
      </c>
    </row>
    <row r="121" spans="1:30" ht="15.75" hidden="1">
      <c r="A121" s="289">
        <v>115</v>
      </c>
      <c r="B121" s="351" t="s">
        <v>2500</v>
      </c>
      <c r="C121" s="305" t="s">
        <v>2447</v>
      </c>
      <c r="D121" s="291" t="s">
        <v>2501</v>
      </c>
      <c r="E121" s="306">
        <v>10</v>
      </c>
      <c r="F121" s="307"/>
      <c r="G121" s="302"/>
      <c r="H121" s="294">
        <f t="shared" si="0"/>
        <v>0</v>
      </c>
      <c r="I121" s="346">
        <v>5</v>
      </c>
      <c r="J121" s="302"/>
      <c r="K121" s="294">
        <f t="shared" si="1"/>
        <v>5</v>
      </c>
      <c r="L121" s="346">
        <v>3</v>
      </c>
      <c r="M121" s="302"/>
      <c r="N121" s="294">
        <f t="shared" si="2"/>
        <v>3</v>
      </c>
      <c r="O121" s="346">
        <v>5</v>
      </c>
      <c r="P121" s="302"/>
      <c r="Q121" s="294">
        <f t="shared" si="3"/>
        <v>5</v>
      </c>
      <c r="R121" s="346">
        <v>10</v>
      </c>
      <c r="S121" s="302"/>
      <c r="T121" s="294">
        <f t="shared" si="4"/>
        <v>10</v>
      </c>
      <c r="U121" s="346">
        <v>5</v>
      </c>
      <c r="V121" s="302"/>
      <c r="W121" s="294">
        <f t="shared" si="5"/>
        <v>5</v>
      </c>
      <c r="X121" s="308">
        <f t="shared" si="8"/>
        <v>28</v>
      </c>
      <c r="Y121" s="64">
        <f t="shared" si="8"/>
        <v>0</v>
      </c>
      <c r="Z121" s="309">
        <f t="shared" si="8"/>
        <v>28</v>
      </c>
      <c r="AA121" s="310">
        <f t="shared" si="9"/>
        <v>4.666666666666667</v>
      </c>
      <c r="AB121" s="65">
        <f t="shared" si="9"/>
        <v>0</v>
      </c>
      <c r="AC121" s="311">
        <f t="shared" si="9"/>
        <v>4.666666666666667</v>
      </c>
      <c r="AD121" s="347" t="s">
        <v>15</v>
      </c>
    </row>
    <row r="122" spans="1:30" ht="15.75" hidden="1">
      <c r="A122" s="302">
        <v>116</v>
      </c>
      <c r="B122" s="351" t="s">
        <v>2502</v>
      </c>
      <c r="C122" s="305" t="s">
        <v>2447</v>
      </c>
      <c r="D122" s="305" t="s">
        <v>2503</v>
      </c>
      <c r="E122" s="306">
        <v>10</v>
      </c>
      <c r="F122" s="307">
        <v>30</v>
      </c>
      <c r="G122" s="302"/>
      <c r="H122" s="294">
        <f t="shared" si="0"/>
        <v>30</v>
      </c>
      <c r="I122" s="346">
        <v>10</v>
      </c>
      <c r="J122" s="302"/>
      <c r="K122" s="294">
        <f t="shared" si="1"/>
        <v>10</v>
      </c>
      <c r="L122" s="346">
        <v>5</v>
      </c>
      <c r="M122" s="302"/>
      <c r="N122" s="294">
        <f t="shared" si="2"/>
        <v>5</v>
      </c>
      <c r="O122" s="346">
        <v>10</v>
      </c>
      <c r="P122" s="302"/>
      <c r="Q122" s="294">
        <f t="shared" si="3"/>
        <v>10</v>
      </c>
      <c r="R122" s="346">
        <v>18</v>
      </c>
      <c r="S122" s="302"/>
      <c r="T122" s="294">
        <f t="shared" si="4"/>
        <v>18</v>
      </c>
      <c r="U122" s="346">
        <v>10</v>
      </c>
      <c r="V122" s="302"/>
      <c r="W122" s="294">
        <f t="shared" si="5"/>
        <v>10</v>
      </c>
      <c r="X122" s="308">
        <f t="shared" si="8"/>
        <v>83</v>
      </c>
      <c r="Y122" s="64">
        <f t="shared" si="8"/>
        <v>0</v>
      </c>
      <c r="Z122" s="309">
        <f t="shared" si="8"/>
        <v>83</v>
      </c>
      <c r="AA122" s="310">
        <f t="shared" si="9"/>
        <v>13.833333333333334</v>
      </c>
      <c r="AB122" s="65">
        <f t="shared" si="9"/>
        <v>0</v>
      </c>
      <c r="AC122" s="311">
        <f t="shared" si="9"/>
        <v>13.833333333333334</v>
      </c>
      <c r="AD122" s="347" t="s">
        <v>15</v>
      </c>
    </row>
    <row r="123" spans="1:30" ht="15.75" hidden="1">
      <c r="A123" s="289">
        <v>117</v>
      </c>
      <c r="B123" s="351" t="s">
        <v>253</v>
      </c>
      <c r="C123" s="305" t="s">
        <v>2504</v>
      </c>
      <c r="D123" s="291" t="s">
        <v>2505</v>
      </c>
      <c r="E123" s="306">
        <v>10</v>
      </c>
      <c r="F123" s="307">
        <v>5</v>
      </c>
      <c r="G123" s="302"/>
      <c r="H123" s="294">
        <f t="shared" si="0"/>
        <v>5</v>
      </c>
      <c r="I123" s="346">
        <v>6</v>
      </c>
      <c r="J123" s="302"/>
      <c r="K123" s="294">
        <f t="shared" si="1"/>
        <v>6</v>
      </c>
      <c r="L123" s="346">
        <v>3</v>
      </c>
      <c r="M123" s="302"/>
      <c r="N123" s="294">
        <f t="shared" si="2"/>
        <v>3</v>
      </c>
      <c r="O123" s="346">
        <v>5</v>
      </c>
      <c r="P123" s="302"/>
      <c r="Q123" s="294">
        <f t="shared" si="3"/>
        <v>5</v>
      </c>
      <c r="R123" s="346">
        <v>13</v>
      </c>
      <c r="S123" s="302"/>
      <c r="T123" s="294">
        <f t="shared" si="4"/>
        <v>13</v>
      </c>
      <c r="U123" s="346">
        <v>5</v>
      </c>
      <c r="V123" s="302"/>
      <c r="W123" s="294">
        <f t="shared" si="5"/>
        <v>5</v>
      </c>
      <c r="X123" s="308">
        <f t="shared" si="8"/>
        <v>37</v>
      </c>
      <c r="Y123" s="64">
        <f t="shared" si="8"/>
        <v>0</v>
      </c>
      <c r="Z123" s="309">
        <f t="shared" si="8"/>
        <v>37</v>
      </c>
      <c r="AA123" s="310">
        <f t="shared" si="9"/>
        <v>6.166666666666667</v>
      </c>
      <c r="AB123" s="65">
        <f t="shared" si="9"/>
        <v>0</v>
      </c>
      <c r="AC123" s="311">
        <f t="shared" si="9"/>
        <v>6.166666666666667</v>
      </c>
      <c r="AD123" s="347" t="s">
        <v>15</v>
      </c>
    </row>
    <row r="124" spans="1:30" ht="15.75" hidden="1">
      <c r="A124" s="302">
        <v>118</v>
      </c>
      <c r="B124" s="351" t="s">
        <v>1390</v>
      </c>
      <c r="C124" s="305" t="s">
        <v>2504</v>
      </c>
      <c r="D124" s="305" t="s">
        <v>2506</v>
      </c>
      <c r="E124" s="306">
        <v>10</v>
      </c>
      <c r="F124" s="307">
        <v>20</v>
      </c>
      <c r="G124" s="302"/>
      <c r="H124" s="294">
        <f t="shared" si="0"/>
        <v>20</v>
      </c>
      <c r="I124" s="346">
        <v>25</v>
      </c>
      <c r="J124" s="302"/>
      <c r="K124" s="294">
        <f t="shared" si="1"/>
        <v>25</v>
      </c>
      <c r="L124" s="346">
        <v>5</v>
      </c>
      <c r="M124" s="302"/>
      <c r="N124" s="294">
        <f t="shared" si="2"/>
        <v>5</v>
      </c>
      <c r="O124" s="346">
        <v>8</v>
      </c>
      <c r="P124" s="302"/>
      <c r="Q124" s="294">
        <f t="shared" si="3"/>
        <v>8</v>
      </c>
      <c r="R124" s="346">
        <v>15</v>
      </c>
      <c r="S124" s="302"/>
      <c r="T124" s="294">
        <f t="shared" si="4"/>
        <v>15</v>
      </c>
      <c r="U124" s="346">
        <v>8</v>
      </c>
      <c r="V124" s="302"/>
      <c r="W124" s="294">
        <f t="shared" si="5"/>
        <v>8</v>
      </c>
      <c r="X124" s="308">
        <f t="shared" si="8"/>
        <v>81</v>
      </c>
      <c r="Y124" s="64">
        <f t="shared" si="8"/>
        <v>0</v>
      </c>
      <c r="Z124" s="309">
        <f t="shared" si="8"/>
        <v>81</v>
      </c>
      <c r="AA124" s="310">
        <f t="shared" si="9"/>
        <v>13.5</v>
      </c>
      <c r="AB124" s="65">
        <f t="shared" si="9"/>
        <v>0</v>
      </c>
      <c r="AC124" s="311">
        <f t="shared" si="9"/>
        <v>13.5</v>
      </c>
      <c r="AD124" s="347" t="s">
        <v>15</v>
      </c>
    </row>
    <row r="125" spans="1:30" ht="15.75" hidden="1">
      <c r="A125" s="289">
        <v>119</v>
      </c>
      <c r="B125" s="351" t="s">
        <v>2507</v>
      </c>
      <c r="C125" s="305" t="s">
        <v>2504</v>
      </c>
      <c r="D125" s="291" t="s">
        <v>2508</v>
      </c>
      <c r="E125" s="306">
        <v>10</v>
      </c>
      <c r="F125" s="307">
        <v>36</v>
      </c>
      <c r="G125" s="302"/>
      <c r="H125" s="294">
        <f t="shared" si="0"/>
        <v>36</v>
      </c>
      <c r="I125" s="346">
        <v>20</v>
      </c>
      <c r="J125" s="302"/>
      <c r="K125" s="294">
        <f t="shared" si="1"/>
        <v>20</v>
      </c>
      <c r="L125" s="346">
        <v>5</v>
      </c>
      <c r="M125" s="302"/>
      <c r="N125" s="294">
        <f t="shared" si="2"/>
        <v>5</v>
      </c>
      <c r="O125" s="346">
        <v>5</v>
      </c>
      <c r="P125" s="302"/>
      <c r="Q125" s="294">
        <f t="shared" si="3"/>
        <v>5</v>
      </c>
      <c r="R125" s="346">
        <v>13</v>
      </c>
      <c r="S125" s="302"/>
      <c r="T125" s="294">
        <f t="shared" si="4"/>
        <v>13</v>
      </c>
      <c r="U125" s="346">
        <v>5</v>
      </c>
      <c r="V125" s="302"/>
      <c r="W125" s="294">
        <f t="shared" si="5"/>
        <v>5</v>
      </c>
      <c r="X125" s="308">
        <f t="shared" si="8"/>
        <v>84</v>
      </c>
      <c r="Y125" s="64">
        <f t="shared" si="8"/>
        <v>0</v>
      </c>
      <c r="Z125" s="309">
        <f t="shared" si="8"/>
        <v>84</v>
      </c>
      <c r="AA125" s="310">
        <f t="shared" si="9"/>
        <v>14</v>
      </c>
      <c r="AB125" s="65">
        <f t="shared" si="9"/>
        <v>0</v>
      </c>
      <c r="AC125" s="311">
        <f t="shared" si="9"/>
        <v>14</v>
      </c>
      <c r="AD125" s="347" t="s">
        <v>15</v>
      </c>
    </row>
    <row r="126" spans="1:30" ht="15.75" hidden="1">
      <c r="A126" s="302">
        <v>120</v>
      </c>
      <c r="B126" s="351" t="s">
        <v>2509</v>
      </c>
      <c r="C126" s="305" t="s">
        <v>2504</v>
      </c>
      <c r="D126" s="305" t="s">
        <v>2510</v>
      </c>
      <c r="E126" s="306">
        <v>10</v>
      </c>
      <c r="F126" s="307">
        <v>6</v>
      </c>
      <c r="G126" s="302"/>
      <c r="H126" s="294">
        <f t="shared" si="0"/>
        <v>6</v>
      </c>
      <c r="I126" s="346">
        <v>5</v>
      </c>
      <c r="J126" s="302"/>
      <c r="K126" s="294">
        <f t="shared" si="1"/>
        <v>5</v>
      </c>
      <c r="L126" s="346">
        <v>5</v>
      </c>
      <c r="M126" s="302"/>
      <c r="N126" s="294">
        <f t="shared" si="2"/>
        <v>5</v>
      </c>
      <c r="O126" s="346">
        <v>10</v>
      </c>
      <c r="P126" s="302"/>
      <c r="Q126" s="294">
        <f t="shared" si="3"/>
        <v>10</v>
      </c>
      <c r="R126" s="346">
        <v>18</v>
      </c>
      <c r="S126" s="302"/>
      <c r="T126" s="294">
        <f t="shared" si="4"/>
        <v>18</v>
      </c>
      <c r="U126" s="346">
        <v>8</v>
      </c>
      <c r="V126" s="302"/>
      <c r="W126" s="294">
        <f t="shared" si="5"/>
        <v>8</v>
      </c>
      <c r="X126" s="308">
        <f t="shared" si="8"/>
        <v>52</v>
      </c>
      <c r="Y126" s="64">
        <f t="shared" si="8"/>
        <v>0</v>
      </c>
      <c r="Z126" s="309">
        <f t="shared" si="8"/>
        <v>52</v>
      </c>
      <c r="AA126" s="310">
        <f t="shared" si="9"/>
        <v>8.6666666666666661</v>
      </c>
      <c r="AB126" s="65">
        <f t="shared" si="9"/>
        <v>0</v>
      </c>
      <c r="AC126" s="311">
        <f t="shared" si="9"/>
        <v>8.6666666666666661</v>
      </c>
      <c r="AD126" s="347" t="s">
        <v>15</v>
      </c>
    </row>
    <row r="127" spans="1:30" ht="15.75" hidden="1">
      <c r="A127" s="289">
        <v>121</v>
      </c>
      <c r="B127" s="351" t="s">
        <v>2511</v>
      </c>
      <c r="C127" s="305" t="s">
        <v>2504</v>
      </c>
      <c r="D127" s="291" t="s">
        <v>2512</v>
      </c>
      <c r="E127" s="306">
        <v>10</v>
      </c>
      <c r="F127" s="307">
        <v>5</v>
      </c>
      <c r="G127" s="302"/>
      <c r="H127" s="294">
        <f t="shared" si="0"/>
        <v>5</v>
      </c>
      <c r="I127" s="346">
        <v>15</v>
      </c>
      <c r="J127" s="302"/>
      <c r="K127" s="294">
        <f t="shared" si="1"/>
        <v>15</v>
      </c>
      <c r="L127" s="346">
        <v>5</v>
      </c>
      <c r="M127" s="302"/>
      <c r="N127" s="294">
        <f t="shared" si="2"/>
        <v>5</v>
      </c>
      <c r="O127" s="346">
        <v>15</v>
      </c>
      <c r="P127" s="302"/>
      <c r="Q127" s="294">
        <f t="shared" si="3"/>
        <v>15</v>
      </c>
      <c r="R127" s="346">
        <v>25</v>
      </c>
      <c r="S127" s="302"/>
      <c r="T127" s="294">
        <f t="shared" si="4"/>
        <v>25</v>
      </c>
      <c r="U127" s="346">
        <v>13</v>
      </c>
      <c r="V127" s="302"/>
      <c r="W127" s="294">
        <f t="shared" si="5"/>
        <v>13</v>
      </c>
      <c r="X127" s="308">
        <f t="shared" si="8"/>
        <v>78</v>
      </c>
      <c r="Y127" s="64">
        <f t="shared" si="8"/>
        <v>0</v>
      </c>
      <c r="Z127" s="309">
        <f t="shared" si="8"/>
        <v>78</v>
      </c>
      <c r="AA127" s="310">
        <f t="shared" si="9"/>
        <v>13</v>
      </c>
      <c r="AB127" s="65">
        <f t="shared" si="9"/>
        <v>0</v>
      </c>
      <c r="AC127" s="311">
        <f t="shared" si="9"/>
        <v>13</v>
      </c>
      <c r="AD127" s="347" t="s">
        <v>15</v>
      </c>
    </row>
    <row r="128" spans="1:30" ht="15.75">
      <c r="A128" s="302">
        <v>122</v>
      </c>
      <c r="B128" s="351" t="s">
        <v>2513</v>
      </c>
      <c r="C128" s="305" t="s">
        <v>2504</v>
      </c>
      <c r="D128" s="305" t="s">
        <v>2514</v>
      </c>
      <c r="E128" s="306">
        <v>50</v>
      </c>
      <c r="F128" s="307">
        <v>120</v>
      </c>
      <c r="G128" s="302"/>
      <c r="H128" s="294">
        <f t="shared" si="0"/>
        <v>120</v>
      </c>
      <c r="I128" s="346">
        <v>105</v>
      </c>
      <c r="J128" s="302"/>
      <c r="K128" s="294">
        <f t="shared" si="1"/>
        <v>105</v>
      </c>
      <c r="L128" s="346">
        <v>60</v>
      </c>
      <c r="M128" s="302"/>
      <c r="N128" s="294">
        <f t="shared" si="2"/>
        <v>60</v>
      </c>
      <c r="O128" s="346">
        <v>110</v>
      </c>
      <c r="P128" s="302"/>
      <c r="Q128" s="294">
        <f t="shared" si="3"/>
        <v>110</v>
      </c>
      <c r="R128" s="346">
        <v>125</v>
      </c>
      <c r="S128" s="302"/>
      <c r="T128" s="294">
        <f t="shared" si="4"/>
        <v>125</v>
      </c>
      <c r="U128" s="346">
        <v>45</v>
      </c>
      <c r="V128" s="302"/>
      <c r="W128" s="294">
        <f t="shared" si="5"/>
        <v>45</v>
      </c>
      <c r="X128" s="308">
        <f t="shared" si="8"/>
        <v>565</v>
      </c>
      <c r="Y128" s="64">
        <f t="shared" si="8"/>
        <v>0</v>
      </c>
      <c r="Z128" s="309">
        <f t="shared" si="8"/>
        <v>565</v>
      </c>
      <c r="AA128" s="310">
        <f t="shared" si="9"/>
        <v>94.166666666666671</v>
      </c>
      <c r="AB128" s="65">
        <f t="shared" si="9"/>
        <v>0</v>
      </c>
      <c r="AC128" s="311">
        <f t="shared" si="9"/>
        <v>94.166666666666671</v>
      </c>
      <c r="AD128" s="347" t="s">
        <v>18</v>
      </c>
    </row>
    <row r="129" spans="1:30" ht="15.75" hidden="1">
      <c r="A129" s="289">
        <v>123</v>
      </c>
      <c r="B129" s="351" t="s">
        <v>2515</v>
      </c>
      <c r="C129" s="305" t="s">
        <v>2504</v>
      </c>
      <c r="D129" s="291" t="s">
        <v>2516</v>
      </c>
      <c r="E129" s="306">
        <v>20</v>
      </c>
      <c r="F129" s="307">
        <v>10</v>
      </c>
      <c r="G129" s="302"/>
      <c r="H129" s="294">
        <f t="shared" si="0"/>
        <v>10</v>
      </c>
      <c r="I129" s="346">
        <v>15</v>
      </c>
      <c r="J129" s="302"/>
      <c r="K129" s="294">
        <f t="shared" si="1"/>
        <v>15</v>
      </c>
      <c r="L129" s="346">
        <v>5</v>
      </c>
      <c r="M129" s="302"/>
      <c r="N129" s="294">
        <f t="shared" si="2"/>
        <v>5</v>
      </c>
      <c r="O129" s="346">
        <v>15</v>
      </c>
      <c r="P129" s="302"/>
      <c r="Q129" s="294">
        <f t="shared" si="3"/>
        <v>15</v>
      </c>
      <c r="R129" s="346">
        <v>15</v>
      </c>
      <c r="S129" s="302"/>
      <c r="T129" s="294">
        <f t="shared" si="4"/>
        <v>15</v>
      </c>
      <c r="U129" s="346">
        <v>8</v>
      </c>
      <c r="V129" s="302"/>
      <c r="W129" s="294">
        <f t="shared" si="5"/>
        <v>8</v>
      </c>
      <c r="X129" s="308">
        <f t="shared" si="8"/>
        <v>68</v>
      </c>
      <c r="Y129" s="64">
        <f t="shared" si="8"/>
        <v>0</v>
      </c>
      <c r="Z129" s="309">
        <f t="shared" si="8"/>
        <v>68</v>
      </c>
      <c r="AA129" s="310">
        <f t="shared" si="9"/>
        <v>11.333333333333334</v>
      </c>
      <c r="AB129" s="65">
        <f t="shared" si="9"/>
        <v>0</v>
      </c>
      <c r="AC129" s="311">
        <f t="shared" si="9"/>
        <v>11.333333333333334</v>
      </c>
      <c r="AD129" s="347" t="s">
        <v>15</v>
      </c>
    </row>
    <row r="130" spans="1:30" ht="15.75" hidden="1">
      <c r="A130" s="302">
        <v>124</v>
      </c>
      <c r="B130" s="351" t="s">
        <v>2517</v>
      </c>
      <c r="C130" s="305" t="s">
        <v>2504</v>
      </c>
      <c r="D130" s="305" t="s">
        <v>2518</v>
      </c>
      <c r="E130" s="306">
        <v>30</v>
      </c>
      <c r="F130" s="307">
        <v>45</v>
      </c>
      <c r="G130" s="302"/>
      <c r="H130" s="294">
        <f t="shared" si="0"/>
        <v>45</v>
      </c>
      <c r="I130" s="346">
        <v>75</v>
      </c>
      <c r="J130" s="302"/>
      <c r="K130" s="294">
        <f t="shared" si="1"/>
        <v>75</v>
      </c>
      <c r="L130" s="346">
        <v>15</v>
      </c>
      <c r="M130" s="302"/>
      <c r="N130" s="294">
        <f t="shared" si="2"/>
        <v>15</v>
      </c>
      <c r="O130" s="346">
        <v>35</v>
      </c>
      <c r="P130" s="302"/>
      <c r="Q130" s="294">
        <f t="shared" si="3"/>
        <v>35</v>
      </c>
      <c r="R130" s="346">
        <v>40</v>
      </c>
      <c r="S130" s="302"/>
      <c r="T130" s="294">
        <f t="shared" si="4"/>
        <v>40</v>
      </c>
      <c r="U130" s="346">
        <v>15</v>
      </c>
      <c r="V130" s="302"/>
      <c r="W130" s="294">
        <f t="shared" si="5"/>
        <v>15</v>
      </c>
      <c r="X130" s="308">
        <f t="shared" si="8"/>
        <v>225</v>
      </c>
      <c r="Y130" s="64">
        <f t="shared" si="8"/>
        <v>0</v>
      </c>
      <c r="Z130" s="309">
        <f t="shared" si="8"/>
        <v>225</v>
      </c>
      <c r="AA130" s="310">
        <f t="shared" si="9"/>
        <v>37.5</v>
      </c>
      <c r="AB130" s="65">
        <f t="shared" si="9"/>
        <v>0</v>
      </c>
      <c r="AC130" s="311">
        <f t="shared" si="9"/>
        <v>37.5</v>
      </c>
      <c r="AD130" s="347" t="s">
        <v>15</v>
      </c>
    </row>
    <row r="131" spans="1:30" ht="15.75" hidden="1">
      <c r="A131" s="289">
        <v>125</v>
      </c>
      <c r="B131" s="351" t="s">
        <v>2519</v>
      </c>
      <c r="C131" s="305" t="s">
        <v>2504</v>
      </c>
      <c r="D131" s="291" t="s">
        <v>2520</v>
      </c>
      <c r="E131" s="306">
        <v>10</v>
      </c>
      <c r="F131" s="307">
        <v>5</v>
      </c>
      <c r="G131" s="302"/>
      <c r="H131" s="294">
        <f t="shared" si="0"/>
        <v>5</v>
      </c>
      <c r="I131" s="346">
        <v>10</v>
      </c>
      <c r="J131" s="302"/>
      <c r="K131" s="294">
        <f t="shared" si="1"/>
        <v>10</v>
      </c>
      <c r="L131" s="346">
        <v>5</v>
      </c>
      <c r="M131" s="302"/>
      <c r="N131" s="294">
        <f t="shared" si="2"/>
        <v>5</v>
      </c>
      <c r="O131" s="346">
        <v>10</v>
      </c>
      <c r="P131" s="302"/>
      <c r="Q131" s="294">
        <f t="shared" si="3"/>
        <v>10</v>
      </c>
      <c r="R131" s="346">
        <v>10</v>
      </c>
      <c r="S131" s="302"/>
      <c r="T131" s="294">
        <f t="shared" si="4"/>
        <v>10</v>
      </c>
      <c r="U131" s="346">
        <v>5</v>
      </c>
      <c r="V131" s="302"/>
      <c r="W131" s="294">
        <f t="shared" si="5"/>
        <v>5</v>
      </c>
      <c r="X131" s="308">
        <f t="shared" si="8"/>
        <v>45</v>
      </c>
      <c r="Y131" s="64">
        <f t="shared" si="8"/>
        <v>0</v>
      </c>
      <c r="Z131" s="309">
        <f t="shared" si="8"/>
        <v>45</v>
      </c>
      <c r="AA131" s="310">
        <f t="shared" si="9"/>
        <v>7.5</v>
      </c>
      <c r="AB131" s="65">
        <f t="shared" si="9"/>
        <v>0</v>
      </c>
      <c r="AC131" s="311">
        <f t="shared" si="9"/>
        <v>7.5</v>
      </c>
      <c r="AD131" s="347" t="s">
        <v>15</v>
      </c>
    </row>
    <row r="132" spans="1:30" ht="15.75" hidden="1">
      <c r="A132" s="302">
        <v>126</v>
      </c>
      <c r="B132" s="351" t="s">
        <v>2521</v>
      </c>
      <c r="C132" s="305" t="s">
        <v>2504</v>
      </c>
      <c r="D132" s="305" t="s">
        <v>2522</v>
      </c>
      <c r="E132" s="306">
        <v>10</v>
      </c>
      <c r="F132" s="307"/>
      <c r="G132" s="302"/>
      <c r="H132" s="294">
        <f t="shared" si="0"/>
        <v>0</v>
      </c>
      <c r="I132" s="346">
        <v>5</v>
      </c>
      <c r="J132" s="302"/>
      <c r="K132" s="294">
        <f t="shared" si="1"/>
        <v>5</v>
      </c>
      <c r="L132" s="346">
        <v>5</v>
      </c>
      <c r="M132" s="302"/>
      <c r="N132" s="294">
        <f t="shared" si="2"/>
        <v>5</v>
      </c>
      <c r="O132" s="346">
        <v>10</v>
      </c>
      <c r="P132" s="302"/>
      <c r="Q132" s="294">
        <f t="shared" si="3"/>
        <v>10</v>
      </c>
      <c r="R132" s="346">
        <v>9</v>
      </c>
      <c r="S132" s="302"/>
      <c r="T132" s="294">
        <f t="shared" si="4"/>
        <v>9</v>
      </c>
      <c r="U132" s="346">
        <v>5</v>
      </c>
      <c r="V132" s="302"/>
      <c r="W132" s="294">
        <f t="shared" si="5"/>
        <v>5</v>
      </c>
      <c r="X132" s="308">
        <f t="shared" si="8"/>
        <v>34</v>
      </c>
      <c r="Y132" s="64">
        <f t="shared" si="8"/>
        <v>0</v>
      </c>
      <c r="Z132" s="309">
        <f t="shared" si="8"/>
        <v>34</v>
      </c>
      <c r="AA132" s="310">
        <f t="shared" si="9"/>
        <v>5.666666666666667</v>
      </c>
      <c r="AB132" s="65">
        <f t="shared" si="9"/>
        <v>0</v>
      </c>
      <c r="AC132" s="311">
        <f t="shared" si="9"/>
        <v>5.666666666666667</v>
      </c>
      <c r="AD132" s="347" t="s">
        <v>15</v>
      </c>
    </row>
    <row r="133" spans="1:30" ht="15.75" hidden="1">
      <c r="A133" s="289">
        <v>127</v>
      </c>
      <c r="B133" s="351" t="s">
        <v>2523</v>
      </c>
      <c r="C133" s="305" t="s">
        <v>2504</v>
      </c>
      <c r="D133" s="291" t="s">
        <v>2524</v>
      </c>
      <c r="E133" s="306">
        <v>10</v>
      </c>
      <c r="F133" s="307">
        <v>5</v>
      </c>
      <c r="G133" s="302"/>
      <c r="H133" s="294">
        <f t="shared" si="0"/>
        <v>5</v>
      </c>
      <c r="I133" s="346">
        <v>3</v>
      </c>
      <c r="J133" s="302"/>
      <c r="K133" s="294">
        <f t="shared" si="1"/>
        <v>3</v>
      </c>
      <c r="L133" s="346">
        <v>3</v>
      </c>
      <c r="M133" s="302"/>
      <c r="N133" s="294">
        <f t="shared" si="2"/>
        <v>3</v>
      </c>
      <c r="O133" s="346">
        <v>5</v>
      </c>
      <c r="P133" s="302"/>
      <c r="Q133" s="294">
        <f t="shared" si="3"/>
        <v>5</v>
      </c>
      <c r="R133" s="346">
        <v>5</v>
      </c>
      <c r="S133" s="302"/>
      <c r="T133" s="294">
        <f t="shared" si="4"/>
        <v>5</v>
      </c>
      <c r="U133" s="346">
        <v>5</v>
      </c>
      <c r="V133" s="302"/>
      <c r="W133" s="294">
        <f t="shared" si="5"/>
        <v>5</v>
      </c>
      <c r="X133" s="308">
        <f t="shared" si="8"/>
        <v>26</v>
      </c>
      <c r="Y133" s="64">
        <f t="shared" si="8"/>
        <v>0</v>
      </c>
      <c r="Z133" s="309">
        <f t="shared" si="8"/>
        <v>26</v>
      </c>
      <c r="AA133" s="310">
        <f t="shared" si="9"/>
        <v>4.333333333333333</v>
      </c>
      <c r="AB133" s="65">
        <f t="shared" si="9"/>
        <v>0</v>
      </c>
      <c r="AC133" s="311">
        <f t="shared" si="9"/>
        <v>4.333333333333333</v>
      </c>
      <c r="AD133" s="347" t="s">
        <v>15</v>
      </c>
    </row>
    <row r="134" spans="1:30" ht="15.75" hidden="1">
      <c r="A134" s="302">
        <v>128</v>
      </c>
      <c r="B134" s="351" t="s">
        <v>2525</v>
      </c>
      <c r="C134" s="305" t="s">
        <v>2504</v>
      </c>
      <c r="D134" s="305" t="s">
        <v>2526</v>
      </c>
      <c r="E134" s="306">
        <v>30</v>
      </c>
      <c r="F134" s="307">
        <v>65</v>
      </c>
      <c r="G134" s="302"/>
      <c r="H134" s="294">
        <f t="shared" si="0"/>
        <v>65</v>
      </c>
      <c r="I134" s="346">
        <v>40</v>
      </c>
      <c r="J134" s="302"/>
      <c r="K134" s="294">
        <f t="shared" si="1"/>
        <v>40</v>
      </c>
      <c r="L134" s="346">
        <v>20</v>
      </c>
      <c r="M134" s="302"/>
      <c r="N134" s="294">
        <f t="shared" si="2"/>
        <v>20</v>
      </c>
      <c r="O134" s="346">
        <v>60</v>
      </c>
      <c r="P134" s="302"/>
      <c r="Q134" s="294">
        <f t="shared" si="3"/>
        <v>60</v>
      </c>
      <c r="R134" s="346">
        <v>75</v>
      </c>
      <c r="S134" s="302"/>
      <c r="T134" s="294">
        <f t="shared" si="4"/>
        <v>75</v>
      </c>
      <c r="U134" s="346">
        <v>35</v>
      </c>
      <c r="V134" s="302"/>
      <c r="W134" s="294">
        <f t="shared" si="5"/>
        <v>35</v>
      </c>
      <c r="X134" s="308">
        <f t="shared" si="8"/>
        <v>295</v>
      </c>
      <c r="Y134" s="64">
        <f t="shared" si="8"/>
        <v>0</v>
      </c>
      <c r="Z134" s="309">
        <f t="shared" si="8"/>
        <v>295</v>
      </c>
      <c r="AA134" s="310">
        <f t="shared" si="9"/>
        <v>49.166666666666664</v>
      </c>
      <c r="AB134" s="65">
        <f t="shared" si="9"/>
        <v>0</v>
      </c>
      <c r="AC134" s="311">
        <f t="shared" si="9"/>
        <v>49.166666666666664</v>
      </c>
      <c r="AD134" s="347" t="s">
        <v>15</v>
      </c>
    </row>
    <row r="135" spans="1:30" ht="15.75" hidden="1">
      <c r="A135" s="289">
        <v>129</v>
      </c>
      <c r="B135" s="351" t="s">
        <v>1238</v>
      </c>
      <c r="C135" s="305" t="s">
        <v>2504</v>
      </c>
      <c r="D135" s="291" t="s">
        <v>2527</v>
      </c>
      <c r="E135" s="306">
        <v>10</v>
      </c>
      <c r="F135" s="307">
        <v>5</v>
      </c>
      <c r="G135" s="302"/>
      <c r="H135" s="294">
        <f t="shared" si="0"/>
        <v>5</v>
      </c>
      <c r="I135" s="346">
        <v>5</v>
      </c>
      <c r="J135" s="302"/>
      <c r="K135" s="294">
        <f t="shared" si="1"/>
        <v>5</v>
      </c>
      <c r="L135" s="346">
        <v>5</v>
      </c>
      <c r="M135" s="302"/>
      <c r="N135" s="294">
        <f t="shared" si="2"/>
        <v>5</v>
      </c>
      <c r="O135" s="346">
        <v>10</v>
      </c>
      <c r="P135" s="302"/>
      <c r="Q135" s="294">
        <f t="shared" si="3"/>
        <v>10</v>
      </c>
      <c r="R135" s="346">
        <v>15</v>
      </c>
      <c r="S135" s="302"/>
      <c r="T135" s="294">
        <f t="shared" si="4"/>
        <v>15</v>
      </c>
      <c r="U135" s="346">
        <v>10</v>
      </c>
      <c r="V135" s="302"/>
      <c r="W135" s="294">
        <f t="shared" si="5"/>
        <v>10</v>
      </c>
      <c r="X135" s="308">
        <f t="shared" si="8"/>
        <v>50</v>
      </c>
      <c r="Y135" s="64">
        <f t="shared" si="8"/>
        <v>0</v>
      </c>
      <c r="Z135" s="309">
        <f t="shared" si="8"/>
        <v>50</v>
      </c>
      <c r="AA135" s="310">
        <f t="shared" si="9"/>
        <v>8.3333333333333339</v>
      </c>
      <c r="AB135" s="65">
        <f t="shared" si="9"/>
        <v>0</v>
      </c>
      <c r="AC135" s="311">
        <f t="shared" si="9"/>
        <v>8.3333333333333339</v>
      </c>
      <c r="AD135" s="347" t="s">
        <v>15</v>
      </c>
    </row>
    <row r="136" spans="1:30" ht="15.75" hidden="1">
      <c r="A136" s="302">
        <v>130</v>
      </c>
      <c r="B136" s="351" t="s">
        <v>2528</v>
      </c>
      <c r="C136" s="305" t="s">
        <v>2504</v>
      </c>
      <c r="D136" s="305" t="s">
        <v>2529</v>
      </c>
      <c r="E136" s="306">
        <v>10</v>
      </c>
      <c r="F136" s="307"/>
      <c r="G136" s="302"/>
      <c r="H136" s="294">
        <f t="shared" si="0"/>
        <v>0</v>
      </c>
      <c r="I136" s="346">
        <v>0</v>
      </c>
      <c r="J136" s="302"/>
      <c r="K136" s="294">
        <f t="shared" si="1"/>
        <v>0</v>
      </c>
      <c r="L136" s="346">
        <v>5</v>
      </c>
      <c r="M136" s="302"/>
      <c r="N136" s="294">
        <f t="shared" si="2"/>
        <v>5</v>
      </c>
      <c r="O136" s="346">
        <v>5</v>
      </c>
      <c r="P136" s="302"/>
      <c r="Q136" s="294">
        <f t="shared" si="3"/>
        <v>5</v>
      </c>
      <c r="R136" s="346">
        <v>5</v>
      </c>
      <c r="S136" s="302"/>
      <c r="T136" s="294">
        <f t="shared" si="4"/>
        <v>5</v>
      </c>
      <c r="U136" s="346">
        <v>5</v>
      </c>
      <c r="V136" s="302"/>
      <c r="W136" s="294">
        <f t="shared" si="5"/>
        <v>5</v>
      </c>
      <c r="X136" s="308">
        <f t="shared" ref="X136:Z158" si="10">F136+I136+L136+O136+R136+U136</f>
        <v>20</v>
      </c>
      <c r="Y136" s="64">
        <f t="shared" si="10"/>
        <v>0</v>
      </c>
      <c r="Z136" s="309">
        <f t="shared" si="10"/>
        <v>20</v>
      </c>
      <c r="AA136" s="310">
        <f t="shared" ref="AA136:AC158" si="11">X136/6</f>
        <v>3.3333333333333335</v>
      </c>
      <c r="AB136" s="65">
        <f t="shared" si="11"/>
        <v>0</v>
      </c>
      <c r="AC136" s="311">
        <f t="shared" si="11"/>
        <v>3.3333333333333335</v>
      </c>
      <c r="AD136" s="347" t="s">
        <v>15</v>
      </c>
    </row>
    <row r="137" spans="1:30" ht="15.75" hidden="1">
      <c r="A137" s="289">
        <v>131</v>
      </c>
      <c r="B137" s="351" t="s">
        <v>2530</v>
      </c>
      <c r="C137" s="305" t="s">
        <v>2504</v>
      </c>
      <c r="D137" s="291" t="s">
        <v>2531</v>
      </c>
      <c r="E137" s="306">
        <v>35</v>
      </c>
      <c r="F137" s="307">
        <v>65</v>
      </c>
      <c r="G137" s="302"/>
      <c r="H137" s="294">
        <f t="shared" si="0"/>
        <v>65</v>
      </c>
      <c r="I137" s="346">
        <v>40</v>
      </c>
      <c r="J137" s="302"/>
      <c r="K137" s="294">
        <f t="shared" si="1"/>
        <v>40</v>
      </c>
      <c r="L137" s="346">
        <v>15</v>
      </c>
      <c r="M137" s="302"/>
      <c r="N137" s="294">
        <f t="shared" si="2"/>
        <v>15</v>
      </c>
      <c r="O137" s="346">
        <v>23</v>
      </c>
      <c r="P137" s="302"/>
      <c r="Q137" s="294">
        <f t="shared" si="3"/>
        <v>23</v>
      </c>
      <c r="R137" s="346">
        <v>25</v>
      </c>
      <c r="S137" s="302"/>
      <c r="T137" s="294">
        <f t="shared" si="4"/>
        <v>25</v>
      </c>
      <c r="U137" s="346">
        <v>20</v>
      </c>
      <c r="V137" s="302"/>
      <c r="W137" s="294">
        <f t="shared" si="5"/>
        <v>20</v>
      </c>
      <c r="X137" s="308">
        <f t="shared" si="10"/>
        <v>188</v>
      </c>
      <c r="Y137" s="64">
        <f t="shared" si="10"/>
        <v>0</v>
      </c>
      <c r="Z137" s="309">
        <f t="shared" si="10"/>
        <v>188</v>
      </c>
      <c r="AA137" s="310">
        <f t="shared" si="11"/>
        <v>31.333333333333332</v>
      </c>
      <c r="AB137" s="65">
        <f t="shared" si="11"/>
        <v>0</v>
      </c>
      <c r="AC137" s="311">
        <f t="shared" si="11"/>
        <v>31.333333333333332</v>
      </c>
      <c r="AD137" s="347" t="s">
        <v>18</v>
      </c>
    </row>
    <row r="138" spans="1:30" ht="15.75" hidden="1">
      <c r="A138" s="302">
        <v>132</v>
      </c>
      <c r="B138" s="351" t="s">
        <v>2532</v>
      </c>
      <c r="C138" s="305" t="s">
        <v>2504</v>
      </c>
      <c r="D138" s="305" t="s">
        <v>2533</v>
      </c>
      <c r="E138" s="306">
        <v>15</v>
      </c>
      <c r="F138" s="307">
        <v>15</v>
      </c>
      <c r="G138" s="302"/>
      <c r="H138" s="294">
        <f t="shared" si="0"/>
        <v>15</v>
      </c>
      <c r="I138" s="346">
        <v>15</v>
      </c>
      <c r="J138" s="302"/>
      <c r="K138" s="294">
        <f t="shared" si="1"/>
        <v>15</v>
      </c>
      <c r="L138" s="346">
        <v>6</v>
      </c>
      <c r="M138" s="302"/>
      <c r="N138" s="294">
        <f t="shared" si="2"/>
        <v>6</v>
      </c>
      <c r="O138" s="346">
        <v>11</v>
      </c>
      <c r="P138" s="302"/>
      <c r="Q138" s="294">
        <f t="shared" si="3"/>
        <v>11</v>
      </c>
      <c r="R138" s="346">
        <v>15</v>
      </c>
      <c r="S138" s="302"/>
      <c r="T138" s="294">
        <f t="shared" si="4"/>
        <v>15</v>
      </c>
      <c r="U138" s="346">
        <v>10</v>
      </c>
      <c r="V138" s="302"/>
      <c r="W138" s="294">
        <f t="shared" si="5"/>
        <v>10</v>
      </c>
      <c r="X138" s="308">
        <f t="shared" si="10"/>
        <v>72</v>
      </c>
      <c r="Y138" s="64">
        <f t="shared" si="10"/>
        <v>0</v>
      </c>
      <c r="Z138" s="309">
        <f t="shared" si="10"/>
        <v>72</v>
      </c>
      <c r="AA138" s="310">
        <f t="shared" si="11"/>
        <v>12</v>
      </c>
      <c r="AB138" s="65">
        <f t="shared" si="11"/>
        <v>0</v>
      </c>
      <c r="AC138" s="311">
        <f t="shared" si="11"/>
        <v>12</v>
      </c>
      <c r="AD138" s="347" t="s">
        <v>15</v>
      </c>
    </row>
    <row r="139" spans="1:30" ht="15.75">
      <c r="A139" s="289">
        <v>133</v>
      </c>
      <c r="B139" s="351" t="s">
        <v>2534</v>
      </c>
      <c r="C139" s="305" t="s">
        <v>2504</v>
      </c>
      <c r="D139" s="291" t="s">
        <v>2535</v>
      </c>
      <c r="E139" s="306">
        <v>50</v>
      </c>
      <c r="F139" s="307">
        <v>110</v>
      </c>
      <c r="G139" s="302"/>
      <c r="H139" s="294">
        <f t="shared" si="0"/>
        <v>110</v>
      </c>
      <c r="I139" s="346">
        <v>95</v>
      </c>
      <c r="J139" s="302"/>
      <c r="K139" s="294">
        <f t="shared" si="1"/>
        <v>95</v>
      </c>
      <c r="L139" s="346">
        <v>45</v>
      </c>
      <c r="M139" s="302"/>
      <c r="N139" s="294">
        <f t="shared" si="2"/>
        <v>45</v>
      </c>
      <c r="O139" s="346">
        <v>75</v>
      </c>
      <c r="P139" s="302"/>
      <c r="Q139" s="294">
        <f t="shared" si="3"/>
        <v>75</v>
      </c>
      <c r="R139" s="346">
        <v>95</v>
      </c>
      <c r="S139" s="302"/>
      <c r="T139" s="294">
        <f t="shared" si="4"/>
        <v>95</v>
      </c>
      <c r="U139" s="346">
        <v>55</v>
      </c>
      <c r="V139" s="302"/>
      <c r="W139" s="294">
        <f t="shared" si="5"/>
        <v>55</v>
      </c>
      <c r="X139" s="308">
        <f t="shared" si="10"/>
        <v>475</v>
      </c>
      <c r="Y139" s="64">
        <f t="shared" si="10"/>
        <v>0</v>
      </c>
      <c r="Z139" s="309">
        <f t="shared" si="10"/>
        <v>475</v>
      </c>
      <c r="AA139" s="310">
        <f t="shared" si="11"/>
        <v>79.166666666666671</v>
      </c>
      <c r="AB139" s="65">
        <f t="shared" si="11"/>
        <v>0</v>
      </c>
      <c r="AC139" s="311">
        <f t="shared" si="11"/>
        <v>79.166666666666671</v>
      </c>
      <c r="AD139" s="347" t="s">
        <v>15</v>
      </c>
    </row>
    <row r="140" spans="1:30" ht="15.75">
      <c r="A140" s="302">
        <v>134</v>
      </c>
      <c r="B140" s="351" t="s">
        <v>2536</v>
      </c>
      <c r="C140" s="305" t="s">
        <v>2504</v>
      </c>
      <c r="D140" s="305" t="s">
        <v>2537</v>
      </c>
      <c r="E140" s="306">
        <v>50</v>
      </c>
      <c r="F140" s="307">
        <v>90</v>
      </c>
      <c r="G140" s="302"/>
      <c r="H140" s="294">
        <f t="shared" si="0"/>
        <v>90</v>
      </c>
      <c r="I140" s="346">
        <v>90</v>
      </c>
      <c r="J140" s="302"/>
      <c r="K140" s="294">
        <f t="shared" si="1"/>
        <v>90</v>
      </c>
      <c r="L140" s="346">
        <v>40</v>
      </c>
      <c r="M140" s="302"/>
      <c r="N140" s="294">
        <f t="shared" si="2"/>
        <v>40</v>
      </c>
      <c r="O140" s="346">
        <v>75</v>
      </c>
      <c r="P140" s="302"/>
      <c r="Q140" s="294">
        <f t="shared" si="3"/>
        <v>75</v>
      </c>
      <c r="R140" s="346">
        <v>90</v>
      </c>
      <c r="S140" s="302"/>
      <c r="T140" s="294">
        <f t="shared" si="4"/>
        <v>90</v>
      </c>
      <c r="U140" s="346">
        <v>50</v>
      </c>
      <c r="V140" s="302"/>
      <c r="W140" s="294">
        <f t="shared" si="5"/>
        <v>50</v>
      </c>
      <c r="X140" s="308">
        <f t="shared" si="10"/>
        <v>435</v>
      </c>
      <c r="Y140" s="64">
        <f t="shared" si="10"/>
        <v>0</v>
      </c>
      <c r="Z140" s="309">
        <f t="shared" si="10"/>
        <v>435</v>
      </c>
      <c r="AA140" s="310">
        <f t="shared" si="11"/>
        <v>72.5</v>
      </c>
      <c r="AB140" s="65">
        <f t="shared" si="11"/>
        <v>0</v>
      </c>
      <c r="AC140" s="311">
        <f t="shared" si="11"/>
        <v>72.5</v>
      </c>
      <c r="AD140" s="347" t="s">
        <v>15</v>
      </c>
    </row>
    <row r="141" spans="1:30" ht="15.75" hidden="1">
      <c r="A141" s="289">
        <v>135</v>
      </c>
      <c r="B141" s="351" t="s">
        <v>2538</v>
      </c>
      <c r="C141" s="305" t="s">
        <v>2504</v>
      </c>
      <c r="D141" s="291" t="s">
        <v>2539</v>
      </c>
      <c r="E141" s="306">
        <v>20</v>
      </c>
      <c r="F141" s="307">
        <v>35</v>
      </c>
      <c r="G141" s="302"/>
      <c r="H141" s="294">
        <f t="shared" si="0"/>
        <v>35</v>
      </c>
      <c r="I141" s="346">
        <v>45</v>
      </c>
      <c r="J141" s="302"/>
      <c r="K141" s="294">
        <f t="shared" si="1"/>
        <v>45</v>
      </c>
      <c r="L141" s="346">
        <v>15</v>
      </c>
      <c r="M141" s="302"/>
      <c r="N141" s="294">
        <f t="shared" si="2"/>
        <v>15</v>
      </c>
      <c r="O141" s="346">
        <v>25</v>
      </c>
      <c r="P141" s="302"/>
      <c r="Q141" s="294">
        <f t="shared" si="3"/>
        <v>25</v>
      </c>
      <c r="R141" s="346">
        <v>35</v>
      </c>
      <c r="S141" s="302"/>
      <c r="T141" s="294">
        <f t="shared" si="4"/>
        <v>35</v>
      </c>
      <c r="U141" s="346">
        <v>20</v>
      </c>
      <c r="V141" s="302"/>
      <c r="W141" s="294">
        <f t="shared" si="5"/>
        <v>20</v>
      </c>
      <c r="X141" s="308">
        <f t="shared" si="10"/>
        <v>175</v>
      </c>
      <c r="Y141" s="64">
        <f t="shared" si="10"/>
        <v>0</v>
      </c>
      <c r="Z141" s="309">
        <f t="shared" si="10"/>
        <v>175</v>
      </c>
      <c r="AA141" s="310">
        <f t="shared" si="11"/>
        <v>29.166666666666668</v>
      </c>
      <c r="AB141" s="65">
        <f t="shared" si="11"/>
        <v>0</v>
      </c>
      <c r="AC141" s="311">
        <f t="shared" si="11"/>
        <v>29.166666666666668</v>
      </c>
      <c r="AD141" s="347" t="s">
        <v>15</v>
      </c>
    </row>
    <row r="142" spans="1:30" ht="15.75">
      <c r="A142" s="430">
        <v>136</v>
      </c>
      <c r="B142" s="353" t="s">
        <v>2540</v>
      </c>
      <c r="C142" s="323" t="s">
        <v>2504</v>
      </c>
      <c r="D142" s="323" t="s">
        <v>2541</v>
      </c>
      <c r="E142" s="317">
        <v>97</v>
      </c>
      <c r="F142" s="326">
        <v>146</v>
      </c>
      <c r="G142" s="327"/>
      <c r="H142" s="318">
        <f t="shared" si="0"/>
        <v>146</v>
      </c>
      <c r="I142" s="326">
        <v>289</v>
      </c>
      <c r="J142" s="327">
        <v>0</v>
      </c>
      <c r="K142" s="318">
        <f t="shared" si="1"/>
        <v>289</v>
      </c>
      <c r="L142" s="326">
        <v>174</v>
      </c>
      <c r="M142" s="327">
        <v>0</v>
      </c>
      <c r="N142" s="318">
        <f t="shared" si="2"/>
        <v>174</v>
      </c>
      <c r="O142" s="326">
        <v>150</v>
      </c>
      <c r="P142" s="327">
        <v>0</v>
      </c>
      <c r="Q142" s="318">
        <f t="shared" si="3"/>
        <v>150</v>
      </c>
      <c r="R142" s="326">
        <v>40</v>
      </c>
      <c r="S142" s="327">
        <v>0</v>
      </c>
      <c r="T142" s="318">
        <f t="shared" si="4"/>
        <v>40</v>
      </c>
      <c r="U142" s="326">
        <v>220</v>
      </c>
      <c r="V142" s="327">
        <v>0</v>
      </c>
      <c r="W142" s="318">
        <f t="shared" si="5"/>
        <v>220</v>
      </c>
      <c r="X142" s="319">
        <f t="shared" si="10"/>
        <v>1019</v>
      </c>
      <c r="Y142" s="19">
        <f t="shared" si="10"/>
        <v>0</v>
      </c>
      <c r="Z142" s="320">
        <f t="shared" si="10"/>
        <v>1019</v>
      </c>
      <c r="AA142" s="321">
        <f t="shared" si="11"/>
        <v>169.83333333333334</v>
      </c>
      <c r="AB142" s="60">
        <f t="shared" si="11"/>
        <v>0</v>
      </c>
      <c r="AC142" s="322">
        <f t="shared" si="11"/>
        <v>169.83333333333334</v>
      </c>
      <c r="AD142" s="317" t="s">
        <v>18</v>
      </c>
    </row>
    <row r="143" spans="1:30" ht="15.75">
      <c r="A143" s="429">
        <v>137</v>
      </c>
      <c r="B143" s="353" t="s">
        <v>2542</v>
      </c>
      <c r="C143" s="323" t="s">
        <v>2504</v>
      </c>
      <c r="D143" s="316" t="s">
        <v>2543</v>
      </c>
      <c r="E143" s="317">
        <v>442</v>
      </c>
      <c r="F143" s="326">
        <v>0</v>
      </c>
      <c r="G143" s="327">
        <v>0</v>
      </c>
      <c r="H143" s="318">
        <f t="shared" si="0"/>
        <v>0</v>
      </c>
      <c r="I143" s="326">
        <v>265</v>
      </c>
      <c r="J143" s="327">
        <v>0</v>
      </c>
      <c r="K143" s="318">
        <f t="shared" si="1"/>
        <v>265</v>
      </c>
      <c r="L143" s="326">
        <v>320</v>
      </c>
      <c r="M143" s="327">
        <v>0</v>
      </c>
      <c r="N143" s="318">
        <f t="shared" si="2"/>
        <v>320</v>
      </c>
      <c r="O143" s="326">
        <v>134</v>
      </c>
      <c r="P143" s="327">
        <v>0</v>
      </c>
      <c r="Q143" s="318">
        <f t="shared" si="3"/>
        <v>134</v>
      </c>
      <c r="R143" s="326">
        <v>236</v>
      </c>
      <c r="S143" s="327">
        <v>0</v>
      </c>
      <c r="T143" s="318">
        <f t="shared" si="4"/>
        <v>236</v>
      </c>
      <c r="U143" s="326">
        <v>0</v>
      </c>
      <c r="V143" s="327">
        <v>0</v>
      </c>
      <c r="W143" s="318">
        <f t="shared" si="5"/>
        <v>0</v>
      </c>
      <c r="X143" s="319">
        <f t="shared" si="10"/>
        <v>955</v>
      </c>
      <c r="Y143" s="19">
        <f t="shared" si="10"/>
        <v>0</v>
      </c>
      <c r="Z143" s="320">
        <f t="shared" si="10"/>
        <v>955</v>
      </c>
      <c r="AA143" s="321">
        <f t="shared" si="11"/>
        <v>159.16666666666666</v>
      </c>
      <c r="AB143" s="60">
        <f t="shared" si="11"/>
        <v>0</v>
      </c>
      <c r="AC143" s="322">
        <f t="shared" si="11"/>
        <v>159.16666666666666</v>
      </c>
      <c r="AD143" s="317" t="s">
        <v>18</v>
      </c>
    </row>
    <row r="144" spans="1:30" ht="15.75">
      <c r="A144" s="302">
        <v>138</v>
      </c>
      <c r="B144" s="350" t="s">
        <v>2544</v>
      </c>
      <c r="C144" s="305" t="s">
        <v>2545</v>
      </c>
      <c r="D144" s="305" t="s">
        <v>2546</v>
      </c>
      <c r="E144" s="306">
        <v>40</v>
      </c>
      <c r="F144" s="307">
        <v>160</v>
      </c>
      <c r="G144" s="302"/>
      <c r="H144" s="294">
        <f t="shared" si="0"/>
        <v>160</v>
      </c>
      <c r="I144" s="346">
        <v>150</v>
      </c>
      <c r="J144" s="302"/>
      <c r="K144" s="294">
        <f t="shared" si="1"/>
        <v>150</v>
      </c>
      <c r="L144" s="346">
        <v>75</v>
      </c>
      <c r="M144" s="302"/>
      <c r="N144" s="294">
        <f t="shared" si="2"/>
        <v>75</v>
      </c>
      <c r="O144" s="346">
        <v>95</v>
      </c>
      <c r="P144" s="302"/>
      <c r="Q144" s="294">
        <f t="shared" si="3"/>
        <v>95</v>
      </c>
      <c r="R144" s="346">
        <v>135</v>
      </c>
      <c r="S144" s="302"/>
      <c r="T144" s="294">
        <f t="shared" si="4"/>
        <v>135</v>
      </c>
      <c r="U144" s="346">
        <v>80</v>
      </c>
      <c r="V144" s="302"/>
      <c r="W144" s="294">
        <f t="shared" si="5"/>
        <v>80</v>
      </c>
      <c r="X144" s="308">
        <f t="shared" si="10"/>
        <v>695</v>
      </c>
      <c r="Y144" s="64">
        <f t="shared" si="10"/>
        <v>0</v>
      </c>
      <c r="Z144" s="309">
        <f t="shared" si="10"/>
        <v>695</v>
      </c>
      <c r="AA144" s="310">
        <f t="shared" si="11"/>
        <v>115.83333333333333</v>
      </c>
      <c r="AB144" s="65">
        <f t="shared" si="11"/>
        <v>0</v>
      </c>
      <c r="AC144" s="311">
        <f t="shared" si="11"/>
        <v>115.83333333333333</v>
      </c>
      <c r="AD144" s="347" t="s">
        <v>15</v>
      </c>
    </row>
    <row r="145" spans="1:30" ht="15.75" hidden="1">
      <c r="A145" s="289">
        <v>139</v>
      </c>
      <c r="B145" s="351" t="s">
        <v>2547</v>
      </c>
      <c r="C145" s="305" t="s">
        <v>2545</v>
      </c>
      <c r="D145" s="291" t="s">
        <v>2548</v>
      </c>
      <c r="E145" s="306">
        <v>10</v>
      </c>
      <c r="F145" s="307">
        <v>5</v>
      </c>
      <c r="G145" s="302"/>
      <c r="H145" s="294">
        <f t="shared" si="0"/>
        <v>5</v>
      </c>
      <c r="I145" s="346">
        <v>5</v>
      </c>
      <c r="J145" s="302"/>
      <c r="K145" s="294">
        <f t="shared" si="1"/>
        <v>5</v>
      </c>
      <c r="L145" s="346">
        <v>5</v>
      </c>
      <c r="M145" s="302"/>
      <c r="N145" s="294">
        <f t="shared" si="2"/>
        <v>5</v>
      </c>
      <c r="O145" s="346">
        <v>10</v>
      </c>
      <c r="P145" s="302"/>
      <c r="Q145" s="294">
        <f t="shared" si="3"/>
        <v>10</v>
      </c>
      <c r="R145" s="346">
        <v>15</v>
      </c>
      <c r="S145" s="302"/>
      <c r="T145" s="294">
        <f t="shared" si="4"/>
        <v>15</v>
      </c>
      <c r="U145" s="346">
        <v>5</v>
      </c>
      <c r="V145" s="302"/>
      <c r="W145" s="294">
        <f t="shared" si="5"/>
        <v>5</v>
      </c>
      <c r="X145" s="308">
        <f t="shared" si="10"/>
        <v>45</v>
      </c>
      <c r="Y145" s="64">
        <f t="shared" si="10"/>
        <v>0</v>
      </c>
      <c r="Z145" s="309">
        <f t="shared" si="10"/>
        <v>45</v>
      </c>
      <c r="AA145" s="310">
        <f t="shared" si="11"/>
        <v>7.5</v>
      </c>
      <c r="AB145" s="65">
        <f t="shared" si="11"/>
        <v>0</v>
      </c>
      <c r="AC145" s="311">
        <f t="shared" si="11"/>
        <v>7.5</v>
      </c>
      <c r="AD145" s="347" t="s">
        <v>15</v>
      </c>
    </row>
    <row r="146" spans="1:30" ht="15.75" hidden="1">
      <c r="A146" s="302">
        <v>140</v>
      </c>
      <c r="B146" s="351" t="s">
        <v>2549</v>
      </c>
      <c r="C146" s="305" t="s">
        <v>2545</v>
      </c>
      <c r="D146" s="305" t="s">
        <v>2550</v>
      </c>
      <c r="E146" s="306">
        <v>40</v>
      </c>
      <c r="F146" s="307">
        <v>50</v>
      </c>
      <c r="G146" s="302"/>
      <c r="H146" s="294">
        <f t="shared" si="0"/>
        <v>50</v>
      </c>
      <c r="I146" s="346">
        <v>65</v>
      </c>
      <c r="J146" s="302"/>
      <c r="K146" s="294">
        <f t="shared" si="1"/>
        <v>65</v>
      </c>
      <c r="L146" s="346">
        <v>25</v>
      </c>
      <c r="M146" s="302"/>
      <c r="N146" s="294">
        <f t="shared" si="2"/>
        <v>25</v>
      </c>
      <c r="O146" s="346">
        <v>48</v>
      </c>
      <c r="P146" s="302"/>
      <c r="Q146" s="294">
        <f t="shared" si="3"/>
        <v>48</v>
      </c>
      <c r="R146" s="346">
        <v>55</v>
      </c>
      <c r="S146" s="302"/>
      <c r="T146" s="294">
        <f t="shared" si="4"/>
        <v>55</v>
      </c>
      <c r="U146" s="346">
        <v>25</v>
      </c>
      <c r="V146" s="302"/>
      <c r="W146" s="294">
        <f t="shared" si="5"/>
        <v>25</v>
      </c>
      <c r="X146" s="308">
        <f t="shared" si="10"/>
        <v>268</v>
      </c>
      <c r="Y146" s="64">
        <f t="shared" si="10"/>
        <v>0</v>
      </c>
      <c r="Z146" s="309">
        <f t="shared" si="10"/>
        <v>268</v>
      </c>
      <c r="AA146" s="310">
        <f t="shared" si="11"/>
        <v>44.666666666666664</v>
      </c>
      <c r="AB146" s="65">
        <f t="shared" si="11"/>
        <v>0</v>
      </c>
      <c r="AC146" s="311">
        <f t="shared" si="11"/>
        <v>44.666666666666664</v>
      </c>
      <c r="AD146" s="347" t="s">
        <v>18</v>
      </c>
    </row>
    <row r="147" spans="1:30" ht="15.75" hidden="1">
      <c r="A147" s="289">
        <v>141</v>
      </c>
      <c r="B147" s="351" t="s">
        <v>2551</v>
      </c>
      <c r="C147" s="305" t="s">
        <v>2545</v>
      </c>
      <c r="D147" s="291" t="s">
        <v>2552</v>
      </c>
      <c r="E147" s="306">
        <v>20</v>
      </c>
      <c r="F147" s="307">
        <v>45</v>
      </c>
      <c r="G147" s="302"/>
      <c r="H147" s="294">
        <f t="shared" si="0"/>
        <v>45</v>
      </c>
      <c r="I147" s="346">
        <v>30</v>
      </c>
      <c r="J147" s="302"/>
      <c r="K147" s="294">
        <f t="shared" si="1"/>
        <v>30</v>
      </c>
      <c r="L147" s="346">
        <v>15</v>
      </c>
      <c r="M147" s="302"/>
      <c r="N147" s="294">
        <f t="shared" si="2"/>
        <v>15</v>
      </c>
      <c r="O147" s="346">
        <v>25</v>
      </c>
      <c r="P147" s="302"/>
      <c r="Q147" s="294">
        <f t="shared" si="3"/>
        <v>25</v>
      </c>
      <c r="R147" s="346">
        <v>35</v>
      </c>
      <c r="S147" s="302"/>
      <c r="T147" s="294">
        <f t="shared" si="4"/>
        <v>35</v>
      </c>
      <c r="U147" s="346">
        <v>15</v>
      </c>
      <c r="V147" s="302"/>
      <c r="W147" s="294">
        <f t="shared" si="5"/>
        <v>15</v>
      </c>
      <c r="X147" s="308">
        <f t="shared" si="10"/>
        <v>165</v>
      </c>
      <c r="Y147" s="64">
        <f t="shared" si="10"/>
        <v>0</v>
      </c>
      <c r="Z147" s="309">
        <f t="shared" si="10"/>
        <v>165</v>
      </c>
      <c r="AA147" s="310">
        <f t="shared" si="11"/>
        <v>27.5</v>
      </c>
      <c r="AB147" s="65">
        <f t="shared" si="11"/>
        <v>0</v>
      </c>
      <c r="AC147" s="311">
        <f t="shared" si="11"/>
        <v>27.5</v>
      </c>
      <c r="AD147" s="347" t="s">
        <v>15</v>
      </c>
    </row>
    <row r="148" spans="1:30" ht="15.75">
      <c r="A148" s="302">
        <v>142</v>
      </c>
      <c r="B148" s="351" t="s">
        <v>2553</v>
      </c>
      <c r="C148" s="305" t="s">
        <v>2545</v>
      </c>
      <c r="D148" s="305" t="s">
        <v>2554</v>
      </c>
      <c r="E148" s="306">
        <v>90</v>
      </c>
      <c r="F148" s="307">
        <v>210</v>
      </c>
      <c r="G148" s="302"/>
      <c r="H148" s="294">
        <f t="shared" si="0"/>
        <v>210</v>
      </c>
      <c r="I148" s="346">
        <v>254</v>
      </c>
      <c r="J148" s="302"/>
      <c r="K148" s="294">
        <f t="shared" si="1"/>
        <v>254</v>
      </c>
      <c r="L148" s="346">
        <v>192</v>
      </c>
      <c r="M148" s="302"/>
      <c r="N148" s="294">
        <f t="shared" si="2"/>
        <v>192</v>
      </c>
      <c r="O148" s="346">
        <v>225</v>
      </c>
      <c r="P148" s="302"/>
      <c r="Q148" s="294">
        <f t="shared" si="3"/>
        <v>225</v>
      </c>
      <c r="R148" s="346">
        <v>235</v>
      </c>
      <c r="S148" s="302"/>
      <c r="T148" s="294">
        <f t="shared" si="4"/>
        <v>235</v>
      </c>
      <c r="U148" s="346">
        <v>108</v>
      </c>
      <c r="V148" s="302"/>
      <c r="W148" s="294">
        <f t="shared" si="5"/>
        <v>108</v>
      </c>
      <c r="X148" s="308">
        <f t="shared" si="10"/>
        <v>1224</v>
      </c>
      <c r="Y148" s="64">
        <f t="shared" si="10"/>
        <v>0</v>
      </c>
      <c r="Z148" s="309">
        <f t="shared" si="10"/>
        <v>1224</v>
      </c>
      <c r="AA148" s="310">
        <f t="shared" si="11"/>
        <v>204</v>
      </c>
      <c r="AB148" s="65">
        <f t="shared" si="11"/>
        <v>0</v>
      </c>
      <c r="AC148" s="311">
        <f t="shared" si="11"/>
        <v>204</v>
      </c>
      <c r="AD148" s="347" t="s">
        <v>18</v>
      </c>
    </row>
    <row r="149" spans="1:30" ht="15.75" hidden="1">
      <c r="A149" s="289">
        <v>143</v>
      </c>
      <c r="B149" s="351" t="s">
        <v>2555</v>
      </c>
      <c r="C149" s="305" t="s">
        <v>2545</v>
      </c>
      <c r="D149" s="291" t="s">
        <v>2556</v>
      </c>
      <c r="E149" s="306">
        <v>40</v>
      </c>
      <c r="F149" s="307">
        <v>50</v>
      </c>
      <c r="G149" s="302"/>
      <c r="H149" s="294">
        <f t="shared" si="0"/>
        <v>50</v>
      </c>
      <c r="I149" s="346">
        <v>40</v>
      </c>
      <c r="J149" s="302"/>
      <c r="K149" s="294">
        <f t="shared" si="1"/>
        <v>40</v>
      </c>
      <c r="L149" s="346">
        <v>15</v>
      </c>
      <c r="M149" s="302"/>
      <c r="N149" s="294">
        <f t="shared" si="2"/>
        <v>15</v>
      </c>
      <c r="O149" s="346">
        <v>45</v>
      </c>
      <c r="P149" s="302"/>
      <c r="Q149" s="294">
        <f t="shared" si="3"/>
        <v>45</v>
      </c>
      <c r="R149" s="346">
        <v>50</v>
      </c>
      <c r="S149" s="302"/>
      <c r="T149" s="294">
        <f t="shared" si="4"/>
        <v>50</v>
      </c>
      <c r="U149" s="346">
        <v>20</v>
      </c>
      <c r="V149" s="302"/>
      <c r="W149" s="294">
        <f t="shared" si="5"/>
        <v>20</v>
      </c>
      <c r="X149" s="308">
        <f t="shared" si="10"/>
        <v>220</v>
      </c>
      <c r="Y149" s="64">
        <f t="shared" si="10"/>
        <v>0</v>
      </c>
      <c r="Z149" s="309">
        <f t="shared" si="10"/>
        <v>220</v>
      </c>
      <c r="AA149" s="310">
        <f t="shared" si="11"/>
        <v>36.666666666666664</v>
      </c>
      <c r="AB149" s="65">
        <f t="shared" si="11"/>
        <v>0</v>
      </c>
      <c r="AC149" s="311">
        <f t="shared" si="11"/>
        <v>36.666666666666664</v>
      </c>
      <c r="AD149" s="347" t="s">
        <v>18</v>
      </c>
    </row>
    <row r="150" spans="1:30" ht="15.75" hidden="1">
      <c r="A150" s="302">
        <v>144</v>
      </c>
      <c r="B150" s="351" t="s">
        <v>2557</v>
      </c>
      <c r="C150" s="305" t="s">
        <v>2545</v>
      </c>
      <c r="D150" s="305" t="s">
        <v>2558</v>
      </c>
      <c r="E150" s="306">
        <v>20</v>
      </c>
      <c r="F150" s="307">
        <v>45</v>
      </c>
      <c r="G150" s="302"/>
      <c r="H150" s="294">
        <f t="shared" si="0"/>
        <v>45</v>
      </c>
      <c r="I150" s="346">
        <v>30</v>
      </c>
      <c r="J150" s="302"/>
      <c r="K150" s="294">
        <f t="shared" si="1"/>
        <v>30</v>
      </c>
      <c r="L150" s="346">
        <v>10</v>
      </c>
      <c r="M150" s="302"/>
      <c r="N150" s="294">
        <f t="shared" si="2"/>
        <v>10</v>
      </c>
      <c r="O150" s="346">
        <v>25</v>
      </c>
      <c r="P150" s="302"/>
      <c r="Q150" s="294">
        <f t="shared" si="3"/>
        <v>25</v>
      </c>
      <c r="R150" s="346">
        <v>35</v>
      </c>
      <c r="S150" s="302"/>
      <c r="T150" s="294">
        <f t="shared" si="4"/>
        <v>35</v>
      </c>
      <c r="U150" s="346">
        <v>10</v>
      </c>
      <c r="V150" s="302"/>
      <c r="W150" s="294">
        <f t="shared" si="5"/>
        <v>10</v>
      </c>
      <c r="X150" s="308">
        <f t="shared" si="10"/>
        <v>155</v>
      </c>
      <c r="Y150" s="64">
        <f t="shared" si="10"/>
        <v>0</v>
      </c>
      <c r="Z150" s="309">
        <f t="shared" si="10"/>
        <v>155</v>
      </c>
      <c r="AA150" s="310">
        <f t="shared" si="11"/>
        <v>25.833333333333332</v>
      </c>
      <c r="AB150" s="65">
        <f t="shared" si="11"/>
        <v>0</v>
      </c>
      <c r="AC150" s="311">
        <f t="shared" si="11"/>
        <v>25.833333333333332</v>
      </c>
      <c r="AD150" s="347" t="s">
        <v>15</v>
      </c>
    </row>
    <row r="151" spans="1:30" ht="15.75" hidden="1">
      <c r="A151" s="289">
        <v>145</v>
      </c>
      <c r="B151" s="351" t="s">
        <v>2559</v>
      </c>
      <c r="C151" s="305" t="s">
        <v>2545</v>
      </c>
      <c r="D151" s="291" t="s">
        <v>2560</v>
      </c>
      <c r="E151" s="306">
        <v>10</v>
      </c>
      <c r="F151" s="307">
        <v>20</v>
      </c>
      <c r="G151" s="302"/>
      <c r="H151" s="294">
        <f t="shared" si="0"/>
        <v>20</v>
      </c>
      <c r="I151" s="346">
        <v>5</v>
      </c>
      <c r="J151" s="302"/>
      <c r="K151" s="294">
        <f t="shared" si="1"/>
        <v>5</v>
      </c>
      <c r="L151" s="346">
        <v>5</v>
      </c>
      <c r="M151" s="302"/>
      <c r="N151" s="294">
        <f t="shared" si="2"/>
        <v>5</v>
      </c>
      <c r="O151" s="346">
        <v>9</v>
      </c>
      <c r="P151" s="302"/>
      <c r="Q151" s="294">
        <f t="shared" si="3"/>
        <v>9</v>
      </c>
      <c r="R151" s="346">
        <v>15</v>
      </c>
      <c r="S151" s="302"/>
      <c r="T151" s="294">
        <f t="shared" si="4"/>
        <v>15</v>
      </c>
      <c r="U151" s="346">
        <v>5</v>
      </c>
      <c r="V151" s="302"/>
      <c r="W151" s="294">
        <f t="shared" si="5"/>
        <v>5</v>
      </c>
      <c r="X151" s="308">
        <f t="shared" si="10"/>
        <v>59</v>
      </c>
      <c r="Y151" s="64">
        <f t="shared" si="10"/>
        <v>0</v>
      </c>
      <c r="Z151" s="309">
        <f t="shared" si="10"/>
        <v>59</v>
      </c>
      <c r="AA151" s="310">
        <f t="shared" si="11"/>
        <v>9.8333333333333339</v>
      </c>
      <c r="AB151" s="65">
        <f t="shared" si="11"/>
        <v>0</v>
      </c>
      <c r="AC151" s="311">
        <f t="shared" si="11"/>
        <v>9.8333333333333339</v>
      </c>
      <c r="AD151" s="347" t="s">
        <v>15</v>
      </c>
    </row>
    <row r="152" spans="1:30" ht="15.75" hidden="1">
      <c r="A152" s="302">
        <v>146</v>
      </c>
      <c r="B152" s="351" t="s">
        <v>2561</v>
      </c>
      <c r="C152" s="305" t="s">
        <v>2545</v>
      </c>
      <c r="D152" s="305" t="s">
        <v>2562</v>
      </c>
      <c r="E152" s="306">
        <v>10</v>
      </c>
      <c r="F152" s="307">
        <v>10</v>
      </c>
      <c r="G152" s="302"/>
      <c r="H152" s="294">
        <f t="shared" si="0"/>
        <v>10</v>
      </c>
      <c r="I152" s="346">
        <v>5</v>
      </c>
      <c r="J152" s="302"/>
      <c r="K152" s="294">
        <f t="shared" si="1"/>
        <v>5</v>
      </c>
      <c r="L152" s="346">
        <v>5</v>
      </c>
      <c r="M152" s="302"/>
      <c r="N152" s="294">
        <f t="shared" si="2"/>
        <v>5</v>
      </c>
      <c r="O152" s="346">
        <v>5</v>
      </c>
      <c r="P152" s="302"/>
      <c r="Q152" s="294">
        <f t="shared" si="3"/>
        <v>5</v>
      </c>
      <c r="R152" s="346">
        <v>8</v>
      </c>
      <c r="S152" s="302"/>
      <c r="T152" s="294">
        <f t="shared" si="4"/>
        <v>8</v>
      </c>
      <c r="U152" s="346">
        <v>5</v>
      </c>
      <c r="V152" s="302"/>
      <c r="W152" s="294">
        <f t="shared" si="5"/>
        <v>5</v>
      </c>
      <c r="X152" s="308">
        <f t="shared" si="10"/>
        <v>38</v>
      </c>
      <c r="Y152" s="64">
        <f t="shared" si="10"/>
        <v>0</v>
      </c>
      <c r="Z152" s="309">
        <f t="shared" si="10"/>
        <v>38</v>
      </c>
      <c r="AA152" s="310">
        <f t="shared" si="11"/>
        <v>6.333333333333333</v>
      </c>
      <c r="AB152" s="65">
        <f t="shared" si="11"/>
        <v>0</v>
      </c>
      <c r="AC152" s="311">
        <f t="shared" si="11"/>
        <v>6.333333333333333</v>
      </c>
      <c r="AD152" s="347" t="s">
        <v>15</v>
      </c>
    </row>
    <row r="153" spans="1:30" ht="15.75" hidden="1">
      <c r="A153" s="289">
        <v>147</v>
      </c>
      <c r="B153" s="351" t="s">
        <v>2563</v>
      </c>
      <c r="C153" s="305" t="s">
        <v>2545</v>
      </c>
      <c r="D153" s="291" t="s">
        <v>2564</v>
      </c>
      <c r="E153" s="306">
        <v>15</v>
      </c>
      <c r="F153" s="307">
        <v>5</v>
      </c>
      <c r="G153" s="302"/>
      <c r="H153" s="294">
        <f t="shared" si="0"/>
        <v>5</v>
      </c>
      <c r="I153" s="346">
        <v>10</v>
      </c>
      <c r="J153" s="302"/>
      <c r="K153" s="294">
        <f t="shared" si="1"/>
        <v>10</v>
      </c>
      <c r="L153" s="346">
        <v>3</v>
      </c>
      <c r="M153" s="302"/>
      <c r="N153" s="294">
        <f t="shared" si="2"/>
        <v>3</v>
      </c>
      <c r="O153" s="346">
        <v>10</v>
      </c>
      <c r="P153" s="302"/>
      <c r="Q153" s="294">
        <f t="shared" si="3"/>
        <v>10</v>
      </c>
      <c r="R153" s="346">
        <v>10</v>
      </c>
      <c r="S153" s="302"/>
      <c r="T153" s="294">
        <f t="shared" si="4"/>
        <v>10</v>
      </c>
      <c r="U153" s="346">
        <v>5</v>
      </c>
      <c r="V153" s="302"/>
      <c r="W153" s="294">
        <f t="shared" si="5"/>
        <v>5</v>
      </c>
      <c r="X153" s="308">
        <f t="shared" si="10"/>
        <v>43</v>
      </c>
      <c r="Y153" s="64">
        <f t="shared" si="10"/>
        <v>0</v>
      </c>
      <c r="Z153" s="309">
        <f t="shared" si="10"/>
        <v>43</v>
      </c>
      <c r="AA153" s="310">
        <f t="shared" si="11"/>
        <v>7.166666666666667</v>
      </c>
      <c r="AB153" s="65">
        <f t="shared" si="11"/>
        <v>0</v>
      </c>
      <c r="AC153" s="311">
        <f t="shared" si="11"/>
        <v>7.166666666666667</v>
      </c>
      <c r="AD153" s="347" t="s">
        <v>18</v>
      </c>
    </row>
    <row r="154" spans="1:30" ht="15.75">
      <c r="A154" s="302">
        <v>148</v>
      </c>
      <c r="B154" s="351" t="s">
        <v>2565</v>
      </c>
      <c r="C154" s="305" t="s">
        <v>2545</v>
      </c>
      <c r="D154" s="305" t="s">
        <v>2566</v>
      </c>
      <c r="E154" s="306">
        <v>90</v>
      </c>
      <c r="F154" s="307">
        <v>50</v>
      </c>
      <c r="G154" s="302"/>
      <c r="H154" s="294">
        <f t="shared" si="0"/>
        <v>50</v>
      </c>
      <c r="I154" s="346">
        <v>65</v>
      </c>
      <c r="J154" s="302"/>
      <c r="K154" s="294">
        <f t="shared" si="1"/>
        <v>65</v>
      </c>
      <c r="L154" s="346">
        <v>20</v>
      </c>
      <c r="M154" s="302"/>
      <c r="N154" s="294">
        <f t="shared" si="2"/>
        <v>20</v>
      </c>
      <c r="O154" s="346">
        <v>75</v>
      </c>
      <c r="P154" s="302"/>
      <c r="Q154" s="294">
        <f t="shared" si="3"/>
        <v>75</v>
      </c>
      <c r="R154" s="346">
        <v>85</v>
      </c>
      <c r="S154" s="302"/>
      <c r="T154" s="294">
        <f t="shared" si="4"/>
        <v>85</v>
      </c>
      <c r="U154" s="346">
        <v>40</v>
      </c>
      <c r="V154" s="302"/>
      <c r="W154" s="294">
        <f t="shared" si="5"/>
        <v>40</v>
      </c>
      <c r="X154" s="308">
        <f t="shared" si="10"/>
        <v>335</v>
      </c>
      <c r="Y154" s="64">
        <f t="shared" si="10"/>
        <v>0</v>
      </c>
      <c r="Z154" s="309">
        <f t="shared" si="10"/>
        <v>335</v>
      </c>
      <c r="AA154" s="310">
        <f t="shared" si="11"/>
        <v>55.833333333333336</v>
      </c>
      <c r="AB154" s="65">
        <f t="shared" si="11"/>
        <v>0</v>
      </c>
      <c r="AC154" s="311">
        <f t="shared" si="11"/>
        <v>55.833333333333336</v>
      </c>
      <c r="AD154" s="347" t="s">
        <v>18</v>
      </c>
    </row>
    <row r="155" spans="1:30" ht="15.75" hidden="1">
      <c r="A155" s="289">
        <v>149</v>
      </c>
      <c r="B155" s="351" t="s">
        <v>2567</v>
      </c>
      <c r="C155" s="305" t="s">
        <v>2545</v>
      </c>
      <c r="D155" s="291" t="s">
        <v>2568</v>
      </c>
      <c r="E155" s="306">
        <v>40</v>
      </c>
      <c r="F155" s="307">
        <v>30</v>
      </c>
      <c r="G155" s="302"/>
      <c r="H155" s="294">
        <f t="shared" si="0"/>
        <v>30</v>
      </c>
      <c r="I155" s="346">
        <v>25</v>
      </c>
      <c r="J155" s="302"/>
      <c r="K155" s="294">
        <f t="shared" si="1"/>
        <v>25</v>
      </c>
      <c r="L155" s="346">
        <v>10</v>
      </c>
      <c r="M155" s="302"/>
      <c r="N155" s="294">
        <f t="shared" si="2"/>
        <v>10</v>
      </c>
      <c r="O155" s="346">
        <v>55</v>
      </c>
      <c r="P155" s="302"/>
      <c r="Q155" s="294">
        <f t="shared" si="3"/>
        <v>55</v>
      </c>
      <c r="R155" s="346">
        <v>65</v>
      </c>
      <c r="S155" s="302"/>
      <c r="T155" s="294">
        <f t="shared" si="4"/>
        <v>65</v>
      </c>
      <c r="U155" s="346">
        <v>25</v>
      </c>
      <c r="V155" s="302"/>
      <c r="W155" s="294">
        <f t="shared" si="5"/>
        <v>25</v>
      </c>
      <c r="X155" s="308">
        <f t="shared" si="10"/>
        <v>210</v>
      </c>
      <c r="Y155" s="64">
        <f t="shared" si="10"/>
        <v>0</v>
      </c>
      <c r="Z155" s="309">
        <f t="shared" si="10"/>
        <v>210</v>
      </c>
      <c r="AA155" s="310">
        <f t="shared" si="11"/>
        <v>35</v>
      </c>
      <c r="AB155" s="65">
        <f t="shared" si="11"/>
        <v>0</v>
      </c>
      <c r="AC155" s="311">
        <f t="shared" si="11"/>
        <v>35</v>
      </c>
      <c r="AD155" s="347" t="s">
        <v>18</v>
      </c>
    </row>
    <row r="156" spans="1:30" ht="15.75">
      <c r="A156" s="430">
        <v>150</v>
      </c>
      <c r="B156" s="353" t="s">
        <v>2569</v>
      </c>
      <c r="C156" s="323" t="s">
        <v>2545</v>
      </c>
      <c r="D156" s="323" t="s">
        <v>2570</v>
      </c>
      <c r="E156" s="317">
        <v>1454</v>
      </c>
      <c r="F156" s="326">
        <v>0</v>
      </c>
      <c r="G156" s="327">
        <v>0</v>
      </c>
      <c r="H156" s="318">
        <f t="shared" si="0"/>
        <v>0</v>
      </c>
      <c r="I156" s="326">
        <v>0</v>
      </c>
      <c r="J156" s="327">
        <v>0</v>
      </c>
      <c r="K156" s="318">
        <f t="shared" si="1"/>
        <v>0</v>
      </c>
      <c r="L156" s="326">
        <v>0</v>
      </c>
      <c r="M156" s="327">
        <v>0</v>
      </c>
      <c r="N156" s="318">
        <f t="shared" si="2"/>
        <v>0</v>
      </c>
      <c r="O156" s="326">
        <v>0</v>
      </c>
      <c r="P156" s="327">
        <v>0</v>
      </c>
      <c r="Q156" s="318">
        <f t="shared" si="3"/>
        <v>0</v>
      </c>
      <c r="R156" s="326">
        <v>1026</v>
      </c>
      <c r="S156" s="327">
        <v>126</v>
      </c>
      <c r="T156" s="318">
        <f t="shared" si="4"/>
        <v>1152</v>
      </c>
      <c r="U156" s="326">
        <v>0</v>
      </c>
      <c r="V156" s="327">
        <v>0</v>
      </c>
      <c r="W156" s="318">
        <f t="shared" si="5"/>
        <v>0</v>
      </c>
      <c r="X156" s="319">
        <f t="shared" si="10"/>
        <v>1026</v>
      </c>
      <c r="Y156" s="19">
        <f t="shared" si="10"/>
        <v>126</v>
      </c>
      <c r="Z156" s="320">
        <f t="shared" si="10"/>
        <v>1152</v>
      </c>
      <c r="AA156" s="321">
        <f t="shared" si="11"/>
        <v>171</v>
      </c>
      <c r="AB156" s="60">
        <f t="shared" si="11"/>
        <v>21</v>
      </c>
      <c r="AC156" s="322">
        <f t="shared" si="11"/>
        <v>192</v>
      </c>
      <c r="AD156" s="317" t="s">
        <v>18</v>
      </c>
    </row>
    <row r="157" spans="1:30" ht="15.75">
      <c r="A157" s="429">
        <v>151</v>
      </c>
      <c r="B157" s="353" t="s">
        <v>2571</v>
      </c>
      <c r="C157" s="323" t="s">
        <v>2545</v>
      </c>
      <c r="D157" s="316" t="s">
        <v>2572</v>
      </c>
      <c r="E157" s="317">
        <v>72</v>
      </c>
      <c r="F157" s="326">
        <v>140</v>
      </c>
      <c r="G157" s="327"/>
      <c r="H157" s="318">
        <f t="shared" si="0"/>
        <v>140</v>
      </c>
      <c r="I157" s="326">
        <v>134</v>
      </c>
      <c r="J157" s="327">
        <v>0</v>
      </c>
      <c r="K157" s="318">
        <f t="shared" si="1"/>
        <v>134</v>
      </c>
      <c r="L157" s="326">
        <v>137</v>
      </c>
      <c r="M157" s="327">
        <v>0</v>
      </c>
      <c r="N157" s="318">
        <f t="shared" si="2"/>
        <v>137</v>
      </c>
      <c r="O157" s="326">
        <v>151</v>
      </c>
      <c r="P157" s="327">
        <v>0</v>
      </c>
      <c r="Q157" s="318">
        <f t="shared" si="3"/>
        <v>151</v>
      </c>
      <c r="R157" s="326">
        <v>127</v>
      </c>
      <c r="S157" s="327">
        <v>0</v>
      </c>
      <c r="T157" s="318">
        <f t="shared" si="4"/>
        <v>127</v>
      </c>
      <c r="U157" s="326">
        <v>86</v>
      </c>
      <c r="V157" s="327">
        <v>0</v>
      </c>
      <c r="W157" s="318">
        <f t="shared" si="5"/>
        <v>86</v>
      </c>
      <c r="X157" s="319">
        <f t="shared" si="10"/>
        <v>775</v>
      </c>
      <c r="Y157" s="19">
        <f t="shared" si="10"/>
        <v>0</v>
      </c>
      <c r="Z157" s="320">
        <f t="shared" si="10"/>
        <v>775</v>
      </c>
      <c r="AA157" s="321">
        <f t="shared" si="11"/>
        <v>129.16666666666666</v>
      </c>
      <c r="AB157" s="60">
        <f t="shared" si="11"/>
        <v>0</v>
      </c>
      <c r="AC157" s="322">
        <f t="shared" si="11"/>
        <v>129.16666666666666</v>
      </c>
      <c r="AD157" s="317" t="s">
        <v>15</v>
      </c>
    </row>
    <row r="158" spans="1:30" ht="16.149999999999999" hidden="1" thickBot="1">
      <c r="A158" s="1014" t="s">
        <v>11</v>
      </c>
      <c r="B158" s="1015"/>
      <c r="C158" s="328"/>
      <c r="D158" s="328"/>
      <c r="E158" s="355">
        <f t="shared" ref="E158:G158" si="12">SUM(E7:E157)</f>
        <v>10037</v>
      </c>
      <c r="F158" s="356">
        <f t="shared" si="12"/>
        <v>7677</v>
      </c>
      <c r="G158" s="357">
        <f t="shared" si="12"/>
        <v>78</v>
      </c>
      <c r="H158" s="358">
        <f t="shared" si="0"/>
        <v>7755</v>
      </c>
      <c r="I158" s="356">
        <f t="shared" ref="I158:J158" si="13">SUM(I7:I157)</f>
        <v>9907</v>
      </c>
      <c r="J158" s="357">
        <f t="shared" si="13"/>
        <v>72</v>
      </c>
      <c r="K158" s="358">
        <f t="shared" si="1"/>
        <v>9979</v>
      </c>
      <c r="L158" s="359">
        <v>7145</v>
      </c>
      <c r="M158" s="357">
        <f>SUM(M7:M157)</f>
        <v>108</v>
      </c>
      <c r="N158" s="358">
        <f t="shared" si="2"/>
        <v>7253</v>
      </c>
      <c r="O158" s="356">
        <f t="shared" ref="O158:P158" si="14">SUM(O7:O157)</f>
        <v>5822</v>
      </c>
      <c r="P158" s="357">
        <f t="shared" si="14"/>
        <v>0</v>
      </c>
      <c r="Q158" s="358">
        <f t="shared" si="3"/>
        <v>5822</v>
      </c>
      <c r="R158" s="356">
        <f t="shared" ref="R158:S158" si="15">SUM(R7:R157)</f>
        <v>9549</v>
      </c>
      <c r="S158" s="357">
        <f t="shared" si="15"/>
        <v>414</v>
      </c>
      <c r="T158" s="358">
        <f t="shared" si="4"/>
        <v>9963</v>
      </c>
      <c r="U158" s="356">
        <f t="shared" ref="U158:V158" si="16">SUM(U7:U157)</f>
        <v>3732</v>
      </c>
      <c r="V158" s="357">
        <f t="shared" si="16"/>
        <v>119</v>
      </c>
      <c r="W158" s="358">
        <f t="shared" si="5"/>
        <v>3851</v>
      </c>
      <c r="X158" s="329">
        <f t="shared" si="10"/>
        <v>43832</v>
      </c>
      <c r="Y158" s="330">
        <f t="shared" si="10"/>
        <v>791</v>
      </c>
      <c r="Z158" s="331">
        <f t="shared" si="10"/>
        <v>44623</v>
      </c>
      <c r="AA158" s="332">
        <f t="shared" si="11"/>
        <v>7305.333333333333</v>
      </c>
      <c r="AB158" s="333">
        <f t="shared" si="11"/>
        <v>131.83333333333334</v>
      </c>
      <c r="AC158" s="334">
        <f t="shared" si="11"/>
        <v>7437.166666666667</v>
      </c>
      <c r="AD158" s="360"/>
    </row>
    <row r="159" spans="1:30" ht="14.65" thickBot="1">
      <c r="I159" s="335"/>
      <c r="J159" s="335"/>
      <c r="L159" s="335"/>
      <c r="M159" s="335"/>
      <c r="O159" s="335"/>
      <c r="P159" s="335"/>
      <c r="R159" s="335"/>
      <c r="S159" s="335"/>
      <c r="U159" s="335"/>
      <c r="V159" s="335"/>
    </row>
    <row r="160" spans="1:30" ht="15.75">
      <c r="A160" s="104"/>
      <c r="B160" s="202" t="s">
        <v>338</v>
      </c>
      <c r="C160" s="203"/>
      <c r="D160" s="204"/>
      <c r="E160" s="210">
        <v>6597</v>
      </c>
      <c r="F160" s="205">
        <v>3875</v>
      </c>
      <c r="G160" s="206">
        <v>72</v>
      </c>
      <c r="H160" s="206">
        <f>F160+G160</f>
        <v>3947</v>
      </c>
      <c r="I160" s="206">
        <v>4458</v>
      </c>
      <c r="J160" s="206">
        <v>72</v>
      </c>
      <c r="K160" s="206">
        <f>I160+J160</f>
        <v>4530</v>
      </c>
      <c r="L160" s="206">
        <v>5123</v>
      </c>
      <c r="M160" s="206">
        <v>108</v>
      </c>
      <c r="N160" s="206">
        <f>L160+M160</f>
        <v>5231</v>
      </c>
      <c r="O160" s="206">
        <v>2629</v>
      </c>
      <c r="P160" s="206">
        <v>0</v>
      </c>
      <c r="Q160" s="206">
        <f>O160+P160</f>
        <v>2629</v>
      </c>
      <c r="R160" s="206">
        <v>5465</v>
      </c>
      <c r="S160" s="206">
        <v>414</v>
      </c>
      <c r="T160" s="206">
        <f>R160+S160</f>
        <v>5879</v>
      </c>
      <c r="U160" s="206">
        <v>1947</v>
      </c>
      <c r="V160" s="206">
        <v>72</v>
      </c>
      <c r="W160" s="206">
        <f>U160+V160</f>
        <v>2019</v>
      </c>
      <c r="X160" s="206">
        <f>F160+I160+L160+O160+R160+U160</f>
        <v>23497</v>
      </c>
      <c r="Y160" s="206">
        <f>G160+J160+M160+P160+S160+V160</f>
        <v>738</v>
      </c>
      <c r="Z160" s="206">
        <f>X160+Y160</f>
        <v>24235</v>
      </c>
      <c r="AA160" s="207">
        <f t="shared" ref="AA160:AC161" si="17">X160/6</f>
        <v>3916.1666666666665</v>
      </c>
      <c r="AB160" s="207">
        <f t="shared" si="17"/>
        <v>123</v>
      </c>
      <c r="AC160" s="208">
        <f t="shared" si="17"/>
        <v>4039.1666666666665</v>
      </c>
    </row>
    <row r="161" spans="1:29">
      <c r="A161" s="78"/>
      <c r="B161" s="7" t="s">
        <v>339</v>
      </c>
      <c r="C161" s="6"/>
      <c r="D161" s="15"/>
      <c r="E161" s="212">
        <f>E158-E160</f>
        <v>3440</v>
      </c>
      <c r="F161" s="106">
        <f>F158-F160</f>
        <v>3802</v>
      </c>
      <c r="G161" s="102">
        <f>G158-G160</f>
        <v>6</v>
      </c>
      <c r="H161" s="102">
        <f t="shared" ref="H161:Z161" si="18">H158-H160</f>
        <v>3808</v>
      </c>
      <c r="I161" s="102">
        <f t="shared" si="18"/>
        <v>5449</v>
      </c>
      <c r="J161" s="102">
        <f t="shared" si="18"/>
        <v>0</v>
      </c>
      <c r="K161" s="102">
        <f t="shared" si="18"/>
        <v>5449</v>
      </c>
      <c r="L161" s="102">
        <f t="shared" si="18"/>
        <v>2022</v>
      </c>
      <c r="M161" s="102">
        <f t="shared" si="18"/>
        <v>0</v>
      </c>
      <c r="N161" s="102">
        <f t="shared" si="18"/>
        <v>2022</v>
      </c>
      <c r="O161" s="102">
        <f t="shared" si="18"/>
        <v>3193</v>
      </c>
      <c r="P161" s="102">
        <f t="shared" si="18"/>
        <v>0</v>
      </c>
      <c r="Q161" s="102">
        <f t="shared" si="18"/>
        <v>3193</v>
      </c>
      <c r="R161" s="102">
        <f t="shared" si="18"/>
        <v>4084</v>
      </c>
      <c r="S161" s="102">
        <f t="shared" si="18"/>
        <v>0</v>
      </c>
      <c r="T161" s="102">
        <f t="shared" si="18"/>
        <v>4084</v>
      </c>
      <c r="U161" s="102">
        <f t="shared" si="18"/>
        <v>1785</v>
      </c>
      <c r="V161" s="102">
        <f t="shared" si="18"/>
        <v>47</v>
      </c>
      <c r="W161" s="102">
        <f t="shared" si="18"/>
        <v>1832</v>
      </c>
      <c r="X161" s="102">
        <f t="shared" si="18"/>
        <v>20335</v>
      </c>
      <c r="Y161" s="102">
        <f t="shared" si="18"/>
        <v>53</v>
      </c>
      <c r="Z161" s="102">
        <f t="shared" si="18"/>
        <v>20388</v>
      </c>
      <c r="AA161" s="71">
        <f t="shared" si="17"/>
        <v>3389.1666666666665</v>
      </c>
      <c r="AB161" s="71">
        <f t="shared" si="17"/>
        <v>8.8333333333333339</v>
      </c>
      <c r="AC161" s="72">
        <f t="shared" si="17"/>
        <v>3398</v>
      </c>
    </row>
    <row r="162" spans="1:29">
      <c r="A162" s="78"/>
      <c r="B162" s="7" t="s">
        <v>340</v>
      </c>
      <c r="C162" s="6"/>
      <c r="D162" s="15"/>
      <c r="E162" s="86">
        <f>E161/E158%</f>
        <v>34.273189199960143</v>
      </c>
      <c r="F162" s="107">
        <f t="shared" ref="F162:AC162" si="19">F161/F158%</f>
        <v>49.524553862185755</v>
      </c>
      <c r="G162" s="96">
        <f t="shared" si="19"/>
        <v>7.6923076923076916</v>
      </c>
      <c r="H162" s="96">
        <f t="shared" si="19"/>
        <v>49.103803997421018</v>
      </c>
      <c r="I162" s="96">
        <f t="shared" si="19"/>
        <v>55.001514080952866</v>
      </c>
      <c r="J162" s="96">
        <f t="shared" si="19"/>
        <v>0</v>
      </c>
      <c r="K162" s="96">
        <f t="shared" si="19"/>
        <v>54.604669806593847</v>
      </c>
      <c r="L162" s="96">
        <f t="shared" si="19"/>
        <v>28.299510146955914</v>
      </c>
      <c r="M162" s="96">
        <f t="shared" si="19"/>
        <v>0</v>
      </c>
      <c r="N162" s="96">
        <f t="shared" si="19"/>
        <v>27.878119398869433</v>
      </c>
      <c r="O162" s="96">
        <f t="shared" si="19"/>
        <v>54.843696324287187</v>
      </c>
      <c r="P162" s="96" t="e">
        <f t="shared" si="19"/>
        <v>#DIV/0!</v>
      </c>
      <c r="Q162" s="96">
        <f t="shared" si="19"/>
        <v>54.843696324287187</v>
      </c>
      <c r="R162" s="96">
        <f t="shared" si="19"/>
        <v>42.768876322127973</v>
      </c>
      <c r="S162" s="96">
        <f t="shared" si="19"/>
        <v>0</v>
      </c>
      <c r="T162" s="96">
        <f t="shared" si="19"/>
        <v>40.991669175951017</v>
      </c>
      <c r="U162" s="96">
        <f t="shared" si="19"/>
        <v>47.829581993569128</v>
      </c>
      <c r="V162" s="96">
        <f t="shared" si="19"/>
        <v>39.495798319327733</v>
      </c>
      <c r="W162" s="96">
        <f t="shared" si="19"/>
        <v>47.572059205401196</v>
      </c>
      <c r="X162" s="96">
        <f t="shared" si="19"/>
        <v>46.393046176309547</v>
      </c>
      <c r="Y162" s="96">
        <f t="shared" si="19"/>
        <v>6.7003792667509483</v>
      </c>
      <c r="Z162" s="96">
        <f t="shared" si="19"/>
        <v>45.689442664096987</v>
      </c>
      <c r="AA162" s="96">
        <f t="shared" si="19"/>
        <v>46.393046176309547</v>
      </c>
      <c r="AB162" s="96">
        <f t="shared" si="19"/>
        <v>6.7003792667509483</v>
      </c>
      <c r="AC162" s="86">
        <f t="shared" si="19"/>
        <v>45.689442664096987</v>
      </c>
    </row>
    <row r="163" spans="1:29" ht="14.65" thickBot="1">
      <c r="A163" s="80"/>
      <c r="B163" s="81" t="s">
        <v>341</v>
      </c>
      <c r="C163" s="82"/>
      <c r="D163" s="85"/>
      <c r="E163" s="87">
        <f>E160/E158%</f>
        <v>65.726810800039843</v>
      </c>
      <c r="F163" s="108">
        <f t="shared" ref="F163:AC163" si="20">F160/F158%</f>
        <v>50.475446137814252</v>
      </c>
      <c r="G163" s="97">
        <f t="shared" si="20"/>
        <v>92.307692307692307</v>
      </c>
      <c r="H163" s="97">
        <f t="shared" si="20"/>
        <v>50.896196002578982</v>
      </c>
      <c r="I163" s="97">
        <f t="shared" si="20"/>
        <v>44.998485919047141</v>
      </c>
      <c r="J163" s="97">
        <f t="shared" si="20"/>
        <v>100</v>
      </c>
      <c r="K163" s="97">
        <f t="shared" si="20"/>
        <v>45.395330193406153</v>
      </c>
      <c r="L163" s="97">
        <f t="shared" si="20"/>
        <v>71.70048985304409</v>
      </c>
      <c r="M163" s="97">
        <f t="shared" si="20"/>
        <v>100</v>
      </c>
      <c r="N163" s="97">
        <f t="shared" si="20"/>
        <v>72.12188060113057</v>
      </c>
      <c r="O163" s="97">
        <f t="shared" si="20"/>
        <v>45.156303675712813</v>
      </c>
      <c r="P163" s="97" t="e">
        <f t="shared" si="20"/>
        <v>#DIV/0!</v>
      </c>
      <c r="Q163" s="97">
        <f t="shared" si="20"/>
        <v>45.156303675712813</v>
      </c>
      <c r="R163" s="97">
        <f t="shared" si="20"/>
        <v>57.231123677872034</v>
      </c>
      <c r="S163" s="97">
        <f t="shared" si="20"/>
        <v>100.00000000000001</v>
      </c>
      <c r="T163" s="97">
        <f t="shared" si="20"/>
        <v>59.008330824048983</v>
      </c>
      <c r="U163" s="97">
        <f t="shared" si="20"/>
        <v>52.170418006430864</v>
      </c>
      <c r="V163" s="97">
        <f t="shared" si="20"/>
        <v>60.504201680672274</v>
      </c>
      <c r="W163" s="97">
        <f t="shared" si="20"/>
        <v>52.427940794598811</v>
      </c>
      <c r="X163" s="97">
        <f t="shared" si="20"/>
        <v>53.606953823690453</v>
      </c>
      <c r="Y163" s="97">
        <f t="shared" si="20"/>
        <v>93.299620733249057</v>
      </c>
      <c r="Z163" s="97">
        <f t="shared" si="20"/>
        <v>54.310557335903006</v>
      </c>
      <c r="AA163" s="97">
        <f t="shared" si="20"/>
        <v>53.606953823690453</v>
      </c>
      <c r="AB163" s="97">
        <f t="shared" si="20"/>
        <v>93.299620733249057</v>
      </c>
      <c r="AC163" s="87">
        <f t="shared" si="20"/>
        <v>54.310557335903006</v>
      </c>
    </row>
  </sheetData>
  <autoFilter ref="A5:AD158">
    <filterColumn colId="5" showButton="0"/>
    <filterColumn colId="6" showButton="0"/>
    <filterColumn colId="8" showButton="0"/>
    <filterColumn colId="9" showButton="0"/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20" showButton="0"/>
    <filterColumn colId="21" showButton="0"/>
    <filterColumn colId="23" showButton="0"/>
    <filterColumn colId="24" showButton="0"/>
    <filterColumn colId="26" showButton="0">
      <filters>
        <filter val="100"/>
        <filter val="110"/>
        <filter val="116"/>
        <filter val="122"/>
        <filter val="1289"/>
        <filter val="129"/>
        <filter val="159"/>
        <filter val="170"/>
        <filter val="171"/>
        <filter val="204"/>
        <filter val="225"/>
        <filter val="324"/>
        <filter val="332"/>
        <filter val="334"/>
        <filter val="437"/>
        <filter val="56"/>
        <filter val="58"/>
        <filter val="64"/>
        <filter val="65"/>
        <filter val="67"/>
        <filter val="72"/>
        <filter val="73"/>
        <filter val="77"/>
        <filter val="78"/>
        <filter val="79"/>
        <filter val="80"/>
        <filter val="81"/>
        <filter val="94"/>
        <filter val="98"/>
      </filters>
    </filterColumn>
    <filterColumn colId="27" showButton="0"/>
  </autoFilter>
  <mergeCells count="12">
    <mergeCell ref="I5:K5"/>
    <mergeCell ref="L5:N5"/>
    <mergeCell ref="A158:B158"/>
    <mergeCell ref="A1:E1"/>
    <mergeCell ref="B2:C2"/>
    <mergeCell ref="B4:C4"/>
    <mergeCell ref="F5:H5"/>
    <mergeCell ref="O5:Q5"/>
    <mergeCell ref="R5:T5"/>
    <mergeCell ref="U5:W5"/>
    <mergeCell ref="X5:Z5"/>
    <mergeCell ref="AA5:AC5"/>
  </mergeCells>
  <pageMargins left="0.7" right="0.2" top="0.5" bottom="0.5" header="0" footer="0"/>
  <pageSetup paperSize="9" scale="35" fitToHeight="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E112"/>
  <sheetViews>
    <sheetView workbookViewId="0">
      <pane xSplit="6" ySplit="7" topLeftCell="V98" activePane="bottomRight" state="frozen"/>
      <selection pane="topRight" activeCell="G1" sqref="G1"/>
      <selection pane="bottomLeft" activeCell="A8" sqref="A8"/>
      <selection pane="bottomRight" activeCell="V108" sqref="V108"/>
    </sheetView>
  </sheetViews>
  <sheetFormatPr defaultRowHeight="14.25"/>
  <cols>
    <col min="2" max="2" width="30.86328125" bestFit="1" customWidth="1"/>
    <col min="3" max="3" width="23.59765625" bestFit="1" customWidth="1"/>
    <col min="4" max="4" width="12.59765625" bestFit="1" customWidth="1"/>
    <col min="6" max="6" width="0" hidden="1" customWidth="1"/>
    <col min="19" max="24" width="9.1328125" style="361"/>
  </cols>
  <sheetData>
    <row r="1" spans="1:31" ht="25.5">
      <c r="A1" s="973" t="s">
        <v>2573</v>
      </c>
      <c r="B1" s="974"/>
      <c r="C1" s="974"/>
      <c r="D1" s="974"/>
      <c r="E1" s="974"/>
      <c r="F1" s="974"/>
      <c r="G1" s="974"/>
      <c r="H1" s="974"/>
      <c r="I1" s="974"/>
      <c r="J1" s="974"/>
      <c r="K1" s="974"/>
      <c r="L1" s="974"/>
      <c r="M1" s="974"/>
      <c r="N1" s="974"/>
      <c r="O1" s="974"/>
      <c r="P1" s="974"/>
      <c r="Q1" s="974"/>
      <c r="R1" s="974"/>
      <c r="S1" s="974"/>
      <c r="T1" s="974"/>
      <c r="U1" s="974"/>
      <c r="V1" s="974"/>
      <c r="W1" s="974"/>
      <c r="X1" s="974"/>
    </row>
    <row r="3" spans="1:31">
      <c r="A3" t="s">
        <v>2574</v>
      </c>
    </row>
    <row r="5" spans="1:31" ht="14.65" thickBot="1">
      <c r="A5" t="s">
        <v>2575</v>
      </c>
    </row>
    <row r="6" spans="1:31" ht="24.75" customHeight="1" thickBot="1">
      <c r="A6" s="362"/>
      <c r="B6" s="363"/>
      <c r="C6" s="364"/>
      <c r="D6" s="364"/>
      <c r="E6" s="1019" t="s">
        <v>2576</v>
      </c>
      <c r="F6" s="1021" t="s">
        <v>1974</v>
      </c>
      <c r="G6" s="1023" t="s">
        <v>1077</v>
      </c>
      <c r="H6" s="1024"/>
      <c r="I6" s="1025"/>
      <c r="J6" s="1023" t="s">
        <v>1632</v>
      </c>
      <c r="K6" s="1024"/>
      <c r="L6" s="1025"/>
      <c r="M6" s="1023" t="s">
        <v>1959</v>
      </c>
      <c r="N6" s="1024"/>
      <c r="O6" s="1025"/>
      <c r="P6" s="1023" t="s">
        <v>1960</v>
      </c>
      <c r="Q6" s="1024"/>
      <c r="R6" s="1025"/>
      <c r="S6" s="1023" t="s">
        <v>1635</v>
      </c>
      <c r="T6" s="1024"/>
      <c r="U6" s="1025"/>
      <c r="V6" s="1023" t="s">
        <v>1636</v>
      </c>
      <c r="W6" s="1024"/>
      <c r="X6" s="1025"/>
      <c r="Y6" s="1003" t="s">
        <v>901</v>
      </c>
      <c r="Z6" s="1004"/>
      <c r="AA6" s="1005"/>
      <c r="AB6" s="1003" t="s">
        <v>902</v>
      </c>
      <c r="AC6" s="1004"/>
      <c r="AD6" s="1005"/>
      <c r="AE6" s="1018" t="s">
        <v>1974</v>
      </c>
    </row>
    <row r="7" spans="1:31" ht="14.65" thickBot="1">
      <c r="A7" s="362" t="s">
        <v>5</v>
      </c>
      <c r="B7" s="365" t="s">
        <v>6</v>
      </c>
      <c r="C7" s="366" t="s">
        <v>7</v>
      </c>
      <c r="D7" s="367" t="s">
        <v>8</v>
      </c>
      <c r="E7" s="1020"/>
      <c r="F7" s="1022"/>
      <c r="G7" s="368" t="s">
        <v>9</v>
      </c>
      <c r="H7" s="363" t="s">
        <v>10</v>
      </c>
      <c r="I7" s="369" t="s">
        <v>11</v>
      </c>
      <c r="J7" s="368" t="s">
        <v>9</v>
      </c>
      <c r="K7" s="363" t="s">
        <v>10</v>
      </c>
      <c r="L7" s="369" t="s">
        <v>11</v>
      </c>
      <c r="M7" s="368" t="s">
        <v>9</v>
      </c>
      <c r="N7" s="363" t="s">
        <v>10</v>
      </c>
      <c r="O7" s="369" t="s">
        <v>11</v>
      </c>
      <c r="P7" s="368" t="s">
        <v>9</v>
      </c>
      <c r="Q7" s="363" t="s">
        <v>10</v>
      </c>
      <c r="R7" s="369" t="s">
        <v>11</v>
      </c>
      <c r="S7" s="368" t="s">
        <v>9</v>
      </c>
      <c r="T7" s="363" t="s">
        <v>10</v>
      </c>
      <c r="U7" s="369" t="s">
        <v>11</v>
      </c>
      <c r="V7" s="368" t="s">
        <v>9</v>
      </c>
      <c r="W7" s="363" t="s">
        <v>10</v>
      </c>
      <c r="X7" s="369" t="s">
        <v>11</v>
      </c>
      <c r="Y7" s="285" t="s">
        <v>9</v>
      </c>
      <c r="Z7" s="286" t="s">
        <v>10</v>
      </c>
      <c r="AA7" s="287" t="s">
        <v>11</v>
      </c>
      <c r="AB7" s="285" t="s">
        <v>9</v>
      </c>
      <c r="AC7" s="286" t="s">
        <v>10</v>
      </c>
      <c r="AD7" s="287" t="s">
        <v>11</v>
      </c>
      <c r="AE7" s="1018"/>
    </row>
    <row r="8" spans="1:31" s="361" customFormat="1" ht="18">
      <c r="A8" s="370">
        <v>1</v>
      </c>
      <c r="B8" s="371" t="s">
        <v>2577</v>
      </c>
      <c r="C8" s="372" t="s">
        <v>2578</v>
      </c>
      <c r="D8" s="372" t="s">
        <v>2579</v>
      </c>
      <c r="E8" s="373">
        <v>116</v>
      </c>
      <c r="F8" s="374" t="s">
        <v>352</v>
      </c>
      <c r="G8" s="375"/>
      <c r="H8" s="376"/>
      <c r="I8" s="377">
        <f>G8+H8</f>
        <v>0</v>
      </c>
      <c r="J8" s="375">
        <v>152</v>
      </c>
      <c r="K8" s="376">
        <v>154</v>
      </c>
      <c r="L8" s="377">
        <f t="shared" ref="L8:L88" si="0">J8+K8</f>
        <v>306</v>
      </c>
      <c r="M8" s="375">
        <v>0</v>
      </c>
      <c r="N8" s="376">
        <v>187</v>
      </c>
      <c r="O8" s="377">
        <f t="shared" ref="O8:O88" si="1">M8+N8</f>
        <v>187</v>
      </c>
      <c r="P8" s="375">
        <v>52</v>
      </c>
      <c r="Q8" s="376">
        <v>38</v>
      </c>
      <c r="R8" s="377">
        <f t="shared" ref="R8:R71" si="2">P8+Q8</f>
        <v>90</v>
      </c>
      <c r="S8" s="375">
        <v>190</v>
      </c>
      <c r="T8" s="376">
        <v>112</v>
      </c>
      <c r="U8" s="377">
        <f>S8+T8</f>
        <v>302</v>
      </c>
      <c r="V8" s="375">
        <v>96</v>
      </c>
      <c r="W8" s="376">
        <v>138</v>
      </c>
      <c r="X8" s="377">
        <f t="shared" ref="X8:X71" si="3">V8+W8</f>
        <v>234</v>
      </c>
      <c r="Y8" s="295">
        <f>G8+J8+M8+P8+S8+V8</f>
        <v>490</v>
      </c>
      <c r="Z8" s="296">
        <f>H8+K8+N8+Q8+T8+W8</f>
        <v>629</v>
      </c>
      <c r="AA8" s="297">
        <f>I8+L8+O8+R8+U8+X8</f>
        <v>1119</v>
      </c>
      <c r="AB8" s="298">
        <f>Y8/6</f>
        <v>81.666666666666671</v>
      </c>
      <c r="AC8" s="299">
        <f>Z8/6</f>
        <v>104.83333333333333</v>
      </c>
      <c r="AD8" s="300">
        <f>AA8/6</f>
        <v>186.5</v>
      </c>
      <c r="AE8" s="378" t="s">
        <v>352</v>
      </c>
    </row>
    <row r="9" spans="1:31" s="361" customFormat="1" ht="18">
      <c r="A9" s="180">
        <v>2</v>
      </c>
      <c r="B9" s="20" t="s">
        <v>2580</v>
      </c>
      <c r="C9" s="379" t="s">
        <v>2578</v>
      </c>
      <c r="D9" s="379" t="s">
        <v>2581</v>
      </c>
      <c r="E9" s="380">
        <v>0</v>
      </c>
      <c r="F9" s="381" t="s">
        <v>348</v>
      </c>
      <c r="G9" s="382"/>
      <c r="H9" s="103"/>
      <c r="I9" s="377">
        <f t="shared" ref="I9:I72" si="4">G9+H9</f>
        <v>0</v>
      </c>
      <c r="J9" s="382"/>
      <c r="K9" s="103"/>
      <c r="L9" s="377">
        <f t="shared" si="0"/>
        <v>0</v>
      </c>
      <c r="M9" s="382"/>
      <c r="N9" s="103"/>
      <c r="O9" s="377">
        <f t="shared" si="1"/>
        <v>0</v>
      </c>
      <c r="P9" s="375"/>
      <c r="Q9" s="376"/>
      <c r="R9" s="377">
        <f t="shared" si="2"/>
        <v>0</v>
      </c>
      <c r="S9" s="375"/>
      <c r="T9" s="376"/>
      <c r="U9" s="377">
        <f t="shared" ref="U9:U72" si="5">S9+T9</f>
        <v>0</v>
      </c>
      <c r="V9" s="375"/>
      <c r="W9" s="376"/>
      <c r="X9" s="377">
        <f t="shared" si="3"/>
        <v>0</v>
      </c>
      <c r="Y9" s="295">
        <f t="shared" ref="Y9:AA72" si="6">G9+J9+M9+P9+S9+V9</f>
        <v>0</v>
      </c>
      <c r="Z9" s="296">
        <f t="shared" si="6"/>
        <v>0</v>
      </c>
      <c r="AA9" s="297">
        <f t="shared" si="6"/>
        <v>0</v>
      </c>
      <c r="AB9" s="298">
        <f t="shared" ref="AB9:AD72" si="7">Y9/6</f>
        <v>0</v>
      </c>
      <c r="AC9" s="299">
        <f t="shared" si="7"/>
        <v>0</v>
      </c>
      <c r="AD9" s="300">
        <f t="shared" si="7"/>
        <v>0</v>
      </c>
      <c r="AE9" s="378" t="s">
        <v>348</v>
      </c>
    </row>
    <row r="10" spans="1:31" s="361" customFormat="1" ht="18">
      <c r="A10" s="180">
        <v>3</v>
      </c>
      <c r="B10" s="20" t="s">
        <v>2582</v>
      </c>
      <c r="C10" s="379" t="s">
        <v>2578</v>
      </c>
      <c r="D10" s="379" t="s">
        <v>2583</v>
      </c>
      <c r="E10" s="380">
        <v>0</v>
      </c>
      <c r="F10" s="381" t="s">
        <v>352</v>
      </c>
      <c r="G10" s="382"/>
      <c r="H10" s="103"/>
      <c r="I10" s="377">
        <f t="shared" si="4"/>
        <v>0</v>
      </c>
      <c r="J10" s="382"/>
      <c r="K10" s="103"/>
      <c r="L10" s="377">
        <f t="shared" si="0"/>
        <v>0</v>
      </c>
      <c r="M10" s="382"/>
      <c r="N10" s="103"/>
      <c r="O10" s="377">
        <f t="shared" si="1"/>
        <v>0</v>
      </c>
      <c r="P10" s="375"/>
      <c r="Q10" s="376"/>
      <c r="R10" s="377">
        <f t="shared" si="2"/>
        <v>0</v>
      </c>
      <c r="S10" s="375"/>
      <c r="T10" s="376"/>
      <c r="U10" s="377">
        <f t="shared" si="5"/>
        <v>0</v>
      </c>
      <c r="V10" s="375"/>
      <c r="W10" s="376"/>
      <c r="X10" s="377">
        <f t="shared" si="3"/>
        <v>0</v>
      </c>
      <c r="Y10" s="295">
        <f t="shared" si="6"/>
        <v>0</v>
      </c>
      <c r="Z10" s="296">
        <f t="shared" si="6"/>
        <v>0</v>
      </c>
      <c r="AA10" s="297">
        <f t="shared" si="6"/>
        <v>0</v>
      </c>
      <c r="AB10" s="298">
        <f t="shared" si="7"/>
        <v>0</v>
      </c>
      <c r="AC10" s="299">
        <f t="shared" si="7"/>
        <v>0</v>
      </c>
      <c r="AD10" s="300">
        <f t="shared" si="7"/>
        <v>0</v>
      </c>
      <c r="AE10" s="378" t="s">
        <v>352</v>
      </c>
    </row>
    <row r="11" spans="1:31" s="361" customFormat="1" ht="18">
      <c r="A11" s="180">
        <v>4</v>
      </c>
      <c r="B11" s="20" t="s">
        <v>2584</v>
      </c>
      <c r="C11" s="379" t="s">
        <v>2578</v>
      </c>
      <c r="D11" s="379" t="s">
        <v>2585</v>
      </c>
      <c r="E11" s="380">
        <v>0</v>
      </c>
      <c r="F11" s="381" t="s">
        <v>352</v>
      </c>
      <c r="G11" s="382"/>
      <c r="H11" s="103"/>
      <c r="I11" s="377">
        <f t="shared" si="4"/>
        <v>0</v>
      </c>
      <c r="J11" s="382">
        <v>100</v>
      </c>
      <c r="K11" s="103"/>
      <c r="L11" s="377">
        <f t="shared" si="0"/>
        <v>100</v>
      </c>
      <c r="M11" s="382"/>
      <c r="N11" s="103"/>
      <c r="O11" s="377">
        <f t="shared" si="1"/>
        <v>0</v>
      </c>
      <c r="P11" s="375"/>
      <c r="Q11" s="376"/>
      <c r="R11" s="377">
        <f t="shared" si="2"/>
        <v>0</v>
      </c>
      <c r="S11" s="375">
        <v>30</v>
      </c>
      <c r="T11" s="376"/>
      <c r="U11" s="377">
        <f t="shared" si="5"/>
        <v>30</v>
      </c>
      <c r="V11" s="375">
        <v>25</v>
      </c>
      <c r="W11" s="376"/>
      <c r="X11" s="377">
        <f t="shared" si="3"/>
        <v>25</v>
      </c>
      <c r="Y11" s="295">
        <f t="shared" si="6"/>
        <v>155</v>
      </c>
      <c r="Z11" s="296">
        <f t="shared" si="6"/>
        <v>0</v>
      </c>
      <c r="AA11" s="297">
        <f t="shared" si="6"/>
        <v>155</v>
      </c>
      <c r="AB11" s="298">
        <f t="shared" si="7"/>
        <v>25.833333333333332</v>
      </c>
      <c r="AC11" s="299">
        <f t="shared" si="7"/>
        <v>0</v>
      </c>
      <c r="AD11" s="300">
        <f t="shared" si="7"/>
        <v>25.833333333333332</v>
      </c>
      <c r="AE11" s="378" t="s">
        <v>352</v>
      </c>
    </row>
    <row r="12" spans="1:31" s="361" customFormat="1" ht="18">
      <c r="A12" s="180">
        <v>5</v>
      </c>
      <c r="B12" s="20" t="s">
        <v>2586</v>
      </c>
      <c r="C12" s="379" t="s">
        <v>2587</v>
      </c>
      <c r="D12" s="379" t="s">
        <v>2588</v>
      </c>
      <c r="E12" s="380">
        <v>0</v>
      </c>
      <c r="F12" s="381" t="s">
        <v>2589</v>
      </c>
      <c r="G12" s="382">
        <v>49</v>
      </c>
      <c r="H12" s="103"/>
      <c r="I12" s="377">
        <f t="shared" si="4"/>
        <v>49</v>
      </c>
      <c r="J12" s="382"/>
      <c r="K12" s="103"/>
      <c r="L12" s="377">
        <f t="shared" si="0"/>
        <v>0</v>
      </c>
      <c r="M12" s="382"/>
      <c r="N12" s="103"/>
      <c r="O12" s="377">
        <f t="shared" si="1"/>
        <v>0</v>
      </c>
      <c r="P12" s="375"/>
      <c r="Q12" s="376"/>
      <c r="R12" s="377">
        <f t="shared" si="2"/>
        <v>0</v>
      </c>
      <c r="S12" s="375">
        <v>0</v>
      </c>
      <c r="T12" s="376"/>
      <c r="U12" s="377">
        <f t="shared" si="5"/>
        <v>0</v>
      </c>
      <c r="V12" s="375">
        <v>25</v>
      </c>
      <c r="W12" s="376"/>
      <c r="X12" s="377">
        <f t="shared" si="3"/>
        <v>25</v>
      </c>
      <c r="Y12" s="295">
        <f t="shared" si="6"/>
        <v>74</v>
      </c>
      <c r="Z12" s="296">
        <f t="shared" si="6"/>
        <v>0</v>
      </c>
      <c r="AA12" s="297">
        <f t="shared" si="6"/>
        <v>74</v>
      </c>
      <c r="AB12" s="298">
        <f t="shared" si="7"/>
        <v>12.333333333333334</v>
      </c>
      <c r="AC12" s="299">
        <f t="shared" si="7"/>
        <v>0</v>
      </c>
      <c r="AD12" s="300">
        <f t="shared" si="7"/>
        <v>12.333333333333334</v>
      </c>
      <c r="AE12" s="378" t="s">
        <v>2589</v>
      </c>
    </row>
    <row r="13" spans="1:31" s="361" customFormat="1" ht="18">
      <c r="A13" s="180">
        <v>6</v>
      </c>
      <c r="B13" s="20" t="s">
        <v>2590</v>
      </c>
      <c r="C13" s="379" t="s">
        <v>2587</v>
      </c>
      <c r="D13" s="379" t="s">
        <v>2591</v>
      </c>
      <c r="E13" s="380">
        <v>0</v>
      </c>
      <c r="F13" s="381" t="s">
        <v>2589</v>
      </c>
      <c r="G13" s="382"/>
      <c r="H13" s="103"/>
      <c r="I13" s="377">
        <f t="shared" si="4"/>
        <v>0</v>
      </c>
      <c r="J13" s="382">
        <v>50</v>
      </c>
      <c r="K13" s="103"/>
      <c r="L13" s="377">
        <f t="shared" si="0"/>
        <v>50</v>
      </c>
      <c r="M13" s="382"/>
      <c r="N13" s="103"/>
      <c r="O13" s="377">
        <f t="shared" si="1"/>
        <v>0</v>
      </c>
      <c r="P13" s="375"/>
      <c r="Q13" s="376"/>
      <c r="R13" s="377">
        <f t="shared" si="2"/>
        <v>0</v>
      </c>
      <c r="S13" s="375">
        <v>0</v>
      </c>
      <c r="T13" s="376"/>
      <c r="U13" s="377">
        <f t="shared" si="5"/>
        <v>0</v>
      </c>
      <c r="V13" s="375"/>
      <c r="W13" s="376"/>
      <c r="X13" s="377">
        <f t="shared" si="3"/>
        <v>0</v>
      </c>
      <c r="Y13" s="295">
        <f t="shared" si="6"/>
        <v>50</v>
      </c>
      <c r="Z13" s="296">
        <f t="shared" si="6"/>
        <v>0</v>
      </c>
      <c r="AA13" s="297">
        <f t="shared" si="6"/>
        <v>50</v>
      </c>
      <c r="AB13" s="298">
        <f t="shared" si="7"/>
        <v>8.3333333333333339</v>
      </c>
      <c r="AC13" s="299">
        <f t="shared" si="7"/>
        <v>0</v>
      </c>
      <c r="AD13" s="300">
        <f t="shared" si="7"/>
        <v>8.3333333333333339</v>
      </c>
      <c r="AE13" s="378" t="s">
        <v>2589</v>
      </c>
    </row>
    <row r="14" spans="1:31" s="361" customFormat="1" ht="15.75">
      <c r="A14" s="180">
        <v>7</v>
      </c>
      <c r="B14" s="177" t="s">
        <v>2592</v>
      </c>
      <c r="C14" s="379" t="s">
        <v>2587</v>
      </c>
      <c r="D14" s="379"/>
      <c r="E14" s="380">
        <v>0</v>
      </c>
      <c r="F14" s="381" t="s">
        <v>352</v>
      </c>
      <c r="G14" s="382"/>
      <c r="H14" s="103"/>
      <c r="I14" s="377"/>
      <c r="J14" s="382"/>
      <c r="K14" s="103"/>
      <c r="L14" s="377"/>
      <c r="M14" s="382"/>
      <c r="N14" s="103"/>
      <c r="O14" s="377"/>
      <c r="P14" s="375"/>
      <c r="Q14" s="376"/>
      <c r="R14" s="377"/>
      <c r="S14" s="375"/>
      <c r="T14" s="376"/>
      <c r="U14" s="377"/>
      <c r="V14" s="375">
        <v>60</v>
      </c>
      <c r="W14" s="376">
        <v>0</v>
      </c>
      <c r="X14" s="377">
        <f t="shared" si="3"/>
        <v>60</v>
      </c>
      <c r="Y14" s="295">
        <f t="shared" si="6"/>
        <v>60</v>
      </c>
      <c r="Z14" s="296">
        <f t="shared" si="6"/>
        <v>0</v>
      </c>
      <c r="AA14" s="297">
        <f t="shared" si="6"/>
        <v>60</v>
      </c>
      <c r="AB14" s="298">
        <f t="shared" si="7"/>
        <v>10</v>
      </c>
      <c r="AC14" s="299">
        <f t="shared" si="7"/>
        <v>0</v>
      </c>
      <c r="AD14" s="300">
        <f t="shared" si="7"/>
        <v>10</v>
      </c>
      <c r="AE14" s="378" t="s">
        <v>352</v>
      </c>
    </row>
    <row r="15" spans="1:31" s="361" customFormat="1" ht="18">
      <c r="A15" s="180">
        <v>8</v>
      </c>
      <c r="B15" s="20" t="s">
        <v>2593</v>
      </c>
      <c r="C15" s="379" t="s">
        <v>2578</v>
      </c>
      <c r="D15" s="379" t="s">
        <v>2594</v>
      </c>
      <c r="E15" s="380">
        <v>0</v>
      </c>
      <c r="F15" s="381" t="s">
        <v>348</v>
      </c>
      <c r="G15" s="382"/>
      <c r="H15" s="103"/>
      <c r="I15" s="377">
        <f t="shared" si="4"/>
        <v>0</v>
      </c>
      <c r="J15" s="382">
        <f>92+80</f>
        <v>172</v>
      </c>
      <c r="K15" s="103">
        <v>86</v>
      </c>
      <c r="L15" s="377">
        <f t="shared" si="0"/>
        <v>258</v>
      </c>
      <c r="M15" s="382"/>
      <c r="N15" s="103"/>
      <c r="O15" s="377">
        <f t="shared" si="1"/>
        <v>0</v>
      </c>
      <c r="P15" s="375"/>
      <c r="Q15" s="376"/>
      <c r="R15" s="377">
        <f t="shared" si="2"/>
        <v>0</v>
      </c>
      <c r="S15" s="375">
        <v>20</v>
      </c>
      <c r="T15" s="376"/>
      <c r="U15" s="377">
        <f t="shared" si="5"/>
        <v>20</v>
      </c>
      <c r="V15" s="375">
        <v>48</v>
      </c>
      <c r="W15" s="376">
        <v>0</v>
      </c>
      <c r="X15" s="377">
        <f t="shared" si="3"/>
        <v>48</v>
      </c>
      <c r="Y15" s="295">
        <f t="shared" si="6"/>
        <v>240</v>
      </c>
      <c r="Z15" s="296">
        <f t="shared" si="6"/>
        <v>86</v>
      </c>
      <c r="AA15" s="297">
        <f t="shared" si="6"/>
        <v>326</v>
      </c>
      <c r="AB15" s="298">
        <f t="shared" si="7"/>
        <v>40</v>
      </c>
      <c r="AC15" s="299">
        <f t="shared" si="7"/>
        <v>14.333333333333334</v>
      </c>
      <c r="AD15" s="300">
        <f t="shared" si="7"/>
        <v>54.333333333333336</v>
      </c>
      <c r="AE15" s="378" t="s">
        <v>348</v>
      </c>
    </row>
    <row r="16" spans="1:31" s="361" customFormat="1" ht="18">
      <c r="A16" s="180">
        <v>9</v>
      </c>
      <c r="B16" s="383" t="s">
        <v>2595</v>
      </c>
      <c r="C16" s="111" t="s">
        <v>2578</v>
      </c>
      <c r="D16" s="111" t="s">
        <v>2596</v>
      </c>
      <c r="E16" s="60">
        <v>650</v>
      </c>
      <c r="F16" s="384" t="s">
        <v>348</v>
      </c>
      <c r="G16" s="319">
        <v>941</v>
      </c>
      <c r="H16" s="100">
        <v>476.5</v>
      </c>
      <c r="I16" s="385">
        <f t="shared" si="4"/>
        <v>1417.5</v>
      </c>
      <c r="J16" s="319">
        <v>900</v>
      </c>
      <c r="K16" s="100">
        <v>650</v>
      </c>
      <c r="L16" s="385">
        <f t="shared" si="0"/>
        <v>1550</v>
      </c>
      <c r="M16" s="319">
        <v>1808</v>
      </c>
      <c r="N16" s="100">
        <v>198</v>
      </c>
      <c r="O16" s="385">
        <f t="shared" si="1"/>
        <v>2006</v>
      </c>
      <c r="P16" s="386">
        <v>526</v>
      </c>
      <c r="Q16" s="387">
        <v>556</v>
      </c>
      <c r="R16" s="385">
        <f t="shared" si="2"/>
        <v>1082</v>
      </c>
      <c r="S16" s="386">
        <v>2280</v>
      </c>
      <c r="T16" s="387">
        <v>504</v>
      </c>
      <c r="U16" s="385">
        <f t="shared" si="5"/>
        <v>2784</v>
      </c>
      <c r="V16" s="386">
        <v>800</v>
      </c>
      <c r="W16" s="387">
        <v>0</v>
      </c>
      <c r="X16" s="385">
        <f t="shared" si="3"/>
        <v>800</v>
      </c>
      <c r="Y16" s="386">
        <f t="shared" si="6"/>
        <v>7255</v>
      </c>
      <c r="Z16" s="388">
        <f t="shared" si="6"/>
        <v>2384.5</v>
      </c>
      <c r="AA16" s="389">
        <f t="shared" si="6"/>
        <v>9639.5</v>
      </c>
      <c r="AB16" s="390">
        <f t="shared" si="7"/>
        <v>1209.1666666666667</v>
      </c>
      <c r="AC16" s="391">
        <f t="shared" si="7"/>
        <v>397.41666666666669</v>
      </c>
      <c r="AD16" s="392">
        <f t="shared" si="7"/>
        <v>1606.5833333333333</v>
      </c>
      <c r="AE16" s="393" t="s">
        <v>348</v>
      </c>
    </row>
    <row r="17" spans="1:31" s="361" customFormat="1" ht="18">
      <c r="A17" s="180">
        <v>10</v>
      </c>
      <c r="B17" s="383" t="s">
        <v>2597</v>
      </c>
      <c r="C17" s="111" t="s">
        <v>2578</v>
      </c>
      <c r="D17" s="111" t="s">
        <v>2598</v>
      </c>
      <c r="E17" s="60">
        <v>320</v>
      </c>
      <c r="F17" s="384" t="s">
        <v>352</v>
      </c>
      <c r="G17" s="319">
        <v>200</v>
      </c>
      <c r="H17" s="100">
        <v>136</v>
      </c>
      <c r="I17" s="385">
        <f t="shared" si="4"/>
        <v>336</v>
      </c>
      <c r="J17" s="319">
        <v>386</v>
      </c>
      <c r="K17" s="100">
        <v>204</v>
      </c>
      <c r="L17" s="385">
        <f t="shared" si="0"/>
        <v>590</v>
      </c>
      <c r="M17" s="319">
        <v>0</v>
      </c>
      <c r="N17" s="100">
        <v>0</v>
      </c>
      <c r="O17" s="385">
        <f t="shared" si="1"/>
        <v>0</v>
      </c>
      <c r="P17" s="386">
        <v>380</v>
      </c>
      <c r="Q17" s="387"/>
      <c r="R17" s="385">
        <f t="shared" si="2"/>
        <v>380</v>
      </c>
      <c r="S17" s="386">
        <v>300</v>
      </c>
      <c r="T17" s="387"/>
      <c r="U17" s="385">
        <f t="shared" si="5"/>
        <v>300</v>
      </c>
      <c r="V17" s="386">
        <v>410</v>
      </c>
      <c r="W17" s="387">
        <v>154</v>
      </c>
      <c r="X17" s="385">
        <f t="shared" si="3"/>
        <v>564</v>
      </c>
      <c r="Y17" s="386">
        <f t="shared" si="6"/>
        <v>1676</v>
      </c>
      <c r="Z17" s="388">
        <f t="shared" si="6"/>
        <v>494</v>
      </c>
      <c r="AA17" s="389">
        <f t="shared" si="6"/>
        <v>2170</v>
      </c>
      <c r="AB17" s="390">
        <f t="shared" si="7"/>
        <v>279.33333333333331</v>
      </c>
      <c r="AC17" s="391">
        <f t="shared" si="7"/>
        <v>82.333333333333329</v>
      </c>
      <c r="AD17" s="392">
        <f t="shared" si="7"/>
        <v>361.66666666666669</v>
      </c>
      <c r="AE17" s="393" t="s">
        <v>352</v>
      </c>
    </row>
    <row r="18" spans="1:31" s="361" customFormat="1" ht="18">
      <c r="A18" s="180">
        <v>11</v>
      </c>
      <c r="B18" s="20" t="s">
        <v>2599</v>
      </c>
      <c r="C18" s="379" t="s">
        <v>2600</v>
      </c>
      <c r="D18" s="379" t="s">
        <v>2601</v>
      </c>
      <c r="E18" s="380">
        <v>19</v>
      </c>
      <c r="F18" s="381" t="s">
        <v>352</v>
      </c>
      <c r="G18" s="382">
        <v>110</v>
      </c>
      <c r="H18" s="103">
        <v>3</v>
      </c>
      <c r="I18" s="377">
        <f t="shared" si="4"/>
        <v>113</v>
      </c>
      <c r="J18" s="382">
        <v>106</v>
      </c>
      <c r="K18" s="103"/>
      <c r="L18" s="377">
        <f t="shared" si="0"/>
        <v>106</v>
      </c>
      <c r="M18" s="382">
        <v>75</v>
      </c>
      <c r="N18" s="103">
        <v>56</v>
      </c>
      <c r="O18" s="377">
        <f t="shared" si="1"/>
        <v>131</v>
      </c>
      <c r="P18" s="375"/>
      <c r="Q18" s="376"/>
      <c r="R18" s="377">
        <f t="shared" si="2"/>
        <v>0</v>
      </c>
      <c r="S18" s="375">
        <v>45</v>
      </c>
      <c r="T18" s="376"/>
      <c r="U18" s="377">
        <f t="shared" si="5"/>
        <v>45</v>
      </c>
      <c r="V18" s="375">
        <v>192</v>
      </c>
      <c r="W18" s="376">
        <v>0</v>
      </c>
      <c r="X18" s="377">
        <f t="shared" si="3"/>
        <v>192</v>
      </c>
      <c r="Y18" s="295">
        <f t="shared" si="6"/>
        <v>528</v>
      </c>
      <c r="Z18" s="296">
        <f t="shared" si="6"/>
        <v>59</v>
      </c>
      <c r="AA18" s="297">
        <f t="shared" si="6"/>
        <v>587</v>
      </c>
      <c r="AB18" s="298">
        <f t="shared" si="7"/>
        <v>88</v>
      </c>
      <c r="AC18" s="299">
        <f t="shared" si="7"/>
        <v>9.8333333333333339</v>
      </c>
      <c r="AD18" s="300">
        <f t="shared" si="7"/>
        <v>97.833333333333329</v>
      </c>
      <c r="AE18" s="378" t="s">
        <v>352</v>
      </c>
    </row>
    <row r="19" spans="1:31" s="361" customFormat="1" ht="18">
      <c r="A19" s="180">
        <v>12</v>
      </c>
      <c r="B19" s="20" t="s">
        <v>2602</v>
      </c>
      <c r="C19" s="379" t="s">
        <v>2600</v>
      </c>
      <c r="D19" s="379" t="s">
        <v>2603</v>
      </c>
      <c r="E19" s="380">
        <v>0</v>
      </c>
      <c r="F19" s="381" t="s">
        <v>352</v>
      </c>
      <c r="G19" s="382">
        <v>20</v>
      </c>
      <c r="H19" s="103">
        <v>6</v>
      </c>
      <c r="I19" s="377">
        <f t="shared" si="4"/>
        <v>26</v>
      </c>
      <c r="J19" s="382">
        <v>20</v>
      </c>
      <c r="K19" s="103"/>
      <c r="L19" s="377">
        <f t="shared" si="0"/>
        <v>20</v>
      </c>
      <c r="M19" s="382"/>
      <c r="N19" s="103"/>
      <c r="O19" s="377">
        <f t="shared" si="1"/>
        <v>0</v>
      </c>
      <c r="P19" s="375"/>
      <c r="Q19" s="376"/>
      <c r="R19" s="377">
        <f t="shared" si="2"/>
        <v>0</v>
      </c>
      <c r="S19" s="375">
        <v>54</v>
      </c>
      <c r="T19" s="376"/>
      <c r="U19" s="377">
        <f t="shared" si="5"/>
        <v>54</v>
      </c>
      <c r="V19" s="375"/>
      <c r="W19" s="376"/>
      <c r="X19" s="377">
        <f t="shared" si="3"/>
        <v>0</v>
      </c>
      <c r="Y19" s="295">
        <f t="shared" si="6"/>
        <v>94</v>
      </c>
      <c r="Z19" s="296">
        <f t="shared" si="6"/>
        <v>6</v>
      </c>
      <c r="AA19" s="297">
        <f t="shared" si="6"/>
        <v>100</v>
      </c>
      <c r="AB19" s="298">
        <f t="shared" si="7"/>
        <v>15.666666666666666</v>
      </c>
      <c r="AC19" s="299">
        <f t="shared" si="7"/>
        <v>1</v>
      </c>
      <c r="AD19" s="300">
        <f t="shared" si="7"/>
        <v>16.666666666666668</v>
      </c>
      <c r="AE19" s="378" t="s">
        <v>352</v>
      </c>
    </row>
    <row r="20" spans="1:31" s="361" customFormat="1" ht="18">
      <c r="A20" s="180">
        <v>13</v>
      </c>
      <c r="B20" s="20" t="s">
        <v>2604</v>
      </c>
      <c r="C20" s="379" t="s">
        <v>2600</v>
      </c>
      <c r="D20" s="379" t="s">
        <v>2605</v>
      </c>
      <c r="E20" s="380">
        <v>0</v>
      </c>
      <c r="F20" s="381" t="s">
        <v>352</v>
      </c>
      <c r="G20" s="382"/>
      <c r="H20" s="103"/>
      <c r="I20" s="377">
        <f t="shared" si="4"/>
        <v>0</v>
      </c>
      <c r="J20" s="382"/>
      <c r="K20" s="103"/>
      <c r="L20" s="377">
        <f t="shared" si="0"/>
        <v>0</v>
      </c>
      <c r="M20" s="382"/>
      <c r="N20" s="103"/>
      <c r="O20" s="377">
        <f t="shared" si="1"/>
        <v>0</v>
      </c>
      <c r="P20" s="375">
        <v>20</v>
      </c>
      <c r="Q20" s="376"/>
      <c r="R20" s="377">
        <f t="shared" si="2"/>
        <v>20</v>
      </c>
      <c r="S20" s="375"/>
      <c r="T20" s="376"/>
      <c r="U20" s="377">
        <f t="shared" si="5"/>
        <v>0</v>
      </c>
      <c r="V20" s="375">
        <v>0</v>
      </c>
      <c r="W20" s="376"/>
      <c r="X20" s="377">
        <f t="shared" si="3"/>
        <v>0</v>
      </c>
      <c r="Y20" s="295">
        <f t="shared" si="6"/>
        <v>20</v>
      </c>
      <c r="Z20" s="296">
        <f t="shared" si="6"/>
        <v>0</v>
      </c>
      <c r="AA20" s="297">
        <f t="shared" si="6"/>
        <v>20</v>
      </c>
      <c r="AB20" s="298">
        <f t="shared" si="7"/>
        <v>3.3333333333333335</v>
      </c>
      <c r="AC20" s="299">
        <f t="shared" si="7"/>
        <v>0</v>
      </c>
      <c r="AD20" s="300">
        <f t="shared" si="7"/>
        <v>3.3333333333333335</v>
      </c>
      <c r="AE20" s="378" t="s">
        <v>352</v>
      </c>
    </row>
    <row r="21" spans="1:31" s="361" customFormat="1" ht="18">
      <c r="A21" s="180">
        <v>14</v>
      </c>
      <c r="B21" s="20" t="s">
        <v>2606</v>
      </c>
      <c r="C21" s="379" t="s">
        <v>2600</v>
      </c>
      <c r="D21" s="379" t="s">
        <v>2607</v>
      </c>
      <c r="E21" s="380">
        <v>150</v>
      </c>
      <c r="F21" s="381" t="s">
        <v>352</v>
      </c>
      <c r="G21" s="382">
        <v>600</v>
      </c>
      <c r="H21" s="103"/>
      <c r="I21" s="377">
        <f t="shared" si="4"/>
        <v>600</v>
      </c>
      <c r="J21" s="382">
        <v>140</v>
      </c>
      <c r="K21" s="103"/>
      <c r="L21" s="377">
        <f t="shared" si="0"/>
        <v>140</v>
      </c>
      <c r="M21" s="382">
        <v>300</v>
      </c>
      <c r="N21" s="103"/>
      <c r="O21" s="377">
        <f t="shared" si="1"/>
        <v>300</v>
      </c>
      <c r="P21" s="375">
        <v>300</v>
      </c>
      <c r="Q21" s="376"/>
      <c r="R21" s="377">
        <f t="shared" si="2"/>
        <v>300</v>
      </c>
      <c r="S21" s="375">
        <v>400</v>
      </c>
      <c r="T21" s="376"/>
      <c r="U21" s="377">
        <f t="shared" si="5"/>
        <v>400</v>
      </c>
      <c r="V21" s="375"/>
      <c r="W21" s="376"/>
      <c r="X21" s="377">
        <f t="shared" si="3"/>
        <v>0</v>
      </c>
      <c r="Y21" s="295">
        <f t="shared" si="6"/>
        <v>1740</v>
      </c>
      <c r="Z21" s="296">
        <f t="shared" si="6"/>
        <v>0</v>
      </c>
      <c r="AA21" s="297">
        <f t="shared" si="6"/>
        <v>1740</v>
      </c>
      <c r="AB21" s="298">
        <f t="shared" si="7"/>
        <v>290</v>
      </c>
      <c r="AC21" s="299">
        <f t="shared" si="7"/>
        <v>0</v>
      </c>
      <c r="AD21" s="300">
        <f t="shared" si="7"/>
        <v>290</v>
      </c>
      <c r="AE21" s="378" t="s">
        <v>352</v>
      </c>
    </row>
    <row r="22" spans="1:31" s="361" customFormat="1" ht="18">
      <c r="A22" s="180">
        <v>15</v>
      </c>
      <c r="B22" s="20" t="s">
        <v>2608</v>
      </c>
      <c r="C22" s="379" t="s">
        <v>2600</v>
      </c>
      <c r="D22" s="379" t="s">
        <v>2609</v>
      </c>
      <c r="E22" s="380">
        <v>100</v>
      </c>
      <c r="F22" s="381" t="s">
        <v>352</v>
      </c>
      <c r="G22" s="382">
        <v>204</v>
      </c>
      <c r="H22" s="103">
        <v>144</v>
      </c>
      <c r="I22" s="377">
        <f t="shared" si="4"/>
        <v>348</v>
      </c>
      <c r="J22" s="382"/>
      <c r="K22" s="103"/>
      <c r="L22" s="377">
        <f t="shared" si="0"/>
        <v>0</v>
      </c>
      <c r="M22" s="382">
        <v>212</v>
      </c>
      <c r="N22" s="103">
        <v>132</v>
      </c>
      <c r="O22" s="377">
        <f t="shared" si="1"/>
        <v>344</v>
      </c>
      <c r="P22" s="375">
        <v>100</v>
      </c>
      <c r="Q22" s="376"/>
      <c r="R22" s="377">
        <f t="shared" si="2"/>
        <v>100</v>
      </c>
      <c r="S22" s="375">
        <v>0</v>
      </c>
      <c r="T22" s="376">
        <v>18</v>
      </c>
      <c r="U22" s="377">
        <f t="shared" si="5"/>
        <v>18</v>
      </c>
      <c r="V22" s="375">
        <v>108</v>
      </c>
      <c r="W22" s="376">
        <v>200</v>
      </c>
      <c r="X22" s="377">
        <f t="shared" si="3"/>
        <v>308</v>
      </c>
      <c r="Y22" s="295">
        <f t="shared" si="6"/>
        <v>624</v>
      </c>
      <c r="Z22" s="296">
        <f t="shared" si="6"/>
        <v>494</v>
      </c>
      <c r="AA22" s="297">
        <f t="shared" si="6"/>
        <v>1118</v>
      </c>
      <c r="AB22" s="298">
        <f t="shared" si="7"/>
        <v>104</v>
      </c>
      <c r="AC22" s="299">
        <f t="shared" si="7"/>
        <v>82.333333333333329</v>
      </c>
      <c r="AD22" s="300">
        <f t="shared" si="7"/>
        <v>186.33333333333334</v>
      </c>
      <c r="AE22" s="378" t="s">
        <v>352</v>
      </c>
    </row>
    <row r="23" spans="1:31" s="361" customFormat="1" ht="15.75" customHeight="1">
      <c r="A23" s="180">
        <v>16</v>
      </c>
      <c r="B23" s="20" t="s">
        <v>2610</v>
      </c>
      <c r="C23" s="379" t="s">
        <v>2600</v>
      </c>
      <c r="D23" s="379" t="s">
        <v>2611</v>
      </c>
      <c r="E23" s="380">
        <v>2</v>
      </c>
      <c r="F23" s="381" t="s">
        <v>352</v>
      </c>
      <c r="G23" s="382"/>
      <c r="H23" s="103"/>
      <c r="I23" s="377">
        <f t="shared" si="4"/>
        <v>0</v>
      </c>
      <c r="J23" s="382">
        <v>56</v>
      </c>
      <c r="K23" s="103"/>
      <c r="L23" s="377">
        <f t="shared" si="0"/>
        <v>56</v>
      </c>
      <c r="M23" s="382">
        <v>71</v>
      </c>
      <c r="N23" s="103"/>
      <c r="O23" s="377">
        <f t="shared" si="1"/>
        <v>71</v>
      </c>
      <c r="P23" s="375"/>
      <c r="Q23" s="376"/>
      <c r="R23" s="377">
        <f t="shared" si="2"/>
        <v>0</v>
      </c>
      <c r="S23" s="375"/>
      <c r="T23" s="376"/>
      <c r="U23" s="377">
        <f t="shared" si="5"/>
        <v>0</v>
      </c>
      <c r="V23" s="375">
        <v>20</v>
      </c>
      <c r="W23" s="376"/>
      <c r="X23" s="377">
        <f t="shared" si="3"/>
        <v>20</v>
      </c>
      <c r="Y23" s="295">
        <f t="shared" si="6"/>
        <v>147</v>
      </c>
      <c r="Z23" s="296">
        <f t="shared" si="6"/>
        <v>0</v>
      </c>
      <c r="AA23" s="297">
        <f t="shared" si="6"/>
        <v>147</v>
      </c>
      <c r="AB23" s="298">
        <f t="shared" si="7"/>
        <v>24.5</v>
      </c>
      <c r="AC23" s="299">
        <f t="shared" si="7"/>
        <v>0</v>
      </c>
      <c r="AD23" s="300">
        <f t="shared" si="7"/>
        <v>24.5</v>
      </c>
      <c r="AE23" s="378" t="s">
        <v>352</v>
      </c>
    </row>
    <row r="24" spans="1:31" s="361" customFormat="1" ht="20.25" customHeight="1">
      <c r="A24" s="180">
        <v>17</v>
      </c>
      <c r="B24" s="394" t="s">
        <v>2612</v>
      </c>
      <c r="C24" s="379" t="s">
        <v>2600</v>
      </c>
      <c r="D24" s="379" t="s">
        <v>2613</v>
      </c>
      <c r="E24" s="380">
        <v>10</v>
      </c>
      <c r="F24" s="381" t="s">
        <v>2589</v>
      </c>
      <c r="G24" s="382">
        <v>150</v>
      </c>
      <c r="H24" s="103">
        <v>20</v>
      </c>
      <c r="I24" s="377">
        <f t="shared" si="4"/>
        <v>170</v>
      </c>
      <c r="J24" s="382"/>
      <c r="K24" s="103"/>
      <c r="L24" s="377">
        <f t="shared" si="0"/>
        <v>0</v>
      </c>
      <c r="M24" s="382">
        <v>154.5</v>
      </c>
      <c r="N24" s="103">
        <v>90</v>
      </c>
      <c r="O24" s="377">
        <f t="shared" si="1"/>
        <v>244.5</v>
      </c>
      <c r="P24" s="375"/>
      <c r="Q24" s="376"/>
      <c r="R24" s="377">
        <f t="shared" si="2"/>
        <v>0</v>
      </c>
      <c r="S24" s="375">
        <v>236</v>
      </c>
      <c r="T24" s="376">
        <v>72</v>
      </c>
      <c r="U24" s="377">
        <f t="shared" si="5"/>
        <v>308</v>
      </c>
      <c r="V24" s="375"/>
      <c r="W24" s="376"/>
      <c r="X24" s="377">
        <f t="shared" si="3"/>
        <v>0</v>
      </c>
      <c r="Y24" s="295">
        <f t="shared" si="6"/>
        <v>540.5</v>
      </c>
      <c r="Z24" s="296">
        <f t="shared" si="6"/>
        <v>182</v>
      </c>
      <c r="AA24" s="297">
        <f t="shared" si="6"/>
        <v>722.5</v>
      </c>
      <c r="AB24" s="298">
        <f t="shared" si="7"/>
        <v>90.083333333333329</v>
      </c>
      <c r="AC24" s="299">
        <f t="shared" si="7"/>
        <v>30.333333333333332</v>
      </c>
      <c r="AD24" s="300">
        <f t="shared" si="7"/>
        <v>120.41666666666667</v>
      </c>
      <c r="AE24" s="378" t="s">
        <v>2589</v>
      </c>
    </row>
    <row r="25" spans="1:31" s="361" customFormat="1" ht="18">
      <c r="A25" s="180">
        <v>18</v>
      </c>
      <c r="B25" s="20" t="s">
        <v>2614</v>
      </c>
      <c r="C25" s="379" t="s">
        <v>2600</v>
      </c>
      <c r="D25" s="379" t="s">
        <v>2615</v>
      </c>
      <c r="E25" s="380">
        <v>36</v>
      </c>
      <c r="F25" s="381" t="s">
        <v>352</v>
      </c>
      <c r="G25" s="382">
        <v>81</v>
      </c>
      <c r="H25" s="103">
        <v>6</v>
      </c>
      <c r="I25" s="377">
        <f t="shared" si="4"/>
        <v>87</v>
      </c>
      <c r="J25" s="382">
        <v>214.5</v>
      </c>
      <c r="K25" s="103"/>
      <c r="L25" s="377">
        <f t="shared" si="0"/>
        <v>214.5</v>
      </c>
      <c r="M25" s="382">
        <v>18</v>
      </c>
      <c r="N25" s="103"/>
      <c r="O25" s="377">
        <f t="shared" si="1"/>
        <v>18</v>
      </c>
      <c r="P25" s="375">
        <v>18</v>
      </c>
      <c r="Q25" s="376"/>
      <c r="R25" s="377">
        <f t="shared" si="2"/>
        <v>18</v>
      </c>
      <c r="S25" s="375">
        <v>114</v>
      </c>
      <c r="T25" s="376">
        <v>7</v>
      </c>
      <c r="U25" s="377">
        <f t="shared" si="5"/>
        <v>121</v>
      </c>
      <c r="V25" s="375">
        <v>36</v>
      </c>
      <c r="W25" s="376"/>
      <c r="X25" s="377">
        <f t="shared" si="3"/>
        <v>36</v>
      </c>
      <c r="Y25" s="295">
        <f t="shared" si="6"/>
        <v>481.5</v>
      </c>
      <c r="Z25" s="296">
        <f t="shared" si="6"/>
        <v>13</v>
      </c>
      <c r="AA25" s="297">
        <f t="shared" si="6"/>
        <v>494.5</v>
      </c>
      <c r="AB25" s="298">
        <f t="shared" si="7"/>
        <v>80.25</v>
      </c>
      <c r="AC25" s="299">
        <f t="shared" si="7"/>
        <v>2.1666666666666665</v>
      </c>
      <c r="AD25" s="300">
        <f t="shared" si="7"/>
        <v>82.416666666666671</v>
      </c>
      <c r="AE25" s="378" t="s">
        <v>352</v>
      </c>
    </row>
    <row r="26" spans="1:31" s="361" customFormat="1" ht="18">
      <c r="A26" s="180">
        <v>19</v>
      </c>
      <c r="B26" s="20" t="s">
        <v>2616</v>
      </c>
      <c r="C26" s="379" t="s">
        <v>2600</v>
      </c>
      <c r="D26" s="379" t="s">
        <v>2617</v>
      </c>
      <c r="E26" s="380">
        <v>100</v>
      </c>
      <c r="F26" s="381" t="s">
        <v>352</v>
      </c>
      <c r="G26" s="382"/>
      <c r="H26" s="103"/>
      <c r="I26" s="377">
        <f t="shared" si="4"/>
        <v>0</v>
      </c>
      <c r="J26" s="382">
        <v>240</v>
      </c>
      <c r="K26" s="103"/>
      <c r="L26" s="377">
        <f t="shared" si="0"/>
        <v>240</v>
      </c>
      <c r="M26" s="382"/>
      <c r="N26" s="103"/>
      <c r="O26" s="377">
        <f t="shared" si="1"/>
        <v>0</v>
      </c>
      <c r="P26" s="375">
        <v>300</v>
      </c>
      <c r="Q26" s="376"/>
      <c r="R26" s="377">
        <f t="shared" si="2"/>
        <v>300</v>
      </c>
      <c r="S26" s="375">
        <v>400</v>
      </c>
      <c r="T26" s="376"/>
      <c r="U26" s="377">
        <f t="shared" si="5"/>
        <v>400</v>
      </c>
      <c r="V26" s="375"/>
      <c r="W26" s="376"/>
      <c r="X26" s="377">
        <f t="shared" si="3"/>
        <v>0</v>
      </c>
      <c r="Y26" s="295">
        <f t="shared" si="6"/>
        <v>940</v>
      </c>
      <c r="Z26" s="296">
        <f t="shared" si="6"/>
        <v>0</v>
      </c>
      <c r="AA26" s="297">
        <f t="shared" si="6"/>
        <v>940</v>
      </c>
      <c r="AB26" s="298">
        <f t="shared" si="7"/>
        <v>156.66666666666666</v>
      </c>
      <c r="AC26" s="299">
        <f t="shared" si="7"/>
        <v>0</v>
      </c>
      <c r="AD26" s="300">
        <f t="shared" si="7"/>
        <v>156.66666666666666</v>
      </c>
      <c r="AE26" s="378" t="s">
        <v>352</v>
      </c>
    </row>
    <row r="27" spans="1:31" s="361" customFormat="1" ht="18">
      <c r="A27" s="180">
        <v>20</v>
      </c>
      <c r="B27" s="20" t="s">
        <v>2618</v>
      </c>
      <c r="C27" s="379" t="s">
        <v>2600</v>
      </c>
      <c r="D27" s="379" t="s">
        <v>2619</v>
      </c>
      <c r="E27" s="380">
        <v>0</v>
      </c>
      <c r="F27" s="381" t="s">
        <v>352</v>
      </c>
      <c r="G27" s="382"/>
      <c r="H27" s="103"/>
      <c r="I27" s="377">
        <f t="shared" si="4"/>
        <v>0</v>
      </c>
      <c r="J27" s="382"/>
      <c r="K27" s="103"/>
      <c r="L27" s="377">
        <f t="shared" si="0"/>
        <v>0</v>
      </c>
      <c r="M27" s="382"/>
      <c r="N27" s="103"/>
      <c r="O27" s="377">
        <f t="shared" si="1"/>
        <v>0</v>
      </c>
      <c r="P27" s="375">
        <v>18</v>
      </c>
      <c r="Q27" s="376"/>
      <c r="R27" s="377">
        <f t="shared" si="2"/>
        <v>18</v>
      </c>
      <c r="S27" s="375"/>
      <c r="T27" s="376"/>
      <c r="U27" s="377">
        <f t="shared" si="5"/>
        <v>0</v>
      </c>
      <c r="V27" s="375">
        <v>25</v>
      </c>
      <c r="W27" s="376"/>
      <c r="X27" s="377">
        <f t="shared" si="3"/>
        <v>25</v>
      </c>
      <c r="Y27" s="295">
        <f t="shared" si="6"/>
        <v>43</v>
      </c>
      <c r="Z27" s="296">
        <f t="shared" si="6"/>
        <v>0</v>
      </c>
      <c r="AA27" s="297">
        <f t="shared" si="6"/>
        <v>43</v>
      </c>
      <c r="AB27" s="298">
        <f t="shared" si="7"/>
        <v>7.166666666666667</v>
      </c>
      <c r="AC27" s="299">
        <f t="shared" si="7"/>
        <v>0</v>
      </c>
      <c r="AD27" s="300">
        <f t="shared" si="7"/>
        <v>7.166666666666667</v>
      </c>
      <c r="AE27" s="378" t="s">
        <v>352</v>
      </c>
    </row>
    <row r="28" spans="1:31" s="361" customFormat="1" ht="18">
      <c r="A28" s="180">
        <v>21</v>
      </c>
      <c r="B28" s="20" t="s">
        <v>2620</v>
      </c>
      <c r="C28" s="379" t="s">
        <v>2600</v>
      </c>
      <c r="D28" s="379" t="s">
        <v>2621</v>
      </c>
      <c r="E28" s="380">
        <v>0</v>
      </c>
      <c r="F28" s="381" t="s">
        <v>352</v>
      </c>
      <c r="G28" s="382">
        <v>100</v>
      </c>
      <c r="H28" s="103"/>
      <c r="I28" s="377">
        <f t="shared" si="4"/>
        <v>100</v>
      </c>
      <c r="J28" s="382"/>
      <c r="K28" s="103"/>
      <c r="L28" s="377">
        <f t="shared" si="0"/>
        <v>0</v>
      </c>
      <c r="M28" s="382">
        <v>50</v>
      </c>
      <c r="N28" s="103"/>
      <c r="O28" s="377">
        <f t="shared" si="1"/>
        <v>50</v>
      </c>
      <c r="P28" s="375"/>
      <c r="Q28" s="376"/>
      <c r="R28" s="377">
        <f t="shared" si="2"/>
        <v>0</v>
      </c>
      <c r="S28" s="375"/>
      <c r="T28" s="376"/>
      <c r="U28" s="377">
        <f t="shared" si="5"/>
        <v>0</v>
      </c>
      <c r="V28" s="375">
        <v>20</v>
      </c>
      <c r="W28" s="376"/>
      <c r="X28" s="377">
        <f t="shared" si="3"/>
        <v>20</v>
      </c>
      <c r="Y28" s="295">
        <f t="shared" si="6"/>
        <v>170</v>
      </c>
      <c r="Z28" s="296">
        <f t="shared" si="6"/>
        <v>0</v>
      </c>
      <c r="AA28" s="297">
        <f t="shared" si="6"/>
        <v>170</v>
      </c>
      <c r="AB28" s="298">
        <f t="shared" si="7"/>
        <v>28.333333333333332</v>
      </c>
      <c r="AC28" s="299">
        <f t="shared" si="7"/>
        <v>0</v>
      </c>
      <c r="AD28" s="300">
        <f t="shared" si="7"/>
        <v>28.333333333333332</v>
      </c>
      <c r="AE28" s="378" t="s">
        <v>352</v>
      </c>
    </row>
    <row r="29" spans="1:31" s="361" customFormat="1" ht="18">
      <c r="A29" s="180">
        <v>22</v>
      </c>
      <c r="B29" s="20" t="s">
        <v>2622</v>
      </c>
      <c r="C29" s="379" t="s">
        <v>2623</v>
      </c>
      <c r="D29" s="379" t="s">
        <v>2624</v>
      </c>
      <c r="E29" s="380">
        <v>15</v>
      </c>
      <c r="F29" s="381" t="s">
        <v>352</v>
      </c>
      <c r="G29" s="382"/>
      <c r="H29" s="103"/>
      <c r="I29" s="377">
        <f t="shared" si="4"/>
        <v>0</v>
      </c>
      <c r="J29" s="382"/>
      <c r="K29" s="103"/>
      <c r="L29" s="377">
        <f t="shared" si="0"/>
        <v>0</v>
      </c>
      <c r="M29" s="382"/>
      <c r="N29" s="103"/>
      <c r="O29" s="377">
        <f t="shared" si="1"/>
        <v>0</v>
      </c>
      <c r="P29" s="375">
        <v>20</v>
      </c>
      <c r="Q29" s="376"/>
      <c r="R29" s="377">
        <f t="shared" si="2"/>
        <v>20</v>
      </c>
      <c r="S29" s="375"/>
      <c r="T29" s="376"/>
      <c r="U29" s="377">
        <f t="shared" si="5"/>
        <v>0</v>
      </c>
      <c r="V29" s="375"/>
      <c r="W29" s="376"/>
      <c r="X29" s="377">
        <f t="shared" si="3"/>
        <v>0</v>
      </c>
      <c r="Y29" s="295">
        <f t="shared" si="6"/>
        <v>20</v>
      </c>
      <c r="Z29" s="296">
        <f t="shared" si="6"/>
        <v>0</v>
      </c>
      <c r="AA29" s="297">
        <f t="shared" si="6"/>
        <v>20</v>
      </c>
      <c r="AB29" s="298">
        <f t="shared" si="7"/>
        <v>3.3333333333333335</v>
      </c>
      <c r="AC29" s="299">
        <f t="shared" si="7"/>
        <v>0</v>
      </c>
      <c r="AD29" s="300">
        <f t="shared" si="7"/>
        <v>3.3333333333333335</v>
      </c>
      <c r="AE29" s="378" t="s">
        <v>352</v>
      </c>
    </row>
    <row r="30" spans="1:31" s="361" customFormat="1" ht="18">
      <c r="A30" s="180">
        <v>23</v>
      </c>
      <c r="B30" s="20" t="s">
        <v>55</v>
      </c>
      <c r="C30" s="379" t="s">
        <v>2625</v>
      </c>
      <c r="D30" s="379" t="s">
        <v>2626</v>
      </c>
      <c r="E30" s="380">
        <v>15</v>
      </c>
      <c r="F30" s="381" t="s">
        <v>352</v>
      </c>
      <c r="G30" s="382"/>
      <c r="H30" s="103"/>
      <c r="I30" s="377">
        <f t="shared" si="4"/>
        <v>0</v>
      </c>
      <c r="J30" s="382"/>
      <c r="K30" s="103"/>
      <c r="L30" s="377">
        <f t="shared" si="0"/>
        <v>0</v>
      </c>
      <c r="M30" s="382"/>
      <c r="N30" s="103">
        <v>20</v>
      </c>
      <c r="O30" s="377">
        <f t="shared" si="1"/>
        <v>20</v>
      </c>
      <c r="P30" s="375">
        <v>30</v>
      </c>
      <c r="Q30" s="376"/>
      <c r="R30" s="377">
        <f t="shared" si="2"/>
        <v>30</v>
      </c>
      <c r="S30" s="375"/>
      <c r="T30" s="376"/>
      <c r="U30" s="377">
        <f t="shared" si="5"/>
        <v>0</v>
      </c>
      <c r="V30" s="375">
        <v>25</v>
      </c>
      <c r="W30" s="376"/>
      <c r="X30" s="377">
        <f t="shared" si="3"/>
        <v>25</v>
      </c>
      <c r="Y30" s="295">
        <f t="shared" si="6"/>
        <v>55</v>
      </c>
      <c r="Z30" s="296">
        <f t="shared" si="6"/>
        <v>20</v>
      </c>
      <c r="AA30" s="297">
        <f t="shared" si="6"/>
        <v>75</v>
      </c>
      <c r="AB30" s="298">
        <f t="shared" si="7"/>
        <v>9.1666666666666661</v>
      </c>
      <c r="AC30" s="299">
        <f t="shared" si="7"/>
        <v>3.3333333333333335</v>
      </c>
      <c r="AD30" s="300">
        <f t="shared" si="7"/>
        <v>12.5</v>
      </c>
      <c r="AE30" s="378" t="s">
        <v>352</v>
      </c>
    </row>
    <row r="31" spans="1:31" s="361" customFormat="1" ht="18">
      <c r="A31" s="180">
        <v>24</v>
      </c>
      <c r="B31" s="20" t="s">
        <v>2627</v>
      </c>
      <c r="C31" s="379" t="s">
        <v>2623</v>
      </c>
      <c r="D31" s="379" t="s">
        <v>2628</v>
      </c>
      <c r="E31" s="380">
        <v>0</v>
      </c>
      <c r="F31" s="381" t="s">
        <v>352</v>
      </c>
      <c r="G31" s="382"/>
      <c r="H31" s="103"/>
      <c r="I31" s="377">
        <f t="shared" si="4"/>
        <v>0</v>
      </c>
      <c r="J31" s="382"/>
      <c r="K31" s="103"/>
      <c r="L31" s="377">
        <f t="shared" si="0"/>
        <v>0</v>
      </c>
      <c r="M31" s="382"/>
      <c r="N31" s="103"/>
      <c r="O31" s="377">
        <f t="shared" si="1"/>
        <v>0</v>
      </c>
      <c r="P31" s="375">
        <v>25</v>
      </c>
      <c r="Q31" s="376"/>
      <c r="R31" s="377">
        <f t="shared" si="2"/>
        <v>25</v>
      </c>
      <c r="S31" s="375"/>
      <c r="T31" s="376"/>
      <c r="U31" s="377">
        <f t="shared" si="5"/>
        <v>0</v>
      </c>
      <c r="V31" s="375"/>
      <c r="W31" s="376"/>
      <c r="X31" s="377">
        <f t="shared" si="3"/>
        <v>0</v>
      </c>
      <c r="Y31" s="295">
        <f t="shared" si="6"/>
        <v>25</v>
      </c>
      <c r="Z31" s="296">
        <f t="shared" si="6"/>
        <v>0</v>
      </c>
      <c r="AA31" s="297">
        <f t="shared" si="6"/>
        <v>25</v>
      </c>
      <c r="AB31" s="298">
        <f t="shared" si="7"/>
        <v>4.166666666666667</v>
      </c>
      <c r="AC31" s="299">
        <f t="shared" si="7"/>
        <v>0</v>
      </c>
      <c r="AD31" s="300">
        <f t="shared" si="7"/>
        <v>4.166666666666667</v>
      </c>
      <c r="AE31" s="378" t="s">
        <v>352</v>
      </c>
    </row>
    <row r="32" spans="1:31" s="361" customFormat="1" ht="18">
      <c r="A32" s="180">
        <v>25</v>
      </c>
      <c r="B32" s="20" t="s">
        <v>2629</v>
      </c>
      <c r="C32" s="379" t="s">
        <v>2623</v>
      </c>
      <c r="D32" s="379" t="s">
        <v>2630</v>
      </c>
      <c r="E32" s="380">
        <v>0</v>
      </c>
      <c r="F32" s="381" t="s">
        <v>352</v>
      </c>
      <c r="G32" s="382"/>
      <c r="H32" s="103"/>
      <c r="I32" s="377">
        <f t="shared" si="4"/>
        <v>0</v>
      </c>
      <c r="J32" s="382"/>
      <c r="K32" s="103"/>
      <c r="L32" s="377">
        <f t="shared" si="0"/>
        <v>0</v>
      </c>
      <c r="M32" s="382">
        <v>20</v>
      </c>
      <c r="N32" s="103"/>
      <c r="O32" s="377">
        <f t="shared" si="1"/>
        <v>20</v>
      </c>
      <c r="P32" s="375"/>
      <c r="Q32" s="376"/>
      <c r="R32" s="377">
        <f t="shared" si="2"/>
        <v>0</v>
      </c>
      <c r="S32" s="375"/>
      <c r="T32" s="376"/>
      <c r="U32" s="377">
        <f t="shared" si="5"/>
        <v>0</v>
      </c>
      <c r="V32" s="375">
        <v>25</v>
      </c>
      <c r="W32" s="376"/>
      <c r="X32" s="377">
        <f t="shared" si="3"/>
        <v>25</v>
      </c>
      <c r="Y32" s="295">
        <f t="shared" si="6"/>
        <v>45</v>
      </c>
      <c r="Z32" s="296">
        <f t="shared" si="6"/>
        <v>0</v>
      </c>
      <c r="AA32" s="297">
        <f t="shared" si="6"/>
        <v>45</v>
      </c>
      <c r="AB32" s="298">
        <f t="shared" si="7"/>
        <v>7.5</v>
      </c>
      <c r="AC32" s="299">
        <f t="shared" si="7"/>
        <v>0</v>
      </c>
      <c r="AD32" s="300">
        <f t="shared" si="7"/>
        <v>7.5</v>
      </c>
      <c r="AE32" s="378" t="s">
        <v>352</v>
      </c>
    </row>
    <row r="33" spans="1:31" s="361" customFormat="1" ht="18">
      <c r="A33" s="180">
        <v>26</v>
      </c>
      <c r="B33" s="20" t="s">
        <v>2631</v>
      </c>
      <c r="C33" s="379" t="s">
        <v>2623</v>
      </c>
      <c r="D33" s="379" t="s">
        <v>2632</v>
      </c>
      <c r="E33" s="380">
        <v>0</v>
      </c>
      <c r="F33" s="381" t="s">
        <v>352</v>
      </c>
      <c r="G33" s="382">
        <v>217</v>
      </c>
      <c r="H33" s="103"/>
      <c r="I33" s="377">
        <f t="shared" si="4"/>
        <v>217</v>
      </c>
      <c r="J33" s="382"/>
      <c r="K33" s="103"/>
      <c r="L33" s="377">
        <f t="shared" si="0"/>
        <v>0</v>
      </c>
      <c r="M33" s="382"/>
      <c r="N33" s="103"/>
      <c r="O33" s="377">
        <f t="shared" si="1"/>
        <v>0</v>
      </c>
      <c r="P33" s="375">
        <v>150</v>
      </c>
      <c r="Q33" s="376"/>
      <c r="R33" s="377">
        <f t="shared" si="2"/>
        <v>150</v>
      </c>
      <c r="S33" s="375"/>
      <c r="T33" s="376"/>
      <c r="U33" s="377">
        <f t="shared" si="5"/>
        <v>0</v>
      </c>
      <c r="V33" s="375"/>
      <c r="W33" s="376"/>
      <c r="X33" s="377">
        <f t="shared" si="3"/>
        <v>0</v>
      </c>
      <c r="Y33" s="295">
        <f t="shared" si="6"/>
        <v>367</v>
      </c>
      <c r="Z33" s="296">
        <f t="shared" si="6"/>
        <v>0</v>
      </c>
      <c r="AA33" s="297">
        <f t="shared" si="6"/>
        <v>367</v>
      </c>
      <c r="AB33" s="298">
        <f t="shared" si="7"/>
        <v>61.166666666666664</v>
      </c>
      <c r="AC33" s="299">
        <f t="shared" si="7"/>
        <v>0</v>
      </c>
      <c r="AD33" s="300">
        <f t="shared" si="7"/>
        <v>61.166666666666664</v>
      </c>
      <c r="AE33" s="378" t="s">
        <v>352</v>
      </c>
    </row>
    <row r="34" spans="1:31" s="361" customFormat="1" ht="18">
      <c r="A34" s="180">
        <v>27</v>
      </c>
      <c r="B34" s="20" t="s">
        <v>2633</v>
      </c>
      <c r="C34" s="379" t="s">
        <v>2625</v>
      </c>
      <c r="D34" s="379" t="s">
        <v>2634</v>
      </c>
      <c r="E34" s="380">
        <v>25</v>
      </c>
      <c r="F34" s="381" t="s">
        <v>352</v>
      </c>
      <c r="G34" s="382"/>
      <c r="H34" s="103"/>
      <c r="I34" s="377">
        <f t="shared" si="4"/>
        <v>0</v>
      </c>
      <c r="J34" s="382"/>
      <c r="K34" s="103"/>
      <c r="L34" s="377">
        <f t="shared" si="0"/>
        <v>0</v>
      </c>
      <c r="M34" s="382"/>
      <c r="N34" s="103">
        <v>36</v>
      </c>
      <c r="O34" s="377">
        <f t="shared" si="1"/>
        <v>36</v>
      </c>
      <c r="P34" s="375">
        <v>50</v>
      </c>
      <c r="Q34" s="376"/>
      <c r="R34" s="377">
        <f t="shared" si="2"/>
        <v>50</v>
      </c>
      <c r="S34" s="375"/>
      <c r="T34" s="376"/>
      <c r="U34" s="377">
        <f t="shared" si="5"/>
        <v>0</v>
      </c>
      <c r="V34" s="375">
        <v>20</v>
      </c>
      <c r="W34" s="376"/>
      <c r="X34" s="377">
        <f t="shared" si="3"/>
        <v>20</v>
      </c>
      <c r="Y34" s="295">
        <f t="shared" si="6"/>
        <v>70</v>
      </c>
      <c r="Z34" s="296">
        <f t="shared" si="6"/>
        <v>36</v>
      </c>
      <c r="AA34" s="297">
        <f t="shared" si="6"/>
        <v>106</v>
      </c>
      <c r="AB34" s="298">
        <f t="shared" si="7"/>
        <v>11.666666666666666</v>
      </c>
      <c r="AC34" s="299">
        <f t="shared" si="7"/>
        <v>6</v>
      </c>
      <c r="AD34" s="300">
        <f t="shared" si="7"/>
        <v>17.666666666666668</v>
      </c>
      <c r="AE34" s="378" t="s">
        <v>352</v>
      </c>
    </row>
    <row r="35" spans="1:31" s="361" customFormat="1" ht="18">
      <c r="A35" s="180">
        <v>28</v>
      </c>
      <c r="B35" s="21" t="s">
        <v>2635</v>
      </c>
      <c r="C35" s="379" t="s">
        <v>2625</v>
      </c>
      <c r="D35" s="379" t="s">
        <v>2636</v>
      </c>
      <c r="E35" s="380">
        <v>12</v>
      </c>
      <c r="F35" s="381" t="s">
        <v>352</v>
      </c>
      <c r="G35" s="382">
        <v>20</v>
      </c>
      <c r="H35" s="103">
        <v>36</v>
      </c>
      <c r="I35" s="377">
        <f t="shared" si="4"/>
        <v>56</v>
      </c>
      <c r="J35" s="382">
        <v>80</v>
      </c>
      <c r="K35" s="103"/>
      <c r="L35" s="377">
        <f t="shared" si="0"/>
        <v>80</v>
      </c>
      <c r="M35" s="382">
        <v>50</v>
      </c>
      <c r="N35" s="103">
        <v>36</v>
      </c>
      <c r="O35" s="377">
        <f t="shared" si="1"/>
        <v>86</v>
      </c>
      <c r="P35" s="375"/>
      <c r="Q35" s="376"/>
      <c r="R35" s="377">
        <f t="shared" si="2"/>
        <v>0</v>
      </c>
      <c r="S35" s="375">
        <v>0</v>
      </c>
      <c r="T35" s="376">
        <v>18</v>
      </c>
      <c r="U35" s="377">
        <f t="shared" si="5"/>
        <v>18</v>
      </c>
      <c r="V35" s="375">
        <v>80</v>
      </c>
      <c r="W35" s="376">
        <v>60</v>
      </c>
      <c r="X35" s="377">
        <f t="shared" si="3"/>
        <v>140</v>
      </c>
      <c r="Y35" s="295">
        <f t="shared" si="6"/>
        <v>230</v>
      </c>
      <c r="Z35" s="296">
        <f t="shared" si="6"/>
        <v>150</v>
      </c>
      <c r="AA35" s="297">
        <f t="shared" si="6"/>
        <v>380</v>
      </c>
      <c r="AB35" s="298">
        <f t="shared" si="7"/>
        <v>38.333333333333336</v>
      </c>
      <c r="AC35" s="299">
        <f t="shared" si="7"/>
        <v>25</v>
      </c>
      <c r="AD35" s="300">
        <f t="shared" si="7"/>
        <v>63.333333333333336</v>
      </c>
      <c r="AE35" s="378" t="s">
        <v>352</v>
      </c>
    </row>
    <row r="36" spans="1:31" s="361" customFormat="1" ht="18">
      <c r="A36" s="180">
        <v>29</v>
      </c>
      <c r="B36" s="21" t="s">
        <v>2637</v>
      </c>
      <c r="C36" s="379" t="s">
        <v>2625</v>
      </c>
      <c r="D36" s="379" t="s">
        <v>2638</v>
      </c>
      <c r="E36" s="380">
        <v>10</v>
      </c>
      <c r="F36" s="381" t="s">
        <v>352</v>
      </c>
      <c r="G36" s="382"/>
      <c r="H36" s="103"/>
      <c r="I36" s="377">
        <f t="shared" si="4"/>
        <v>0</v>
      </c>
      <c r="J36" s="382"/>
      <c r="K36" s="103"/>
      <c r="L36" s="377">
        <f t="shared" si="0"/>
        <v>0</v>
      </c>
      <c r="M36" s="382"/>
      <c r="N36" s="103"/>
      <c r="O36" s="377">
        <f t="shared" si="1"/>
        <v>0</v>
      </c>
      <c r="P36" s="375"/>
      <c r="Q36" s="376"/>
      <c r="R36" s="377">
        <f t="shared" si="2"/>
        <v>0</v>
      </c>
      <c r="S36" s="375"/>
      <c r="T36" s="376"/>
      <c r="U36" s="377">
        <f t="shared" si="5"/>
        <v>0</v>
      </c>
      <c r="V36" s="375">
        <v>20</v>
      </c>
      <c r="W36" s="376"/>
      <c r="X36" s="377">
        <f t="shared" si="3"/>
        <v>20</v>
      </c>
      <c r="Y36" s="295">
        <f t="shared" si="6"/>
        <v>20</v>
      </c>
      <c r="Z36" s="296">
        <f t="shared" si="6"/>
        <v>0</v>
      </c>
      <c r="AA36" s="297">
        <f t="shared" si="6"/>
        <v>20</v>
      </c>
      <c r="AB36" s="298">
        <f t="shared" si="7"/>
        <v>3.3333333333333335</v>
      </c>
      <c r="AC36" s="299">
        <f t="shared" si="7"/>
        <v>0</v>
      </c>
      <c r="AD36" s="300">
        <f t="shared" si="7"/>
        <v>3.3333333333333335</v>
      </c>
      <c r="AE36" s="378" t="s">
        <v>352</v>
      </c>
    </row>
    <row r="37" spans="1:31" s="361" customFormat="1" ht="18">
      <c r="A37" s="180">
        <v>30</v>
      </c>
      <c r="B37" s="395" t="s">
        <v>2639</v>
      </c>
      <c r="C37" s="379" t="s">
        <v>2625</v>
      </c>
      <c r="D37" s="379" t="s">
        <v>2640</v>
      </c>
      <c r="E37" s="380">
        <v>18</v>
      </c>
      <c r="F37" s="381" t="s">
        <v>352</v>
      </c>
      <c r="G37" s="382"/>
      <c r="H37" s="103"/>
      <c r="I37" s="377">
        <f t="shared" si="4"/>
        <v>0</v>
      </c>
      <c r="J37" s="382">
        <v>69</v>
      </c>
      <c r="K37" s="103"/>
      <c r="L37" s="377">
        <f t="shared" si="0"/>
        <v>69</v>
      </c>
      <c r="M37" s="382">
        <v>58</v>
      </c>
      <c r="N37" s="103"/>
      <c r="O37" s="377">
        <f t="shared" si="1"/>
        <v>58</v>
      </c>
      <c r="P37" s="375"/>
      <c r="Q37" s="376"/>
      <c r="R37" s="377">
        <f t="shared" si="2"/>
        <v>0</v>
      </c>
      <c r="S37" s="375"/>
      <c r="T37" s="376"/>
      <c r="U37" s="377">
        <f t="shared" si="5"/>
        <v>0</v>
      </c>
      <c r="V37" s="375">
        <v>18</v>
      </c>
      <c r="W37" s="376">
        <v>18</v>
      </c>
      <c r="X37" s="377">
        <f t="shared" si="3"/>
        <v>36</v>
      </c>
      <c r="Y37" s="295">
        <f t="shared" si="6"/>
        <v>145</v>
      </c>
      <c r="Z37" s="296">
        <f t="shared" si="6"/>
        <v>18</v>
      </c>
      <c r="AA37" s="297">
        <f t="shared" si="6"/>
        <v>163</v>
      </c>
      <c r="AB37" s="298">
        <f t="shared" si="7"/>
        <v>24.166666666666668</v>
      </c>
      <c r="AC37" s="299">
        <f t="shared" si="7"/>
        <v>3</v>
      </c>
      <c r="AD37" s="300">
        <f t="shared" si="7"/>
        <v>27.166666666666668</v>
      </c>
      <c r="AE37" s="378" t="s">
        <v>352</v>
      </c>
    </row>
    <row r="38" spans="1:31" s="361" customFormat="1" ht="18">
      <c r="A38" s="180">
        <v>31</v>
      </c>
      <c r="B38" s="21" t="s">
        <v>2641</v>
      </c>
      <c r="C38" s="379" t="s">
        <v>2625</v>
      </c>
      <c r="D38" s="379" t="s">
        <v>2642</v>
      </c>
      <c r="E38" s="380">
        <v>20</v>
      </c>
      <c r="F38" s="381" t="s">
        <v>352</v>
      </c>
      <c r="G38" s="382"/>
      <c r="H38" s="103"/>
      <c r="I38" s="377">
        <f t="shared" si="4"/>
        <v>0</v>
      </c>
      <c r="J38" s="382"/>
      <c r="K38" s="103"/>
      <c r="L38" s="377">
        <f t="shared" si="0"/>
        <v>0</v>
      </c>
      <c r="M38" s="382"/>
      <c r="N38" s="103"/>
      <c r="O38" s="377">
        <f t="shared" si="1"/>
        <v>0</v>
      </c>
      <c r="P38" s="375">
        <v>80</v>
      </c>
      <c r="Q38" s="376"/>
      <c r="R38" s="377">
        <f t="shared" si="2"/>
        <v>80</v>
      </c>
      <c r="S38" s="375">
        <v>40</v>
      </c>
      <c r="T38" s="376">
        <v>0</v>
      </c>
      <c r="U38" s="377">
        <f t="shared" si="5"/>
        <v>40</v>
      </c>
      <c r="V38" s="375"/>
      <c r="W38" s="376"/>
      <c r="X38" s="377">
        <f t="shared" si="3"/>
        <v>0</v>
      </c>
      <c r="Y38" s="295">
        <f t="shared" si="6"/>
        <v>120</v>
      </c>
      <c r="Z38" s="296">
        <f t="shared" si="6"/>
        <v>0</v>
      </c>
      <c r="AA38" s="297">
        <f t="shared" si="6"/>
        <v>120</v>
      </c>
      <c r="AB38" s="298">
        <f t="shared" si="7"/>
        <v>20</v>
      </c>
      <c r="AC38" s="299">
        <f t="shared" si="7"/>
        <v>0</v>
      </c>
      <c r="AD38" s="300">
        <f t="shared" si="7"/>
        <v>20</v>
      </c>
      <c r="AE38" s="378" t="s">
        <v>352</v>
      </c>
    </row>
    <row r="39" spans="1:31" s="361" customFormat="1" ht="18">
      <c r="A39" s="180">
        <v>32</v>
      </c>
      <c r="B39" s="21" t="s">
        <v>2643</v>
      </c>
      <c r="C39" s="379" t="s">
        <v>2625</v>
      </c>
      <c r="D39" s="379" t="s">
        <v>2644</v>
      </c>
      <c r="E39" s="380">
        <v>10</v>
      </c>
      <c r="F39" s="381" t="s">
        <v>352</v>
      </c>
      <c r="G39" s="382"/>
      <c r="H39" s="103"/>
      <c r="I39" s="377">
        <f t="shared" si="4"/>
        <v>0</v>
      </c>
      <c r="J39" s="382">
        <v>180</v>
      </c>
      <c r="K39" s="103"/>
      <c r="L39" s="377">
        <f t="shared" si="0"/>
        <v>180</v>
      </c>
      <c r="M39" s="382">
        <v>26</v>
      </c>
      <c r="N39" s="103"/>
      <c r="O39" s="377">
        <f t="shared" si="1"/>
        <v>26</v>
      </c>
      <c r="P39" s="375"/>
      <c r="Q39" s="376"/>
      <c r="R39" s="377">
        <f t="shared" si="2"/>
        <v>0</v>
      </c>
      <c r="S39" s="375">
        <v>40</v>
      </c>
      <c r="T39" s="376"/>
      <c r="U39" s="377">
        <f t="shared" si="5"/>
        <v>40</v>
      </c>
      <c r="V39" s="375"/>
      <c r="W39" s="376"/>
      <c r="X39" s="377">
        <f t="shared" si="3"/>
        <v>0</v>
      </c>
      <c r="Y39" s="295">
        <f t="shared" si="6"/>
        <v>246</v>
      </c>
      <c r="Z39" s="296">
        <f t="shared" si="6"/>
        <v>0</v>
      </c>
      <c r="AA39" s="297">
        <f t="shared" si="6"/>
        <v>246</v>
      </c>
      <c r="AB39" s="298">
        <f t="shared" si="7"/>
        <v>41</v>
      </c>
      <c r="AC39" s="299">
        <f t="shared" si="7"/>
        <v>0</v>
      </c>
      <c r="AD39" s="300">
        <f t="shared" si="7"/>
        <v>41</v>
      </c>
      <c r="AE39" s="378" t="s">
        <v>352</v>
      </c>
    </row>
    <row r="40" spans="1:31" s="361" customFormat="1" ht="18">
      <c r="A40" s="180">
        <v>33</v>
      </c>
      <c r="B40" s="21" t="s">
        <v>2645</v>
      </c>
      <c r="C40" s="379" t="s">
        <v>2625</v>
      </c>
      <c r="D40" s="379" t="s">
        <v>2646</v>
      </c>
      <c r="E40" s="380">
        <v>0</v>
      </c>
      <c r="F40" s="381" t="s">
        <v>352</v>
      </c>
      <c r="G40" s="382">
        <v>40</v>
      </c>
      <c r="H40" s="103"/>
      <c r="I40" s="377">
        <f t="shared" si="4"/>
        <v>40</v>
      </c>
      <c r="J40" s="382">
        <v>20</v>
      </c>
      <c r="K40" s="103"/>
      <c r="L40" s="377">
        <f t="shared" si="0"/>
        <v>20</v>
      </c>
      <c r="M40" s="382">
        <v>20</v>
      </c>
      <c r="N40" s="103"/>
      <c r="O40" s="377">
        <f t="shared" si="1"/>
        <v>20</v>
      </c>
      <c r="P40" s="375"/>
      <c r="Q40" s="376"/>
      <c r="R40" s="377">
        <f t="shared" si="2"/>
        <v>0</v>
      </c>
      <c r="S40" s="375"/>
      <c r="T40" s="376"/>
      <c r="U40" s="377">
        <f t="shared" si="5"/>
        <v>0</v>
      </c>
      <c r="V40" s="375">
        <v>20</v>
      </c>
      <c r="W40" s="376"/>
      <c r="X40" s="377">
        <f t="shared" si="3"/>
        <v>20</v>
      </c>
      <c r="Y40" s="295">
        <f t="shared" si="6"/>
        <v>100</v>
      </c>
      <c r="Z40" s="296">
        <f t="shared" si="6"/>
        <v>0</v>
      </c>
      <c r="AA40" s="297">
        <f t="shared" si="6"/>
        <v>100</v>
      </c>
      <c r="AB40" s="298">
        <f t="shared" si="7"/>
        <v>16.666666666666668</v>
      </c>
      <c r="AC40" s="299">
        <f t="shared" si="7"/>
        <v>0</v>
      </c>
      <c r="AD40" s="300">
        <f t="shared" si="7"/>
        <v>16.666666666666668</v>
      </c>
      <c r="AE40" s="378" t="s">
        <v>352</v>
      </c>
    </row>
    <row r="41" spans="1:31" s="361" customFormat="1" ht="18">
      <c r="A41" s="180">
        <v>34</v>
      </c>
      <c r="B41" s="21" t="s">
        <v>2647</v>
      </c>
      <c r="C41" s="379" t="s">
        <v>2625</v>
      </c>
      <c r="D41" s="379" t="s">
        <v>2648</v>
      </c>
      <c r="E41" s="380">
        <v>0</v>
      </c>
      <c r="F41" s="381" t="s">
        <v>352</v>
      </c>
      <c r="G41" s="382">
        <v>30</v>
      </c>
      <c r="H41" s="103"/>
      <c r="I41" s="377">
        <f t="shared" si="4"/>
        <v>30</v>
      </c>
      <c r="J41" s="382">
        <v>72</v>
      </c>
      <c r="K41" s="103"/>
      <c r="L41" s="377">
        <f t="shared" si="0"/>
        <v>72</v>
      </c>
      <c r="M41" s="382">
        <v>54</v>
      </c>
      <c r="N41" s="103"/>
      <c r="O41" s="377">
        <f t="shared" si="1"/>
        <v>54</v>
      </c>
      <c r="P41" s="375"/>
      <c r="Q41" s="376"/>
      <c r="R41" s="377">
        <f t="shared" si="2"/>
        <v>0</v>
      </c>
      <c r="S41" s="375">
        <v>36</v>
      </c>
      <c r="T41" s="376">
        <v>36</v>
      </c>
      <c r="U41" s="377">
        <f t="shared" si="5"/>
        <v>72</v>
      </c>
      <c r="V41" s="375">
        <v>36</v>
      </c>
      <c r="W41" s="376"/>
      <c r="X41" s="377">
        <f t="shared" si="3"/>
        <v>36</v>
      </c>
      <c r="Y41" s="295">
        <f t="shared" si="6"/>
        <v>228</v>
      </c>
      <c r="Z41" s="296">
        <f t="shared" si="6"/>
        <v>36</v>
      </c>
      <c r="AA41" s="297">
        <f t="shared" si="6"/>
        <v>264</v>
      </c>
      <c r="AB41" s="298">
        <f t="shared" si="7"/>
        <v>38</v>
      </c>
      <c r="AC41" s="299">
        <f t="shared" si="7"/>
        <v>6</v>
      </c>
      <c r="AD41" s="300">
        <f t="shared" si="7"/>
        <v>44</v>
      </c>
      <c r="AE41" s="378" t="s">
        <v>352</v>
      </c>
    </row>
    <row r="42" spans="1:31" s="361" customFormat="1" ht="18">
      <c r="A42" s="180">
        <v>35</v>
      </c>
      <c r="B42" s="383" t="s">
        <v>2649</v>
      </c>
      <c r="C42" s="111" t="s">
        <v>2625</v>
      </c>
      <c r="D42" s="111" t="s">
        <v>2650</v>
      </c>
      <c r="E42" s="60">
        <v>86</v>
      </c>
      <c r="F42" s="384" t="s">
        <v>352</v>
      </c>
      <c r="G42" s="319"/>
      <c r="H42" s="100"/>
      <c r="I42" s="385">
        <f t="shared" si="4"/>
        <v>0</v>
      </c>
      <c r="J42" s="319">
        <v>296</v>
      </c>
      <c r="K42" s="100">
        <v>72</v>
      </c>
      <c r="L42" s="385">
        <f t="shared" si="0"/>
        <v>368</v>
      </c>
      <c r="M42" s="319"/>
      <c r="N42" s="100"/>
      <c r="O42" s="385">
        <f t="shared" si="1"/>
        <v>0</v>
      </c>
      <c r="P42" s="386"/>
      <c r="Q42" s="387"/>
      <c r="R42" s="385">
        <f t="shared" si="2"/>
        <v>0</v>
      </c>
      <c r="S42" s="386">
        <v>200</v>
      </c>
      <c r="T42" s="387"/>
      <c r="U42" s="385">
        <f t="shared" si="5"/>
        <v>200</v>
      </c>
      <c r="V42" s="386"/>
      <c r="W42" s="387"/>
      <c r="X42" s="385">
        <f t="shared" si="3"/>
        <v>0</v>
      </c>
      <c r="Y42" s="386">
        <f t="shared" si="6"/>
        <v>496</v>
      </c>
      <c r="Z42" s="388">
        <f t="shared" si="6"/>
        <v>72</v>
      </c>
      <c r="AA42" s="389">
        <f t="shared" si="6"/>
        <v>568</v>
      </c>
      <c r="AB42" s="390">
        <f t="shared" si="7"/>
        <v>82.666666666666671</v>
      </c>
      <c r="AC42" s="391">
        <f t="shared" si="7"/>
        <v>12</v>
      </c>
      <c r="AD42" s="392">
        <f t="shared" si="7"/>
        <v>94.666666666666671</v>
      </c>
      <c r="AE42" s="393" t="s">
        <v>352</v>
      </c>
    </row>
    <row r="43" spans="1:31" s="361" customFormat="1" ht="18">
      <c r="A43" s="180">
        <v>36</v>
      </c>
      <c r="B43" s="383" t="s">
        <v>2651</v>
      </c>
      <c r="C43" s="111" t="s">
        <v>2625</v>
      </c>
      <c r="D43" s="111" t="s">
        <v>2652</v>
      </c>
      <c r="E43" s="60">
        <v>46</v>
      </c>
      <c r="F43" s="384" t="s">
        <v>352</v>
      </c>
      <c r="G43" s="319"/>
      <c r="H43" s="100"/>
      <c r="I43" s="385">
        <f t="shared" si="4"/>
        <v>0</v>
      </c>
      <c r="J43" s="319"/>
      <c r="K43" s="100"/>
      <c r="L43" s="385">
        <f t="shared" si="0"/>
        <v>0</v>
      </c>
      <c r="M43" s="319"/>
      <c r="N43" s="100"/>
      <c r="O43" s="385">
        <f t="shared" si="1"/>
        <v>0</v>
      </c>
      <c r="P43" s="386"/>
      <c r="Q43" s="387"/>
      <c r="R43" s="385">
        <f t="shared" si="2"/>
        <v>0</v>
      </c>
      <c r="S43" s="386">
        <v>0</v>
      </c>
      <c r="T43" s="387"/>
      <c r="U43" s="385">
        <f t="shared" si="5"/>
        <v>0</v>
      </c>
      <c r="V43" s="386"/>
      <c r="W43" s="387"/>
      <c r="X43" s="385">
        <f t="shared" si="3"/>
        <v>0</v>
      </c>
      <c r="Y43" s="386">
        <f t="shared" si="6"/>
        <v>0</v>
      </c>
      <c r="Z43" s="388">
        <f t="shared" si="6"/>
        <v>0</v>
      </c>
      <c r="AA43" s="389">
        <f t="shared" si="6"/>
        <v>0</v>
      </c>
      <c r="AB43" s="390">
        <f t="shared" si="7"/>
        <v>0</v>
      </c>
      <c r="AC43" s="391">
        <f t="shared" si="7"/>
        <v>0</v>
      </c>
      <c r="AD43" s="392">
        <f t="shared" si="7"/>
        <v>0</v>
      </c>
      <c r="AE43" s="393" t="s">
        <v>352</v>
      </c>
    </row>
    <row r="44" spans="1:31" s="361" customFormat="1" ht="18">
      <c r="A44" s="180">
        <v>37</v>
      </c>
      <c r="B44" s="383" t="s">
        <v>2653</v>
      </c>
      <c r="C44" s="111" t="s">
        <v>2625</v>
      </c>
      <c r="D44" s="111" t="s">
        <v>2654</v>
      </c>
      <c r="E44" s="60">
        <v>88</v>
      </c>
      <c r="F44" s="384" t="s">
        <v>352</v>
      </c>
      <c r="G44" s="319">
        <v>156.5</v>
      </c>
      <c r="H44" s="100"/>
      <c r="I44" s="385">
        <f t="shared" si="4"/>
        <v>156.5</v>
      </c>
      <c r="J44" s="319">
        <v>297</v>
      </c>
      <c r="K44" s="100"/>
      <c r="L44" s="385">
        <f t="shared" si="0"/>
        <v>297</v>
      </c>
      <c r="M44" s="319"/>
      <c r="N44" s="100"/>
      <c r="O44" s="385">
        <f t="shared" si="1"/>
        <v>0</v>
      </c>
      <c r="P44" s="386">
        <v>162</v>
      </c>
      <c r="Q44" s="387"/>
      <c r="R44" s="385">
        <f t="shared" si="2"/>
        <v>162</v>
      </c>
      <c r="S44" s="386">
        <v>154</v>
      </c>
      <c r="T44" s="387"/>
      <c r="U44" s="385">
        <f t="shared" si="5"/>
        <v>154</v>
      </c>
      <c r="V44" s="386">
        <v>134</v>
      </c>
      <c r="W44" s="387"/>
      <c r="X44" s="385">
        <f t="shared" si="3"/>
        <v>134</v>
      </c>
      <c r="Y44" s="386">
        <f t="shared" si="6"/>
        <v>903.5</v>
      </c>
      <c r="Z44" s="388">
        <f t="shared" si="6"/>
        <v>0</v>
      </c>
      <c r="AA44" s="389">
        <f t="shared" si="6"/>
        <v>903.5</v>
      </c>
      <c r="AB44" s="390">
        <f t="shared" si="7"/>
        <v>150.58333333333334</v>
      </c>
      <c r="AC44" s="391">
        <f t="shared" si="7"/>
        <v>0</v>
      </c>
      <c r="AD44" s="392">
        <f t="shared" si="7"/>
        <v>150.58333333333334</v>
      </c>
      <c r="AE44" s="393" t="s">
        <v>352</v>
      </c>
    </row>
    <row r="45" spans="1:31" s="361" customFormat="1" ht="18">
      <c r="A45" s="180">
        <v>38</v>
      </c>
      <c r="B45" s="383" t="s">
        <v>2655</v>
      </c>
      <c r="C45" s="111" t="s">
        <v>2625</v>
      </c>
      <c r="D45" s="111" t="s">
        <v>2656</v>
      </c>
      <c r="E45" s="60">
        <v>59</v>
      </c>
      <c r="F45" s="384" t="s">
        <v>352</v>
      </c>
      <c r="G45" s="319">
        <v>66</v>
      </c>
      <c r="H45" s="100"/>
      <c r="I45" s="385">
        <f t="shared" si="4"/>
        <v>66</v>
      </c>
      <c r="J45" s="319">
        <v>116</v>
      </c>
      <c r="K45" s="100">
        <v>96</v>
      </c>
      <c r="L45" s="385">
        <f t="shared" si="0"/>
        <v>212</v>
      </c>
      <c r="M45" s="319">
        <v>156</v>
      </c>
      <c r="N45" s="100">
        <v>18</v>
      </c>
      <c r="O45" s="385">
        <f t="shared" si="1"/>
        <v>174</v>
      </c>
      <c r="P45" s="386">
        <v>76</v>
      </c>
      <c r="Q45" s="387">
        <v>78</v>
      </c>
      <c r="R45" s="385">
        <f t="shared" si="2"/>
        <v>154</v>
      </c>
      <c r="S45" s="386">
        <v>0</v>
      </c>
      <c r="T45" s="387"/>
      <c r="U45" s="385">
        <f t="shared" si="5"/>
        <v>0</v>
      </c>
      <c r="V45" s="386">
        <v>116</v>
      </c>
      <c r="W45" s="387">
        <v>116</v>
      </c>
      <c r="X45" s="385">
        <f t="shared" si="3"/>
        <v>232</v>
      </c>
      <c r="Y45" s="386">
        <f t="shared" si="6"/>
        <v>530</v>
      </c>
      <c r="Z45" s="388">
        <f t="shared" si="6"/>
        <v>308</v>
      </c>
      <c r="AA45" s="389">
        <f t="shared" si="6"/>
        <v>838</v>
      </c>
      <c r="AB45" s="390">
        <f t="shared" si="7"/>
        <v>88.333333333333329</v>
      </c>
      <c r="AC45" s="391">
        <f t="shared" si="7"/>
        <v>51.333333333333336</v>
      </c>
      <c r="AD45" s="392">
        <f t="shared" si="7"/>
        <v>139.66666666666666</v>
      </c>
      <c r="AE45" s="393" t="s">
        <v>352</v>
      </c>
    </row>
    <row r="46" spans="1:31" s="361" customFormat="1" ht="18">
      <c r="A46" s="180">
        <v>39</v>
      </c>
      <c r="B46" s="20" t="s">
        <v>2657</v>
      </c>
      <c r="C46" s="379" t="s">
        <v>2625</v>
      </c>
      <c r="D46" s="379" t="s">
        <v>2658</v>
      </c>
      <c r="E46" s="380">
        <v>9</v>
      </c>
      <c r="F46" s="381" t="s">
        <v>352</v>
      </c>
      <c r="G46" s="382"/>
      <c r="H46" s="103"/>
      <c r="I46" s="377">
        <f t="shared" si="4"/>
        <v>0</v>
      </c>
      <c r="J46" s="382"/>
      <c r="K46" s="103"/>
      <c r="L46" s="377">
        <f t="shared" si="0"/>
        <v>0</v>
      </c>
      <c r="M46" s="382"/>
      <c r="N46" s="103"/>
      <c r="O46" s="377">
        <f t="shared" si="1"/>
        <v>0</v>
      </c>
      <c r="P46" s="375">
        <v>20</v>
      </c>
      <c r="Q46" s="376"/>
      <c r="R46" s="377">
        <f t="shared" si="2"/>
        <v>20</v>
      </c>
      <c r="S46" s="375"/>
      <c r="T46" s="376"/>
      <c r="U46" s="377">
        <f t="shared" si="5"/>
        <v>0</v>
      </c>
      <c r="V46" s="375"/>
      <c r="W46" s="376"/>
      <c r="X46" s="377">
        <f t="shared" si="3"/>
        <v>0</v>
      </c>
      <c r="Y46" s="295">
        <f t="shared" si="6"/>
        <v>20</v>
      </c>
      <c r="Z46" s="296">
        <f t="shared" si="6"/>
        <v>0</v>
      </c>
      <c r="AA46" s="297">
        <f t="shared" si="6"/>
        <v>20</v>
      </c>
      <c r="AB46" s="298">
        <f t="shared" si="7"/>
        <v>3.3333333333333335</v>
      </c>
      <c r="AC46" s="299">
        <f t="shared" si="7"/>
        <v>0</v>
      </c>
      <c r="AD46" s="300">
        <f t="shared" si="7"/>
        <v>3.3333333333333335</v>
      </c>
      <c r="AE46" s="378" t="s">
        <v>352</v>
      </c>
    </row>
    <row r="47" spans="1:31" s="361" customFormat="1" ht="18">
      <c r="A47" s="180">
        <v>40</v>
      </c>
      <c r="B47" s="20" t="s">
        <v>2659</v>
      </c>
      <c r="C47" s="379" t="s">
        <v>2625</v>
      </c>
      <c r="D47" s="379" t="s">
        <v>2660</v>
      </c>
      <c r="E47" s="380">
        <v>20</v>
      </c>
      <c r="F47" s="381" t="s">
        <v>352</v>
      </c>
      <c r="G47" s="382">
        <v>200</v>
      </c>
      <c r="H47" s="103">
        <v>20</v>
      </c>
      <c r="I47" s="377">
        <f t="shared" si="4"/>
        <v>220</v>
      </c>
      <c r="J47" s="382">
        <v>50</v>
      </c>
      <c r="K47" s="103"/>
      <c r="L47" s="377">
        <f t="shared" si="0"/>
        <v>50</v>
      </c>
      <c r="M47" s="382"/>
      <c r="N47" s="103">
        <v>56</v>
      </c>
      <c r="O47" s="377">
        <f t="shared" si="1"/>
        <v>56</v>
      </c>
      <c r="P47" s="375">
        <v>80</v>
      </c>
      <c r="Q47" s="376"/>
      <c r="R47" s="377">
        <f t="shared" si="2"/>
        <v>80</v>
      </c>
      <c r="S47" s="375">
        <v>65</v>
      </c>
      <c r="T47" s="376"/>
      <c r="U47" s="377">
        <f t="shared" si="5"/>
        <v>65</v>
      </c>
      <c r="V47" s="375">
        <v>240</v>
      </c>
      <c r="W47" s="376">
        <v>56</v>
      </c>
      <c r="X47" s="377">
        <f t="shared" si="3"/>
        <v>296</v>
      </c>
      <c r="Y47" s="295">
        <f t="shared" si="6"/>
        <v>635</v>
      </c>
      <c r="Z47" s="296">
        <f t="shared" si="6"/>
        <v>132</v>
      </c>
      <c r="AA47" s="297">
        <f t="shared" si="6"/>
        <v>767</v>
      </c>
      <c r="AB47" s="298">
        <f t="shared" si="7"/>
        <v>105.83333333333333</v>
      </c>
      <c r="AC47" s="299">
        <f t="shared" si="7"/>
        <v>22</v>
      </c>
      <c r="AD47" s="300">
        <f t="shared" si="7"/>
        <v>127.83333333333333</v>
      </c>
      <c r="AE47" s="378" t="s">
        <v>352</v>
      </c>
    </row>
    <row r="48" spans="1:31" s="361" customFormat="1" ht="18">
      <c r="A48" s="180">
        <v>41</v>
      </c>
      <c r="B48" s="20" t="s">
        <v>2661</v>
      </c>
      <c r="C48" s="379" t="s">
        <v>2662</v>
      </c>
      <c r="D48" s="379" t="s">
        <v>2663</v>
      </c>
      <c r="E48" s="380">
        <v>50</v>
      </c>
      <c r="F48" s="381" t="s">
        <v>352</v>
      </c>
      <c r="G48" s="382">
        <v>232</v>
      </c>
      <c r="H48" s="103">
        <v>56</v>
      </c>
      <c r="I48" s="377">
        <f t="shared" si="4"/>
        <v>288</v>
      </c>
      <c r="J48" s="382"/>
      <c r="K48" s="103"/>
      <c r="L48" s="377">
        <f t="shared" si="0"/>
        <v>0</v>
      </c>
      <c r="M48" s="382">
        <v>36</v>
      </c>
      <c r="N48" s="103">
        <v>112</v>
      </c>
      <c r="O48" s="377">
        <f t="shared" si="1"/>
        <v>148</v>
      </c>
      <c r="P48" s="375">
        <v>106</v>
      </c>
      <c r="Q48" s="376"/>
      <c r="R48" s="377">
        <f t="shared" si="2"/>
        <v>106</v>
      </c>
      <c r="S48" s="375"/>
      <c r="T48" s="376"/>
      <c r="U48" s="377">
        <f t="shared" si="5"/>
        <v>0</v>
      </c>
      <c r="V48" s="375"/>
      <c r="W48" s="376"/>
      <c r="X48" s="377">
        <f t="shared" si="3"/>
        <v>0</v>
      </c>
      <c r="Y48" s="295">
        <f t="shared" si="6"/>
        <v>374</v>
      </c>
      <c r="Z48" s="296">
        <f t="shared" si="6"/>
        <v>168</v>
      </c>
      <c r="AA48" s="297">
        <f t="shared" si="6"/>
        <v>542</v>
      </c>
      <c r="AB48" s="298">
        <f t="shared" si="7"/>
        <v>62.333333333333336</v>
      </c>
      <c r="AC48" s="299">
        <f t="shared" si="7"/>
        <v>28</v>
      </c>
      <c r="AD48" s="300">
        <f t="shared" si="7"/>
        <v>90.333333333333329</v>
      </c>
      <c r="AE48" s="378" t="s">
        <v>352</v>
      </c>
    </row>
    <row r="49" spans="1:31" s="361" customFormat="1" ht="18">
      <c r="A49" s="180">
        <v>42</v>
      </c>
      <c r="B49" s="20" t="s">
        <v>2664</v>
      </c>
      <c r="C49" s="379" t="s">
        <v>2662</v>
      </c>
      <c r="D49" s="379" t="s">
        <v>2665</v>
      </c>
      <c r="E49" s="380">
        <v>10</v>
      </c>
      <c r="F49" s="381" t="s">
        <v>352</v>
      </c>
      <c r="G49" s="382"/>
      <c r="H49" s="103"/>
      <c r="I49" s="377">
        <f t="shared" si="4"/>
        <v>0</v>
      </c>
      <c r="J49" s="382"/>
      <c r="K49" s="103"/>
      <c r="L49" s="377">
        <f t="shared" si="0"/>
        <v>0</v>
      </c>
      <c r="M49" s="382"/>
      <c r="N49" s="103"/>
      <c r="O49" s="377">
        <f t="shared" si="1"/>
        <v>0</v>
      </c>
      <c r="P49" s="375">
        <v>20</v>
      </c>
      <c r="Q49" s="376"/>
      <c r="R49" s="377">
        <f t="shared" si="2"/>
        <v>20</v>
      </c>
      <c r="S49" s="375"/>
      <c r="T49" s="376"/>
      <c r="U49" s="377">
        <f t="shared" si="5"/>
        <v>0</v>
      </c>
      <c r="V49" s="375"/>
      <c r="W49" s="376"/>
      <c r="X49" s="377">
        <f t="shared" si="3"/>
        <v>0</v>
      </c>
      <c r="Y49" s="295">
        <f t="shared" si="6"/>
        <v>20</v>
      </c>
      <c r="Z49" s="296">
        <f t="shared" si="6"/>
        <v>0</v>
      </c>
      <c r="AA49" s="297">
        <f t="shared" si="6"/>
        <v>20</v>
      </c>
      <c r="AB49" s="298">
        <f t="shared" si="7"/>
        <v>3.3333333333333335</v>
      </c>
      <c r="AC49" s="299">
        <f t="shared" si="7"/>
        <v>0</v>
      </c>
      <c r="AD49" s="300">
        <f t="shared" si="7"/>
        <v>3.3333333333333335</v>
      </c>
      <c r="AE49" s="378" t="s">
        <v>352</v>
      </c>
    </row>
    <row r="50" spans="1:31" s="361" customFormat="1" ht="18">
      <c r="A50" s="180">
        <v>43</v>
      </c>
      <c r="B50" s="20" t="s">
        <v>2666</v>
      </c>
      <c r="C50" s="379" t="s">
        <v>2662</v>
      </c>
      <c r="D50" s="379" t="s">
        <v>2667</v>
      </c>
      <c r="E50" s="380">
        <v>16</v>
      </c>
      <c r="F50" s="381" t="s">
        <v>352</v>
      </c>
      <c r="G50" s="382">
        <v>85</v>
      </c>
      <c r="H50" s="103">
        <v>18</v>
      </c>
      <c r="I50" s="377">
        <f t="shared" si="4"/>
        <v>103</v>
      </c>
      <c r="J50" s="382"/>
      <c r="K50" s="103"/>
      <c r="L50" s="377">
        <f t="shared" si="0"/>
        <v>0</v>
      </c>
      <c r="M50" s="382">
        <v>36</v>
      </c>
      <c r="N50" s="103">
        <v>36</v>
      </c>
      <c r="O50" s="377">
        <f t="shared" si="1"/>
        <v>72</v>
      </c>
      <c r="P50" s="375"/>
      <c r="Q50" s="376"/>
      <c r="R50" s="377">
        <f t="shared" si="2"/>
        <v>0</v>
      </c>
      <c r="S50" s="375">
        <v>40</v>
      </c>
      <c r="T50" s="376"/>
      <c r="U50" s="377">
        <f t="shared" si="5"/>
        <v>40</v>
      </c>
      <c r="V50" s="375">
        <v>60</v>
      </c>
      <c r="W50" s="376"/>
      <c r="X50" s="377">
        <f t="shared" si="3"/>
        <v>60</v>
      </c>
      <c r="Y50" s="295">
        <f t="shared" si="6"/>
        <v>221</v>
      </c>
      <c r="Z50" s="296">
        <f t="shared" si="6"/>
        <v>54</v>
      </c>
      <c r="AA50" s="297">
        <f t="shared" si="6"/>
        <v>275</v>
      </c>
      <c r="AB50" s="298">
        <f t="shared" si="7"/>
        <v>36.833333333333336</v>
      </c>
      <c r="AC50" s="299">
        <f t="shared" si="7"/>
        <v>9</v>
      </c>
      <c r="AD50" s="300">
        <f t="shared" si="7"/>
        <v>45.833333333333336</v>
      </c>
      <c r="AE50" s="378" t="s">
        <v>352</v>
      </c>
    </row>
    <row r="51" spans="1:31" s="361" customFormat="1" ht="18">
      <c r="A51" s="180">
        <v>44</v>
      </c>
      <c r="B51" s="20" t="s">
        <v>2668</v>
      </c>
      <c r="C51" s="379" t="s">
        <v>2662</v>
      </c>
      <c r="D51" s="379" t="s">
        <v>2669</v>
      </c>
      <c r="E51" s="380">
        <v>20</v>
      </c>
      <c r="F51" s="381" t="s">
        <v>352</v>
      </c>
      <c r="G51" s="382"/>
      <c r="H51" s="103"/>
      <c r="I51" s="377">
        <f t="shared" si="4"/>
        <v>0</v>
      </c>
      <c r="J51" s="382"/>
      <c r="K51" s="103"/>
      <c r="L51" s="377">
        <f t="shared" si="0"/>
        <v>0</v>
      </c>
      <c r="M51" s="382"/>
      <c r="N51" s="103"/>
      <c r="O51" s="377">
        <f t="shared" si="1"/>
        <v>0</v>
      </c>
      <c r="P51" s="375">
        <v>20</v>
      </c>
      <c r="Q51" s="376"/>
      <c r="R51" s="377">
        <f t="shared" si="2"/>
        <v>20</v>
      </c>
      <c r="S51" s="375"/>
      <c r="T51" s="376"/>
      <c r="U51" s="377">
        <f t="shared" si="5"/>
        <v>0</v>
      </c>
      <c r="V51" s="375"/>
      <c r="W51" s="376"/>
      <c r="X51" s="377">
        <f t="shared" si="3"/>
        <v>0</v>
      </c>
      <c r="Y51" s="295">
        <f t="shared" si="6"/>
        <v>20</v>
      </c>
      <c r="Z51" s="296">
        <f t="shared" si="6"/>
        <v>0</v>
      </c>
      <c r="AA51" s="297">
        <f t="shared" si="6"/>
        <v>20</v>
      </c>
      <c r="AB51" s="298">
        <f t="shared" si="7"/>
        <v>3.3333333333333335</v>
      </c>
      <c r="AC51" s="299">
        <f t="shared" si="7"/>
        <v>0</v>
      </c>
      <c r="AD51" s="300">
        <f t="shared" si="7"/>
        <v>3.3333333333333335</v>
      </c>
      <c r="AE51" s="378" t="s">
        <v>352</v>
      </c>
    </row>
    <row r="52" spans="1:31" s="361" customFormat="1" ht="18">
      <c r="A52" s="180">
        <v>45</v>
      </c>
      <c r="B52" s="21" t="s">
        <v>2670</v>
      </c>
      <c r="C52" s="379" t="s">
        <v>2662</v>
      </c>
      <c r="D52" s="379" t="s">
        <v>2671</v>
      </c>
      <c r="E52" s="380">
        <v>5</v>
      </c>
      <c r="F52" s="381" t="s">
        <v>352</v>
      </c>
      <c r="G52" s="382">
        <v>10</v>
      </c>
      <c r="H52" s="103"/>
      <c r="I52" s="377">
        <f t="shared" si="4"/>
        <v>10</v>
      </c>
      <c r="J52" s="382">
        <v>35</v>
      </c>
      <c r="K52" s="103"/>
      <c r="L52" s="377">
        <f t="shared" si="0"/>
        <v>35</v>
      </c>
      <c r="M52" s="382"/>
      <c r="N52" s="103"/>
      <c r="O52" s="377">
        <f t="shared" si="1"/>
        <v>0</v>
      </c>
      <c r="P52" s="375"/>
      <c r="Q52" s="376"/>
      <c r="R52" s="377">
        <f t="shared" si="2"/>
        <v>0</v>
      </c>
      <c r="S52" s="375">
        <v>40</v>
      </c>
      <c r="T52" s="376"/>
      <c r="U52" s="377">
        <f t="shared" si="5"/>
        <v>40</v>
      </c>
      <c r="V52" s="375"/>
      <c r="W52" s="376"/>
      <c r="X52" s="377">
        <f t="shared" si="3"/>
        <v>0</v>
      </c>
      <c r="Y52" s="295">
        <f t="shared" si="6"/>
        <v>85</v>
      </c>
      <c r="Z52" s="296">
        <f t="shared" si="6"/>
        <v>0</v>
      </c>
      <c r="AA52" s="297">
        <f t="shared" si="6"/>
        <v>85</v>
      </c>
      <c r="AB52" s="298">
        <f t="shared" si="7"/>
        <v>14.166666666666666</v>
      </c>
      <c r="AC52" s="299">
        <f t="shared" si="7"/>
        <v>0</v>
      </c>
      <c r="AD52" s="300">
        <f t="shared" si="7"/>
        <v>14.166666666666666</v>
      </c>
      <c r="AE52" s="378" t="s">
        <v>352</v>
      </c>
    </row>
    <row r="53" spans="1:31" s="361" customFormat="1" ht="18">
      <c r="A53" s="180">
        <v>46</v>
      </c>
      <c r="B53" s="20" t="s">
        <v>2672</v>
      </c>
      <c r="C53" s="379" t="s">
        <v>2662</v>
      </c>
      <c r="D53" s="379" t="s">
        <v>2673</v>
      </c>
      <c r="E53" s="380">
        <v>8</v>
      </c>
      <c r="F53" s="381" t="s">
        <v>352</v>
      </c>
      <c r="G53" s="382"/>
      <c r="H53" s="103"/>
      <c r="I53" s="377">
        <f t="shared" si="4"/>
        <v>0</v>
      </c>
      <c r="J53" s="382"/>
      <c r="K53" s="103"/>
      <c r="L53" s="377">
        <f t="shared" si="0"/>
        <v>0</v>
      </c>
      <c r="M53" s="382"/>
      <c r="N53" s="103"/>
      <c r="O53" s="377">
        <f t="shared" si="1"/>
        <v>0</v>
      </c>
      <c r="P53" s="375"/>
      <c r="Q53" s="376"/>
      <c r="R53" s="377">
        <f t="shared" si="2"/>
        <v>0</v>
      </c>
      <c r="S53" s="375"/>
      <c r="T53" s="376"/>
      <c r="U53" s="377">
        <f t="shared" si="5"/>
        <v>0</v>
      </c>
      <c r="V53" s="375"/>
      <c r="W53" s="376"/>
      <c r="X53" s="377">
        <f t="shared" si="3"/>
        <v>0</v>
      </c>
      <c r="Y53" s="295">
        <f t="shared" si="6"/>
        <v>0</v>
      </c>
      <c r="Z53" s="296">
        <f t="shared" si="6"/>
        <v>0</v>
      </c>
      <c r="AA53" s="297">
        <f t="shared" si="6"/>
        <v>0</v>
      </c>
      <c r="AB53" s="298">
        <f t="shared" si="7"/>
        <v>0</v>
      </c>
      <c r="AC53" s="299">
        <f t="shared" si="7"/>
        <v>0</v>
      </c>
      <c r="AD53" s="300">
        <f t="shared" si="7"/>
        <v>0</v>
      </c>
      <c r="AE53" s="378" t="s">
        <v>352</v>
      </c>
    </row>
    <row r="54" spans="1:31" s="361" customFormat="1" ht="18">
      <c r="A54" s="180">
        <v>47</v>
      </c>
      <c r="B54" s="20" t="s">
        <v>2674</v>
      </c>
      <c r="C54" s="379" t="s">
        <v>2662</v>
      </c>
      <c r="D54" s="379" t="s">
        <v>2675</v>
      </c>
      <c r="E54" s="380">
        <v>5</v>
      </c>
      <c r="F54" s="381" t="s">
        <v>352</v>
      </c>
      <c r="G54" s="382"/>
      <c r="H54" s="103"/>
      <c r="I54" s="377">
        <f t="shared" si="4"/>
        <v>0</v>
      </c>
      <c r="J54" s="382"/>
      <c r="K54" s="103"/>
      <c r="L54" s="377">
        <f t="shared" si="0"/>
        <v>0</v>
      </c>
      <c r="M54" s="382"/>
      <c r="N54" s="103"/>
      <c r="O54" s="377">
        <f t="shared" si="1"/>
        <v>0</v>
      </c>
      <c r="P54" s="375"/>
      <c r="Q54" s="376"/>
      <c r="R54" s="377">
        <f t="shared" si="2"/>
        <v>0</v>
      </c>
      <c r="S54" s="375"/>
      <c r="T54" s="376"/>
      <c r="U54" s="377">
        <f t="shared" si="5"/>
        <v>0</v>
      </c>
      <c r="V54" s="375"/>
      <c r="W54" s="376"/>
      <c r="X54" s="377">
        <f t="shared" si="3"/>
        <v>0</v>
      </c>
      <c r="Y54" s="295">
        <f t="shared" si="6"/>
        <v>0</v>
      </c>
      <c r="Z54" s="296">
        <f t="shared" si="6"/>
        <v>0</v>
      </c>
      <c r="AA54" s="297">
        <f t="shared" si="6"/>
        <v>0</v>
      </c>
      <c r="AB54" s="298">
        <f t="shared" si="7"/>
        <v>0</v>
      </c>
      <c r="AC54" s="299">
        <f t="shared" si="7"/>
        <v>0</v>
      </c>
      <c r="AD54" s="300">
        <f t="shared" si="7"/>
        <v>0</v>
      </c>
      <c r="AE54" s="378" t="s">
        <v>352</v>
      </c>
    </row>
    <row r="55" spans="1:31" s="361" customFormat="1" ht="18">
      <c r="A55" s="180">
        <v>48</v>
      </c>
      <c r="B55" s="20" t="s">
        <v>2676</v>
      </c>
      <c r="C55" s="379" t="s">
        <v>2662</v>
      </c>
      <c r="D55" s="379" t="s">
        <v>2677</v>
      </c>
      <c r="E55" s="380">
        <v>48</v>
      </c>
      <c r="F55" s="381" t="s">
        <v>352</v>
      </c>
      <c r="G55" s="382">
        <v>20</v>
      </c>
      <c r="H55" s="103">
        <v>20</v>
      </c>
      <c r="I55" s="377">
        <f t="shared" si="4"/>
        <v>40</v>
      </c>
      <c r="J55" s="382">
        <v>98</v>
      </c>
      <c r="K55" s="103"/>
      <c r="L55" s="377">
        <f t="shared" si="0"/>
        <v>98</v>
      </c>
      <c r="M55" s="382">
        <v>30</v>
      </c>
      <c r="N55" s="103">
        <v>56</v>
      </c>
      <c r="O55" s="377">
        <f t="shared" si="1"/>
        <v>86</v>
      </c>
      <c r="P55" s="375"/>
      <c r="Q55" s="376"/>
      <c r="R55" s="377">
        <f t="shared" si="2"/>
        <v>0</v>
      </c>
      <c r="S55" s="375">
        <v>60</v>
      </c>
      <c r="T55" s="376">
        <v>56</v>
      </c>
      <c r="U55" s="377">
        <f t="shared" si="5"/>
        <v>116</v>
      </c>
      <c r="V55" s="375">
        <v>20</v>
      </c>
      <c r="W55" s="376">
        <v>38</v>
      </c>
      <c r="X55" s="377">
        <f t="shared" si="3"/>
        <v>58</v>
      </c>
      <c r="Y55" s="295">
        <f t="shared" si="6"/>
        <v>228</v>
      </c>
      <c r="Z55" s="296">
        <f t="shared" si="6"/>
        <v>170</v>
      </c>
      <c r="AA55" s="297">
        <f t="shared" si="6"/>
        <v>398</v>
      </c>
      <c r="AB55" s="298">
        <f t="shared" si="7"/>
        <v>38</v>
      </c>
      <c r="AC55" s="299">
        <f t="shared" si="7"/>
        <v>28.333333333333332</v>
      </c>
      <c r="AD55" s="300">
        <f t="shared" si="7"/>
        <v>66.333333333333329</v>
      </c>
      <c r="AE55" s="378" t="s">
        <v>352</v>
      </c>
    </row>
    <row r="56" spans="1:31" s="361" customFormat="1" ht="18">
      <c r="A56" s="180">
        <v>49</v>
      </c>
      <c r="B56" s="20" t="s">
        <v>2678</v>
      </c>
      <c r="C56" s="379" t="s">
        <v>2662</v>
      </c>
      <c r="D56" s="379" t="s">
        <v>2679</v>
      </c>
      <c r="E56" s="380">
        <v>0</v>
      </c>
      <c r="F56" s="381" t="s">
        <v>2589</v>
      </c>
      <c r="G56" s="382">
        <v>300</v>
      </c>
      <c r="H56" s="103"/>
      <c r="I56" s="377">
        <f t="shared" si="4"/>
        <v>300</v>
      </c>
      <c r="J56" s="382">
        <v>100</v>
      </c>
      <c r="K56" s="103"/>
      <c r="L56" s="377">
        <f t="shared" si="0"/>
        <v>100</v>
      </c>
      <c r="M56" s="382">
        <v>40</v>
      </c>
      <c r="N56" s="103">
        <v>36</v>
      </c>
      <c r="O56" s="377">
        <f t="shared" si="1"/>
        <v>76</v>
      </c>
      <c r="P56" s="375"/>
      <c r="Q56" s="376"/>
      <c r="R56" s="377">
        <f t="shared" si="2"/>
        <v>0</v>
      </c>
      <c r="S56" s="375"/>
      <c r="T56" s="376"/>
      <c r="U56" s="377">
        <f t="shared" si="5"/>
        <v>0</v>
      </c>
      <c r="V56" s="375">
        <v>10</v>
      </c>
      <c r="W56" s="376"/>
      <c r="X56" s="377">
        <f t="shared" si="3"/>
        <v>10</v>
      </c>
      <c r="Y56" s="295">
        <f t="shared" si="6"/>
        <v>450</v>
      </c>
      <c r="Z56" s="296">
        <f t="shared" si="6"/>
        <v>36</v>
      </c>
      <c r="AA56" s="297">
        <f t="shared" si="6"/>
        <v>486</v>
      </c>
      <c r="AB56" s="298">
        <f t="shared" si="7"/>
        <v>75</v>
      </c>
      <c r="AC56" s="299">
        <f t="shared" si="7"/>
        <v>6</v>
      </c>
      <c r="AD56" s="300">
        <f t="shared" si="7"/>
        <v>81</v>
      </c>
      <c r="AE56" s="378" t="s">
        <v>2589</v>
      </c>
    </row>
    <row r="57" spans="1:31" s="361" customFormat="1" ht="18">
      <c r="A57" s="180">
        <v>50</v>
      </c>
      <c r="B57" s="20" t="s">
        <v>2680</v>
      </c>
      <c r="C57" s="379" t="s">
        <v>2662</v>
      </c>
      <c r="D57" s="379" t="s">
        <v>2681</v>
      </c>
      <c r="E57" s="380">
        <v>18</v>
      </c>
      <c r="F57" s="381" t="s">
        <v>348</v>
      </c>
      <c r="G57" s="382"/>
      <c r="H57" s="103"/>
      <c r="I57" s="377">
        <f t="shared" si="4"/>
        <v>0</v>
      </c>
      <c r="J57" s="382"/>
      <c r="K57" s="103"/>
      <c r="L57" s="377">
        <f t="shared" si="0"/>
        <v>0</v>
      </c>
      <c r="M57" s="382"/>
      <c r="N57" s="103"/>
      <c r="O57" s="377">
        <f t="shared" si="1"/>
        <v>0</v>
      </c>
      <c r="P57" s="375"/>
      <c r="Q57" s="376"/>
      <c r="R57" s="377">
        <f t="shared" si="2"/>
        <v>0</v>
      </c>
      <c r="S57" s="375"/>
      <c r="T57" s="376"/>
      <c r="U57" s="377">
        <f t="shared" si="5"/>
        <v>0</v>
      </c>
      <c r="V57" s="375">
        <v>25</v>
      </c>
      <c r="W57" s="376"/>
      <c r="X57" s="377">
        <f t="shared" si="3"/>
        <v>25</v>
      </c>
      <c r="Y57" s="295">
        <f t="shared" si="6"/>
        <v>25</v>
      </c>
      <c r="Z57" s="296">
        <f t="shared" si="6"/>
        <v>0</v>
      </c>
      <c r="AA57" s="297">
        <f t="shared" si="6"/>
        <v>25</v>
      </c>
      <c r="AB57" s="298">
        <f t="shared" si="7"/>
        <v>4.166666666666667</v>
      </c>
      <c r="AC57" s="299">
        <f t="shared" si="7"/>
        <v>0</v>
      </c>
      <c r="AD57" s="300">
        <f t="shared" si="7"/>
        <v>4.166666666666667</v>
      </c>
      <c r="AE57" s="378" t="s">
        <v>348</v>
      </c>
    </row>
    <row r="58" spans="1:31" s="361" customFormat="1" ht="18">
      <c r="A58" s="180">
        <v>51</v>
      </c>
      <c r="B58" s="20" t="s">
        <v>2682</v>
      </c>
      <c r="C58" s="379" t="s">
        <v>2662</v>
      </c>
      <c r="D58" s="379" t="s">
        <v>2683</v>
      </c>
      <c r="E58" s="380">
        <v>0</v>
      </c>
      <c r="F58" s="381" t="s">
        <v>352</v>
      </c>
      <c r="G58" s="382">
        <v>25</v>
      </c>
      <c r="H58" s="103"/>
      <c r="I58" s="377">
        <f t="shared" si="4"/>
        <v>25</v>
      </c>
      <c r="J58" s="382"/>
      <c r="K58" s="103"/>
      <c r="L58" s="377">
        <f t="shared" si="0"/>
        <v>0</v>
      </c>
      <c r="M58" s="382"/>
      <c r="N58" s="103"/>
      <c r="O58" s="377">
        <f t="shared" si="1"/>
        <v>0</v>
      </c>
      <c r="P58" s="375">
        <v>20</v>
      </c>
      <c r="Q58" s="376"/>
      <c r="R58" s="377">
        <f t="shared" si="2"/>
        <v>20</v>
      </c>
      <c r="S58" s="375">
        <v>18</v>
      </c>
      <c r="T58" s="376"/>
      <c r="U58" s="377">
        <f t="shared" si="5"/>
        <v>18</v>
      </c>
      <c r="V58" s="375"/>
      <c r="W58" s="376"/>
      <c r="X58" s="377">
        <f t="shared" si="3"/>
        <v>0</v>
      </c>
      <c r="Y58" s="295">
        <f t="shared" si="6"/>
        <v>63</v>
      </c>
      <c r="Z58" s="296">
        <f t="shared" si="6"/>
        <v>0</v>
      </c>
      <c r="AA58" s="297">
        <f t="shared" si="6"/>
        <v>63</v>
      </c>
      <c r="AB58" s="298">
        <f t="shared" si="7"/>
        <v>10.5</v>
      </c>
      <c r="AC58" s="299">
        <f t="shared" si="7"/>
        <v>0</v>
      </c>
      <c r="AD58" s="300">
        <f t="shared" si="7"/>
        <v>10.5</v>
      </c>
      <c r="AE58" s="378" t="s">
        <v>352</v>
      </c>
    </row>
    <row r="59" spans="1:31" s="361" customFormat="1" ht="18">
      <c r="A59" s="180">
        <v>52</v>
      </c>
      <c r="B59" s="20" t="s">
        <v>2684</v>
      </c>
      <c r="C59" s="379" t="s">
        <v>2662</v>
      </c>
      <c r="D59" s="379" t="s">
        <v>2685</v>
      </c>
      <c r="E59" s="380">
        <v>0</v>
      </c>
      <c r="F59" s="381" t="s">
        <v>352</v>
      </c>
      <c r="G59" s="382"/>
      <c r="H59" s="103"/>
      <c r="I59" s="377">
        <f t="shared" si="4"/>
        <v>0</v>
      </c>
      <c r="J59" s="382"/>
      <c r="K59" s="103"/>
      <c r="L59" s="377">
        <f t="shared" si="0"/>
        <v>0</v>
      </c>
      <c r="M59" s="382"/>
      <c r="N59" s="103"/>
      <c r="O59" s="377">
        <f t="shared" si="1"/>
        <v>0</v>
      </c>
      <c r="P59" s="375">
        <v>9</v>
      </c>
      <c r="Q59" s="376"/>
      <c r="R59" s="377">
        <f t="shared" si="2"/>
        <v>9</v>
      </c>
      <c r="S59" s="375"/>
      <c r="T59" s="376"/>
      <c r="U59" s="377">
        <f t="shared" si="5"/>
        <v>0</v>
      </c>
      <c r="V59" s="375">
        <v>10</v>
      </c>
      <c r="W59" s="376"/>
      <c r="X59" s="377">
        <f t="shared" si="3"/>
        <v>10</v>
      </c>
      <c r="Y59" s="295">
        <f t="shared" si="6"/>
        <v>19</v>
      </c>
      <c r="Z59" s="296">
        <f t="shared" si="6"/>
        <v>0</v>
      </c>
      <c r="AA59" s="297">
        <f t="shared" si="6"/>
        <v>19</v>
      </c>
      <c r="AB59" s="298">
        <f t="shared" si="7"/>
        <v>3.1666666666666665</v>
      </c>
      <c r="AC59" s="299">
        <f t="shared" si="7"/>
        <v>0</v>
      </c>
      <c r="AD59" s="300">
        <f t="shared" si="7"/>
        <v>3.1666666666666665</v>
      </c>
      <c r="AE59" s="378" t="s">
        <v>352</v>
      </c>
    </row>
    <row r="60" spans="1:31" s="361" customFormat="1" ht="18">
      <c r="A60" s="180">
        <v>53</v>
      </c>
      <c r="B60" s="20" t="s">
        <v>2686</v>
      </c>
      <c r="C60" s="379" t="s">
        <v>2662</v>
      </c>
      <c r="D60" s="379" t="s">
        <v>2687</v>
      </c>
      <c r="E60" s="380">
        <v>0</v>
      </c>
      <c r="F60" s="381" t="s">
        <v>352</v>
      </c>
      <c r="G60" s="382"/>
      <c r="H60" s="103"/>
      <c r="I60" s="377">
        <f t="shared" si="4"/>
        <v>0</v>
      </c>
      <c r="J60" s="382">
        <v>43.5</v>
      </c>
      <c r="K60" s="103"/>
      <c r="L60" s="377">
        <f t="shared" si="0"/>
        <v>43.5</v>
      </c>
      <c r="M60" s="382"/>
      <c r="N60" s="103"/>
      <c r="O60" s="377">
        <f t="shared" si="1"/>
        <v>0</v>
      </c>
      <c r="P60" s="375"/>
      <c r="Q60" s="376"/>
      <c r="R60" s="377">
        <f t="shared" si="2"/>
        <v>0</v>
      </c>
      <c r="S60" s="375">
        <v>18</v>
      </c>
      <c r="T60" s="376"/>
      <c r="U60" s="377">
        <f t="shared" si="5"/>
        <v>18</v>
      </c>
      <c r="V60" s="375"/>
      <c r="W60" s="376"/>
      <c r="X60" s="377">
        <f t="shared" si="3"/>
        <v>0</v>
      </c>
      <c r="Y60" s="295">
        <f t="shared" si="6"/>
        <v>61.5</v>
      </c>
      <c r="Z60" s="296">
        <f t="shared" si="6"/>
        <v>0</v>
      </c>
      <c r="AA60" s="297">
        <f t="shared" si="6"/>
        <v>61.5</v>
      </c>
      <c r="AB60" s="298">
        <f t="shared" si="7"/>
        <v>10.25</v>
      </c>
      <c r="AC60" s="299">
        <f t="shared" si="7"/>
        <v>0</v>
      </c>
      <c r="AD60" s="300">
        <f t="shared" si="7"/>
        <v>10.25</v>
      </c>
      <c r="AE60" s="378" t="s">
        <v>352</v>
      </c>
    </row>
    <row r="61" spans="1:31" s="361" customFormat="1" ht="18">
      <c r="A61" s="180">
        <v>54</v>
      </c>
      <c r="B61" s="20" t="s">
        <v>2688</v>
      </c>
      <c r="C61" s="379" t="s">
        <v>2662</v>
      </c>
      <c r="D61" s="379" t="s">
        <v>2689</v>
      </c>
      <c r="E61" s="380">
        <v>0</v>
      </c>
      <c r="F61" s="381" t="s">
        <v>352</v>
      </c>
      <c r="G61" s="382"/>
      <c r="H61" s="103"/>
      <c r="I61" s="377">
        <f t="shared" si="4"/>
        <v>0</v>
      </c>
      <c r="J61" s="382"/>
      <c r="K61" s="103"/>
      <c r="L61" s="377">
        <f t="shared" si="0"/>
        <v>0</v>
      </c>
      <c r="M61" s="382"/>
      <c r="N61" s="103"/>
      <c r="O61" s="377">
        <f t="shared" si="1"/>
        <v>0</v>
      </c>
      <c r="P61" s="375">
        <v>15</v>
      </c>
      <c r="Q61" s="376"/>
      <c r="R61" s="377">
        <f t="shared" si="2"/>
        <v>15</v>
      </c>
      <c r="S61" s="375"/>
      <c r="T61" s="376"/>
      <c r="U61" s="377">
        <f t="shared" si="5"/>
        <v>0</v>
      </c>
      <c r="V61" s="375"/>
      <c r="W61" s="376"/>
      <c r="X61" s="377">
        <f t="shared" si="3"/>
        <v>0</v>
      </c>
      <c r="Y61" s="295">
        <f t="shared" si="6"/>
        <v>15</v>
      </c>
      <c r="Z61" s="296">
        <f t="shared" si="6"/>
        <v>0</v>
      </c>
      <c r="AA61" s="297">
        <f t="shared" si="6"/>
        <v>15</v>
      </c>
      <c r="AB61" s="298">
        <f t="shared" si="7"/>
        <v>2.5</v>
      </c>
      <c r="AC61" s="299">
        <f t="shared" si="7"/>
        <v>0</v>
      </c>
      <c r="AD61" s="300">
        <f t="shared" si="7"/>
        <v>2.5</v>
      </c>
      <c r="AE61" s="378" t="s">
        <v>352</v>
      </c>
    </row>
    <row r="62" spans="1:31" s="361" customFormat="1" ht="18">
      <c r="A62" s="180">
        <v>55</v>
      </c>
      <c r="B62" s="20" t="s">
        <v>2690</v>
      </c>
      <c r="C62" s="379" t="s">
        <v>2662</v>
      </c>
      <c r="D62" s="379" t="s">
        <v>2691</v>
      </c>
      <c r="E62" s="380">
        <v>0</v>
      </c>
      <c r="F62" s="381" t="s">
        <v>352</v>
      </c>
      <c r="G62" s="382"/>
      <c r="H62" s="103"/>
      <c r="I62" s="377">
        <f t="shared" si="4"/>
        <v>0</v>
      </c>
      <c r="J62" s="382"/>
      <c r="K62" s="103"/>
      <c r="L62" s="377">
        <f t="shared" si="0"/>
        <v>0</v>
      </c>
      <c r="M62" s="382"/>
      <c r="N62" s="103"/>
      <c r="O62" s="377">
        <f t="shared" si="1"/>
        <v>0</v>
      </c>
      <c r="P62" s="375">
        <v>20</v>
      </c>
      <c r="Q62" s="376"/>
      <c r="R62" s="377">
        <f t="shared" si="2"/>
        <v>20</v>
      </c>
      <c r="S62" s="375"/>
      <c r="T62" s="376"/>
      <c r="U62" s="377">
        <f t="shared" si="5"/>
        <v>0</v>
      </c>
      <c r="V62" s="375"/>
      <c r="W62" s="376"/>
      <c r="X62" s="377">
        <f t="shared" si="3"/>
        <v>0</v>
      </c>
      <c r="Y62" s="295">
        <f t="shared" si="6"/>
        <v>20</v>
      </c>
      <c r="Z62" s="296">
        <f t="shared" si="6"/>
        <v>0</v>
      </c>
      <c r="AA62" s="297">
        <f t="shared" si="6"/>
        <v>20</v>
      </c>
      <c r="AB62" s="298">
        <f t="shared" si="7"/>
        <v>3.3333333333333335</v>
      </c>
      <c r="AC62" s="299">
        <f t="shared" si="7"/>
        <v>0</v>
      </c>
      <c r="AD62" s="300">
        <f t="shared" si="7"/>
        <v>3.3333333333333335</v>
      </c>
      <c r="AE62" s="378" t="s">
        <v>352</v>
      </c>
    </row>
    <row r="63" spans="1:31" s="361" customFormat="1" ht="18">
      <c r="A63" s="180">
        <v>56</v>
      </c>
      <c r="B63" s="383" t="s">
        <v>2692</v>
      </c>
      <c r="C63" s="111" t="s">
        <v>2662</v>
      </c>
      <c r="D63" s="111" t="s">
        <v>2693</v>
      </c>
      <c r="E63" s="60">
        <v>176</v>
      </c>
      <c r="F63" s="384" t="s">
        <v>352</v>
      </c>
      <c r="G63" s="319">
        <v>192</v>
      </c>
      <c r="H63" s="100"/>
      <c r="I63" s="385">
        <f t="shared" si="4"/>
        <v>192</v>
      </c>
      <c r="J63" s="319">
        <v>298</v>
      </c>
      <c r="K63" s="100">
        <v>106</v>
      </c>
      <c r="L63" s="385">
        <f t="shared" si="0"/>
        <v>404</v>
      </c>
      <c r="M63" s="319"/>
      <c r="N63" s="100"/>
      <c r="O63" s="385">
        <f t="shared" si="1"/>
        <v>0</v>
      </c>
      <c r="P63" s="386">
        <v>222</v>
      </c>
      <c r="Q63" s="387">
        <v>108</v>
      </c>
      <c r="R63" s="385">
        <f t="shared" si="2"/>
        <v>330</v>
      </c>
      <c r="S63" s="386">
        <v>234</v>
      </c>
      <c r="T63" s="387">
        <v>102</v>
      </c>
      <c r="U63" s="385">
        <f t="shared" si="5"/>
        <v>336</v>
      </c>
      <c r="V63" s="386">
        <v>274</v>
      </c>
      <c r="W63" s="387">
        <v>76</v>
      </c>
      <c r="X63" s="385">
        <f t="shared" si="3"/>
        <v>350</v>
      </c>
      <c r="Y63" s="386">
        <f t="shared" si="6"/>
        <v>1220</v>
      </c>
      <c r="Z63" s="388">
        <f t="shared" si="6"/>
        <v>392</v>
      </c>
      <c r="AA63" s="389">
        <f t="shared" si="6"/>
        <v>1612</v>
      </c>
      <c r="AB63" s="390">
        <f t="shared" si="7"/>
        <v>203.33333333333334</v>
      </c>
      <c r="AC63" s="391">
        <f t="shared" si="7"/>
        <v>65.333333333333329</v>
      </c>
      <c r="AD63" s="392">
        <f t="shared" si="7"/>
        <v>268.66666666666669</v>
      </c>
      <c r="AE63" s="393" t="s">
        <v>352</v>
      </c>
    </row>
    <row r="64" spans="1:31" s="361" customFormat="1" ht="18">
      <c r="A64" s="180">
        <v>57</v>
      </c>
      <c r="B64" s="20" t="s">
        <v>2694</v>
      </c>
      <c r="C64" s="379" t="s">
        <v>2695</v>
      </c>
      <c r="D64" s="379" t="s">
        <v>2696</v>
      </c>
      <c r="E64" s="380">
        <v>0</v>
      </c>
      <c r="F64" s="381" t="s">
        <v>352</v>
      </c>
      <c r="G64" s="382"/>
      <c r="H64" s="103"/>
      <c r="I64" s="377">
        <f t="shared" si="4"/>
        <v>0</v>
      </c>
      <c r="J64" s="382">
        <v>58.5</v>
      </c>
      <c r="K64" s="103"/>
      <c r="L64" s="377">
        <f t="shared" si="0"/>
        <v>58.5</v>
      </c>
      <c r="M64" s="382">
        <v>50</v>
      </c>
      <c r="N64" s="103"/>
      <c r="O64" s="377">
        <f t="shared" si="1"/>
        <v>50</v>
      </c>
      <c r="P64" s="375"/>
      <c r="Q64" s="376"/>
      <c r="R64" s="377">
        <f t="shared" si="2"/>
        <v>0</v>
      </c>
      <c r="S64" s="375"/>
      <c r="T64" s="376"/>
      <c r="U64" s="377">
        <f t="shared" si="5"/>
        <v>0</v>
      </c>
      <c r="V64" s="375">
        <v>20</v>
      </c>
      <c r="W64" s="376"/>
      <c r="X64" s="377">
        <f t="shared" si="3"/>
        <v>20</v>
      </c>
      <c r="Y64" s="295">
        <f t="shared" si="6"/>
        <v>128.5</v>
      </c>
      <c r="Z64" s="296">
        <f t="shared" si="6"/>
        <v>0</v>
      </c>
      <c r="AA64" s="297">
        <f t="shared" si="6"/>
        <v>128.5</v>
      </c>
      <c r="AB64" s="298">
        <f t="shared" si="7"/>
        <v>21.416666666666668</v>
      </c>
      <c r="AC64" s="299">
        <f t="shared" si="7"/>
        <v>0</v>
      </c>
      <c r="AD64" s="300">
        <f t="shared" si="7"/>
        <v>21.416666666666668</v>
      </c>
      <c r="AE64" s="378" t="s">
        <v>352</v>
      </c>
    </row>
    <row r="65" spans="1:31" s="361" customFormat="1" ht="18">
      <c r="A65" s="180">
        <v>58</v>
      </c>
      <c r="B65" s="20" t="s">
        <v>2697</v>
      </c>
      <c r="C65" s="379" t="s">
        <v>2695</v>
      </c>
      <c r="D65" s="379" t="s">
        <v>2698</v>
      </c>
      <c r="E65" s="380">
        <v>0</v>
      </c>
      <c r="F65" s="381" t="s">
        <v>352</v>
      </c>
      <c r="G65" s="382">
        <v>36</v>
      </c>
      <c r="H65" s="103"/>
      <c r="I65" s="377">
        <f t="shared" si="4"/>
        <v>36</v>
      </c>
      <c r="J65" s="382">
        <v>40.5</v>
      </c>
      <c r="K65" s="103"/>
      <c r="L65" s="377">
        <f t="shared" si="0"/>
        <v>40.5</v>
      </c>
      <c r="M65" s="382"/>
      <c r="N65" s="103"/>
      <c r="O65" s="377">
        <f t="shared" si="1"/>
        <v>0</v>
      </c>
      <c r="P65" s="375"/>
      <c r="Q65" s="376"/>
      <c r="R65" s="377">
        <f t="shared" si="2"/>
        <v>0</v>
      </c>
      <c r="S65" s="375"/>
      <c r="T65" s="376"/>
      <c r="U65" s="377">
        <f t="shared" si="5"/>
        <v>0</v>
      </c>
      <c r="V65" s="375">
        <v>20</v>
      </c>
      <c r="W65" s="376"/>
      <c r="X65" s="377">
        <f t="shared" si="3"/>
        <v>20</v>
      </c>
      <c r="Y65" s="295">
        <f t="shared" si="6"/>
        <v>96.5</v>
      </c>
      <c r="Z65" s="296">
        <f t="shared" si="6"/>
        <v>0</v>
      </c>
      <c r="AA65" s="297">
        <f t="shared" si="6"/>
        <v>96.5</v>
      </c>
      <c r="AB65" s="298">
        <f t="shared" si="7"/>
        <v>16.083333333333332</v>
      </c>
      <c r="AC65" s="299">
        <f t="shared" si="7"/>
        <v>0</v>
      </c>
      <c r="AD65" s="300">
        <f t="shared" si="7"/>
        <v>16.083333333333332</v>
      </c>
      <c r="AE65" s="378" t="s">
        <v>352</v>
      </c>
    </row>
    <row r="66" spans="1:31" s="361" customFormat="1" ht="18">
      <c r="A66" s="180">
        <v>59</v>
      </c>
      <c r="B66" s="20" t="s">
        <v>2699</v>
      </c>
      <c r="C66" s="379" t="s">
        <v>2695</v>
      </c>
      <c r="D66" s="379" t="s">
        <v>2700</v>
      </c>
      <c r="E66" s="380">
        <v>25</v>
      </c>
      <c r="F66" s="396" t="s">
        <v>352</v>
      </c>
      <c r="G66" s="397"/>
      <c r="H66" s="398"/>
      <c r="I66" s="377">
        <f t="shared" si="4"/>
        <v>0</v>
      </c>
      <c r="J66" s="397">
        <v>50</v>
      </c>
      <c r="K66" s="398"/>
      <c r="L66" s="377">
        <f t="shared" si="0"/>
        <v>50</v>
      </c>
      <c r="M66" s="397"/>
      <c r="N66" s="398">
        <v>18</v>
      </c>
      <c r="O66" s="377">
        <f t="shared" si="1"/>
        <v>18</v>
      </c>
      <c r="P66" s="375"/>
      <c r="Q66" s="376"/>
      <c r="R66" s="377">
        <f t="shared" si="2"/>
        <v>0</v>
      </c>
      <c r="S66" s="375"/>
      <c r="T66" s="376"/>
      <c r="U66" s="377">
        <f t="shared" si="5"/>
        <v>0</v>
      </c>
      <c r="V66" s="375"/>
      <c r="W66" s="376"/>
      <c r="X66" s="377">
        <f t="shared" si="3"/>
        <v>0</v>
      </c>
      <c r="Y66" s="295">
        <f t="shared" si="6"/>
        <v>50</v>
      </c>
      <c r="Z66" s="296">
        <f t="shared" si="6"/>
        <v>18</v>
      </c>
      <c r="AA66" s="297">
        <f t="shared" si="6"/>
        <v>68</v>
      </c>
      <c r="AB66" s="298">
        <f t="shared" si="7"/>
        <v>8.3333333333333339</v>
      </c>
      <c r="AC66" s="299">
        <f t="shared" si="7"/>
        <v>3</v>
      </c>
      <c r="AD66" s="300">
        <f t="shared" si="7"/>
        <v>11.333333333333334</v>
      </c>
      <c r="AE66" s="378" t="s">
        <v>352</v>
      </c>
    </row>
    <row r="67" spans="1:31" s="361" customFormat="1" ht="18">
      <c r="A67" s="180">
        <v>60</v>
      </c>
      <c r="B67" s="20" t="s">
        <v>2701</v>
      </c>
      <c r="C67" s="379" t="s">
        <v>2695</v>
      </c>
      <c r="D67" s="379" t="s">
        <v>2702</v>
      </c>
      <c r="E67" s="380">
        <v>10</v>
      </c>
      <c r="F67" s="396" t="s">
        <v>352</v>
      </c>
      <c r="G67" s="397"/>
      <c r="H67" s="398"/>
      <c r="I67" s="377">
        <f t="shared" si="4"/>
        <v>0</v>
      </c>
      <c r="J67" s="397"/>
      <c r="K67" s="398"/>
      <c r="L67" s="377">
        <f t="shared" si="0"/>
        <v>0</v>
      </c>
      <c r="M67" s="397"/>
      <c r="N67" s="398"/>
      <c r="O67" s="377">
        <f t="shared" si="1"/>
        <v>0</v>
      </c>
      <c r="P67" s="375"/>
      <c r="Q67" s="376"/>
      <c r="R67" s="377">
        <f t="shared" si="2"/>
        <v>0</v>
      </c>
      <c r="S67" s="375"/>
      <c r="T67" s="376"/>
      <c r="U67" s="377">
        <f t="shared" si="5"/>
        <v>0</v>
      </c>
      <c r="V67" s="375"/>
      <c r="W67" s="376"/>
      <c r="X67" s="377">
        <f t="shared" si="3"/>
        <v>0</v>
      </c>
      <c r="Y67" s="295">
        <f t="shared" si="6"/>
        <v>0</v>
      </c>
      <c r="Z67" s="296">
        <f t="shared" si="6"/>
        <v>0</v>
      </c>
      <c r="AA67" s="297">
        <f t="shared" si="6"/>
        <v>0</v>
      </c>
      <c r="AB67" s="298">
        <f t="shared" si="7"/>
        <v>0</v>
      </c>
      <c r="AC67" s="299">
        <f t="shared" si="7"/>
        <v>0</v>
      </c>
      <c r="AD67" s="300">
        <f t="shared" si="7"/>
        <v>0</v>
      </c>
      <c r="AE67" s="378" t="s">
        <v>352</v>
      </c>
    </row>
    <row r="68" spans="1:31" s="361" customFormat="1" ht="18">
      <c r="A68" s="180">
        <v>61</v>
      </c>
      <c r="B68" s="20" t="s">
        <v>2703</v>
      </c>
      <c r="C68" s="379" t="s">
        <v>2695</v>
      </c>
      <c r="D68" s="379" t="s">
        <v>2704</v>
      </c>
      <c r="E68" s="380">
        <v>15</v>
      </c>
      <c r="F68" s="381" t="s">
        <v>2705</v>
      </c>
      <c r="G68" s="382"/>
      <c r="H68" s="103"/>
      <c r="I68" s="377">
        <f t="shared" si="4"/>
        <v>0</v>
      </c>
      <c r="J68" s="382"/>
      <c r="K68" s="103"/>
      <c r="L68" s="377">
        <f t="shared" si="0"/>
        <v>0</v>
      </c>
      <c r="M68" s="382"/>
      <c r="N68" s="103"/>
      <c r="O68" s="377">
        <f t="shared" si="1"/>
        <v>0</v>
      </c>
      <c r="P68" s="375"/>
      <c r="Q68" s="376"/>
      <c r="R68" s="377">
        <f t="shared" si="2"/>
        <v>0</v>
      </c>
      <c r="S68" s="375"/>
      <c r="T68" s="376"/>
      <c r="U68" s="377">
        <f t="shared" si="5"/>
        <v>0</v>
      </c>
      <c r="V68" s="375"/>
      <c r="W68" s="376"/>
      <c r="X68" s="377">
        <f t="shared" si="3"/>
        <v>0</v>
      </c>
      <c r="Y68" s="295">
        <f t="shared" si="6"/>
        <v>0</v>
      </c>
      <c r="Z68" s="296">
        <f t="shared" si="6"/>
        <v>0</v>
      </c>
      <c r="AA68" s="297">
        <f t="shared" si="6"/>
        <v>0</v>
      </c>
      <c r="AB68" s="298">
        <f t="shared" si="7"/>
        <v>0</v>
      </c>
      <c r="AC68" s="299">
        <f t="shared" si="7"/>
        <v>0</v>
      </c>
      <c r="AD68" s="300">
        <f t="shared" si="7"/>
        <v>0</v>
      </c>
      <c r="AE68" s="378" t="s">
        <v>2705</v>
      </c>
    </row>
    <row r="69" spans="1:31" s="361" customFormat="1" ht="18">
      <c r="A69" s="180">
        <v>62</v>
      </c>
      <c r="B69" s="20" t="s">
        <v>2706</v>
      </c>
      <c r="C69" s="379" t="s">
        <v>2707</v>
      </c>
      <c r="D69" s="379" t="s">
        <v>2708</v>
      </c>
      <c r="E69" s="380">
        <v>10</v>
      </c>
      <c r="F69" s="381" t="s">
        <v>352</v>
      </c>
      <c r="G69" s="382"/>
      <c r="H69" s="103"/>
      <c r="I69" s="377">
        <f t="shared" si="4"/>
        <v>0</v>
      </c>
      <c r="J69" s="382"/>
      <c r="K69" s="103"/>
      <c r="L69" s="377">
        <f t="shared" si="0"/>
        <v>0</v>
      </c>
      <c r="M69" s="382"/>
      <c r="N69" s="103"/>
      <c r="O69" s="377">
        <f t="shared" si="1"/>
        <v>0</v>
      </c>
      <c r="P69" s="375"/>
      <c r="Q69" s="376"/>
      <c r="R69" s="377">
        <f t="shared" si="2"/>
        <v>0</v>
      </c>
      <c r="S69" s="375"/>
      <c r="T69" s="376"/>
      <c r="U69" s="377">
        <f t="shared" si="5"/>
        <v>0</v>
      </c>
      <c r="V69" s="375"/>
      <c r="W69" s="376"/>
      <c r="X69" s="377">
        <f t="shared" si="3"/>
        <v>0</v>
      </c>
      <c r="Y69" s="295">
        <f t="shared" si="6"/>
        <v>0</v>
      </c>
      <c r="Z69" s="296">
        <f t="shared" si="6"/>
        <v>0</v>
      </c>
      <c r="AA69" s="297">
        <f t="shared" si="6"/>
        <v>0</v>
      </c>
      <c r="AB69" s="298">
        <f t="shared" si="7"/>
        <v>0</v>
      </c>
      <c r="AC69" s="299">
        <f t="shared" si="7"/>
        <v>0</v>
      </c>
      <c r="AD69" s="300">
        <f t="shared" si="7"/>
        <v>0</v>
      </c>
      <c r="AE69" s="378" t="s">
        <v>352</v>
      </c>
    </row>
    <row r="70" spans="1:31" s="361" customFormat="1" ht="18">
      <c r="A70" s="180">
        <v>63</v>
      </c>
      <c r="B70" s="20" t="s">
        <v>2709</v>
      </c>
      <c r="C70" s="379" t="s">
        <v>2707</v>
      </c>
      <c r="D70" s="379" t="s">
        <v>2710</v>
      </c>
      <c r="E70" s="380">
        <v>0</v>
      </c>
      <c r="F70" s="381" t="s">
        <v>352</v>
      </c>
      <c r="G70" s="382">
        <v>40</v>
      </c>
      <c r="H70" s="103"/>
      <c r="I70" s="377">
        <f t="shared" si="4"/>
        <v>40</v>
      </c>
      <c r="J70" s="382"/>
      <c r="K70" s="103"/>
      <c r="L70" s="377">
        <f t="shared" si="0"/>
        <v>0</v>
      </c>
      <c r="M70" s="382"/>
      <c r="N70" s="103"/>
      <c r="O70" s="377">
        <f t="shared" si="1"/>
        <v>0</v>
      </c>
      <c r="P70" s="375"/>
      <c r="Q70" s="376"/>
      <c r="R70" s="377">
        <f t="shared" si="2"/>
        <v>0</v>
      </c>
      <c r="S70" s="375"/>
      <c r="T70" s="376"/>
      <c r="U70" s="377">
        <f t="shared" si="5"/>
        <v>0</v>
      </c>
      <c r="V70" s="375">
        <v>10</v>
      </c>
      <c r="W70" s="376"/>
      <c r="X70" s="377">
        <f t="shared" si="3"/>
        <v>10</v>
      </c>
      <c r="Y70" s="295">
        <f t="shared" si="6"/>
        <v>50</v>
      </c>
      <c r="Z70" s="296">
        <f t="shared" si="6"/>
        <v>0</v>
      </c>
      <c r="AA70" s="297">
        <f t="shared" si="6"/>
        <v>50</v>
      </c>
      <c r="AB70" s="298">
        <f t="shared" si="7"/>
        <v>8.3333333333333339</v>
      </c>
      <c r="AC70" s="299">
        <f t="shared" si="7"/>
        <v>0</v>
      </c>
      <c r="AD70" s="300">
        <f t="shared" si="7"/>
        <v>8.3333333333333339</v>
      </c>
      <c r="AE70" s="378" t="s">
        <v>352</v>
      </c>
    </row>
    <row r="71" spans="1:31" s="361" customFormat="1" ht="18">
      <c r="A71" s="180">
        <v>64</v>
      </c>
      <c r="B71" s="20" t="s">
        <v>2711</v>
      </c>
      <c r="C71" s="379" t="s">
        <v>2707</v>
      </c>
      <c r="D71" s="379" t="s">
        <v>2712</v>
      </c>
      <c r="E71" s="380">
        <v>10</v>
      </c>
      <c r="F71" s="381" t="s">
        <v>352</v>
      </c>
      <c r="G71" s="382"/>
      <c r="H71" s="103"/>
      <c r="I71" s="377">
        <f t="shared" si="4"/>
        <v>0</v>
      </c>
      <c r="J71" s="382"/>
      <c r="K71" s="103"/>
      <c r="L71" s="377">
        <f t="shared" si="0"/>
        <v>0</v>
      </c>
      <c r="M71" s="382"/>
      <c r="N71" s="103"/>
      <c r="O71" s="377">
        <f t="shared" si="1"/>
        <v>0</v>
      </c>
      <c r="P71" s="375"/>
      <c r="Q71" s="376"/>
      <c r="R71" s="377">
        <f t="shared" si="2"/>
        <v>0</v>
      </c>
      <c r="S71" s="375"/>
      <c r="T71" s="376"/>
      <c r="U71" s="377">
        <f t="shared" si="5"/>
        <v>0</v>
      </c>
      <c r="V71" s="375"/>
      <c r="W71" s="376"/>
      <c r="X71" s="377">
        <f t="shared" si="3"/>
        <v>0</v>
      </c>
      <c r="Y71" s="295">
        <f t="shared" si="6"/>
        <v>0</v>
      </c>
      <c r="Z71" s="296">
        <f t="shared" si="6"/>
        <v>0</v>
      </c>
      <c r="AA71" s="297">
        <f t="shared" si="6"/>
        <v>0</v>
      </c>
      <c r="AB71" s="298">
        <f t="shared" si="7"/>
        <v>0</v>
      </c>
      <c r="AC71" s="299">
        <f t="shared" si="7"/>
        <v>0</v>
      </c>
      <c r="AD71" s="300">
        <f t="shared" si="7"/>
        <v>0</v>
      </c>
      <c r="AE71" s="378" t="s">
        <v>352</v>
      </c>
    </row>
    <row r="72" spans="1:31" s="361" customFormat="1" ht="18">
      <c r="A72" s="180">
        <v>65</v>
      </c>
      <c r="B72" s="20" t="s">
        <v>2713</v>
      </c>
      <c r="C72" s="379" t="s">
        <v>2695</v>
      </c>
      <c r="D72" s="379" t="s">
        <v>2714</v>
      </c>
      <c r="E72" s="380">
        <v>280</v>
      </c>
      <c r="F72" s="381" t="s">
        <v>352</v>
      </c>
      <c r="G72" s="382">
        <v>1360</v>
      </c>
      <c r="H72" s="103"/>
      <c r="I72" s="377">
        <f t="shared" si="4"/>
        <v>1360</v>
      </c>
      <c r="J72" s="382">
        <v>1020</v>
      </c>
      <c r="K72" s="103"/>
      <c r="L72" s="377">
        <f t="shared" si="0"/>
        <v>1020</v>
      </c>
      <c r="M72" s="382"/>
      <c r="N72" s="103"/>
      <c r="O72" s="377">
        <f t="shared" si="1"/>
        <v>0</v>
      </c>
      <c r="P72" s="375">
        <v>1180</v>
      </c>
      <c r="Q72" s="376"/>
      <c r="R72" s="377">
        <f t="shared" ref="R72:R100" si="8">P72+Q72</f>
        <v>1180</v>
      </c>
      <c r="S72" s="375">
        <v>720</v>
      </c>
      <c r="T72" s="376"/>
      <c r="U72" s="377">
        <f t="shared" si="5"/>
        <v>720</v>
      </c>
      <c r="V72" s="375">
        <v>280</v>
      </c>
      <c r="W72" s="376">
        <v>0</v>
      </c>
      <c r="X72" s="377">
        <f t="shared" ref="X72:X100" si="9">V72+W72</f>
        <v>280</v>
      </c>
      <c r="Y72" s="295">
        <f t="shared" si="6"/>
        <v>4560</v>
      </c>
      <c r="Z72" s="296">
        <f t="shared" si="6"/>
        <v>0</v>
      </c>
      <c r="AA72" s="297">
        <f t="shared" si="6"/>
        <v>4560</v>
      </c>
      <c r="AB72" s="298">
        <f t="shared" si="7"/>
        <v>760</v>
      </c>
      <c r="AC72" s="299">
        <f t="shared" si="7"/>
        <v>0</v>
      </c>
      <c r="AD72" s="300">
        <f t="shared" si="7"/>
        <v>760</v>
      </c>
      <c r="AE72" s="378" t="s">
        <v>352</v>
      </c>
    </row>
    <row r="73" spans="1:31" s="361" customFormat="1" ht="18">
      <c r="A73" s="180">
        <v>66</v>
      </c>
      <c r="B73" s="20" t="s">
        <v>2715</v>
      </c>
      <c r="C73" s="379" t="s">
        <v>2707</v>
      </c>
      <c r="D73" s="379" t="s">
        <v>2716</v>
      </c>
      <c r="E73" s="380">
        <v>15</v>
      </c>
      <c r="F73" s="381" t="s">
        <v>352</v>
      </c>
      <c r="G73" s="382"/>
      <c r="H73" s="103"/>
      <c r="I73" s="377">
        <f t="shared" ref="I73:I100" si="10">G73+H73</f>
        <v>0</v>
      </c>
      <c r="J73" s="382"/>
      <c r="K73" s="103"/>
      <c r="L73" s="377">
        <f t="shared" si="0"/>
        <v>0</v>
      </c>
      <c r="M73" s="382"/>
      <c r="N73" s="103"/>
      <c r="O73" s="377">
        <f t="shared" si="1"/>
        <v>0</v>
      </c>
      <c r="P73" s="375"/>
      <c r="Q73" s="376"/>
      <c r="R73" s="377">
        <f t="shared" si="8"/>
        <v>0</v>
      </c>
      <c r="S73" s="375"/>
      <c r="T73" s="376"/>
      <c r="U73" s="377">
        <f t="shared" ref="U73:U100" si="11">S73+T73</f>
        <v>0</v>
      </c>
      <c r="V73" s="375"/>
      <c r="W73" s="376"/>
      <c r="X73" s="377">
        <f t="shared" si="9"/>
        <v>0</v>
      </c>
      <c r="Y73" s="295">
        <f t="shared" ref="Y73:AA101" si="12">G73+J73+M73+P73+S73+V73</f>
        <v>0</v>
      </c>
      <c r="Z73" s="296">
        <f t="shared" si="12"/>
        <v>0</v>
      </c>
      <c r="AA73" s="297">
        <f t="shared" si="12"/>
        <v>0</v>
      </c>
      <c r="AB73" s="298">
        <f t="shared" ref="AB73:AD101" si="13">Y73/6</f>
        <v>0</v>
      </c>
      <c r="AC73" s="299">
        <f t="shared" si="13"/>
        <v>0</v>
      </c>
      <c r="AD73" s="300">
        <f t="shared" si="13"/>
        <v>0</v>
      </c>
      <c r="AE73" s="378" t="s">
        <v>352</v>
      </c>
    </row>
    <row r="74" spans="1:31" s="361" customFormat="1" ht="18">
      <c r="A74" s="180">
        <v>67</v>
      </c>
      <c r="B74" s="399" t="s">
        <v>2717</v>
      </c>
      <c r="C74" s="111" t="s">
        <v>2695</v>
      </c>
      <c r="D74" s="111" t="s">
        <v>2718</v>
      </c>
      <c r="E74" s="60">
        <v>150</v>
      </c>
      <c r="F74" s="384" t="s">
        <v>352</v>
      </c>
      <c r="G74" s="319"/>
      <c r="H74" s="100"/>
      <c r="I74" s="385">
        <f t="shared" si="10"/>
        <v>0</v>
      </c>
      <c r="J74" s="319">
        <v>300</v>
      </c>
      <c r="K74" s="100"/>
      <c r="L74" s="385">
        <f t="shared" si="0"/>
        <v>300</v>
      </c>
      <c r="M74" s="319">
        <v>300</v>
      </c>
      <c r="N74" s="100"/>
      <c r="O74" s="385">
        <f t="shared" si="1"/>
        <v>300</v>
      </c>
      <c r="P74" s="386"/>
      <c r="Q74" s="387"/>
      <c r="R74" s="385">
        <f t="shared" si="8"/>
        <v>0</v>
      </c>
      <c r="S74" s="386">
        <v>300</v>
      </c>
      <c r="T74" s="387"/>
      <c r="U74" s="385">
        <f t="shared" si="11"/>
        <v>300</v>
      </c>
      <c r="V74" s="386">
        <v>300</v>
      </c>
      <c r="W74" s="387">
        <v>0</v>
      </c>
      <c r="X74" s="385">
        <f t="shared" si="9"/>
        <v>300</v>
      </c>
      <c r="Y74" s="386">
        <f t="shared" si="12"/>
        <v>1200</v>
      </c>
      <c r="Z74" s="388">
        <f t="shared" si="12"/>
        <v>0</v>
      </c>
      <c r="AA74" s="389">
        <f t="shared" si="12"/>
        <v>1200</v>
      </c>
      <c r="AB74" s="390">
        <f t="shared" si="13"/>
        <v>200</v>
      </c>
      <c r="AC74" s="391">
        <f t="shared" si="13"/>
        <v>0</v>
      </c>
      <c r="AD74" s="392">
        <f t="shared" si="13"/>
        <v>200</v>
      </c>
      <c r="AE74" s="393" t="s">
        <v>352</v>
      </c>
    </row>
    <row r="75" spans="1:31" s="361" customFormat="1" ht="15.75">
      <c r="A75" s="180">
        <v>68</v>
      </c>
      <c r="B75" s="400" t="s">
        <v>2719</v>
      </c>
      <c r="C75" s="111" t="s">
        <v>2695</v>
      </c>
      <c r="D75" s="111" t="s">
        <v>2720</v>
      </c>
      <c r="E75" s="60">
        <v>100</v>
      </c>
      <c r="F75" s="384" t="s">
        <v>352</v>
      </c>
      <c r="G75" s="319">
        <v>100</v>
      </c>
      <c r="H75" s="100"/>
      <c r="I75" s="385">
        <f t="shared" si="10"/>
        <v>100</v>
      </c>
      <c r="J75" s="319">
        <v>100</v>
      </c>
      <c r="K75" s="100"/>
      <c r="L75" s="385">
        <f t="shared" si="0"/>
        <v>100</v>
      </c>
      <c r="M75" s="319"/>
      <c r="N75" s="100"/>
      <c r="O75" s="385">
        <f t="shared" si="1"/>
        <v>0</v>
      </c>
      <c r="P75" s="386"/>
      <c r="Q75" s="387"/>
      <c r="R75" s="385">
        <f t="shared" si="8"/>
        <v>0</v>
      </c>
      <c r="S75" s="386">
        <v>0</v>
      </c>
      <c r="T75" s="387"/>
      <c r="U75" s="385">
        <f t="shared" si="11"/>
        <v>0</v>
      </c>
      <c r="V75" s="386"/>
      <c r="W75" s="387"/>
      <c r="X75" s="385">
        <f t="shared" si="9"/>
        <v>0</v>
      </c>
      <c r="Y75" s="386">
        <f t="shared" si="12"/>
        <v>200</v>
      </c>
      <c r="Z75" s="388">
        <f t="shared" si="12"/>
        <v>0</v>
      </c>
      <c r="AA75" s="389">
        <f t="shared" si="12"/>
        <v>200</v>
      </c>
      <c r="AB75" s="390">
        <f t="shared" si="13"/>
        <v>33.333333333333336</v>
      </c>
      <c r="AC75" s="391">
        <f t="shared" si="13"/>
        <v>0</v>
      </c>
      <c r="AD75" s="392">
        <f t="shared" si="13"/>
        <v>33.333333333333336</v>
      </c>
      <c r="AE75" s="393" t="s">
        <v>352</v>
      </c>
    </row>
    <row r="76" spans="1:31" s="361" customFormat="1" ht="18">
      <c r="A76" s="180">
        <v>69</v>
      </c>
      <c r="B76" s="21" t="s">
        <v>2721</v>
      </c>
      <c r="C76" s="379" t="s">
        <v>2722</v>
      </c>
      <c r="D76" s="379" t="s">
        <v>2723</v>
      </c>
      <c r="E76" s="380">
        <v>10</v>
      </c>
      <c r="F76" s="381" t="s">
        <v>352</v>
      </c>
      <c r="G76" s="382"/>
      <c r="H76" s="103"/>
      <c r="I76" s="377">
        <f t="shared" si="10"/>
        <v>0</v>
      </c>
      <c r="J76" s="382"/>
      <c r="K76" s="103"/>
      <c r="L76" s="377">
        <f t="shared" si="0"/>
        <v>0</v>
      </c>
      <c r="M76" s="382"/>
      <c r="N76" s="103"/>
      <c r="O76" s="377">
        <f t="shared" si="1"/>
        <v>0</v>
      </c>
      <c r="P76" s="375"/>
      <c r="Q76" s="376"/>
      <c r="R76" s="377">
        <f t="shared" si="8"/>
        <v>0</v>
      </c>
      <c r="S76" s="375"/>
      <c r="T76" s="376"/>
      <c r="U76" s="377">
        <f t="shared" si="11"/>
        <v>0</v>
      </c>
      <c r="V76" s="375"/>
      <c r="W76" s="376"/>
      <c r="X76" s="377">
        <f t="shared" si="9"/>
        <v>0</v>
      </c>
      <c r="Y76" s="295">
        <f t="shared" si="12"/>
        <v>0</v>
      </c>
      <c r="Z76" s="296">
        <f t="shared" si="12"/>
        <v>0</v>
      </c>
      <c r="AA76" s="297">
        <f t="shared" si="12"/>
        <v>0</v>
      </c>
      <c r="AB76" s="298">
        <f t="shared" si="13"/>
        <v>0</v>
      </c>
      <c r="AC76" s="299">
        <f t="shared" si="13"/>
        <v>0</v>
      </c>
      <c r="AD76" s="300">
        <f t="shared" si="13"/>
        <v>0</v>
      </c>
      <c r="AE76" s="378" t="s">
        <v>352</v>
      </c>
    </row>
    <row r="77" spans="1:31" s="361" customFormat="1" ht="18">
      <c r="A77" s="180">
        <v>70</v>
      </c>
      <c r="B77" s="21" t="s">
        <v>2724</v>
      </c>
      <c r="C77" s="379" t="s">
        <v>2707</v>
      </c>
      <c r="D77" s="379" t="s">
        <v>2725</v>
      </c>
      <c r="E77" s="380">
        <v>7</v>
      </c>
      <c r="F77" s="396" t="s">
        <v>352</v>
      </c>
      <c r="G77" s="397"/>
      <c r="H77" s="398"/>
      <c r="I77" s="377">
        <f t="shared" si="10"/>
        <v>0</v>
      </c>
      <c r="J77" s="397"/>
      <c r="K77" s="398"/>
      <c r="L77" s="377">
        <f t="shared" si="0"/>
        <v>0</v>
      </c>
      <c r="M77" s="397"/>
      <c r="N77" s="398"/>
      <c r="O77" s="377">
        <f t="shared" si="1"/>
        <v>0</v>
      </c>
      <c r="P77" s="375"/>
      <c r="Q77" s="376"/>
      <c r="R77" s="377">
        <f t="shared" si="8"/>
        <v>0</v>
      </c>
      <c r="S77" s="375"/>
      <c r="T77" s="376"/>
      <c r="U77" s="377">
        <f t="shared" si="11"/>
        <v>0</v>
      </c>
      <c r="V77" s="375"/>
      <c r="W77" s="376"/>
      <c r="X77" s="377">
        <f t="shared" si="9"/>
        <v>0</v>
      </c>
      <c r="Y77" s="295">
        <f t="shared" si="12"/>
        <v>0</v>
      </c>
      <c r="Z77" s="296">
        <f t="shared" si="12"/>
        <v>0</v>
      </c>
      <c r="AA77" s="297">
        <f t="shared" si="12"/>
        <v>0</v>
      </c>
      <c r="AB77" s="298">
        <f t="shared" si="13"/>
        <v>0</v>
      </c>
      <c r="AC77" s="299">
        <f t="shared" si="13"/>
        <v>0</v>
      </c>
      <c r="AD77" s="300">
        <f t="shared" si="13"/>
        <v>0</v>
      </c>
      <c r="AE77" s="378" t="s">
        <v>352</v>
      </c>
    </row>
    <row r="78" spans="1:31" s="361" customFormat="1" ht="18">
      <c r="A78" s="180">
        <v>71</v>
      </c>
      <c r="B78" s="20" t="s">
        <v>2726</v>
      </c>
      <c r="C78" s="379" t="s">
        <v>2707</v>
      </c>
      <c r="D78" s="379" t="s">
        <v>2727</v>
      </c>
      <c r="E78" s="380">
        <v>6</v>
      </c>
      <c r="F78" s="396" t="s">
        <v>352</v>
      </c>
      <c r="G78" s="397"/>
      <c r="H78" s="398"/>
      <c r="I78" s="377">
        <f t="shared" si="10"/>
        <v>0</v>
      </c>
      <c r="J78" s="397"/>
      <c r="K78" s="398"/>
      <c r="L78" s="377">
        <f t="shared" si="0"/>
        <v>0</v>
      </c>
      <c r="M78" s="397"/>
      <c r="N78" s="398"/>
      <c r="O78" s="377">
        <f t="shared" si="1"/>
        <v>0</v>
      </c>
      <c r="P78" s="375"/>
      <c r="Q78" s="376"/>
      <c r="R78" s="377">
        <f t="shared" si="8"/>
        <v>0</v>
      </c>
      <c r="S78" s="375"/>
      <c r="T78" s="376"/>
      <c r="U78" s="377">
        <f t="shared" si="11"/>
        <v>0</v>
      </c>
      <c r="V78" s="375"/>
      <c r="W78" s="376"/>
      <c r="X78" s="377">
        <f t="shared" si="9"/>
        <v>0</v>
      </c>
      <c r="Y78" s="295">
        <f t="shared" si="12"/>
        <v>0</v>
      </c>
      <c r="Z78" s="296">
        <f t="shared" si="12"/>
        <v>0</v>
      </c>
      <c r="AA78" s="297">
        <f t="shared" si="12"/>
        <v>0</v>
      </c>
      <c r="AB78" s="298">
        <f t="shared" si="13"/>
        <v>0</v>
      </c>
      <c r="AC78" s="299">
        <f t="shared" si="13"/>
        <v>0</v>
      </c>
      <c r="AD78" s="300">
        <f t="shared" si="13"/>
        <v>0</v>
      </c>
      <c r="AE78" s="378" t="s">
        <v>352</v>
      </c>
    </row>
    <row r="79" spans="1:31" s="361" customFormat="1" ht="18">
      <c r="A79" s="180">
        <v>72</v>
      </c>
      <c r="B79" s="20" t="s">
        <v>2728</v>
      </c>
      <c r="C79" s="379" t="s">
        <v>2707</v>
      </c>
      <c r="D79" s="379" t="s">
        <v>2729</v>
      </c>
      <c r="E79" s="380">
        <v>8</v>
      </c>
      <c r="F79" s="396" t="s">
        <v>352</v>
      </c>
      <c r="G79" s="397"/>
      <c r="H79" s="398"/>
      <c r="I79" s="377">
        <f t="shared" si="10"/>
        <v>0</v>
      </c>
      <c r="J79" s="397"/>
      <c r="K79" s="398"/>
      <c r="L79" s="377">
        <f t="shared" si="0"/>
        <v>0</v>
      </c>
      <c r="M79" s="397"/>
      <c r="N79" s="398"/>
      <c r="O79" s="377">
        <f t="shared" si="1"/>
        <v>0</v>
      </c>
      <c r="P79" s="375"/>
      <c r="Q79" s="376"/>
      <c r="R79" s="377">
        <f t="shared" si="8"/>
        <v>0</v>
      </c>
      <c r="S79" s="375"/>
      <c r="T79" s="376"/>
      <c r="U79" s="377">
        <f t="shared" si="11"/>
        <v>0</v>
      </c>
      <c r="V79" s="375"/>
      <c r="W79" s="376"/>
      <c r="X79" s="377">
        <f t="shared" si="9"/>
        <v>0</v>
      </c>
      <c r="Y79" s="295">
        <f t="shared" si="12"/>
        <v>0</v>
      </c>
      <c r="Z79" s="296">
        <f t="shared" si="12"/>
        <v>0</v>
      </c>
      <c r="AA79" s="297">
        <f t="shared" si="12"/>
        <v>0</v>
      </c>
      <c r="AB79" s="298">
        <f t="shared" si="13"/>
        <v>0</v>
      </c>
      <c r="AC79" s="299">
        <f t="shared" si="13"/>
        <v>0</v>
      </c>
      <c r="AD79" s="300">
        <f t="shared" si="13"/>
        <v>0</v>
      </c>
      <c r="AE79" s="378" t="s">
        <v>352</v>
      </c>
    </row>
    <row r="80" spans="1:31" s="361" customFormat="1" ht="18">
      <c r="A80" s="180">
        <v>73</v>
      </c>
      <c r="B80" s="20" t="s">
        <v>2730</v>
      </c>
      <c r="C80" s="379" t="s">
        <v>2707</v>
      </c>
      <c r="D80" s="379" t="s">
        <v>2731</v>
      </c>
      <c r="E80" s="380">
        <v>12</v>
      </c>
      <c r="F80" s="396" t="s">
        <v>352</v>
      </c>
      <c r="G80" s="397"/>
      <c r="H80" s="398"/>
      <c r="I80" s="377">
        <f t="shared" si="10"/>
        <v>0</v>
      </c>
      <c r="J80" s="397"/>
      <c r="K80" s="398"/>
      <c r="L80" s="377">
        <f t="shared" si="0"/>
        <v>0</v>
      </c>
      <c r="M80" s="397"/>
      <c r="N80" s="398"/>
      <c r="O80" s="377">
        <f t="shared" si="1"/>
        <v>0</v>
      </c>
      <c r="P80" s="375"/>
      <c r="Q80" s="376"/>
      <c r="R80" s="377">
        <f t="shared" si="8"/>
        <v>0</v>
      </c>
      <c r="S80" s="375"/>
      <c r="T80" s="376"/>
      <c r="U80" s="377">
        <f t="shared" si="11"/>
        <v>0</v>
      </c>
      <c r="V80" s="375"/>
      <c r="W80" s="376"/>
      <c r="X80" s="377">
        <f t="shared" si="9"/>
        <v>0</v>
      </c>
      <c r="Y80" s="295">
        <f t="shared" si="12"/>
        <v>0</v>
      </c>
      <c r="Z80" s="296">
        <f t="shared" si="12"/>
        <v>0</v>
      </c>
      <c r="AA80" s="297">
        <f t="shared" si="12"/>
        <v>0</v>
      </c>
      <c r="AB80" s="298">
        <f t="shared" si="13"/>
        <v>0</v>
      </c>
      <c r="AC80" s="299">
        <f t="shared" si="13"/>
        <v>0</v>
      </c>
      <c r="AD80" s="300">
        <f t="shared" si="13"/>
        <v>0</v>
      </c>
      <c r="AE80" s="378" t="s">
        <v>352</v>
      </c>
    </row>
    <row r="81" spans="1:31" s="361" customFormat="1" ht="18">
      <c r="A81" s="180">
        <v>74</v>
      </c>
      <c r="B81" s="20" t="s">
        <v>2732</v>
      </c>
      <c r="C81" s="379" t="s">
        <v>2707</v>
      </c>
      <c r="D81" s="379" t="s">
        <v>2733</v>
      </c>
      <c r="E81" s="380">
        <v>5</v>
      </c>
      <c r="F81" s="396" t="s">
        <v>352</v>
      </c>
      <c r="G81" s="397"/>
      <c r="H81" s="398"/>
      <c r="I81" s="377">
        <f t="shared" si="10"/>
        <v>0</v>
      </c>
      <c r="J81" s="397"/>
      <c r="K81" s="398"/>
      <c r="L81" s="377">
        <f t="shared" si="0"/>
        <v>0</v>
      </c>
      <c r="M81" s="397"/>
      <c r="N81" s="398"/>
      <c r="O81" s="377">
        <f t="shared" si="1"/>
        <v>0</v>
      </c>
      <c r="P81" s="375"/>
      <c r="Q81" s="376"/>
      <c r="R81" s="377">
        <f t="shared" si="8"/>
        <v>0</v>
      </c>
      <c r="S81" s="375"/>
      <c r="T81" s="376"/>
      <c r="U81" s="377">
        <f t="shared" si="11"/>
        <v>0</v>
      </c>
      <c r="V81" s="375"/>
      <c r="W81" s="376"/>
      <c r="X81" s="377">
        <f t="shared" si="9"/>
        <v>0</v>
      </c>
      <c r="Y81" s="295">
        <f t="shared" si="12"/>
        <v>0</v>
      </c>
      <c r="Z81" s="296">
        <f t="shared" si="12"/>
        <v>0</v>
      </c>
      <c r="AA81" s="297">
        <f t="shared" si="12"/>
        <v>0</v>
      </c>
      <c r="AB81" s="298">
        <f t="shared" si="13"/>
        <v>0</v>
      </c>
      <c r="AC81" s="299">
        <f t="shared" si="13"/>
        <v>0</v>
      </c>
      <c r="AD81" s="300">
        <f t="shared" si="13"/>
        <v>0</v>
      </c>
      <c r="AE81" s="378" t="s">
        <v>352</v>
      </c>
    </row>
    <row r="82" spans="1:31" s="361" customFormat="1" ht="18">
      <c r="A82" s="180">
        <v>75</v>
      </c>
      <c r="B82" s="20" t="s">
        <v>2734</v>
      </c>
      <c r="C82" s="379" t="s">
        <v>2707</v>
      </c>
      <c r="D82" s="379" t="s">
        <v>2735</v>
      </c>
      <c r="E82" s="380">
        <v>7</v>
      </c>
      <c r="F82" s="396" t="s">
        <v>352</v>
      </c>
      <c r="G82" s="397"/>
      <c r="H82" s="398"/>
      <c r="I82" s="377">
        <f t="shared" si="10"/>
        <v>0</v>
      </c>
      <c r="J82" s="397"/>
      <c r="K82" s="398"/>
      <c r="L82" s="377">
        <f t="shared" si="0"/>
        <v>0</v>
      </c>
      <c r="M82" s="397"/>
      <c r="N82" s="398"/>
      <c r="O82" s="377">
        <f t="shared" si="1"/>
        <v>0</v>
      </c>
      <c r="P82" s="375"/>
      <c r="Q82" s="376"/>
      <c r="R82" s="377">
        <f t="shared" si="8"/>
        <v>0</v>
      </c>
      <c r="S82" s="375"/>
      <c r="T82" s="376"/>
      <c r="U82" s="377">
        <f t="shared" si="11"/>
        <v>0</v>
      </c>
      <c r="V82" s="375"/>
      <c r="W82" s="376"/>
      <c r="X82" s="377">
        <f t="shared" si="9"/>
        <v>0</v>
      </c>
      <c r="Y82" s="295">
        <f t="shared" si="12"/>
        <v>0</v>
      </c>
      <c r="Z82" s="296">
        <f t="shared" si="12"/>
        <v>0</v>
      </c>
      <c r="AA82" s="297">
        <f t="shared" si="12"/>
        <v>0</v>
      </c>
      <c r="AB82" s="298">
        <f t="shared" si="13"/>
        <v>0</v>
      </c>
      <c r="AC82" s="299">
        <f t="shared" si="13"/>
        <v>0</v>
      </c>
      <c r="AD82" s="300">
        <f t="shared" si="13"/>
        <v>0</v>
      </c>
      <c r="AE82" s="378" t="s">
        <v>352</v>
      </c>
    </row>
    <row r="83" spans="1:31" s="361" customFormat="1" ht="18">
      <c r="A83" s="180">
        <v>76</v>
      </c>
      <c r="B83" s="371" t="s">
        <v>2736</v>
      </c>
      <c r="C83" s="379" t="s">
        <v>2737</v>
      </c>
      <c r="D83" s="379" t="s">
        <v>2738</v>
      </c>
      <c r="E83" s="380">
        <v>8</v>
      </c>
      <c r="F83" s="396" t="s">
        <v>352</v>
      </c>
      <c r="G83" s="397"/>
      <c r="H83" s="398"/>
      <c r="I83" s="377">
        <f t="shared" si="10"/>
        <v>0</v>
      </c>
      <c r="J83" s="397"/>
      <c r="K83" s="398"/>
      <c r="L83" s="377">
        <f t="shared" si="0"/>
        <v>0</v>
      </c>
      <c r="M83" s="397"/>
      <c r="N83" s="398"/>
      <c r="O83" s="377">
        <f t="shared" si="1"/>
        <v>0</v>
      </c>
      <c r="P83" s="375"/>
      <c r="Q83" s="376"/>
      <c r="R83" s="377">
        <f t="shared" si="8"/>
        <v>0</v>
      </c>
      <c r="S83" s="375"/>
      <c r="T83" s="376"/>
      <c r="U83" s="377">
        <f t="shared" si="11"/>
        <v>0</v>
      </c>
      <c r="V83" s="375"/>
      <c r="W83" s="376"/>
      <c r="X83" s="377">
        <f t="shared" si="9"/>
        <v>0</v>
      </c>
      <c r="Y83" s="295">
        <f t="shared" si="12"/>
        <v>0</v>
      </c>
      <c r="Z83" s="296">
        <f t="shared" si="12"/>
        <v>0</v>
      </c>
      <c r="AA83" s="297">
        <f t="shared" si="12"/>
        <v>0</v>
      </c>
      <c r="AB83" s="298">
        <f t="shared" si="13"/>
        <v>0</v>
      </c>
      <c r="AC83" s="299">
        <f t="shared" si="13"/>
        <v>0</v>
      </c>
      <c r="AD83" s="300">
        <f t="shared" si="13"/>
        <v>0</v>
      </c>
      <c r="AE83" s="378" t="s">
        <v>352</v>
      </c>
    </row>
    <row r="84" spans="1:31" s="361" customFormat="1" ht="18">
      <c r="A84" s="180">
        <v>77</v>
      </c>
      <c r="B84" s="20" t="s">
        <v>2739</v>
      </c>
      <c r="C84" s="379" t="s">
        <v>2737</v>
      </c>
      <c r="D84" s="379" t="s">
        <v>2740</v>
      </c>
      <c r="E84" s="380">
        <v>13</v>
      </c>
      <c r="F84" s="396" t="s">
        <v>352</v>
      </c>
      <c r="G84" s="397"/>
      <c r="H84" s="398"/>
      <c r="I84" s="377">
        <f t="shared" si="10"/>
        <v>0</v>
      </c>
      <c r="J84" s="397"/>
      <c r="K84" s="398"/>
      <c r="L84" s="377">
        <f t="shared" si="0"/>
        <v>0</v>
      </c>
      <c r="M84" s="397"/>
      <c r="N84" s="398"/>
      <c r="O84" s="377">
        <f t="shared" si="1"/>
        <v>0</v>
      </c>
      <c r="P84" s="375"/>
      <c r="Q84" s="376"/>
      <c r="R84" s="377">
        <f t="shared" si="8"/>
        <v>0</v>
      </c>
      <c r="S84" s="375"/>
      <c r="T84" s="376"/>
      <c r="U84" s="377">
        <f t="shared" si="11"/>
        <v>0</v>
      </c>
      <c r="V84" s="375"/>
      <c r="W84" s="376"/>
      <c r="X84" s="377">
        <f t="shared" si="9"/>
        <v>0</v>
      </c>
      <c r="Y84" s="295">
        <f t="shared" si="12"/>
        <v>0</v>
      </c>
      <c r="Z84" s="296">
        <f t="shared" si="12"/>
        <v>0</v>
      </c>
      <c r="AA84" s="297">
        <f t="shared" si="12"/>
        <v>0</v>
      </c>
      <c r="AB84" s="298">
        <f t="shared" si="13"/>
        <v>0</v>
      </c>
      <c r="AC84" s="299">
        <f t="shared" si="13"/>
        <v>0</v>
      </c>
      <c r="AD84" s="300">
        <f t="shared" si="13"/>
        <v>0</v>
      </c>
      <c r="AE84" s="378" t="s">
        <v>352</v>
      </c>
    </row>
    <row r="85" spans="1:31" s="361" customFormat="1" ht="18">
      <c r="A85" s="180">
        <v>78</v>
      </c>
      <c r="B85" s="20" t="s">
        <v>2741</v>
      </c>
      <c r="C85" s="379" t="s">
        <v>2742</v>
      </c>
      <c r="D85" s="379" t="s">
        <v>2743</v>
      </c>
      <c r="E85" s="380">
        <v>48</v>
      </c>
      <c r="F85" s="396" t="s">
        <v>352</v>
      </c>
      <c r="G85" s="397">
        <v>176</v>
      </c>
      <c r="H85" s="398">
        <v>164</v>
      </c>
      <c r="I85" s="377">
        <f t="shared" si="10"/>
        <v>340</v>
      </c>
      <c r="J85" s="397"/>
      <c r="K85" s="398"/>
      <c r="L85" s="377">
        <f t="shared" si="0"/>
        <v>0</v>
      </c>
      <c r="M85" s="397">
        <v>100</v>
      </c>
      <c r="N85" s="398">
        <v>90</v>
      </c>
      <c r="O85" s="377">
        <f t="shared" si="1"/>
        <v>190</v>
      </c>
      <c r="P85" s="375"/>
      <c r="Q85" s="376"/>
      <c r="R85" s="377">
        <f t="shared" si="8"/>
        <v>0</v>
      </c>
      <c r="S85" s="375">
        <v>20</v>
      </c>
      <c r="T85" s="376">
        <v>112</v>
      </c>
      <c r="U85" s="377">
        <f t="shared" si="11"/>
        <v>132</v>
      </c>
      <c r="V85" s="375">
        <v>138</v>
      </c>
      <c r="W85" s="376">
        <v>0</v>
      </c>
      <c r="X85" s="377">
        <f t="shared" si="9"/>
        <v>138</v>
      </c>
      <c r="Y85" s="295">
        <f t="shared" si="12"/>
        <v>434</v>
      </c>
      <c r="Z85" s="296">
        <f t="shared" si="12"/>
        <v>366</v>
      </c>
      <c r="AA85" s="297">
        <f t="shared" si="12"/>
        <v>800</v>
      </c>
      <c r="AB85" s="298">
        <f t="shared" si="13"/>
        <v>72.333333333333329</v>
      </c>
      <c r="AC85" s="299">
        <f t="shared" si="13"/>
        <v>61</v>
      </c>
      <c r="AD85" s="300">
        <f t="shared" si="13"/>
        <v>133.33333333333334</v>
      </c>
      <c r="AE85" s="378" t="s">
        <v>352</v>
      </c>
    </row>
    <row r="86" spans="1:31" s="361" customFormat="1" ht="18">
      <c r="A86" s="180">
        <v>79</v>
      </c>
      <c r="B86" s="20" t="s">
        <v>2744</v>
      </c>
      <c r="C86" s="379" t="s">
        <v>2707</v>
      </c>
      <c r="D86" s="379" t="s">
        <v>2745</v>
      </c>
      <c r="E86" s="380">
        <v>14</v>
      </c>
      <c r="F86" s="396" t="s">
        <v>352</v>
      </c>
      <c r="G86" s="397"/>
      <c r="H86" s="398"/>
      <c r="I86" s="377">
        <f t="shared" si="10"/>
        <v>0</v>
      </c>
      <c r="J86" s="397"/>
      <c r="K86" s="398"/>
      <c r="L86" s="377">
        <f t="shared" si="0"/>
        <v>0</v>
      </c>
      <c r="M86" s="397"/>
      <c r="N86" s="398"/>
      <c r="O86" s="377">
        <f t="shared" si="1"/>
        <v>0</v>
      </c>
      <c r="P86" s="375"/>
      <c r="Q86" s="376"/>
      <c r="R86" s="377">
        <f t="shared" si="8"/>
        <v>0</v>
      </c>
      <c r="S86" s="375"/>
      <c r="T86" s="376"/>
      <c r="U86" s="377">
        <f t="shared" si="11"/>
        <v>0</v>
      </c>
      <c r="V86" s="375"/>
      <c r="W86" s="376"/>
      <c r="X86" s="377">
        <f t="shared" si="9"/>
        <v>0</v>
      </c>
      <c r="Y86" s="295">
        <f t="shared" si="12"/>
        <v>0</v>
      </c>
      <c r="Z86" s="296">
        <f t="shared" si="12"/>
        <v>0</v>
      </c>
      <c r="AA86" s="297">
        <f t="shared" si="12"/>
        <v>0</v>
      </c>
      <c r="AB86" s="298">
        <f t="shared" si="13"/>
        <v>0</v>
      </c>
      <c r="AC86" s="299">
        <f t="shared" si="13"/>
        <v>0</v>
      </c>
      <c r="AD86" s="300">
        <f t="shared" si="13"/>
        <v>0</v>
      </c>
      <c r="AE86" s="378" t="s">
        <v>352</v>
      </c>
    </row>
    <row r="87" spans="1:31" s="361" customFormat="1" ht="18">
      <c r="A87" s="180">
        <v>80</v>
      </c>
      <c r="B87" s="20" t="s">
        <v>2746</v>
      </c>
      <c r="C87" s="379" t="s">
        <v>2707</v>
      </c>
      <c r="D87" s="379" t="s">
        <v>2747</v>
      </c>
      <c r="E87" s="380">
        <v>13</v>
      </c>
      <c r="F87" s="396" t="s">
        <v>352</v>
      </c>
      <c r="G87" s="397"/>
      <c r="H87" s="398"/>
      <c r="I87" s="377">
        <f t="shared" si="10"/>
        <v>0</v>
      </c>
      <c r="J87" s="397"/>
      <c r="K87" s="398"/>
      <c r="L87" s="377">
        <f t="shared" si="0"/>
        <v>0</v>
      </c>
      <c r="M87" s="397"/>
      <c r="N87" s="398"/>
      <c r="O87" s="377">
        <f t="shared" si="1"/>
        <v>0</v>
      </c>
      <c r="P87" s="375"/>
      <c r="Q87" s="376"/>
      <c r="R87" s="377">
        <f t="shared" si="8"/>
        <v>0</v>
      </c>
      <c r="S87" s="375"/>
      <c r="T87" s="376"/>
      <c r="U87" s="377">
        <f t="shared" si="11"/>
        <v>0</v>
      </c>
      <c r="V87" s="375"/>
      <c r="W87" s="376"/>
      <c r="X87" s="377">
        <f t="shared" si="9"/>
        <v>0</v>
      </c>
      <c r="Y87" s="295">
        <f t="shared" si="12"/>
        <v>0</v>
      </c>
      <c r="Z87" s="296">
        <f t="shared" si="12"/>
        <v>0</v>
      </c>
      <c r="AA87" s="297">
        <f t="shared" si="12"/>
        <v>0</v>
      </c>
      <c r="AB87" s="298">
        <f t="shared" si="13"/>
        <v>0</v>
      </c>
      <c r="AC87" s="299">
        <f t="shared" si="13"/>
        <v>0</v>
      </c>
      <c r="AD87" s="300">
        <f t="shared" si="13"/>
        <v>0</v>
      </c>
      <c r="AE87" s="378" t="s">
        <v>352</v>
      </c>
    </row>
    <row r="88" spans="1:31" s="361" customFormat="1" ht="18">
      <c r="A88" s="180">
        <v>81</v>
      </c>
      <c r="B88" s="21" t="s">
        <v>2748</v>
      </c>
      <c r="C88" s="379" t="s">
        <v>2707</v>
      </c>
      <c r="D88" s="379" t="s">
        <v>2749</v>
      </c>
      <c r="E88" s="380">
        <v>12</v>
      </c>
      <c r="F88" s="396" t="s">
        <v>352</v>
      </c>
      <c r="G88" s="397"/>
      <c r="H88" s="398"/>
      <c r="I88" s="377">
        <f t="shared" si="10"/>
        <v>0</v>
      </c>
      <c r="J88" s="397"/>
      <c r="K88" s="398"/>
      <c r="L88" s="377">
        <f t="shared" si="0"/>
        <v>0</v>
      </c>
      <c r="M88" s="397"/>
      <c r="N88" s="398"/>
      <c r="O88" s="377">
        <f t="shared" si="1"/>
        <v>0</v>
      </c>
      <c r="P88" s="375"/>
      <c r="Q88" s="376"/>
      <c r="R88" s="377">
        <f t="shared" si="8"/>
        <v>0</v>
      </c>
      <c r="S88" s="375"/>
      <c r="T88" s="376"/>
      <c r="U88" s="377">
        <f t="shared" si="11"/>
        <v>0</v>
      </c>
      <c r="V88" s="375"/>
      <c r="W88" s="376"/>
      <c r="X88" s="377">
        <f t="shared" si="9"/>
        <v>0</v>
      </c>
      <c r="Y88" s="295">
        <f t="shared" si="12"/>
        <v>0</v>
      </c>
      <c r="Z88" s="296">
        <f t="shared" si="12"/>
        <v>0</v>
      </c>
      <c r="AA88" s="297">
        <f t="shared" si="12"/>
        <v>0</v>
      </c>
      <c r="AB88" s="298">
        <f t="shared" si="13"/>
        <v>0</v>
      </c>
      <c r="AC88" s="299">
        <f t="shared" si="13"/>
        <v>0</v>
      </c>
      <c r="AD88" s="300">
        <f t="shared" si="13"/>
        <v>0</v>
      </c>
      <c r="AE88" s="378" t="s">
        <v>352</v>
      </c>
    </row>
    <row r="89" spans="1:31" s="361" customFormat="1" ht="18">
      <c r="A89" s="180">
        <v>82</v>
      </c>
      <c r="B89" s="371" t="s">
        <v>2750</v>
      </c>
      <c r="C89" s="379" t="s">
        <v>2737</v>
      </c>
      <c r="D89" s="379" t="s">
        <v>2751</v>
      </c>
      <c r="E89" s="380">
        <v>10</v>
      </c>
      <c r="F89" s="396" t="s">
        <v>352</v>
      </c>
      <c r="G89" s="397">
        <v>86</v>
      </c>
      <c r="H89" s="398">
        <v>126</v>
      </c>
      <c r="I89" s="377">
        <f t="shared" si="10"/>
        <v>212</v>
      </c>
      <c r="J89" s="397">
        <v>100</v>
      </c>
      <c r="K89" s="398">
        <v>48</v>
      </c>
      <c r="L89" s="377">
        <f t="shared" ref="L89:L100" si="14">J89+K89</f>
        <v>148</v>
      </c>
      <c r="M89" s="397"/>
      <c r="N89" s="398">
        <v>56</v>
      </c>
      <c r="O89" s="377">
        <f t="shared" ref="O89:O100" si="15">M89+N89</f>
        <v>56</v>
      </c>
      <c r="P89" s="375">
        <v>50</v>
      </c>
      <c r="Q89" s="376"/>
      <c r="R89" s="377">
        <f t="shared" si="8"/>
        <v>50</v>
      </c>
      <c r="S89" s="375">
        <v>0</v>
      </c>
      <c r="T89" s="376">
        <v>42</v>
      </c>
      <c r="U89" s="377">
        <f t="shared" si="11"/>
        <v>42</v>
      </c>
      <c r="V89" s="375">
        <v>36</v>
      </c>
      <c r="W89" s="376">
        <v>58</v>
      </c>
      <c r="X89" s="377">
        <f t="shared" si="9"/>
        <v>94</v>
      </c>
      <c r="Y89" s="295">
        <f t="shared" si="12"/>
        <v>272</v>
      </c>
      <c r="Z89" s="296">
        <f t="shared" si="12"/>
        <v>330</v>
      </c>
      <c r="AA89" s="297">
        <f t="shared" si="12"/>
        <v>602</v>
      </c>
      <c r="AB89" s="298">
        <f t="shared" si="13"/>
        <v>45.333333333333336</v>
      </c>
      <c r="AC89" s="299">
        <f t="shared" si="13"/>
        <v>55</v>
      </c>
      <c r="AD89" s="300">
        <f t="shared" si="13"/>
        <v>100.33333333333333</v>
      </c>
      <c r="AE89" s="378" t="s">
        <v>352</v>
      </c>
    </row>
    <row r="90" spans="1:31" s="361" customFormat="1" ht="18">
      <c r="A90" s="180">
        <v>83</v>
      </c>
      <c r="B90" s="371" t="s">
        <v>2715</v>
      </c>
      <c r="C90" s="379" t="s">
        <v>2737</v>
      </c>
      <c r="D90" s="379" t="s">
        <v>2752</v>
      </c>
      <c r="E90" s="380">
        <v>29</v>
      </c>
      <c r="F90" s="396" t="s">
        <v>2589</v>
      </c>
      <c r="G90" s="397"/>
      <c r="H90" s="398"/>
      <c r="I90" s="377">
        <f t="shared" si="10"/>
        <v>0</v>
      </c>
      <c r="J90" s="397"/>
      <c r="K90" s="398"/>
      <c r="L90" s="377">
        <f t="shared" si="14"/>
        <v>0</v>
      </c>
      <c r="M90" s="397"/>
      <c r="N90" s="398"/>
      <c r="O90" s="377">
        <f t="shared" si="15"/>
        <v>0</v>
      </c>
      <c r="P90" s="375"/>
      <c r="Q90" s="376"/>
      <c r="R90" s="377">
        <f t="shared" si="8"/>
        <v>0</v>
      </c>
      <c r="S90" s="375"/>
      <c r="T90" s="376"/>
      <c r="U90" s="377">
        <f t="shared" si="11"/>
        <v>0</v>
      </c>
      <c r="V90" s="375"/>
      <c r="W90" s="376"/>
      <c r="X90" s="377">
        <f t="shared" si="9"/>
        <v>0</v>
      </c>
      <c r="Y90" s="295">
        <f t="shared" si="12"/>
        <v>0</v>
      </c>
      <c r="Z90" s="296">
        <f t="shared" si="12"/>
        <v>0</v>
      </c>
      <c r="AA90" s="297">
        <f t="shared" si="12"/>
        <v>0</v>
      </c>
      <c r="AB90" s="298">
        <f t="shared" si="13"/>
        <v>0</v>
      </c>
      <c r="AC90" s="299">
        <f t="shared" si="13"/>
        <v>0</v>
      </c>
      <c r="AD90" s="300">
        <f t="shared" si="13"/>
        <v>0</v>
      </c>
      <c r="AE90" s="378" t="s">
        <v>2589</v>
      </c>
    </row>
    <row r="91" spans="1:31" s="361" customFormat="1" ht="18">
      <c r="A91" s="180">
        <v>84</v>
      </c>
      <c r="B91" s="371" t="s">
        <v>2753</v>
      </c>
      <c r="C91" s="379" t="s">
        <v>2737</v>
      </c>
      <c r="D91" s="379" t="s">
        <v>2754</v>
      </c>
      <c r="E91" s="380">
        <v>2</v>
      </c>
      <c r="F91" s="396" t="s">
        <v>2589</v>
      </c>
      <c r="G91" s="397">
        <v>36</v>
      </c>
      <c r="H91" s="398"/>
      <c r="I91" s="377">
        <f t="shared" si="10"/>
        <v>36</v>
      </c>
      <c r="J91" s="397"/>
      <c r="K91" s="398"/>
      <c r="L91" s="377">
        <f t="shared" si="14"/>
        <v>0</v>
      </c>
      <c r="M91" s="397">
        <v>20</v>
      </c>
      <c r="N91" s="398"/>
      <c r="O91" s="377">
        <f t="shared" si="15"/>
        <v>20</v>
      </c>
      <c r="P91" s="375"/>
      <c r="Q91" s="376"/>
      <c r="R91" s="377">
        <f t="shared" si="8"/>
        <v>0</v>
      </c>
      <c r="S91" s="375"/>
      <c r="T91" s="376"/>
      <c r="U91" s="377">
        <f t="shared" si="11"/>
        <v>0</v>
      </c>
      <c r="V91" s="375">
        <v>36</v>
      </c>
      <c r="W91" s="376"/>
      <c r="X91" s="377">
        <f t="shared" si="9"/>
        <v>36</v>
      </c>
      <c r="Y91" s="295">
        <f t="shared" si="12"/>
        <v>92</v>
      </c>
      <c r="Z91" s="296">
        <f t="shared" si="12"/>
        <v>0</v>
      </c>
      <c r="AA91" s="297">
        <f t="shared" si="12"/>
        <v>92</v>
      </c>
      <c r="AB91" s="298">
        <f t="shared" si="13"/>
        <v>15.333333333333334</v>
      </c>
      <c r="AC91" s="299">
        <f t="shared" si="13"/>
        <v>0</v>
      </c>
      <c r="AD91" s="300">
        <f t="shared" si="13"/>
        <v>15.333333333333334</v>
      </c>
      <c r="AE91" s="378" t="s">
        <v>2589</v>
      </c>
    </row>
    <row r="92" spans="1:31" s="361" customFormat="1" ht="18">
      <c r="A92" s="180">
        <v>85</v>
      </c>
      <c r="B92" s="371" t="s">
        <v>2755</v>
      </c>
      <c r="C92" s="379" t="s">
        <v>2737</v>
      </c>
      <c r="D92" s="379"/>
      <c r="E92" s="380">
        <v>0</v>
      </c>
      <c r="F92" s="396" t="s">
        <v>352</v>
      </c>
      <c r="G92" s="397">
        <v>160</v>
      </c>
      <c r="H92" s="398"/>
      <c r="I92" s="377">
        <v>160</v>
      </c>
      <c r="J92" s="397">
        <v>256</v>
      </c>
      <c r="K92" s="398"/>
      <c r="L92" s="377">
        <f t="shared" si="14"/>
        <v>256</v>
      </c>
      <c r="M92" s="397"/>
      <c r="N92" s="398"/>
      <c r="O92" s="377">
        <f t="shared" si="15"/>
        <v>0</v>
      </c>
      <c r="P92" s="375">
        <v>300</v>
      </c>
      <c r="Q92" s="376"/>
      <c r="R92" s="377">
        <f t="shared" si="8"/>
        <v>300</v>
      </c>
      <c r="S92" s="375">
        <v>297</v>
      </c>
      <c r="T92" s="376">
        <v>0</v>
      </c>
      <c r="U92" s="377">
        <f t="shared" si="11"/>
        <v>297</v>
      </c>
      <c r="V92" s="375">
        <v>156</v>
      </c>
      <c r="W92" s="376"/>
      <c r="X92" s="377">
        <f t="shared" si="9"/>
        <v>156</v>
      </c>
      <c r="Y92" s="295">
        <f t="shared" si="12"/>
        <v>1169</v>
      </c>
      <c r="Z92" s="296">
        <f t="shared" si="12"/>
        <v>0</v>
      </c>
      <c r="AA92" s="297">
        <f t="shared" si="12"/>
        <v>1169</v>
      </c>
      <c r="AB92" s="298">
        <f t="shared" si="13"/>
        <v>194.83333333333334</v>
      </c>
      <c r="AC92" s="299">
        <f t="shared" si="13"/>
        <v>0</v>
      </c>
      <c r="AD92" s="300">
        <f t="shared" si="13"/>
        <v>194.83333333333334</v>
      </c>
      <c r="AE92" s="378" t="s">
        <v>352</v>
      </c>
    </row>
    <row r="93" spans="1:31" s="361" customFormat="1" ht="15.75">
      <c r="A93" s="180">
        <v>86</v>
      </c>
      <c r="B93" s="177" t="s">
        <v>2756</v>
      </c>
      <c r="C93" s="379" t="s">
        <v>2757</v>
      </c>
      <c r="D93" s="379"/>
      <c r="E93" s="380">
        <v>0</v>
      </c>
      <c r="F93" s="396" t="s">
        <v>352</v>
      </c>
      <c r="G93" s="397">
        <v>20</v>
      </c>
      <c r="H93" s="398"/>
      <c r="I93" s="377">
        <f t="shared" ref="I93" si="16">G93+H93</f>
        <v>20</v>
      </c>
      <c r="J93" s="397">
        <v>25</v>
      </c>
      <c r="K93" s="398"/>
      <c r="L93" s="377">
        <f t="shared" si="14"/>
        <v>25</v>
      </c>
      <c r="M93" s="397"/>
      <c r="N93" s="398"/>
      <c r="O93" s="377">
        <f t="shared" si="15"/>
        <v>0</v>
      </c>
      <c r="P93" s="375"/>
      <c r="Q93" s="376"/>
      <c r="R93" s="377">
        <f t="shared" si="8"/>
        <v>0</v>
      </c>
      <c r="S93" s="375">
        <v>0</v>
      </c>
      <c r="T93" s="376"/>
      <c r="U93" s="377">
        <f t="shared" si="11"/>
        <v>0</v>
      </c>
      <c r="V93" s="375">
        <v>18</v>
      </c>
      <c r="W93" s="376">
        <v>0</v>
      </c>
      <c r="X93" s="377">
        <f t="shared" si="9"/>
        <v>18</v>
      </c>
      <c r="Y93" s="295">
        <f t="shared" si="12"/>
        <v>63</v>
      </c>
      <c r="Z93" s="296">
        <f t="shared" si="12"/>
        <v>0</v>
      </c>
      <c r="AA93" s="297">
        <f t="shared" si="12"/>
        <v>63</v>
      </c>
      <c r="AB93" s="298">
        <f t="shared" si="13"/>
        <v>10.5</v>
      </c>
      <c r="AC93" s="299">
        <f t="shared" si="13"/>
        <v>0</v>
      </c>
      <c r="AD93" s="300">
        <f t="shared" si="13"/>
        <v>10.5</v>
      </c>
      <c r="AE93" s="378" t="s">
        <v>352</v>
      </c>
    </row>
    <row r="94" spans="1:31" s="361" customFormat="1" ht="18">
      <c r="A94" s="180">
        <v>87</v>
      </c>
      <c r="B94" s="371" t="s">
        <v>2758</v>
      </c>
      <c r="C94" s="379" t="s">
        <v>2737</v>
      </c>
      <c r="D94" s="379"/>
      <c r="E94" s="380">
        <v>0</v>
      </c>
      <c r="F94" s="396" t="s">
        <v>352</v>
      </c>
      <c r="G94" s="397"/>
      <c r="H94" s="398"/>
      <c r="I94" s="377"/>
      <c r="J94" s="397">
        <v>20</v>
      </c>
      <c r="K94" s="398"/>
      <c r="L94" s="377">
        <f t="shared" si="14"/>
        <v>20</v>
      </c>
      <c r="M94" s="397">
        <v>36</v>
      </c>
      <c r="N94" s="398"/>
      <c r="O94" s="377">
        <f t="shared" si="15"/>
        <v>36</v>
      </c>
      <c r="P94" s="375"/>
      <c r="Q94" s="376"/>
      <c r="R94" s="377">
        <f t="shared" si="8"/>
        <v>0</v>
      </c>
      <c r="S94" s="375">
        <v>20</v>
      </c>
      <c r="T94" s="376"/>
      <c r="U94" s="377">
        <f t="shared" si="11"/>
        <v>20</v>
      </c>
      <c r="V94" s="375">
        <v>40</v>
      </c>
      <c r="W94" s="376"/>
      <c r="X94" s="377">
        <f t="shared" si="9"/>
        <v>40</v>
      </c>
      <c r="Y94" s="295">
        <f t="shared" si="12"/>
        <v>116</v>
      </c>
      <c r="Z94" s="296">
        <f t="shared" si="12"/>
        <v>0</v>
      </c>
      <c r="AA94" s="297">
        <f t="shared" si="12"/>
        <v>116</v>
      </c>
      <c r="AB94" s="298">
        <f t="shared" si="13"/>
        <v>19.333333333333332</v>
      </c>
      <c r="AC94" s="299">
        <f t="shared" si="13"/>
        <v>0</v>
      </c>
      <c r="AD94" s="300">
        <f t="shared" si="13"/>
        <v>19.333333333333332</v>
      </c>
      <c r="AE94" s="378" t="s">
        <v>352</v>
      </c>
    </row>
    <row r="95" spans="1:31" s="361" customFormat="1" ht="18">
      <c r="A95" s="180">
        <v>88</v>
      </c>
      <c r="B95" s="371" t="s">
        <v>2759</v>
      </c>
      <c r="C95" s="379" t="s">
        <v>2737</v>
      </c>
      <c r="D95" s="379" t="s">
        <v>2760</v>
      </c>
      <c r="E95" s="380">
        <v>9</v>
      </c>
      <c r="F95" s="396" t="s">
        <v>352</v>
      </c>
      <c r="G95" s="397"/>
      <c r="H95" s="398"/>
      <c r="I95" s="377">
        <f t="shared" si="10"/>
        <v>0</v>
      </c>
      <c r="J95" s="397"/>
      <c r="K95" s="398"/>
      <c r="L95" s="377">
        <f t="shared" si="14"/>
        <v>0</v>
      </c>
      <c r="M95" s="397"/>
      <c r="N95" s="398"/>
      <c r="O95" s="377">
        <f t="shared" si="15"/>
        <v>0</v>
      </c>
      <c r="P95" s="375"/>
      <c r="Q95" s="376"/>
      <c r="R95" s="377">
        <f t="shared" si="8"/>
        <v>0</v>
      </c>
      <c r="S95" s="375"/>
      <c r="T95" s="376"/>
      <c r="U95" s="377">
        <f t="shared" si="11"/>
        <v>0</v>
      </c>
      <c r="V95" s="375"/>
      <c r="W95" s="376"/>
      <c r="X95" s="377">
        <f t="shared" si="9"/>
        <v>0</v>
      </c>
      <c r="Y95" s="295">
        <f t="shared" si="12"/>
        <v>0</v>
      </c>
      <c r="Z95" s="296">
        <f t="shared" si="12"/>
        <v>0</v>
      </c>
      <c r="AA95" s="297">
        <f t="shared" si="12"/>
        <v>0</v>
      </c>
      <c r="AB95" s="298">
        <f t="shared" si="13"/>
        <v>0</v>
      </c>
      <c r="AC95" s="299">
        <f t="shared" si="13"/>
        <v>0</v>
      </c>
      <c r="AD95" s="300">
        <f t="shared" si="13"/>
        <v>0</v>
      </c>
      <c r="AE95" s="378" t="s">
        <v>352</v>
      </c>
    </row>
    <row r="96" spans="1:31" s="361" customFormat="1" ht="18">
      <c r="A96" s="180">
        <v>89</v>
      </c>
      <c r="B96" s="371" t="s">
        <v>2761</v>
      </c>
      <c r="C96" s="379" t="s">
        <v>2737</v>
      </c>
      <c r="D96" s="379" t="s">
        <v>2762</v>
      </c>
      <c r="E96" s="380">
        <v>13</v>
      </c>
      <c r="F96" s="396" t="s">
        <v>352</v>
      </c>
      <c r="G96" s="397"/>
      <c r="H96" s="398"/>
      <c r="I96" s="377">
        <f t="shared" si="10"/>
        <v>0</v>
      </c>
      <c r="J96" s="397"/>
      <c r="K96" s="398"/>
      <c r="L96" s="377">
        <f t="shared" si="14"/>
        <v>0</v>
      </c>
      <c r="M96" s="397"/>
      <c r="N96" s="398"/>
      <c r="O96" s="377">
        <f t="shared" si="15"/>
        <v>0</v>
      </c>
      <c r="P96" s="375"/>
      <c r="Q96" s="376"/>
      <c r="R96" s="377">
        <f t="shared" si="8"/>
        <v>0</v>
      </c>
      <c r="S96" s="375"/>
      <c r="T96" s="376"/>
      <c r="U96" s="377">
        <f t="shared" si="11"/>
        <v>0</v>
      </c>
      <c r="V96" s="375"/>
      <c r="W96" s="376"/>
      <c r="X96" s="377">
        <f t="shared" si="9"/>
        <v>0</v>
      </c>
      <c r="Y96" s="295">
        <f t="shared" si="12"/>
        <v>0</v>
      </c>
      <c r="Z96" s="296">
        <f t="shared" si="12"/>
        <v>0</v>
      </c>
      <c r="AA96" s="297">
        <f t="shared" si="12"/>
        <v>0</v>
      </c>
      <c r="AB96" s="298">
        <f t="shared" si="13"/>
        <v>0</v>
      </c>
      <c r="AC96" s="299">
        <f t="shared" si="13"/>
        <v>0</v>
      </c>
      <c r="AD96" s="300">
        <f t="shared" si="13"/>
        <v>0</v>
      </c>
      <c r="AE96" s="378" t="s">
        <v>352</v>
      </c>
    </row>
    <row r="97" spans="1:31" s="361" customFormat="1" ht="18">
      <c r="A97" s="180">
        <v>90</v>
      </c>
      <c r="B97" s="371" t="s">
        <v>2763</v>
      </c>
      <c r="C97" s="379" t="s">
        <v>2737</v>
      </c>
      <c r="D97" s="379" t="s">
        <v>2764</v>
      </c>
      <c r="E97" s="380">
        <v>5</v>
      </c>
      <c r="F97" s="396" t="s">
        <v>352</v>
      </c>
      <c r="G97" s="397"/>
      <c r="H97" s="398"/>
      <c r="I97" s="377">
        <f t="shared" si="10"/>
        <v>0</v>
      </c>
      <c r="J97" s="397"/>
      <c r="K97" s="398"/>
      <c r="L97" s="377">
        <f t="shared" si="14"/>
        <v>0</v>
      </c>
      <c r="M97" s="397"/>
      <c r="N97" s="398"/>
      <c r="O97" s="377">
        <f t="shared" si="15"/>
        <v>0</v>
      </c>
      <c r="P97" s="375"/>
      <c r="Q97" s="376"/>
      <c r="R97" s="377">
        <f t="shared" si="8"/>
        <v>0</v>
      </c>
      <c r="S97" s="375"/>
      <c r="T97" s="376"/>
      <c r="U97" s="377">
        <f t="shared" si="11"/>
        <v>0</v>
      </c>
      <c r="V97" s="375"/>
      <c r="W97" s="376"/>
      <c r="X97" s="377">
        <f t="shared" si="9"/>
        <v>0</v>
      </c>
      <c r="Y97" s="295">
        <f t="shared" si="12"/>
        <v>0</v>
      </c>
      <c r="Z97" s="296">
        <f t="shared" si="12"/>
        <v>0</v>
      </c>
      <c r="AA97" s="297">
        <f t="shared" si="12"/>
        <v>0</v>
      </c>
      <c r="AB97" s="298">
        <f t="shared" si="13"/>
        <v>0</v>
      </c>
      <c r="AC97" s="299">
        <f t="shared" si="13"/>
        <v>0</v>
      </c>
      <c r="AD97" s="300">
        <f t="shared" si="13"/>
        <v>0</v>
      </c>
      <c r="AE97" s="378" t="s">
        <v>352</v>
      </c>
    </row>
    <row r="98" spans="1:31" s="361" customFormat="1" ht="18">
      <c r="A98" s="180">
        <v>91</v>
      </c>
      <c r="B98" s="371" t="s">
        <v>2765</v>
      </c>
      <c r="C98" s="379" t="s">
        <v>2737</v>
      </c>
      <c r="D98" s="379" t="s">
        <v>2766</v>
      </c>
      <c r="E98" s="380">
        <v>9</v>
      </c>
      <c r="F98" s="396" t="s">
        <v>352</v>
      </c>
      <c r="G98" s="397"/>
      <c r="H98" s="398"/>
      <c r="I98" s="377">
        <f t="shared" si="10"/>
        <v>0</v>
      </c>
      <c r="J98" s="397"/>
      <c r="K98" s="398"/>
      <c r="L98" s="377">
        <f t="shared" si="14"/>
        <v>0</v>
      </c>
      <c r="M98" s="397"/>
      <c r="N98" s="398"/>
      <c r="O98" s="377">
        <f t="shared" si="15"/>
        <v>0</v>
      </c>
      <c r="P98" s="375"/>
      <c r="Q98" s="376"/>
      <c r="R98" s="377">
        <f t="shared" si="8"/>
        <v>0</v>
      </c>
      <c r="S98" s="375"/>
      <c r="T98" s="376"/>
      <c r="U98" s="377">
        <f t="shared" si="11"/>
        <v>0</v>
      </c>
      <c r="V98" s="375"/>
      <c r="W98" s="376"/>
      <c r="X98" s="377">
        <f t="shared" si="9"/>
        <v>0</v>
      </c>
      <c r="Y98" s="295">
        <f t="shared" si="12"/>
        <v>0</v>
      </c>
      <c r="Z98" s="296">
        <f t="shared" si="12"/>
        <v>0</v>
      </c>
      <c r="AA98" s="297">
        <f t="shared" si="12"/>
        <v>0</v>
      </c>
      <c r="AB98" s="298">
        <f t="shared" si="13"/>
        <v>0</v>
      </c>
      <c r="AC98" s="299">
        <f t="shared" si="13"/>
        <v>0</v>
      </c>
      <c r="AD98" s="300">
        <f t="shared" si="13"/>
        <v>0</v>
      </c>
      <c r="AE98" s="378" t="s">
        <v>352</v>
      </c>
    </row>
    <row r="99" spans="1:31" s="361" customFormat="1" ht="18">
      <c r="A99" s="180">
        <v>92</v>
      </c>
      <c r="B99" s="371" t="s">
        <v>2767</v>
      </c>
      <c r="C99" s="379" t="s">
        <v>2737</v>
      </c>
      <c r="D99" s="401" t="s">
        <v>2768</v>
      </c>
      <c r="E99" s="380">
        <v>16</v>
      </c>
      <c r="F99" s="396" t="s">
        <v>352</v>
      </c>
      <c r="G99" s="397">
        <v>15</v>
      </c>
      <c r="H99" s="398">
        <v>20</v>
      </c>
      <c r="I99" s="377">
        <f t="shared" si="10"/>
        <v>35</v>
      </c>
      <c r="J99" s="397"/>
      <c r="K99" s="398">
        <v>9</v>
      </c>
      <c r="L99" s="377">
        <f t="shared" si="14"/>
        <v>9</v>
      </c>
      <c r="M99" s="397"/>
      <c r="N99" s="398"/>
      <c r="O99" s="377">
        <f t="shared" si="15"/>
        <v>0</v>
      </c>
      <c r="P99" s="375"/>
      <c r="Q99" s="376"/>
      <c r="R99" s="377">
        <f t="shared" si="8"/>
        <v>0</v>
      </c>
      <c r="S99" s="375">
        <v>0</v>
      </c>
      <c r="T99" s="376">
        <v>82</v>
      </c>
      <c r="U99" s="377">
        <f t="shared" si="11"/>
        <v>82</v>
      </c>
      <c r="V99" s="382"/>
      <c r="W99" s="1"/>
      <c r="X99" s="377">
        <f t="shared" si="9"/>
        <v>0</v>
      </c>
      <c r="Y99" s="295">
        <f t="shared" si="12"/>
        <v>15</v>
      </c>
      <c r="Z99" s="296">
        <f t="shared" si="12"/>
        <v>111</v>
      </c>
      <c r="AA99" s="297">
        <f t="shared" si="12"/>
        <v>126</v>
      </c>
      <c r="AB99" s="298">
        <f t="shared" si="13"/>
        <v>2.5</v>
      </c>
      <c r="AC99" s="299">
        <f t="shared" si="13"/>
        <v>18.5</v>
      </c>
      <c r="AD99" s="300">
        <f t="shared" si="13"/>
        <v>21</v>
      </c>
      <c r="AE99" s="378" t="s">
        <v>352</v>
      </c>
    </row>
    <row r="100" spans="1:31" s="361" customFormat="1" ht="18.399999999999999" thickBot="1">
      <c r="A100" s="180">
        <v>93</v>
      </c>
      <c r="B100" s="402" t="s">
        <v>2769</v>
      </c>
      <c r="C100" s="403" t="s">
        <v>2770</v>
      </c>
      <c r="D100" s="404"/>
      <c r="E100" s="405">
        <v>5</v>
      </c>
      <c r="F100" s="406" t="s">
        <v>352</v>
      </c>
      <c r="G100" s="407"/>
      <c r="H100" s="408"/>
      <c r="I100" s="409">
        <f t="shared" si="10"/>
        <v>0</v>
      </c>
      <c r="J100" s="407"/>
      <c r="K100" s="408"/>
      <c r="L100" s="409">
        <f t="shared" si="14"/>
        <v>0</v>
      </c>
      <c r="M100" s="407"/>
      <c r="N100" s="408"/>
      <c r="O100" s="409">
        <f t="shared" si="15"/>
        <v>0</v>
      </c>
      <c r="P100" s="410"/>
      <c r="Q100" s="411"/>
      <c r="R100" s="409">
        <f t="shared" si="8"/>
        <v>0</v>
      </c>
      <c r="S100" s="410"/>
      <c r="T100" s="411"/>
      <c r="U100" s="409">
        <f t="shared" si="11"/>
        <v>0</v>
      </c>
      <c r="V100" s="410"/>
      <c r="W100" s="411"/>
      <c r="X100" s="409">
        <f t="shared" si="9"/>
        <v>0</v>
      </c>
      <c r="Y100" s="412">
        <f t="shared" si="12"/>
        <v>0</v>
      </c>
      <c r="Z100" s="413">
        <f t="shared" si="12"/>
        <v>0</v>
      </c>
      <c r="AA100" s="414">
        <f t="shared" si="12"/>
        <v>0</v>
      </c>
      <c r="AB100" s="415">
        <f t="shared" si="13"/>
        <v>0</v>
      </c>
      <c r="AC100" s="416">
        <f t="shared" si="13"/>
        <v>0</v>
      </c>
      <c r="AD100" s="417">
        <f t="shared" si="13"/>
        <v>0</v>
      </c>
      <c r="AE100" s="378" t="s">
        <v>352</v>
      </c>
    </row>
    <row r="101" spans="1:31" s="361" customFormat="1" ht="18.399999999999999" thickBot="1">
      <c r="A101" s="418" t="s">
        <v>11</v>
      </c>
      <c r="B101" s="419" t="s">
        <v>2771</v>
      </c>
      <c r="C101" s="420"/>
      <c r="D101" s="420"/>
      <c r="E101" s="421">
        <f>SUM(E8:E100)</f>
        <v>3168</v>
      </c>
      <c r="F101" s="421"/>
      <c r="G101" s="422">
        <f t="shared" ref="G101:X101" si="17">SUM(G8:G100)</f>
        <v>6077.5</v>
      </c>
      <c r="H101" s="422">
        <f t="shared" si="17"/>
        <v>1251.5</v>
      </c>
      <c r="I101" s="422">
        <f t="shared" si="17"/>
        <v>7329</v>
      </c>
      <c r="J101" s="421">
        <f t="shared" si="17"/>
        <v>6261</v>
      </c>
      <c r="K101" s="421">
        <f t="shared" si="17"/>
        <v>1425</v>
      </c>
      <c r="L101" s="421">
        <f t="shared" si="17"/>
        <v>7686</v>
      </c>
      <c r="M101" s="422">
        <f t="shared" si="17"/>
        <v>3720.5</v>
      </c>
      <c r="N101" s="421">
        <f t="shared" si="17"/>
        <v>1233</v>
      </c>
      <c r="O101" s="422">
        <f t="shared" si="17"/>
        <v>4953.5</v>
      </c>
      <c r="P101" s="421">
        <f t="shared" si="17"/>
        <v>4369</v>
      </c>
      <c r="Q101" s="421">
        <f t="shared" si="17"/>
        <v>780</v>
      </c>
      <c r="R101" s="421">
        <f t="shared" si="17"/>
        <v>5149</v>
      </c>
      <c r="S101" s="421">
        <f t="shared" si="17"/>
        <v>6371</v>
      </c>
      <c r="T101" s="421">
        <f t="shared" si="17"/>
        <v>1161</v>
      </c>
      <c r="U101" s="421">
        <f t="shared" si="17"/>
        <v>7532</v>
      </c>
      <c r="V101" s="421">
        <f t="shared" si="17"/>
        <v>4052</v>
      </c>
      <c r="W101" s="421">
        <f t="shared" si="17"/>
        <v>914</v>
      </c>
      <c r="X101" s="421">
        <f t="shared" si="17"/>
        <v>4966</v>
      </c>
      <c r="Y101" s="423">
        <f t="shared" si="12"/>
        <v>30851</v>
      </c>
      <c r="Z101" s="424">
        <f t="shared" si="12"/>
        <v>6764.5</v>
      </c>
      <c r="AA101" s="425">
        <f t="shared" si="12"/>
        <v>37615.5</v>
      </c>
      <c r="AB101" s="426">
        <f t="shared" si="13"/>
        <v>5141.833333333333</v>
      </c>
      <c r="AC101" s="427">
        <f t="shared" si="13"/>
        <v>1127.4166666666667</v>
      </c>
      <c r="AD101" s="428">
        <f t="shared" si="13"/>
        <v>6269.25</v>
      </c>
      <c r="AE101" s="411"/>
    </row>
    <row r="102" spans="1:31" ht="14.65" thickBot="1">
      <c r="B102" s="361"/>
    </row>
    <row r="103" spans="1:31" ht="15.75">
      <c r="A103" s="104"/>
      <c r="B103" s="202" t="s">
        <v>338</v>
      </c>
      <c r="C103" s="203"/>
      <c r="D103" s="204"/>
      <c r="E103" s="210">
        <v>1675</v>
      </c>
      <c r="G103" s="205">
        <v>1655</v>
      </c>
      <c r="H103" s="206">
        <v>612</v>
      </c>
      <c r="I103" s="206">
        <f>G103+H103</f>
        <v>2267</v>
      </c>
      <c r="J103" s="206">
        <v>2693</v>
      </c>
      <c r="K103" s="206">
        <v>1128</v>
      </c>
      <c r="L103" s="206">
        <f>J103+K103</f>
        <v>3821</v>
      </c>
      <c r="M103" s="206">
        <v>2264</v>
      </c>
      <c r="N103" s="206">
        <v>216</v>
      </c>
      <c r="O103" s="206">
        <f>M103+N103</f>
        <v>2480</v>
      </c>
      <c r="P103" s="206">
        <v>1366</v>
      </c>
      <c r="Q103" s="206">
        <v>742</v>
      </c>
      <c r="R103" s="206">
        <f>P103+Q103</f>
        <v>2108</v>
      </c>
      <c r="S103" s="206">
        <v>3468</v>
      </c>
      <c r="T103" s="206">
        <v>606</v>
      </c>
      <c r="U103" s="206">
        <f>S103+T103</f>
        <v>4074</v>
      </c>
      <c r="V103" s="206">
        <v>2034</v>
      </c>
      <c r="W103" s="206">
        <v>346</v>
      </c>
      <c r="X103" s="206">
        <f>V103+W103</f>
        <v>2380</v>
      </c>
      <c r="Y103" s="206">
        <f>G103+J103+M103+P103+S103+V103</f>
        <v>13480</v>
      </c>
      <c r="Z103" s="206">
        <f>H103+K103+N103+Q103+T103+W103</f>
        <v>3650</v>
      </c>
      <c r="AA103" s="206">
        <f>Y103+Z103</f>
        <v>17130</v>
      </c>
      <c r="AB103" s="207">
        <f t="shared" ref="AB103:AD104" si="18">Y103/6</f>
        <v>2246.6666666666665</v>
      </c>
      <c r="AC103" s="207">
        <f t="shared" si="18"/>
        <v>608.33333333333337</v>
      </c>
      <c r="AD103" s="208">
        <f t="shared" si="18"/>
        <v>2855</v>
      </c>
    </row>
    <row r="104" spans="1:31">
      <c r="A104" s="78"/>
      <c r="B104" s="7" t="s">
        <v>339</v>
      </c>
      <c r="C104" s="6"/>
      <c r="D104" s="15"/>
      <c r="E104" s="212">
        <f>E101-E103</f>
        <v>1493</v>
      </c>
      <c r="G104" s="571">
        <f>G101-G103</f>
        <v>4422.5</v>
      </c>
      <c r="H104" s="481">
        <f>H101-H103</f>
        <v>639.5</v>
      </c>
      <c r="I104" s="481">
        <f t="shared" ref="I104:AA104" si="19">I101-I103</f>
        <v>5062</v>
      </c>
      <c r="J104" s="481">
        <f t="shared" si="19"/>
        <v>3568</v>
      </c>
      <c r="K104" s="481">
        <f t="shared" si="19"/>
        <v>297</v>
      </c>
      <c r="L104" s="481">
        <f t="shared" si="19"/>
        <v>3865</v>
      </c>
      <c r="M104" s="481">
        <f t="shared" si="19"/>
        <v>1456.5</v>
      </c>
      <c r="N104" s="481">
        <f t="shared" si="19"/>
        <v>1017</v>
      </c>
      <c r="O104" s="481">
        <f t="shared" si="19"/>
        <v>2473.5</v>
      </c>
      <c r="P104" s="102">
        <f t="shared" si="19"/>
        <v>3003</v>
      </c>
      <c r="Q104" s="102">
        <f t="shared" si="19"/>
        <v>38</v>
      </c>
      <c r="R104" s="102">
        <f t="shared" si="19"/>
        <v>3041</v>
      </c>
      <c r="S104" s="102">
        <f t="shared" si="19"/>
        <v>2903</v>
      </c>
      <c r="T104" s="102">
        <f t="shared" si="19"/>
        <v>555</v>
      </c>
      <c r="U104" s="102">
        <f t="shared" si="19"/>
        <v>3458</v>
      </c>
      <c r="V104" s="102">
        <f t="shared" si="19"/>
        <v>2018</v>
      </c>
      <c r="W104" s="102">
        <f t="shared" si="19"/>
        <v>568</v>
      </c>
      <c r="X104" s="102">
        <f t="shared" si="19"/>
        <v>2586</v>
      </c>
      <c r="Y104" s="102">
        <f t="shared" si="19"/>
        <v>17371</v>
      </c>
      <c r="Z104" s="481">
        <f t="shared" si="19"/>
        <v>3114.5</v>
      </c>
      <c r="AA104" s="481">
        <f t="shared" si="19"/>
        <v>20485.5</v>
      </c>
      <c r="AB104" s="71">
        <f t="shared" si="18"/>
        <v>2895.1666666666665</v>
      </c>
      <c r="AC104" s="71">
        <f t="shared" si="18"/>
        <v>519.08333333333337</v>
      </c>
      <c r="AD104" s="72">
        <f t="shared" si="18"/>
        <v>3414.25</v>
      </c>
    </row>
    <row r="105" spans="1:31">
      <c r="A105" s="78"/>
      <c r="B105" s="7" t="s">
        <v>340</v>
      </c>
      <c r="C105" s="6"/>
      <c r="D105" s="15"/>
      <c r="E105" s="86">
        <f>E104/E101%</f>
        <v>47.127525252525253</v>
      </c>
      <c r="G105" s="107">
        <f t="shared" ref="G105:AD105" si="20">G104/G101%</f>
        <v>72.768408062525708</v>
      </c>
      <c r="H105" s="96">
        <f t="shared" si="20"/>
        <v>51.098681582101477</v>
      </c>
      <c r="I105" s="96">
        <f t="shared" si="20"/>
        <v>69.068085686996852</v>
      </c>
      <c r="J105" s="96">
        <f t="shared" si="20"/>
        <v>56.987701645104615</v>
      </c>
      <c r="K105" s="96">
        <f t="shared" si="20"/>
        <v>20.842105263157894</v>
      </c>
      <c r="L105" s="96">
        <f t="shared" si="20"/>
        <v>50.286234712464221</v>
      </c>
      <c r="M105" s="96">
        <f t="shared" si="20"/>
        <v>39.147963983335572</v>
      </c>
      <c r="N105" s="96">
        <f t="shared" si="20"/>
        <v>82.481751824817522</v>
      </c>
      <c r="O105" s="96">
        <f t="shared" si="20"/>
        <v>49.934389825376002</v>
      </c>
      <c r="P105" s="96">
        <f t="shared" si="20"/>
        <v>68.734264133669029</v>
      </c>
      <c r="Q105" s="96">
        <f t="shared" si="20"/>
        <v>4.8717948717948723</v>
      </c>
      <c r="R105" s="96">
        <f t="shared" si="20"/>
        <v>59.060011652748102</v>
      </c>
      <c r="S105" s="96">
        <f t="shared" si="20"/>
        <v>45.56584523622665</v>
      </c>
      <c r="T105" s="96">
        <f t="shared" si="20"/>
        <v>47.803617571059434</v>
      </c>
      <c r="U105" s="96">
        <f t="shared" si="20"/>
        <v>45.910780669144984</v>
      </c>
      <c r="V105" s="96">
        <f t="shared" si="20"/>
        <v>49.802566633761103</v>
      </c>
      <c r="W105" s="96">
        <f t="shared" si="20"/>
        <v>62.144420131291028</v>
      </c>
      <c r="X105" s="96">
        <f t="shared" si="20"/>
        <v>52.074103906564645</v>
      </c>
      <c r="Y105" s="96">
        <f t="shared" si="20"/>
        <v>56.306116495413441</v>
      </c>
      <c r="Z105" s="96">
        <f t="shared" si="20"/>
        <v>46.041836055879962</v>
      </c>
      <c r="AA105" s="96">
        <f t="shared" si="20"/>
        <v>54.460262391833155</v>
      </c>
      <c r="AB105" s="96">
        <f t="shared" si="20"/>
        <v>56.306116495413441</v>
      </c>
      <c r="AC105" s="96">
        <f t="shared" si="20"/>
        <v>46.041836055879962</v>
      </c>
      <c r="AD105" s="86">
        <f t="shared" si="20"/>
        <v>54.460262391833155</v>
      </c>
    </row>
    <row r="106" spans="1:31" ht="14.65" thickBot="1">
      <c r="A106" s="80"/>
      <c r="B106" s="81" t="s">
        <v>341</v>
      </c>
      <c r="C106" s="82"/>
      <c r="D106" s="85"/>
      <c r="E106" s="87">
        <f>E103/E101%</f>
        <v>52.872474747474747</v>
      </c>
      <c r="G106" s="108">
        <f t="shared" ref="G106:AD106" si="21">G103/G101%</f>
        <v>27.231591937474292</v>
      </c>
      <c r="H106" s="97">
        <f t="shared" si="21"/>
        <v>48.901318417898523</v>
      </c>
      <c r="I106" s="97">
        <f t="shared" si="21"/>
        <v>30.931914313003137</v>
      </c>
      <c r="J106" s="97">
        <f t="shared" si="21"/>
        <v>43.012298354895385</v>
      </c>
      <c r="K106" s="97">
        <f t="shared" si="21"/>
        <v>79.15789473684211</v>
      </c>
      <c r="L106" s="97">
        <f t="shared" si="21"/>
        <v>49.713765287535779</v>
      </c>
      <c r="M106" s="97">
        <f t="shared" si="21"/>
        <v>60.852036016664428</v>
      </c>
      <c r="N106" s="97">
        <f t="shared" si="21"/>
        <v>17.518248175182482</v>
      </c>
      <c r="O106" s="97">
        <f t="shared" si="21"/>
        <v>50.065610174624005</v>
      </c>
      <c r="P106" s="97">
        <f t="shared" si="21"/>
        <v>31.265735866330971</v>
      </c>
      <c r="Q106" s="97">
        <f t="shared" si="21"/>
        <v>95.128205128205124</v>
      </c>
      <c r="R106" s="97">
        <f t="shared" si="21"/>
        <v>40.939988347251891</v>
      </c>
      <c r="S106" s="97">
        <f t="shared" si="21"/>
        <v>54.43415476377335</v>
      </c>
      <c r="T106" s="97">
        <f t="shared" si="21"/>
        <v>52.196382428940574</v>
      </c>
      <c r="U106" s="97">
        <f t="shared" si="21"/>
        <v>54.089219330855023</v>
      </c>
      <c r="V106" s="97">
        <f t="shared" si="21"/>
        <v>50.19743336623889</v>
      </c>
      <c r="W106" s="97">
        <f t="shared" si="21"/>
        <v>37.855579868708972</v>
      </c>
      <c r="X106" s="97">
        <f t="shared" si="21"/>
        <v>47.925896093435362</v>
      </c>
      <c r="Y106" s="97">
        <f t="shared" si="21"/>
        <v>43.693883504586566</v>
      </c>
      <c r="Z106" s="97">
        <f t="shared" si="21"/>
        <v>53.958163944120045</v>
      </c>
      <c r="AA106" s="97">
        <f t="shared" si="21"/>
        <v>45.539737608166853</v>
      </c>
      <c r="AB106" s="97">
        <f t="shared" si="21"/>
        <v>43.693883504586559</v>
      </c>
      <c r="AC106" s="97">
        <f t="shared" si="21"/>
        <v>53.958163944120038</v>
      </c>
      <c r="AD106" s="87">
        <f t="shared" si="21"/>
        <v>45.539737608166845</v>
      </c>
    </row>
    <row r="107" spans="1:31">
      <c r="B107" s="361"/>
    </row>
    <row r="108" spans="1:31">
      <c r="B108" s="361"/>
    </row>
    <row r="109" spans="1:31">
      <c r="B109" s="361"/>
    </row>
    <row r="110" spans="1:31">
      <c r="B110" s="361"/>
    </row>
    <row r="111" spans="1:31">
      <c r="B111" s="361"/>
    </row>
    <row r="112" spans="1:31">
      <c r="B112" s="361"/>
    </row>
  </sheetData>
  <autoFilter ref="A6:AE101">
    <filterColumn colId="6" showButton="0"/>
    <filterColumn colId="7" showButton="0"/>
    <filterColumn colId="9" showButton="0"/>
    <filterColumn colId="10" showButton="0"/>
    <filterColumn colId="12" showButton="0"/>
    <filterColumn colId="13" showButton="0"/>
    <filterColumn colId="15" showButton="0"/>
    <filterColumn colId="16" showButton="0"/>
    <filterColumn colId="18" showButton="0"/>
    <filterColumn colId="19" showButton="0"/>
    <filterColumn colId="21" showButton="0"/>
    <filterColumn colId="22" showButton="0"/>
    <filterColumn colId="24" showButton="0"/>
    <filterColumn colId="25" showButton="0"/>
    <filterColumn colId="27" showButton="0"/>
    <filterColumn colId="28" showButton="0"/>
  </autoFilter>
  <mergeCells count="12">
    <mergeCell ref="Y6:AA6"/>
    <mergeCell ref="AB6:AD6"/>
    <mergeCell ref="AE6:AE7"/>
    <mergeCell ref="A1:X1"/>
    <mergeCell ref="E6:E7"/>
    <mergeCell ref="F6:F7"/>
    <mergeCell ref="G6:I6"/>
    <mergeCell ref="J6:L6"/>
    <mergeCell ref="M6:O6"/>
    <mergeCell ref="P6:R6"/>
    <mergeCell ref="S6:U6"/>
    <mergeCell ref="V6:X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FL110"/>
  <sheetViews>
    <sheetView zoomScale="80" zoomScaleNormal="80" workbookViewId="0">
      <pane xSplit="52" ySplit="7" topLeftCell="BT88" activePane="bottomRight" state="frozen"/>
      <selection pane="topRight" activeCell="BA1" sqref="BA1"/>
      <selection pane="bottomLeft" activeCell="A8" sqref="A8"/>
      <selection pane="bottomRight" activeCell="BT105" sqref="BT105"/>
    </sheetView>
  </sheetViews>
  <sheetFormatPr defaultRowHeight="14.25"/>
  <cols>
    <col min="1" max="1" width="4.59765625" customWidth="1"/>
    <col min="2" max="2" width="35.86328125" bestFit="1" customWidth="1"/>
    <col min="3" max="3" width="15" customWidth="1"/>
    <col min="4" max="4" width="9.73046875" customWidth="1"/>
    <col min="5" max="5" width="9.73046875" hidden="1" customWidth="1"/>
    <col min="6" max="6" width="10.59765625" hidden="1" customWidth="1"/>
    <col min="7" max="7" width="6.265625" hidden="1" customWidth="1"/>
    <col min="8" max="13" width="8.73046875" hidden="1" customWidth="1"/>
    <col min="14" max="14" width="9.86328125" hidden="1" customWidth="1"/>
    <col min="15" max="15" width="9.3984375" hidden="1" customWidth="1"/>
    <col min="16" max="16" width="7.3984375" hidden="1" customWidth="1"/>
    <col min="17" max="17" width="10" hidden="1" customWidth="1"/>
    <col min="18" max="18" width="9.265625" hidden="1" customWidth="1"/>
    <col min="19" max="19" width="9.3984375" hidden="1" customWidth="1"/>
    <col min="20" max="20" width="9.1328125" hidden="1" customWidth="1"/>
    <col min="21" max="21" width="8" hidden="1" customWidth="1"/>
    <col min="22" max="22" width="7.3984375" hidden="1" customWidth="1"/>
    <col min="23" max="23" width="9.86328125" hidden="1" customWidth="1"/>
    <col min="24" max="46" width="9" hidden="1" customWidth="1"/>
    <col min="47" max="48" width="0" hidden="1" customWidth="1"/>
    <col min="49" max="49" width="9.86328125" customWidth="1"/>
    <col min="50" max="50" width="9.73046875" hidden="1" customWidth="1"/>
    <col min="51" max="51" width="9.265625" hidden="1" customWidth="1"/>
    <col min="52" max="52" width="9.86328125" hidden="1" customWidth="1"/>
    <col min="53" max="53" width="9.59765625" customWidth="1"/>
    <col min="54" max="54" width="9.1328125" customWidth="1"/>
    <col min="55" max="55" width="9.73046875" bestFit="1" customWidth="1"/>
    <col min="56" max="56" width="10" customWidth="1"/>
    <col min="57" max="57" width="9.59765625" customWidth="1"/>
    <col min="58" max="58" width="10" customWidth="1"/>
    <col min="59" max="59" width="10.3984375" customWidth="1"/>
    <col min="60" max="60" width="9.73046875" customWidth="1"/>
    <col min="61" max="61" width="10" customWidth="1"/>
    <col min="62" max="62" width="10.73046875" customWidth="1"/>
    <col min="63" max="63" width="9.59765625" customWidth="1"/>
    <col min="64" max="64" width="10" customWidth="1"/>
    <col min="65" max="65" width="9" customWidth="1"/>
    <col min="66" max="66" width="9.1328125" customWidth="1"/>
    <col min="67" max="67" width="10.86328125" customWidth="1"/>
    <col min="68" max="68" width="10.59765625" customWidth="1"/>
    <col min="69" max="69" width="10.1328125" customWidth="1"/>
    <col min="70" max="79" width="10.3984375" customWidth="1"/>
    <col min="80" max="80" width="10.265625" customWidth="1"/>
    <col min="81" max="81" width="10.1328125" customWidth="1"/>
    <col min="82" max="82" width="10.3984375" customWidth="1"/>
    <col min="86" max="168" width="9.1328125" style="361"/>
  </cols>
  <sheetData>
    <row r="1" spans="1:168" ht="25.5" customHeight="1">
      <c r="A1" s="973" t="s">
        <v>2879</v>
      </c>
      <c r="B1" s="974"/>
      <c r="C1" s="974"/>
      <c r="D1" s="974"/>
      <c r="E1" s="974"/>
      <c r="F1" s="974"/>
      <c r="G1" s="974"/>
      <c r="H1" s="974"/>
      <c r="I1" s="974"/>
      <c r="J1" s="974"/>
      <c r="K1" s="974"/>
      <c r="L1" s="974"/>
      <c r="M1" s="974"/>
      <c r="N1" s="974"/>
      <c r="O1" s="974"/>
      <c r="P1" s="974"/>
      <c r="Q1" s="974"/>
      <c r="R1" s="974"/>
      <c r="S1" s="974"/>
      <c r="T1" s="974"/>
      <c r="U1" s="974"/>
      <c r="V1" s="974"/>
      <c r="W1" s="974"/>
      <c r="X1" s="974"/>
      <c r="Y1" s="974"/>
      <c r="Z1" s="974"/>
      <c r="AA1" s="974"/>
      <c r="AB1" s="974"/>
      <c r="AC1" s="974"/>
      <c r="AD1" s="974"/>
      <c r="AE1" s="974"/>
      <c r="AF1" s="974"/>
      <c r="AG1" s="974"/>
      <c r="AH1" s="974"/>
      <c r="AI1" s="974"/>
      <c r="AJ1" s="974"/>
      <c r="AK1" s="974"/>
      <c r="AL1" s="974"/>
      <c r="AM1" s="974"/>
      <c r="AN1" s="974"/>
      <c r="AO1" s="974"/>
      <c r="AP1" s="974"/>
      <c r="AQ1" s="974"/>
      <c r="AR1" s="974"/>
      <c r="AS1" s="974"/>
      <c r="AT1" s="974"/>
      <c r="AU1" s="974"/>
      <c r="AV1" s="974"/>
      <c r="AW1" s="974"/>
      <c r="AX1" s="974"/>
      <c r="AY1" s="974"/>
      <c r="AZ1" s="974"/>
    </row>
    <row r="3" spans="1:168" ht="18.75" customHeight="1">
      <c r="A3" t="s">
        <v>2880</v>
      </c>
      <c r="BC3" s="686"/>
    </row>
    <row r="4" spans="1:168">
      <c r="BC4" s="686"/>
    </row>
    <row r="5" spans="1:168" ht="15.75" customHeight="1" thickBot="1">
      <c r="A5" t="s">
        <v>2881</v>
      </c>
      <c r="AX5" s="1036" t="s">
        <v>2882</v>
      </c>
      <c r="AY5" s="1036"/>
      <c r="AZ5" s="1036"/>
    </row>
    <row r="6" spans="1:168" ht="48" customHeight="1" thickBot="1">
      <c r="A6" s="724"/>
      <c r="B6" s="725"/>
      <c r="C6" s="725"/>
      <c r="D6" s="725"/>
      <c r="E6" s="726" t="s">
        <v>2883</v>
      </c>
      <c r="F6" s="727" t="s">
        <v>2884</v>
      </c>
      <c r="G6" s="683" t="s">
        <v>2885</v>
      </c>
      <c r="H6" s="1026" t="s">
        <v>2886</v>
      </c>
      <c r="I6" s="1026"/>
      <c r="J6" s="1026"/>
      <c r="K6" s="1026" t="s">
        <v>2887</v>
      </c>
      <c r="L6" s="1026"/>
      <c r="M6" s="1026"/>
      <c r="N6" s="1026" t="s">
        <v>2888</v>
      </c>
      <c r="O6" s="1026"/>
      <c r="P6" s="1026"/>
      <c r="Q6" s="1026" t="s">
        <v>2889</v>
      </c>
      <c r="R6" s="1026"/>
      <c r="S6" s="1026"/>
      <c r="T6" s="1026" t="s">
        <v>2890</v>
      </c>
      <c r="U6" s="1026"/>
      <c r="V6" s="1026"/>
      <c r="W6" s="1026" t="s">
        <v>2891</v>
      </c>
      <c r="X6" s="1026"/>
      <c r="Y6" s="1026"/>
      <c r="Z6" s="1026" t="s">
        <v>2892</v>
      </c>
      <c r="AA6" s="1026"/>
      <c r="AB6" s="1026"/>
      <c r="AC6" s="1026" t="s">
        <v>2893</v>
      </c>
      <c r="AD6" s="1026"/>
      <c r="AE6" s="1026"/>
      <c r="AF6" s="1026" t="s">
        <v>2894</v>
      </c>
      <c r="AG6" s="1026"/>
      <c r="AH6" s="1026"/>
      <c r="AI6" s="1026" t="s">
        <v>3085</v>
      </c>
      <c r="AJ6" s="1026"/>
      <c r="AK6" s="1026"/>
      <c r="AL6" s="1026" t="s">
        <v>3086</v>
      </c>
      <c r="AM6" s="1026"/>
      <c r="AN6" s="1026"/>
      <c r="AO6" s="1033" t="s">
        <v>3087</v>
      </c>
      <c r="AP6" s="1033"/>
      <c r="AQ6" s="1033"/>
      <c r="AR6" s="1034" t="s">
        <v>2895</v>
      </c>
      <c r="AS6" s="1034"/>
      <c r="AT6" s="1034"/>
      <c r="AU6" s="1035" t="s">
        <v>3084</v>
      </c>
      <c r="AV6" s="1035"/>
      <c r="AW6" s="1035"/>
      <c r="AX6" s="728" t="s">
        <v>2896</v>
      </c>
      <c r="AY6" s="728" t="s">
        <v>2897</v>
      </c>
      <c r="AZ6" s="729" t="s">
        <v>2898</v>
      </c>
      <c r="BA6" s="1026" t="s">
        <v>1307</v>
      </c>
      <c r="BB6" s="1026"/>
      <c r="BC6" s="1026"/>
      <c r="BD6" s="1026" t="s">
        <v>2899</v>
      </c>
      <c r="BE6" s="1026"/>
      <c r="BF6" s="1026"/>
      <c r="BG6" s="1026" t="s">
        <v>2900</v>
      </c>
      <c r="BH6" s="1026"/>
      <c r="BI6" s="1026"/>
      <c r="BJ6" s="1026" t="s">
        <v>1634</v>
      </c>
      <c r="BK6" s="1026"/>
      <c r="BL6" s="1026"/>
      <c r="BM6" s="1026" t="s">
        <v>1635</v>
      </c>
      <c r="BN6" s="1026"/>
      <c r="BO6" s="1026"/>
      <c r="BP6" s="1026" t="s">
        <v>1636</v>
      </c>
      <c r="BQ6" s="1026"/>
      <c r="BR6" s="1026"/>
      <c r="BS6" s="1026" t="s">
        <v>3327</v>
      </c>
      <c r="BT6" s="1026"/>
      <c r="BU6" s="1026"/>
      <c r="BV6" s="1026" t="s">
        <v>3328</v>
      </c>
      <c r="BW6" s="1026"/>
      <c r="BX6" s="1026"/>
      <c r="BY6" s="1026" t="s">
        <v>3329</v>
      </c>
      <c r="BZ6" s="1026"/>
      <c r="CA6" s="1027"/>
      <c r="CB6" s="1028" t="s">
        <v>3332</v>
      </c>
      <c r="CC6" s="1029"/>
      <c r="CD6" s="1029"/>
      <c r="CE6" s="1029" t="s">
        <v>3331</v>
      </c>
      <c r="CF6" s="1029"/>
      <c r="CG6" s="1032"/>
    </row>
    <row r="7" spans="1:168" ht="18.75" customHeight="1">
      <c r="A7" s="720" t="s">
        <v>5</v>
      </c>
      <c r="B7" s="721" t="s">
        <v>6</v>
      </c>
      <c r="C7" s="721" t="s">
        <v>7</v>
      </c>
      <c r="D7" s="721" t="s">
        <v>8</v>
      </c>
      <c r="E7" s="721"/>
      <c r="F7" s="721"/>
      <c r="G7" s="720"/>
      <c r="H7" s="722" t="s">
        <v>2901</v>
      </c>
      <c r="I7" s="722" t="s">
        <v>10</v>
      </c>
      <c r="J7" s="722" t="s">
        <v>11</v>
      </c>
      <c r="K7" s="722" t="s">
        <v>2901</v>
      </c>
      <c r="L7" s="722" t="s">
        <v>10</v>
      </c>
      <c r="M7" s="722" t="s">
        <v>11</v>
      </c>
      <c r="N7" s="722" t="s">
        <v>2901</v>
      </c>
      <c r="O7" s="722" t="s">
        <v>10</v>
      </c>
      <c r="P7" s="722" t="s">
        <v>11</v>
      </c>
      <c r="Q7" s="722" t="s">
        <v>2901</v>
      </c>
      <c r="R7" s="722" t="s">
        <v>10</v>
      </c>
      <c r="S7" s="722" t="s">
        <v>11</v>
      </c>
      <c r="T7" s="722" t="s">
        <v>2901</v>
      </c>
      <c r="U7" s="722" t="s">
        <v>10</v>
      </c>
      <c r="V7" s="722" t="s">
        <v>11</v>
      </c>
      <c r="W7" s="722" t="s">
        <v>2901</v>
      </c>
      <c r="X7" s="722" t="s">
        <v>10</v>
      </c>
      <c r="Y7" s="722" t="s">
        <v>11</v>
      </c>
      <c r="Z7" s="722" t="s">
        <v>2901</v>
      </c>
      <c r="AA7" s="722" t="s">
        <v>10</v>
      </c>
      <c r="AB7" s="722" t="s">
        <v>11</v>
      </c>
      <c r="AC7" s="722" t="s">
        <v>2901</v>
      </c>
      <c r="AD7" s="722" t="s">
        <v>10</v>
      </c>
      <c r="AE7" s="722" t="s">
        <v>11</v>
      </c>
      <c r="AF7" s="722" t="s">
        <v>2901</v>
      </c>
      <c r="AG7" s="722" t="s">
        <v>10</v>
      </c>
      <c r="AH7" s="722" t="s">
        <v>11</v>
      </c>
      <c r="AI7" s="722" t="s">
        <v>2901</v>
      </c>
      <c r="AJ7" s="722" t="s">
        <v>10</v>
      </c>
      <c r="AK7" s="722" t="s">
        <v>11</v>
      </c>
      <c r="AL7" s="722" t="s">
        <v>2901</v>
      </c>
      <c r="AM7" s="722" t="s">
        <v>10</v>
      </c>
      <c r="AN7" s="722" t="s">
        <v>11</v>
      </c>
      <c r="AO7" s="723" t="s">
        <v>2901</v>
      </c>
      <c r="AP7" s="723" t="s">
        <v>10</v>
      </c>
      <c r="AQ7" s="723" t="s">
        <v>11</v>
      </c>
      <c r="AR7" s="723" t="s">
        <v>2901</v>
      </c>
      <c r="AS7" s="723" t="s">
        <v>10</v>
      </c>
      <c r="AT7" s="723" t="s">
        <v>11</v>
      </c>
      <c r="AU7" s="723" t="s">
        <v>2901</v>
      </c>
      <c r="AV7" s="723" t="s">
        <v>10</v>
      </c>
      <c r="AW7" s="723" t="s">
        <v>11</v>
      </c>
      <c r="AX7" s="723" t="s">
        <v>2901</v>
      </c>
      <c r="AY7" s="723" t="s">
        <v>10</v>
      </c>
      <c r="AZ7" s="723" t="s">
        <v>11</v>
      </c>
      <c r="BA7" s="723" t="s">
        <v>2901</v>
      </c>
      <c r="BB7" s="723" t="s">
        <v>10</v>
      </c>
      <c r="BC7" s="723" t="s">
        <v>11</v>
      </c>
      <c r="BD7" s="723" t="s">
        <v>2901</v>
      </c>
      <c r="BE7" s="723" t="s">
        <v>10</v>
      </c>
      <c r="BF7" s="723" t="s">
        <v>11</v>
      </c>
      <c r="BG7" s="723" t="s">
        <v>2901</v>
      </c>
      <c r="BH7" s="723" t="s">
        <v>10</v>
      </c>
      <c r="BI7" s="723" t="s">
        <v>11</v>
      </c>
      <c r="BJ7" s="723" t="s">
        <v>2901</v>
      </c>
      <c r="BK7" s="723" t="s">
        <v>10</v>
      </c>
      <c r="BL7" s="723" t="s">
        <v>11</v>
      </c>
      <c r="BM7" s="723" t="s">
        <v>2901</v>
      </c>
      <c r="BN7" s="723" t="s">
        <v>10</v>
      </c>
      <c r="BO7" s="723" t="s">
        <v>11</v>
      </c>
      <c r="BP7" s="723" t="s">
        <v>2901</v>
      </c>
      <c r="BQ7" s="723" t="s">
        <v>10</v>
      </c>
      <c r="BR7" s="723" t="s">
        <v>11</v>
      </c>
      <c r="BS7" s="723" t="s">
        <v>2901</v>
      </c>
      <c r="BT7" s="723" t="s">
        <v>10</v>
      </c>
      <c r="BU7" s="723" t="s">
        <v>11</v>
      </c>
      <c r="BV7" s="723" t="s">
        <v>2901</v>
      </c>
      <c r="BW7" s="723" t="s">
        <v>10</v>
      </c>
      <c r="BX7" s="723" t="s">
        <v>11</v>
      </c>
      <c r="BY7" s="723" t="s">
        <v>2901</v>
      </c>
      <c r="BZ7" s="723" t="s">
        <v>10</v>
      </c>
      <c r="CA7" s="723" t="s">
        <v>11</v>
      </c>
      <c r="CB7" s="723" t="s">
        <v>2901</v>
      </c>
      <c r="CC7" s="723" t="s">
        <v>10</v>
      </c>
      <c r="CD7" s="723" t="s">
        <v>11</v>
      </c>
      <c r="CE7" s="723" t="s">
        <v>2901</v>
      </c>
      <c r="CF7" s="723" t="s">
        <v>10</v>
      </c>
      <c r="CG7" s="723" t="s">
        <v>11</v>
      </c>
    </row>
    <row r="8" spans="1:168">
      <c r="A8" s="6">
        <v>1</v>
      </c>
      <c r="B8" s="678" t="s">
        <v>2902</v>
      </c>
      <c r="C8" s="6"/>
      <c r="D8" s="6" t="s">
        <v>2903</v>
      </c>
      <c r="E8" s="6" t="s">
        <v>2904</v>
      </c>
      <c r="F8" s="6">
        <v>0</v>
      </c>
      <c r="G8" s="679" t="s">
        <v>18</v>
      </c>
      <c r="H8" s="1"/>
      <c r="I8" s="1"/>
      <c r="J8" s="1">
        <f>I8+H8</f>
        <v>0</v>
      </c>
      <c r="K8" s="1"/>
      <c r="L8" s="1"/>
      <c r="M8" s="1">
        <f>L8+K8</f>
        <v>0</v>
      </c>
      <c r="N8" s="1">
        <v>20</v>
      </c>
      <c r="O8" s="1"/>
      <c r="P8" s="1">
        <f>O8+N8</f>
        <v>20</v>
      </c>
      <c r="Q8" s="1">
        <v>20</v>
      </c>
      <c r="R8" s="1"/>
      <c r="S8" s="1">
        <f>SUM(Q8:R8)</f>
        <v>20</v>
      </c>
      <c r="T8" s="1">
        <v>30</v>
      </c>
      <c r="U8" s="1"/>
      <c r="V8" s="1">
        <f>SUM(T8:U8)</f>
        <v>30</v>
      </c>
      <c r="W8" s="1"/>
      <c r="X8" s="1"/>
      <c r="Y8" s="1">
        <f>X8+W8</f>
        <v>0</v>
      </c>
      <c r="Z8" s="1"/>
      <c r="AA8" s="1"/>
      <c r="AB8" s="1">
        <f>AA8+Z8</f>
        <v>0</v>
      </c>
      <c r="AC8" s="1"/>
      <c r="AD8" s="1"/>
      <c r="AE8" s="1">
        <f>AD8+AC8</f>
        <v>0</v>
      </c>
      <c r="AF8" s="1"/>
      <c r="AG8" s="1"/>
      <c r="AH8" s="1">
        <f>AG8+AF8</f>
        <v>0</v>
      </c>
      <c r="AI8" s="1"/>
      <c r="AJ8" s="1"/>
      <c r="AK8" s="1">
        <f>AJ8+AI8</f>
        <v>0</v>
      </c>
      <c r="AL8" s="1"/>
      <c r="AM8" s="1"/>
      <c r="AN8" s="1">
        <f>AM8+AL8</f>
        <v>0</v>
      </c>
      <c r="AO8" s="1"/>
      <c r="AP8" s="1"/>
      <c r="AQ8" s="1">
        <f>AP8+AO8</f>
        <v>0</v>
      </c>
      <c r="AR8" s="6">
        <f>Z8+AC8+W8+T8+Q8+N8+K8+H8+AF8+AI8+AL8+AO8</f>
        <v>70</v>
      </c>
      <c r="AS8" s="6">
        <f>AA8+X8+U8+R8+O8+L8+I8+AG8+AJ8+AM8+AP8</f>
        <v>0</v>
      </c>
      <c r="AT8" s="6">
        <f>AS8+AR8</f>
        <v>70</v>
      </c>
      <c r="AU8" s="494">
        <f>AR8/12</f>
        <v>5.833333333333333</v>
      </c>
      <c r="AV8" s="494">
        <f>AS8/12</f>
        <v>0</v>
      </c>
      <c r="AW8" s="494">
        <f>SUM(AU8:AV8)</f>
        <v>5.833333333333333</v>
      </c>
      <c r="AX8" s="217">
        <f>AU8*500</f>
        <v>2916.6666666666665</v>
      </c>
      <c r="AY8" s="217">
        <f>AV8*600</f>
        <v>0</v>
      </c>
      <c r="AZ8" s="217">
        <f>SUM(AX8:AY8)</f>
        <v>2916.6666666666665</v>
      </c>
      <c r="BA8" s="1">
        <v>48</v>
      </c>
      <c r="BB8" s="1"/>
      <c r="BC8" s="679">
        <f>BB8+BA8</f>
        <v>48</v>
      </c>
      <c r="BD8" s="1"/>
      <c r="BE8" s="1"/>
      <c r="BF8" s="679">
        <f>BE8+BD8</f>
        <v>0</v>
      </c>
      <c r="BG8" s="1">
        <v>20</v>
      </c>
      <c r="BH8" s="1"/>
      <c r="BI8" s="679">
        <f>BH8+BG8</f>
        <v>20</v>
      </c>
      <c r="BJ8" s="1"/>
      <c r="BK8" s="1"/>
      <c r="BL8" s="679">
        <f>BK8+BJ8</f>
        <v>0</v>
      </c>
      <c r="BM8" s="6"/>
      <c r="BN8" s="6"/>
      <c r="BO8" s="6">
        <f>BN8+BM8</f>
        <v>0</v>
      </c>
      <c r="BP8" s="6"/>
      <c r="BQ8" s="6"/>
      <c r="BR8" s="6">
        <f>BQ8+BP8</f>
        <v>0</v>
      </c>
      <c r="BS8" s="696"/>
      <c r="BT8" s="692"/>
      <c r="BU8" s="6">
        <f>BS8+BT8</f>
        <v>0</v>
      </c>
      <c r="BV8" s="6"/>
      <c r="BW8" s="6"/>
      <c r="BX8" s="6">
        <f>BV8+BW8</f>
        <v>0</v>
      </c>
      <c r="BY8" s="6"/>
      <c r="BZ8" s="6"/>
      <c r="CA8" s="6">
        <f>BY8+BZ8</f>
        <v>0</v>
      </c>
      <c r="CB8" s="174">
        <f>BA8+BD8+BG8+BJ8+BM8+BP8+BS8+BV8+BY8</f>
        <v>68</v>
      </c>
      <c r="CC8" s="174">
        <f>BB8+BE8+BH8+BK8+BN8+BQ8+BT8+BW8+BZ8</f>
        <v>0</v>
      </c>
      <c r="CD8" s="174">
        <f>BC8+BF8+BI8+BL8+BO8+BR8+BU8+BX8+CA8</f>
        <v>68</v>
      </c>
      <c r="CE8" s="175">
        <f t="shared" ref="CE8:CG8" si="0">CB8/6</f>
        <v>11.333333333333334</v>
      </c>
      <c r="CF8" s="175">
        <f t="shared" si="0"/>
        <v>0</v>
      </c>
      <c r="CG8" s="175">
        <f t="shared" si="0"/>
        <v>11.333333333333334</v>
      </c>
    </row>
    <row r="9" spans="1:168" s="699" customFormat="1">
      <c r="A9" s="522">
        <v>2</v>
      </c>
      <c r="B9" s="698" t="s">
        <v>2905</v>
      </c>
      <c r="C9" s="522"/>
      <c r="D9" s="522" t="s">
        <v>2906</v>
      </c>
      <c r="E9" s="522" t="s">
        <v>2904</v>
      </c>
      <c r="F9" s="522">
        <v>44</v>
      </c>
      <c r="G9" s="718" t="s">
        <v>18</v>
      </c>
      <c r="H9" s="522"/>
      <c r="I9" s="522"/>
      <c r="J9" s="522">
        <f t="shared" ref="J9:J43" si="1">I9+H9</f>
        <v>0</v>
      </c>
      <c r="K9" s="522">
        <v>100</v>
      </c>
      <c r="L9" s="522"/>
      <c r="M9" s="522">
        <f t="shared" ref="M9:M43" si="2">L9+K9</f>
        <v>100</v>
      </c>
      <c r="N9" s="522"/>
      <c r="O9" s="522"/>
      <c r="P9" s="522">
        <f t="shared" ref="P9:P39" si="3">O9+N9</f>
        <v>0</v>
      </c>
      <c r="Q9" s="522">
        <v>322</v>
      </c>
      <c r="R9" s="522"/>
      <c r="S9" s="522">
        <f t="shared" ref="S9:S43" si="4">SUM(Q9:R9)</f>
        <v>322</v>
      </c>
      <c r="T9" s="522"/>
      <c r="U9" s="522"/>
      <c r="V9" s="522">
        <f t="shared" ref="V9:V43" si="5">SUM(T9:U9)</f>
        <v>0</v>
      </c>
      <c r="W9" s="522"/>
      <c r="X9" s="522"/>
      <c r="Y9" s="522">
        <f t="shared" ref="Y9:Y43" si="6">X9+W9</f>
        <v>0</v>
      </c>
      <c r="Z9" s="522"/>
      <c r="AA9" s="522"/>
      <c r="AB9" s="522">
        <f t="shared" ref="AB9:AB85" si="7">AA9+Z9</f>
        <v>0</v>
      </c>
      <c r="AC9" s="522"/>
      <c r="AD9" s="522"/>
      <c r="AE9" s="522">
        <f t="shared" ref="AE9:AE100" si="8">AD9+AC9</f>
        <v>0</v>
      </c>
      <c r="AF9" s="522">
        <v>100</v>
      </c>
      <c r="AG9" s="522"/>
      <c r="AH9" s="522">
        <f t="shared" ref="AH9:AH85" si="9">AG9+AF9</f>
        <v>100</v>
      </c>
      <c r="AI9" s="522"/>
      <c r="AJ9" s="522"/>
      <c r="AK9" s="522">
        <f t="shared" ref="AK9:AK100" si="10">AJ9+AI9</f>
        <v>0</v>
      </c>
      <c r="AL9" s="522"/>
      <c r="AM9" s="522"/>
      <c r="AN9" s="522">
        <f t="shared" ref="AN9:AN72" si="11">AM9+AL9</f>
        <v>0</v>
      </c>
      <c r="AO9" s="522"/>
      <c r="AP9" s="522"/>
      <c r="AQ9" s="522">
        <f t="shared" ref="AQ9:AQ72" si="12">AP9+AO9</f>
        <v>0</v>
      </c>
      <c r="AR9" s="522">
        <f>Z9+AC9+W9+T9+Q9+N9+K9+H9+AF9+AI9+AL9+AO9</f>
        <v>522</v>
      </c>
      <c r="AS9" s="522">
        <f t="shared" ref="AS9:AS72" si="13">AA9+X9+U9+R9+O9+L9+I9+AG9+AJ9+AM9+AP9</f>
        <v>0</v>
      </c>
      <c r="AT9" s="522">
        <f t="shared" ref="AT9:AT72" si="14">AS9+AR9</f>
        <v>522</v>
      </c>
      <c r="AU9" s="523">
        <f>AR9/12</f>
        <v>43.5</v>
      </c>
      <c r="AV9" s="523">
        <f t="shared" ref="AU9:AV72" si="15">AS9/12</f>
        <v>0</v>
      </c>
      <c r="AW9" s="523">
        <f t="shared" ref="AW9:AW100" si="16">SUM(AU9:AV9)</f>
        <v>43.5</v>
      </c>
      <c r="AX9" s="523">
        <f>AU9*500</f>
        <v>21750</v>
      </c>
      <c r="AY9" s="523">
        <f t="shared" ref="AY9:AY100" si="17">AV9*600</f>
        <v>0</v>
      </c>
      <c r="AZ9" s="523">
        <f t="shared" ref="AZ9:AZ100" si="18">SUM(AX9:AY9)</f>
        <v>21750</v>
      </c>
      <c r="BA9" s="522"/>
      <c r="BB9" s="522"/>
      <c r="BC9" s="718">
        <f t="shared" ref="BC9:BC72" si="19">BB9+BA9</f>
        <v>0</v>
      </c>
      <c r="BD9" s="522"/>
      <c r="BE9" s="522"/>
      <c r="BF9" s="718">
        <f t="shared" ref="BF9:BF72" si="20">BE9+BD9</f>
        <v>0</v>
      </c>
      <c r="BG9" s="522"/>
      <c r="BH9" s="522"/>
      <c r="BI9" s="718">
        <f t="shared" ref="BI9:BI72" si="21">BH9+BG9</f>
        <v>0</v>
      </c>
      <c r="BJ9" s="522"/>
      <c r="BK9" s="522"/>
      <c r="BL9" s="718">
        <f t="shared" ref="BL9:BL72" si="22">BK9+BJ9</f>
        <v>0</v>
      </c>
      <c r="BM9" s="522"/>
      <c r="BN9" s="522"/>
      <c r="BO9" s="522">
        <f t="shared" ref="BO9:BO72" si="23">BN9+BM9</f>
        <v>0</v>
      </c>
      <c r="BP9" s="522"/>
      <c r="BQ9" s="522"/>
      <c r="BR9" s="522">
        <f t="shared" ref="BR9:BR72" si="24">BQ9+BP9</f>
        <v>0</v>
      </c>
      <c r="BS9" s="920"/>
      <c r="BT9" s="522"/>
      <c r="BU9" s="522">
        <f>BS9+BT9</f>
        <v>0</v>
      </c>
      <c r="BV9" s="522"/>
      <c r="BW9" s="522"/>
      <c r="BX9" s="522">
        <f>BV9+BW9</f>
        <v>0</v>
      </c>
      <c r="BY9" s="522"/>
      <c r="BZ9" s="522"/>
      <c r="CA9" s="522">
        <f>BY9+BZ9</f>
        <v>0</v>
      </c>
      <c r="CB9" s="174">
        <f t="shared" ref="CB9:CB72" si="25">BA9+BD9+BG9+BJ9+BM9+BP9+BS9+BV9+BY9</f>
        <v>0</v>
      </c>
      <c r="CC9" s="174">
        <f t="shared" ref="CC9:CC72" si="26">BB9+BE9+BH9+BK9+BN9+BQ9+BT9+BW9+BZ9</f>
        <v>0</v>
      </c>
      <c r="CD9" s="174">
        <f t="shared" ref="CD9:CD72" si="27">BC9+BF9+BI9+BL9+BO9+BR9+BU9+BX9+CA9</f>
        <v>0</v>
      </c>
      <c r="CE9" s="175">
        <f>CB9/9</f>
        <v>0</v>
      </c>
      <c r="CF9" s="175">
        <f>CC9/9</f>
        <v>0</v>
      </c>
      <c r="CG9" s="175">
        <f>CD9/9</f>
        <v>0</v>
      </c>
      <c r="CH9" s="361"/>
      <c r="CI9" s="361"/>
      <c r="CJ9" s="361"/>
      <c r="CK9" s="361"/>
      <c r="CL9" s="361"/>
      <c r="CM9" s="361"/>
      <c r="CN9" s="361"/>
      <c r="CO9" s="361"/>
      <c r="CP9" s="361"/>
      <c r="CQ9" s="361"/>
      <c r="CR9" s="361"/>
      <c r="CS9" s="361"/>
      <c r="CT9" s="361"/>
      <c r="CU9" s="361"/>
      <c r="CV9" s="361"/>
      <c r="CW9" s="361"/>
      <c r="CX9" s="361"/>
      <c r="CY9" s="361"/>
      <c r="CZ9" s="361"/>
      <c r="DA9" s="361"/>
      <c r="DB9" s="361"/>
      <c r="DC9" s="361"/>
      <c r="DD9" s="361"/>
      <c r="DE9" s="361"/>
      <c r="DF9" s="361"/>
      <c r="DG9" s="361"/>
      <c r="DH9" s="361"/>
      <c r="DI9" s="361"/>
      <c r="DJ9" s="361"/>
      <c r="DK9" s="361"/>
      <c r="DL9" s="361"/>
      <c r="DM9" s="361"/>
      <c r="DN9" s="361"/>
      <c r="DO9" s="361"/>
      <c r="DP9" s="361"/>
      <c r="DQ9" s="361"/>
      <c r="DR9" s="361"/>
      <c r="DS9" s="361"/>
      <c r="DT9" s="361"/>
      <c r="DU9" s="361"/>
      <c r="DV9" s="361"/>
      <c r="DW9" s="361"/>
      <c r="DX9" s="361"/>
      <c r="DY9" s="361"/>
      <c r="DZ9" s="361"/>
      <c r="EA9" s="361"/>
      <c r="EB9" s="361"/>
      <c r="EC9" s="361"/>
      <c r="ED9" s="361"/>
      <c r="EE9" s="361"/>
      <c r="EF9" s="361"/>
      <c r="EG9" s="361"/>
      <c r="EH9" s="361"/>
      <c r="EI9" s="361"/>
      <c r="EJ9" s="361"/>
      <c r="EK9" s="361"/>
      <c r="EL9" s="361"/>
      <c r="EM9" s="361"/>
      <c r="EN9" s="361"/>
      <c r="EO9" s="361"/>
      <c r="EP9" s="361"/>
      <c r="EQ9" s="361"/>
      <c r="ER9" s="361"/>
      <c r="ES9" s="361"/>
      <c r="ET9" s="361"/>
      <c r="EU9" s="361"/>
      <c r="EV9" s="361"/>
      <c r="EW9" s="361"/>
      <c r="EX9" s="361"/>
      <c r="EY9" s="361"/>
      <c r="EZ9" s="361"/>
      <c r="FA9" s="361"/>
      <c r="FB9" s="361"/>
      <c r="FC9" s="361"/>
      <c r="FD9" s="361"/>
      <c r="FE9" s="361"/>
      <c r="FF9" s="361"/>
      <c r="FG9" s="361"/>
      <c r="FH9" s="361"/>
      <c r="FI9" s="361"/>
      <c r="FJ9" s="361"/>
      <c r="FK9" s="361"/>
      <c r="FL9" s="361"/>
    </row>
    <row r="10" spans="1:168">
      <c r="A10" s="6">
        <v>3</v>
      </c>
      <c r="B10" s="678" t="s">
        <v>2907</v>
      </c>
      <c r="C10" s="6"/>
      <c r="D10" s="6" t="s">
        <v>2908</v>
      </c>
      <c r="E10" s="6" t="s">
        <v>2904</v>
      </c>
      <c r="F10" s="6">
        <v>8.33</v>
      </c>
      <c r="G10" s="679" t="s">
        <v>18</v>
      </c>
      <c r="H10" s="1">
        <v>40</v>
      </c>
      <c r="I10" s="1"/>
      <c r="J10" s="1">
        <f t="shared" si="1"/>
        <v>40</v>
      </c>
      <c r="K10" s="1">
        <v>40</v>
      </c>
      <c r="L10" s="1"/>
      <c r="M10" s="1">
        <f t="shared" si="2"/>
        <v>40</v>
      </c>
      <c r="N10" s="1"/>
      <c r="O10" s="1"/>
      <c r="P10" s="1">
        <f t="shared" si="3"/>
        <v>0</v>
      </c>
      <c r="Q10" s="1">
        <v>40</v>
      </c>
      <c r="R10" s="1"/>
      <c r="S10" s="1">
        <f t="shared" si="4"/>
        <v>40</v>
      </c>
      <c r="T10" s="1"/>
      <c r="U10" s="1"/>
      <c r="V10" s="1">
        <f t="shared" si="5"/>
        <v>0</v>
      </c>
      <c r="W10" s="1"/>
      <c r="X10" s="1"/>
      <c r="Y10" s="1">
        <f t="shared" si="6"/>
        <v>0</v>
      </c>
      <c r="Z10" s="1"/>
      <c r="AA10" s="1"/>
      <c r="AB10" s="1">
        <f t="shared" si="7"/>
        <v>0</v>
      </c>
      <c r="AC10" s="1"/>
      <c r="AD10" s="1"/>
      <c r="AE10" s="1">
        <f t="shared" si="8"/>
        <v>0</v>
      </c>
      <c r="AF10" s="1">
        <v>40</v>
      </c>
      <c r="AG10" s="1"/>
      <c r="AH10" s="1">
        <f t="shared" si="9"/>
        <v>40</v>
      </c>
      <c r="AI10" s="1">
        <v>60</v>
      </c>
      <c r="AJ10" s="1"/>
      <c r="AK10" s="1">
        <f t="shared" si="10"/>
        <v>60</v>
      </c>
      <c r="AL10" s="1"/>
      <c r="AM10" s="1"/>
      <c r="AN10" s="1">
        <f t="shared" si="11"/>
        <v>0</v>
      </c>
      <c r="AO10" s="1"/>
      <c r="AP10" s="1"/>
      <c r="AQ10" s="1">
        <f t="shared" si="12"/>
        <v>0</v>
      </c>
      <c r="AR10" s="6">
        <f t="shared" ref="AR10:AR72" si="28">Z10+AC10+W10+T10+Q10+N10+K10+H10+AF10+AI10+AL10+AO10</f>
        <v>220</v>
      </c>
      <c r="AS10" s="6">
        <f t="shared" si="13"/>
        <v>0</v>
      </c>
      <c r="AT10" s="6">
        <f t="shared" si="14"/>
        <v>220</v>
      </c>
      <c r="AU10" s="494">
        <f t="shared" si="15"/>
        <v>18.333333333333332</v>
      </c>
      <c r="AV10" s="494">
        <f t="shared" si="15"/>
        <v>0</v>
      </c>
      <c r="AW10" s="494">
        <f t="shared" si="16"/>
        <v>18.333333333333332</v>
      </c>
      <c r="AX10" s="217">
        <f t="shared" ref="AX10:AX100" si="29">AU10*500</f>
        <v>9166.6666666666661</v>
      </c>
      <c r="AY10" s="217">
        <f t="shared" si="17"/>
        <v>0</v>
      </c>
      <c r="AZ10" s="217">
        <f t="shared" si="18"/>
        <v>9166.6666666666661</v>
      </c>
      <c r="BA10" s="1"/>
      <c r="BB10" s="1"/>
      <c r="BC10" s="679">
        <f t="shared" si="19"/>
        <v>0</v>
      </c>
      <c r="BD10" s="1">
        <v>40</v>
      </c>
      <c r="BE10" s="1"/>
      <c r="BF10" s="679">
        <f t="shared" si="20"/>
        <v>40</v>
      </c>
      <c r="BG10" s="1"/>
      <c r="BH10" s="1"/>
      <c r="BI10" s="679">
        <f t="shared" si="21"/>
        <v>0</v>
      </c>
      <c r="BJ10" s="1"/>
      <c r="BK10" s="1"/>
      <c r="BL10" s="679">
        <f t="shared" si="22"/>
        <v>0</v>
      </c>
      <c r="BM10" s="6">
        <v>20</v>
      </c>
      <c r="BN10" s="6"/>
      <c r="BO10" s="6">
        <f t="shared" si="23"/>
        <v>20</v>
      </c>
      <c r="BP10" s="6"/>
      <c r="BQ10" s="6"/>
      <c r="BR10" s="6">
        <f t="shared" si="24"/>
        <v>0</v>
      </c>
      <c r="BS10" s="78"/>
      <c r="BT10" s="6"/>
      <c r="BU10" s="6">
        <f t="shared" ref="BU10:BU19" si="30">BS10+BT10</f>
        <v>0</v>
      </c>
      <c r="BV10" s="6"/>
      <c r="BW10" s="6"/>
      <c r="BX10" s="6">
        <f t="shared" ref="BX10:BX19" si="31">BV10+BW10</f>
        <v>0</v>
      </c>
      <c r="BY10" s="6"/>
      <c r="BZ10" s="6"/>
      <c r="CA10" s="6">
        <f t="shared" ref="CA10:CA19" si="32">BY10+BZ10</f>
        <v>0</v>
      </c>
      <c r="CB10" s="174">
        <f t="shared" si="25"/>
        <v>60</v>
      </c>
      <c r="CC10" s="174">
        <f t="shared" si="26"/>
        <v>0</v>
      </c>
      <c r="CD10" s="174">
        <f t="shared" si="27"/>
        <v>60</v>
      </c>
      <c r="CE10" s="175">
        <f t="shared" ref="CE10:CE73" si="33">CB10/9</f>
        <v>6.666666666666667</v>
      </c>
      <c r="CF10" s="175">
        <f t="shared" ref="CF10:CF73" si="34">CC10/9</f>
        <v>0</v>
      </c>
      <c r="CG10" s="175">
        <f t="shared" ref="CG10:CG73" si="35">CD10/9</f>
        <v>6.666666666666667</v>
      </c>
    </row>
    <row r="11" spans="1:168">
      <c r="A11" s="6">
        <v>4</v>
      </c>
      <c r="B11" s="678" t="s">
        <v>2909</v>
      </c>
      <c r="C11" s="6"/>
      <c r="D11" s="6" t="s">
        <v>2910</v>
      </c>
      <c r="E11" s="6" t="s">
        <v>2904</v>
      </c>
      <c r="F11" s="6">
        <v>8.66</v>
      </c>
      <c r="G11" s="679" t="s">
        <v>18</v>
      </c>
      <c r="H11" s="1">
        <v>38</v>
      </c>
      <c r="I11" s="1">
        <v>70</v>
      </c>
      <c r="J11" s="1">
        <f t="shared" si="1"/>
        <v>108</v>
      </c>
      <c r="K11" s="1"/>
      <c r="L11" s="1"/>
      <c r="M11" s="1">
        <f t="shared" si="2"/>
        <v>0</v>
      </c>
      <c r="N11" s="1"/>
      <c r="O11" s="1"/>
      <c r="P11" s="1">
        <f t="shared" si="3"/>
        <v>0</v>
      </c>
      <c r="Q11" s="1">
        <v>20</v>
      </c>
      <c r="R11" s="1">
        <v>56</v>
      </c>
      <c r="S11" s="1">
        <f t="shared" si="4"/>
        <v>76</v>
      </c>
      <c r="T11" s="1"/>
      <c r="U11" s="1"/>
      <c r="V11" s="1">
        <f t="shared" si="5"/>
        <v>0</v>
      </c>
      <c r="W11" s="1"/>
      <c r="X11" s="1"/>
      <c r="Y11" s="1">
        <f t="shared" si="6"/>
        <v>0</v>
      </c>
      <c r="Z11" s="1"/>
      <c r="AA11" s="1"/>
      <c r="AB11" s="1">
        <f t="shared" si="7"/>
        <v>0</v>
      </c>
      <c r="AC11" s="1">
        <v>57</v>
      </c>
      <c r="AD11" s="1">
        <v>84</v>
      </c>
      <c r="AE11" s="1">
        <f t="shared" si="8"/>
        <v>141</v>
      </c>
      <c r="AF11" s="1"/>
      <c r="AG11" s="1"/>
      <c r="AH11" s="1">
        <f t="shared" si="9"/>
        <v>0</v>
      </c>
      <c r="AI11" s="1"/>
      <c r="AJ11" s="1"/>
      <c r="AK11" s="1">
        <f t="shared" si="10"/>
        <v>0</v>
      </c>
      <c r="AL11" s="1">
        <v>78</v>
      </c>
      <c r="AM11" s="1">
        <v>18</v>
      </c>
      <c r="AN11" s="1">
        <f t="shared" si="11"/>
        <v>96</v>
      </c>
      <c r="AO11" s="1">
        <v>18</v>
      </c>
      <c r="AP11" s="1"/>
      <c r="AQ11" s="1">
        <f t="shared" si="12"/>
        <v>18</v>
      </c>
      <c r="AR11" s="6">
        <f t="shared" si="28"/>
        <v>211</v>
      </c>
      <c r="AS11" s="6">
        <f t="shared" si="13"/>
        <v>144</v>
      </c>
      <c r="AT11" s="6">
        <f t="shared" si="14"/>
        <v>355</v>
      </c>
      <c r="AU11" s="494">
        <f t="shared" si="15"/>
        <v>17.583333333333332</v>
      </c>
      <c r="AV11" s="494">
        <f t="shared" si="15"/>
        <v>12</v>
      </c>
      <c r="AW11" s="494">
        <f t="shared" si="16"/>
        <v>29.583333333333332</v>
      </c>
      <c r="AX11" s="217">
        <f t="shared" si="29"/>
        <v>8791.6666666666661</v>
      </c>
      <c r="AY11" s="217">
        <f t="shared" si="17"/>
        <v>7200</v>
      </c>
      <c r="AZ11" s="217">
        <f t="shared" si="18"/>
        <v>15991.666666666666</v>
      </c>
      <c r="BA11" s="1">
        <v>3</v>
      </c>
      <c r="BB11" s="1">
        <v>32</v>
      </c>
      <c r="BC11" s="679">
        <f t="shared" si="19"/>
        <v>35</v>
      </c>
      <c r="BD11" s="1"/>
      <c r="BE11" s="1"/>
      <c r="BF11" s="679">
        <f t="shared" si="20"/>
        <v>0</v>
      </c>
      <c r="BG11" s="1"/>
      <c r="BH11" s="1"/>
      <c r="BI11" s="679">
        <f t="shared" si="21"/>
        <v>0</v>
      </c>
      <c r="BJ11" s="1"/>
      <c r="BK11" s="1"/>
      <c r="BL11" s="679">
        <f t="shared" si="22"/>
        <v>0</v>
      </c>
      <c r="BM11" s="6">
        <v>35</v>
      </c>
      <c r="BN11" s="6">
        <v>55</v>
      </c>
      <c r="BO11" s="6">
        <f t="shared" si="23"/>
        <v>90</v>
      </c>
      <c r="BP11" s="6"/>
      <c r="BQ11" s="6"/>
      <c r="BR11" s="6">
        <f t="shared" si="24"/>
        <v>0</v>
      </c>
      <c r="BS11" s="78">
        <v>18</v>
      </c>
      <c r="BT11" s="6">
        <v>27</v>
      </c>
      <c r="BU11" s="6">
        <f t="shared" si="30"/>
        <v>45</v>
      </c>
      <c r="BV11" s="6"/>
      <c r="BW11" s="6"/>
      <c r="BX11" s="6">
        <f t="shared" si="31"/>
        <v>0</v>
      </c>
      <c r="BY11" s="6"/>
      <c r="BZ11" s="6"/>
      <c r="CA11" s="6">
        <f t="shared" si="32"/>
        <v>0</v>
      </c>
      <c r="CB11" s="174">
        <f t="shared" si="25"/>
        <v>56</v>
      </c>
      <c r="CC11" s="174">
        <f t="shared" si="26"/>
        <v>114</v>
      </c>
      <c r="CD11" s="174">
        <f t="shared" si="27"/>
        <v>170</v>
      </c>
      <c r="CE11" s="175">
        <f t="shared" si="33"/>
        <v>6.2222222222222223</v>
      </c>
      <c r="CF11" s="175">
        <f t="shared" si="34"/>
        <v>12.666666666666666</v>
      </c>
      <c r="CG11" s="175">
        <f t="shared" si="35"/>
        <v>18.888888888888889</v>
      </c>
    </row>
    <row r="12" spans="1:168">
      <c r="A12" s="6">
        <v>5</v>
      </c>
      <c r="B12" s="678" t="s">
        <v>2911</v>
      </c>
      <c r="C12" s="6"/>
      <c r="D12" s="6" t="s">
        <v>2912</v>
      </c>
      <c r="E12" s="6" t="s">
        <v>2904</v>
      </c>
      <c r="F12" s="6">
        <v>16.66</v>
      </c>
      <c r="G12" s="679" t="s">
        <v>18</v>
      </c>
      <c r="H12" s="1"/>
      <c r="I12" s="1"/>
      <c r="J12" s="1">
        <f t="shared" si="1"/>
        <v>0</v>
      </c>
      <c r="K12" s="1">
        <v>100</v>
      </c>
      <c r="L12" s="1"/>
      <c r="M12" s="1">
        <f t="shared" si="2"/>
        <v>100</v>
      </c>
      <c r="N12" s="1"/>
      <c r="O12" s="1"/>
      <c r="P12" s="1">
        <f t="shared" si="3"/>
        <v>0</v>
      </c>
      <c r="Q12" s="1">
        <v>20</v>
      </c>
      <c r="R12" s="1"/>
      <c r="S12" s="1">
        <f t="shared" si="4"/>
        <v>20</v>
      </c>
      <c r="T12" s="1">
        <v>20</v>
      </c>
      <c r="U12" s="1"/>
      <c r="V12" s="1">
        <f t="shared" si="5"/>
        <v>20</v>
      </c>
      <c r="W12" s="1"/>
      <c r="X12" s="1"/>
      <c r="Y12" s="1">
        <f t="shared" si="6"/>
        <v>0</v>
      </c>
      <c r="Z12" s="1"/>
      <c r="AA12" s="1"/>
      <c r="AB12" s="1">
        <f t="shared" si="7"/>
        <v>0</v>
      </c>
      <c r="AC12" s="1">
        <v>40</v>
      </c>
      <c r="AD12" s="1"/>
      <c r="AE12" s="1">
        <f t="shared" si="8"/>
        <v>40</v>
      </c>
      <c r="AF12" s="1"/>
      <c r="AG12" s="1"/>
      <c r="AH12" s="1">
        <f t="shared" si="9"/>
        <v>0</v>
      </c>
      <c r="AI12" s="1"/>
      <c r="AJ12" s="1"/>
      <c r="AK12" s="1">
        <f t="shared" si="10"/>
        <v>0</v>
      </c>
      <c r="AL12" s="1"/>
      <c r="AM12" s="1"/>
      <c r="AN12" s="1">
        <f t="shared" si="11"/>
        <v>0</v>
      </c>
      <c r="AO12" s="1"/>
      <c r="AP12" s="1"/>
      <c r="AQ12" s="1">
        <f t="shared" si="12"/>
        <v>0</v>
      </c>
      <c r="AR12" s="6">
        <f t="shared" si="28"/>
        <v>180</v>
      </c>
      <c r="AS12" s="6">
        <f t="shared" si="13"/>
        <v>0</v>
      </c>
      <c r="AT12" s="6">
        <f t="shared" si="14"/>
        <v>180</v>
      </c>
      <c r="AU12" s="494">
        <f t="shared" si="15"/>
        <v>15</v>
      </c>
      <c r="AV12" s="494">
        <f t="shared" si="15"/>
        <v>0</v>
      </c>
      <c r="AW12" s="494">
        <f t="shared" si="16"/>
        <v>15</v>
      </c>
      <c r="AX12" s="217">
        <f t="shared" si="29"/>
        <v>7500</v>
      </c>
      <c r="AY12" s="217">
        <f t="shared" si="17"/>
        <v>0</v>
      </c>
      <c r="AZ12" s="217">
        <f t="shared" si="18"/>
        <v>7500</v>
      </c>
      <c r="BA12" s="1"/>
      <c r="BB12" s="1"/>
      <c r="BC12" s="679">
        <f t="shared" si="19"/>
        <v>0</v>
      </c>
      <c r="BD12" s="1"/>
      <c r="BE12" s="1"/>
      <c r="BF12" s="679">
        <f t="shared" si="20"/>
        <v>0</v>
      </c>
      <c r="BG12" s="1"/>
      <c r="BH12" s="1"/>
      <c r="BI12" s="679">
        <f t="shared" si="21"/>
        <v>0</v>
      </c>
      <c r="BJ12" s="1"/>
      <c r="BK12" s="1"/>
      <c r="BL12" s="679">
        <f t="shared" si="22"/>
        <v>0</v>
      </c>
      <c r="BM12" s="6"/>
      <c r="BN12" s="6"/>
      <c r="BO12" s="6">
        <f t="shared" si="23"/>
        <v>0</v>
      </c>
      <c r="BP12" s="6"/>
      <c r="BQ12" s="6"/>
      <c r="BR12" s="6">
        <f t="shared" si="24"/>
        <v>0</v>
      </c>
      <c r="BS12" s="78"/>
      <c r="BT12" s="6"/>
      <c r="BU12" s="6">
        <f t="shared" si="30"/>
        <v>0</v>
      </c>
      <c r="BV12" s="6"/>
      <c r="BW12" s="6"/>
      <c r="BX12" s="6">
        <f t="shared" si="31"/>
        <v>0</v>
      </c>
      <c r="BY12" s="6"/>
      <c r="BZ12" s="6"/>
      <c r="CA12" s="6">
        <f t="shared" si="32"/>
        <v>0</v>
      </c>
      <c r="CB12" s="174">
        <f t="shared" si="25"/>
        <v>0</v>
      </c>
      <c r="CC12" s="174">
        <f t="shared" si="26"/>
        <v>0</v>
      </c>
      <c r="CD12" s="174">
        <f t="shared" si="27"/>
        <v>0</v>
      </c>
      <c r="CE12" s="175">
        <f t="shared" si="33"/>
        <v>0</v>
      </c>
      <c r="CF12" s="175">
        <f t="shared" si="34"/>
        <v>0</v>
      </c>
      <c r="CG12" s="175">
        <f t="shared" si="35"/>
        <v>0</v>
      </c>
    </row>
    <row r="13" spans="1:168">
      <c r="A13" s="6">
        <v>6</v>
      </c>
      <c r="B13" s="678" t="s">
        <v>2913</v>
      </c>
      <c r="C13" s="6"/>
      <c r="D13" s="6" t="s">
        <v>2914</v>
      </c>
      <c r="E13" s="6" t="s">
        <v>2904</v>
      </c>
      <c r="F13" s="6">
        <v>120</v>
      </c>
      <c r="G13" s="679" t="s">
        <v>18</v>
      </c>
      <c r="H13" s="1">
        <v>150</v>
      </c>
      <c r="I13" s="1"/>
      <c r="J13" s="1">
        <f t="shared" si="1"/>
        <v>150</v>
      </c>
      <c r="K13" s="1">
        <v>96</v>
      </c>
      <c r="L13" s="1"/>
      <c r="M13" s="1">
        <f t="shared" si="2"/>
        <v>96</v>
      </c>
      <c r="N13" s="1"/>
      <c r="O13" s="1"/>
      <c r="P13" s="1">
        <f t="shared" si="3"/>
        <v>0</v>
      </c>
      <c r="Q13" s="1">
        <v>168</v>
      </c>
      <c r="R13" s="1">
        <v>72</v>
      </c>
      <c r="S13" s="1">
        <f t="shared" si="4"/>
        <v>240</v>
      </c>
      <c r="T13" s="1"/>
      <c r="U13" s="1">
        <v>50</v>
      </c>
      <c r="V13" s="1">
        <f t="shared" si="5"/>
        <v>50</v>
      </c>
      <c r="W13" s="1">
        <v>114</v>
      </c>
      <c r="X13" s="1">
        <v>40</v>
      </c>
      <c r="Y13" s="1">
        <f t="shared" si="6"/>
        <v>154</v>
      </c>
      <c r="Z13" s="1"/>
      <c r="AA13" s="1"/>
      <c r="AB13" s="1">
        <f t="shared" si="7"/>
        <v>0</v>
      </c>
      <c r="AC13" s="1">
        <v>282</v>
      </c>
      <c r="AD13" s="1"/>
      <c r="AE13" s="1">
        <f t="shared" si="8"/>
        <v>282</v>
      </c>
      <c r="AF13" s="1">
        <v>72</v>
      </c>
      <c r="AG13" s="1">
        <v>90</v>
      </c>
      <c r="AH13" s="1">
        <f t="shared" si="9"/>
        <v>162</v>
      </c>
      <c r="AI13" s="1"/>
      <c r="AJ13" s="1"/>
      <c r="AK13" s="1">
        <f t="shared" si="10"/>
        <v>0</v>
      </c>
      <c r="AL13" s="1"/>
      <c r="AM13" s="1"/>
      <c r="AN13" s="1">
        <f t="shared" si="11"/>
        <v>0</v>
      </c>
      <c r="AO13" s="1">
        <v>172</v>
      </c>
      <c r="AP13" s="1"/>
      <c r="AQ13" s="1">
        <f t="shared" si="12"/>
        <v>172</v>
      </c>
      <c r="AR13" s="6">
        <f t="shared" si="28"/>
        <v>1054</v>
      </c>
      <c r="AS13" s="6">
        <f t="shared" si="13"/>
        <v>252</v>
      </c>
      <c r="AT13" s="6">
        <f t="shared" si="14"/>
        <v>1306</v>
      </c>
      <c r="AU13" s="494">
        <f t="shared" si="15"/>
        <v>87.833333333333329</v>
      </c>
      <c r="AV13" s="494">
        <f t="shared" si="15"/>
        <v>21</v>
      </c>
      <c r="AW13" s="494">
        <f t="shared" si="16"/>
        <v>108.83333333333333</v>
      </c>
      <c r="AX13" s="217">
        <f t="shared" si="29"/>
        <v>43916.666666666664</v>
      </c>
      <c r="AY13" s="217">
        <f t="shared" si="17"/>
        <v>12600</v>
      </c>
      <c r="AZ13" s="217">
        <f t="shared" si="18"/>
        <v>56516.666666666664</v>
      </c>
      <c r="BA13" s="1">
        <v>208</v>
      </c>
      <c r="BB13" s="1">
        <v>18</v>
      </c>
      <c r="BC13" s="679">
        <f t="shared" si="19"/>
        <v>226</v>
      </c>
      <c r="BD13" s="1"/>
      <c r="BE13" s="1"/>
      <c r="BF13" s="679">
        <f t="shared" si="20"/>
        <v>0</v>
      </c>
      <c r="BG13" s="1">
        <v>306</v>
      </c>
      <c r="BH13" s="1">
        <v>56</v>
      </c>
      <c r="BI13" s="679">
        <f t="shared" si="21"/>
        <v>362</v>
      </c>
      <c r="BJ13" s="1"/>
      <c r="BK13" s="1"/>
      <c r="BL13" s="679">
        <f t="shared" si="22"/>
        <v>0</v>
      </c>
      <c r="BM13" s="6">
        <v>75</v>
      </c>
      <c r="BN13" s="6">
        <v>54</v>
      </c>
      <c r="BO13" s="6">
        <f t="shared" si="23"/>
        <v>129</v>
      </c>
      <c r="BP13" s="6"/>
      <c r="BQ13" s="6"/>
      <c r="BR13" s="6">
        <f t="shared" si="24"/>
        <v>0</v>
      </c>
      <c r="BS13" s="78">
        <v>114</v>
      </c>
      <c r="BT13" s="6"/>
      <c r="BU13" s="6">
        <f t="shared" si="30"/>
        <v>114</v>
      </c>
      <c r="BV13" s="6"/>
      <c r="BW13" s="6"/>
      <c r="BX13" s="6">
        <f t="shared" si="31"/>
        <v>0</v>
      </c>
      <c r="BY13" s="6"/>
      <c r="BZ13" s="6"/>
      <c r="CA13" s="6">
        <f t="shared" si="32"/>
        <v>0</v>
      </c>
      <c r="CB13" s="174">
        <f t="shared" si="25"/>
        <v>703</v>
      </c>
      <c r="CC13" s="174">
        <f t="shared" si="26"/>
        <v>128</v>
      </c>
      <c r="CD13" s="174">
        <f t="shared" si="27"/>
        <v>831</v>
      </c>
      <c r="CE13" s="175">
        <f t="shared" si="33"/>
        <v>78.111111111111114</v>
      </c>
      <c r="CF13" s="175">
        <f t="shared" si="34"/>
        <v>14.222222222222221</v>
      </c>
      <c r="CG13" s="175">
        <f t="shared" si="35"/>
        <v>92.333333333333329</v>
      </c>
    </row>
    <row r="14" spans="1:168" s="361" customFormat="1">
      <c r="A14" s="1">
        <v>7</v>
      </c>
      <c r="B14" s="680" t="s">
        <v>2915</v>
      </c>
      <c r="C14" s="1"/>
      <c r="D14" s="1" t="s">
        <v>2916</v>
      </c>
      <c r="E14" s="6" t="s">
        <v>2904</v>
      </c>
      <c r="F14" s="1">
        <v>239</v>
      </c>
      <c r="G14" s="180" t="s">
        <v>18</v>
      </c>
      <c r="H14" s="1">
        <v>100</v>
      </c>
      <c r="I14" s="1"/>
      <c r="J14" s="1">
        <f t="shared" si="1"/>
        <v>100</v>
      </c>
      <c r="K14" s="1"/>
      <c r="L14" s="1"/>
      <c r="M14" s="1">
        <f t="shared" si="2"/>
        <v>0</v>
      </c>
      <c r="N14" s="1">
        <v>286</v>
      </c>
      <c r="O14" s="1"/>
      <c r="P14" s="1">
        <f t="shared" si="3"/>
        <v>286</v>
      </c>
      <c r="Q14" s="1"/>
      <c r="R14" s="1"/>
      <c r="S14" s="1">
        <f t="shared" si="4"/>
        <v>0</v>
      </c>
      <c r="T14" s="1">
        <v>134</v>
      </c>
      <c r="U14" s="1">
        <v>50</v>
      </c>
      <c r="V14" s="1">
        <f t="shared" si="5"/>
        <v>184</v>
      </c>
      <c r="W14" s="1"/>
      <c r="X14" s="1"/>
      <c r="Y14" s="1">
        <f t="shared" si="6"/>
        <v>0</v>
      </c>
      <c r="Z14" s="1">
        <v>306</v>
      </c>
      <c r="AA14" s="1"/>
      <c r="AB14" s="1">
        <f t="shared" si="7"/>
        <v>306</v>
      </c>
      <c r="AC14" s="1"/>
      <c r="AD14" s="1"/>
      <c r="AE14" s="1">
        <f t="shared" si="8"/>
        <v>0</v>
      </c>
      <c r="AF14" s="1">
        <v>286</v>
      </c>
      <c r="AG14" s="1">
        <v>18</v>
      </c>
      <c r="AH14" s="1">
        <f t="shared" si="9"/>
        <v>304</v>
      </c>
      <c r="AI14" s="1"/>
      <c r="AJ14" s="1"/>
      <c r="AK14" s="1">
        <f t="shared" si="10"/>
        <v>0</v>
      </c>
      <c r="AL14" s="1"/>
      <c r="AM14" s="1"/>
      <c r="AN14" s="1">
        <f t="shared" si="11"/>
        <v>0</v>
      </c>
      <c r="AO14" s="1">
        <v>324</v>
      </c>
      <c r="AP14" s="1">
        <v>27</v>
      </c>
      <c r="AQ14" s="1">
        <f t="shared" si="12"/>
        <v>351</v>
      </c>
      <c r="AR14" s="6">
        <f t="shared" si="28"/>
        <v>1436</v>
      </c>
      <c r="AS14" s="6">
        <f t="shared" si="13"/>
        <v>95</v>
      </c>
      <c r="AT14" s="6">
        <f t="shared" si="14"/>
        <v>1531</v>
      </c>
      <c r="AU14" s="494">
        <f t="shared" si="15"/>
        <v>119.66666666666667</v>
      </c>
      <c r="AV14" s="494">
        <f t="shared" si="15"/>
        <v>7.916666666666667</v>
      </c>
      <c r="AW14" s="71">
        <f t="shared" si="16"/>
        <v>127.58333333333334</v>
      </c>
      <c r="AX14" s="71">
        <f t="shared" si="29"/>
        <v>59833.333333333336</v>
      </c>
      <c r="AY14" s="71">
        <f t="shared" si="17"/>
        <v>4750</v>
      </c>
      <c r="AZ14" s="71">
        <f t="shared" si="18"/>
        <v>64583.333333333336</v>
      </c>
      <c r="BA14" s="1"/>
      <c r="BB14" s="1"/>
      <c r="BC14" s="679">
        <f t="shared" si="19"/>
        <v>0</v>
      </c>
      <c r="BD14" s="1">
        <v>326</v>
      </c>
      <c r="BE14" s="1"/>
      <c r="BF14" s="679">
        <f t="shared" si="20"/>
        <v>326</v>
      </c>
      <c r="BG14" s="1"/>
      <c r="BH14" s="1"/>
      <c r="BI14" s="679">
        <f t="shared" si="21"/>
        <v>0</v>
      </c>
      <c r="BJ14" s="1"/>
      <c r="BK14" s="1"/>
      <c r="BL14" s="679">
        <f t="shared" si="22"/>
        <v>0</v>
      </c>
      <c r="BM14" s="1">
        <v>346</v>
      </c>
      <c r="BN14" s="1"/>
      <c r="BO14" s="6">
        <f t="shared" si="23"/>
        <v>346</v>
      </c>
      <c r="BP14" s="1"/>
      <c r="BQ14" s="1"/>
      <c r="BR14" s="6">
        <f t="shared" si="24"/>
        <v>0</v>
      </c>
      <c r="BS14" s="382"/>
      <c r="BT14" s="1"/>
      <c r="BU14" s="6">
        <f t="shared" si="30"/>
        <v>0</v>
      </c>
      <c r="BV14" s="6"/>
      <c r="BW14" s="6"/>
      <c r="BX14" s="6">
        <f t="shared" si="31"/>
        <v>0</v>
      </c>
      <c r="BY14" s="6"/>
      <c r="BZ14" s="6"/>
      <c r="CA14" s="6">
        <f t="shared" si="32"/>
        <v>0</v>
      </c>
      <c r="CB14" s="174">
        <f t="shared" si="25"/>
        <v>672</v>
      </c>
      <c r="CC14" s="174">
        <f t="shared" si="26"/>
        <v>0</v>
      </c>
      <c r="CD14" s="174">
        <f t="shared" si="27"/>
        <v>672</v>
      </c>
      <c r="CE14" s="175">
        <f t="shared" si="33"/>
        <v>74.666666666666671</v>
      </c>
      <c r="CF14" s="175">
        <f t="shared" si="34"/>
        <v>0</v>
      </c>
      <c r="CG14" s="175">
        <f t="shared" si="35"/>
        <v>74.666666666666671</v>
      </c>
    </row>
    <row r="15" spans="1:168" s="361" customFormat="1">
      <c r="A15" s="1">
        <v>8</v>
      </c>
      <c r="B15" s="680" t="s">
        <v>2917</v>
      </c>
      <c r="C15" s="1"/>
      <c r="D15" s="1" t="s">
        <v>2918</v>
      </c>
      <c r="E15" s="6" t="s">
        <v>2904</v>
      </c>
      <c r="F15" s="1">
        <v>318.66000000000003</v>
      </c>
      <c r="G15" s="180" t="s">
        <v>18</v>
      </c>
      <c r="H15" s="1">
        <v>94</v>
      </c>
      <c r="I15" s="1">
        <v>48</v>
      </c>
      <c r="J15" s="1">
        <f t="shared" si="1"/>
        <v>142</v>
      </c>
      <c r="K15" s="1">
        <v>61</v>
      </c>
      <c r="L15" s="1">
        <v>44</v>
      </c>
      <c r="M15" s="1">
        <f t="shared" si="2"/>
        <v>105</v>
      </c>
      <c r="N15" s="1">
        <v>230</v>
      </c>
      <c r="O15" s="1">
        <v>62</v>
      </c>
      <c r="P15" s="1">
        <f t="shared" si="3"/>
        <v>292</v>
      </c>
      <c r="Q15" s="1">
        <v>58</v>
      </c>
      <c r="R15" s="1">
        <v>46</v>
      </c>
      <c r="S15" s="1">
        <f t="shared" si="4"/>
        <v>104</v>
      </c>
      <c r="T15" s="1"/>
      <c r="U15" s="1">
        <v>36</v>
      </c>
      <c r="V15" s="1">
        <f t="shared" si="5"/>
        <v>36</v>
      </c>
      <c r="W15" s="1"/>
      <c r="X15" s="1">
        <v>36</v>
      </c>
      <c r="Y15" s="1">
        <f t="shared" si="6"/>
        <v>36</v>
      </c>
      <c r="Z15" s="1">
        <v>200</v>
      </c>
      <c r="AA15" s="1">
        <v>114</v>
      </c>
      <c r="AB15" s="1">
        <f t="shared" si="7"/>
        <v>314</v>
      </c>
      <c r="AC15" s="1"/>
      <c r="AD15" s="1">
        <v>40</v>
      </c>
      <c r="AE15" s="1">
        <f t="shared" si="8"/>
        <v>40</v>
      </c>
      <c r="AF15" s="1">
        <v>190</v>
      </c>
      <c r="AG15" s="1">
        <v>112</v>
      </c>
      <c r="AH15" s="1">
        <f t="shared" si="9"/>
        <v>302</v>
      </c>
      <c r="AI15" s="1"/>
      <c r="AJ15" s="1"/>
      <c r="AK15" s="1">
        <f t="shared" si="10"/>
        <v>0</v>
      </c>
      <c r="AL15" s="1">
        <v>170</v>
      </c>
      <c r="AM15" s="1">
        <v>112</v>
      </c>
      <c r="AN15" s="1">
        <f t="shared" si="11"/>
        <v>282</v>
      </c>
      <c r="AO15" s="1"/>
      <c r="AP15" s="1"/>
      <c r="AQ15" s="1">
        <f t="shared" si="12"/>
        <v>0</v>
      </c>
      <c r="AR15" s="6">
        <f t="shared" si="28"/>
        <v>1003</v>
      </c>
      <c r="AS15" s="6">
        <f t="shared" si="13"/>
        <v>610</v>
      </c>
      <c r="AT15" s="6">
        <f t="shared" si="14"/>
        <v>1613</v>
      </c>
      <c r="AU15" s="494">
        <f t="shared" si="15"/>
        <v>83.583333333333329</v>
      </c>
      <c r="AV15" s="494">
        <f t="shared" si="15"/>
        <v>50.833333333333336</v>
      </c>
      <c r="AW15" s="71">
        <f t="shared" si="16"/>
        <v>134.41666666666666</v>
      </c>
      <c r="AX15" s="71">
        <f t="shared" si="29"/>
        <v>41791.666666666664</v>
      </c>
      <c r="AY15" s="71">
        <f t="shared" si="17"/>
        <v>30500</v>
      </c>
      <c r="AZ15" s="71">
        <f t="shared" si="18"/>
        <v>72291.666666666657</v>
      </c>
      <c r="BA15" s="1">
        <v>188</v>
      </c>
      <c r="BB15" s="1">
        <v>204</v>
      </c>
      <c r="BC15" s="679">
        <f t="shared" si="19"/>
        <v>392</v>
      </c>
      <c r="BD15" s="1">
        <v>40</v>
      </c>
      <c r="BE15" s="1">
        <v>40</v>
      </c>
      <c r="BF15" s="679">
        <f t="shared" si="20"/>
        <v>80</v>
      </c>
      <c r="BG15" s="1">
        <v>230</v>
      </c>
      <c r="BH15" s="1">
        <v>130</v>
      </c>
      <c r="BI15" s="679">
        <f t="shared" si="21"/>
        <v>360</v>
      </c>
      <c r="BJ15" s="1">
        <v>32</v>
      </c>
      <c r="BK15" s="1">
        <v>38</v>
      </c>
      <c r="BL15" s="679">
        <f t="shared" si="22"/>
        <v>70</v>
      </c>
      <c r="BM15" s="1">
        <v>266</v>
      </c>
      <c r="BN15" s="1">
        <v>150</v>
      </c>
      <c r="BO15" s="6">
        <f t="shared" si="23"/>
        <v>416</v>
      </c>
      <c r="BP15" s="1"/>
      <c r="BQ15" s="1"/>
      <c r="BR15" s="6">
        <f t="shared" si="24"/>
        <v>0</v>
      </c>
      <c r="BS15" s="382"/>
      <c r="BT15" s="1"/>
      <c r="BU15" s="6">
        <f t="shared" si="30"/>
        <v>0</v>
      </c>
      <c r="BV15" s="6"/>
      <c r="BW15" s="6"/>
      <c r="BX15" s="6">
        <f t="shared" si="31"/>
        <v>0</v>
      </c>
      <c r="BY15" s="6"/>
      <c r="BZ15" s="6"/>
      <c r="CA15" s="6">
        <f t="shared" si="32"/>
        <v>0</v>
      </c>
      <c r="CB15" s="174">
        <f t="shared" si="25"/>
        <v>756</v>
      </c>
      <c r="CC15" s="174">
        <f t="shared" si="26"/>
        <v>562</v>
      </c>
      <c r="CD15" s="174">
        <f t="shared" si="27"/>
        <v>1318</v>
      </c>
      <c r="CE15" s="175">
        <f t="shared" si="33"/>
        <v>84</v>
      </c>
      <c r="CF15" s="175">
        <f t="shared" si="34"/>
        <v>62.444444444444443</v>
      </c>
      <c r="CG15" s="175">
        <f t="shared" si="35"/>
        <v>146.44444444444446</v>
      </c>
    </row>
    <row r="16" spans="1:168">
      <c r="A16" s="6">
        <v>9</v>
      </c>
      <c r="B16" s="678" t="s">
        <v>2919</v>
      </c>
      <c r="C16" s="6"/>
      <c r="D16" s="6" t="s">
        <v>2920</v>
      </c>
      <c r="E16" s="6" t="s">
        <v>2904</v>
      </c>
      <c r="F16" s="6">
        <v>0</v>
      </c>
      <c r="G16" s="679" t="s">
        <v>18</v>
      </c>
      <c r="H16" s="1"/>
      <c r="I16" s="1"/>
      <c r="J16" s="1">
        <f t="shared" si="1"/>
        <v>0</v>
      </c>
      <c r="K16" s="1">
        <v>10</v>
      </c>
      <c r="L16" s="1"/>
      <c r="M16" s="1">
        <f t="shared" si="2"/>
        <v>10</v>
      </c>
      <c r="N16" s="1"/>
      <c r="O16" s="1"/>
      <c r="P16" s="1">
        <f t="shared" si="3"/>
        <v>0</v>
      </c>
      <c r="Q16" s="1">
        <v>66</v>
      </c>
      <c r="R16" s="1"/>
      <c r="S16" s="1">
        <f t="shared" si="4"/>
        <v>66</v>
      </c>
      <c r="T16" s="1"/>
      <c r="U16" s="1"/>
      <c r="V16" s="1">
        <f t="shared" si="5"/>
        <v>0</v>
      </c>
      <c r="W16" s="1"/>
      <c r="X16" s="1"/>
      <c r="Y16" s="1">
        <f t="shared" si="6"/>
        <v>0</v>
      </c>
      <c r="Z16" s="1"/>
      <c r="AA16" s="1"/>
      <c r="AB16" s="1">
        <f t="shared" si="7"/>
        <v>0</v>
      </c>
      <c r="AC16" s="1">
        <v>60</v>
      </c>
      <c r="AD16" s="1"/>
      <c r="AE16" s="1">
        <f t="shared" si="8"/>
        <v>60</v>
      </c>
      <c r="AF16" s="1"/>
      <c r="AG16" s="1"/>
      <c r="AH16" s="1">
        <f t="shared" si="9"/>
        <v>0</v>
      </c>
      <c r="AI16" s="1"/>
      <c r="AJ16" s="1"/>
      <c r="AK16" s="1">
        <f t="shared" si="10"/>
        <v>0</v>
      </c>
      <c r="AL16" s="1"/>
      <c r="AM16" s="1"/>
      <c r="AN16" s="1">
        <f t="shared" si="11"/>
        <v>0</v>
      </c>
      <c r="AO16" s="1"/>
      <c r="AP16" s="1"/>
      <c r="AQ16" s="1">
        <f t="shared" si="12"/>
        <v>0</v>
      </c>
      <c r="AR16" s="6">
        <f t="shared" si="28"/>
        <v>136</v>
      </c>
      <c r="AS16" s="6">
        <f t="shared" si="13"/>
        <v>0</v>
      </c>
      <c r="AT16" s="6">
        <f t="shared" si="14"/>
        <v>136</v>
      </c>
      <c r="AU16" s="494">
        <f t="shared" si="15"/>
        <v>11.333333333333334</v>
      </c>
      <c r="AV16" s="494">
        <f t="shared" si="15"/>
        <v>0</v>
      </c>
      <c r="AW16" s="494">
        <f t="shared" si="16"/>
        <v>11.333333333333334</v>
      </c>
      <c r="AX16" s="217">
        <f t="shared" si="29"/>
        <v>5666.666666666667</v>
      </c>
      <c r="AY16" s="217">
        <f t="shared" si="17"/>
        <v>0</v>
      </c>
      <c r="AZ16" s="217">
        <f t="shared" si="18"/>
        <v>5666.666666666667</v>
      </c>
      <c r="BA16" s="1"/>
      <c r="BB16" s="1"/>
      <c r="BC16" s="679">
        <f t="shared" si="19"/>
        <v>0</v>
      </c>
      <c r="BD16" s="1"/>
      <c r="BE16" s="1"/>
      <c r="BF16" s="679">
        <f t="shared" si="20"/>
        <v>0</v>
      </c>
      <c r="BG16" s="1"/>
      <c r="BH16" s="1"/>
      <c r="BI16" s="679">
        <f t="shared" si="21"/>
        <v>0</v>
      </c>
      <c r="BJ16" s="1"/>
      <c r="BK16" s="1"/>
      <c r="BL16" s="679">
        <f t="shared" si="22"/>
        <v>0</v>
      </c>
      <c r="BM16" s="6"/>
      <c r="BN16" s="6"/>
      <c r="BO16" s="6">
        <f t="shared" si="23"/>
        <v>0</v>
      </c>
      <c r="BP16" s="6"/>
      <c r="BQ16" s="6"/>
      <c r="BR16" s="6">
        <f t="shared" si="24"/>
        <v>0</v>
      </c>
      <c r="BS16" s="78"/>
      <c r="BT16" s="6"/>
      <c r="BU16" s="6">
        <f t="shared" si="30"/>
        <v>0</v>
      </c>
      <c r="BV16" s="6"/>
      <c r="BW16" s="6"/>
      <c r="BX16" s="6">
        <f t="shared" si="31"/>
        <v>0</v>
      </c>
      <c r="BY16" s="6"/>
      <c r="BZ16" s="6"/>
      <c r="CA16" s="6">
        <f t="shared" si="32"/>
        <v>0</v>
      </c>
      <c r="CB16" s="174">
        <f t="shared" si="25"/>
        <v>0</v>
      </c>
      <c r="CC16" s="174">
        <f t="shared" si="26"/>
        <v>0</v>
      </c>
      <c r="CD16" s="174">
        <f t="shared" si="27"/>
        <v>0</v>
      </c>
      <c r="CE16" s="175">
        <f t="shared" si="33"/>
        <v>0</v>
      </c>
      <c r="CF16" s="175">
        <f t="shared" si="34"/>
        <v>0</v>
      </c>
      <c r="CG16" s="175">
        <f t="shared" si="35"/>
        <v>0</v>
      </c>
    </row>
    <row r="17" spans="1:168">
      <c r="A17" s="6">
        <v>10</v>
      </c>
      <c r="B17" s="678" t="s">
        <v>2921</v>
      </c>
      <c r="C17" s="6"/>
      <c r="D17" s="6" t="s">
        <v>2922</v>
      </c>
      <c r="E17" s="6" t="s">
        <v>2904</v>
      </c>
      <c r="F17" s="6">
        <v>6</v>
      </c>
      <c r="G17" s="679" t="s">
        <v>18</v>
      </c>
      <c r="H17" s="1">
        <v>18</v>
      </c>
      <c r="I17" s="1"/>
      <c r="J17" s="1">
        <f t="shared" si="1"/>
        <v>18</v>
      </c>
      <c r="K17" s="1">
        <v>100</v>
      </c>
      <c r="L17" s="1"/>
      <c r="M17" s="1">
        <f t="shared" si="2"/>
        <v>100</v>
      </c>
      <c r="N17" s="1">
        <v>18</v>
      </c>
      <c r="O17" s="1"/>
      <c r="P17" s="1">
        <f t="shared" si="3"/>
        <v>18</v>
      </c>
      <c r="Q17" s="1"/>
      <c r="R17" s="1"/>
      <c r="S17" s="1">
        <f t="shared" si="4"/>
        <v>0</v>
      </c>
      <c r="T17" s="1">
        <v>18</v>
      </c>
      <c r="U17" s="1">
        <v>29</v>
      </c>
      <c r="V17" s="1">
        <f t="shared" si="5"/>
        <v>47</v>
      </c>
      <c r="W17" s="1"/>
      <c r="X17" s="1"/>
      <c r="Y17" s="1">
        <f t="shared" si="6"/>
        <v>0</v>
      </c>
      <c r="Z17" s="1">
        <v>18</v>
      </c>
      <c r="AA17" s="1"/>
      <c r="AB17" s="1">
        <f t="shared" si="7"/>
        <v>18</v>
      </c>
      <c r="AC17" s="1"/>
      <c r="AD17" s="1"/>
      <c r="AE17" s="1">
        <f t="shared" si="8"/>
        <v>0</v>
      </c>
      <c r="AF17" s="1"/>
      <c r="AG17" s="1"/>
      <c r="AH17" s="1">
        <f t="shared" si="9"/>
        <v>0</v>
      </c>
      <c r="AI17" s="1">
        <v>18</v>
      </c>
      <c r="AJ17" s="1"/>
      <c r="AK17" s="1">
        <f t="shared" si="10"/>
        <v>18</v>
      </c>
      <c r="AL17" s="1"/>
      <c r="AM17" s="1"/>
      <c r="AN17" s="1">
        <f t="shared" si="11"/>
        <v>0</v>
      </c>
      <c r="AO17" s="1"/>
      <c r="AP17" s="1"/>
      <c r="AQ17" s="1">
        <f t="shared" si="12"/>
        <v>0</v>
      </c>
      <c r="AR17" s="6">
        <f t="shared" si="28"/>
        <v>190</v>
      </c>
      <c r="AS17" s="6">
        <f t="shared" si="13"/>
        <v>29</v>
      </c>
      <c r="AT17" s="6">
        <f t="shared" si="14"/>
        <v>219</v>
      </c>
      <c r="AU17" s="494">
        <f t="shared" si="15"/>
        <v>15.833333333333334</v>
      </c>
      <c r="AV17" s="494">
        <f t="shared" si="15"/>
        <v>2.4166666666666665</v>
      </c>
      <c r="AW17" s="494">
        <f t="shared" si="16"/>
        <v>18.25</v>
      </c>
      <c r="AX17" s="217">
        <f t="shared" si="29"/>
        <v>7916.666666666667</v>
      </c>
      <c r="AY17" s="217">
        <f t="shared" si="17"/>
        <v>1450</v>
      </c>
      <c r="AZ17" s="217">
        <f t="shared" si="18"/>
        <v>9366.6666666666679</v>
      </c>
      <c r="BA17" s="1">
        <v>54</v>
      </c>
      <c r="BB17" s="1"/>
      <c r="BC17" s="679">
        <f t="shared" si="19"/>
        <v>54</v>
      </c>
      <c r="BD17" s="1"/>
      <c r="BE17" s="1"/>
      <c r="BF17" s="679">
        <f t="shared" si="20"/>
        <v>0</v>
      </c>
      <c r="BG17" s="1">
        <v>18</v>
      </c>
      <c r="BH17" s="1"/>
      <c r="BI17" s="679">
        <f t="shared" si="21"/>
        <v>18</v>
      </c>
      <c r="BJ17" s="1"/>
      <c r="BK17" s="1"/>
      <c r="BL17" s="679">
        <f t="shared" si="22"/>
        <v>0</v>
      </c>
      <c r="BM17" s="6">
        <v>18</v>
      </c>
      <c r="BN17" s="6"/>
      <c r="BO17" s="6">
        <f t="shared" si="23"/>
        <v>18</v>
      </c>
      <c r="BP17" s="6">
        <v>18</v>
      </c>
      <c r="BQ17" s="6"/>
      <c r="BR17" s="6">
        <f t="shared" si="24"/>
        <v>18</v>
      </c>
      <c r="BS17" s="78"/>
      <c r="BT17" s="6"/>
      <c r="BU17" s="6">
        <f t="shared" si="30"/>
        <v>0</v>
      </c>
      <c r="BV17" s="6"/>
      <c r="BW17" s="6"/>
      <c r="BX17" s="6">
        <f t="shared" si="31"/>
        <v>0</v>
      </c>
      <c r="BY17" s="6"/>
      <c r="BZ17" s="6"/>
      <c r="CA17" s="6">
        <f t="shared" si="32"/>
        <v>0</v>
      </c>
      <c r="CB17" s="174">
        <f t="shared" si="25"/>
        <v>108</v>
      </c>
      <c r="CC17" s="174">
        <f t="shared" si="26"/>
        <v>0</v>
      </c>
      <c r="CD17" s="174">
        <f t="shared" si="27"/>
        <v>108</v>
      </c>
      <c r="CE17" s="175">
        <f t="shared" si="33"/>
        <v>12</v>
      </c>
      <c r="CF17" s="175">
        <f t="shared" si="34"/>
        <v>0</v>
      </c>
      <c r="CG17" s="175">
        <f t="shared" si="35"/>
        <v>12</v>
      </c>
    </row>
    <row r="18" spans="1:168" s="361" customFormat="1">
      <c r="A18" s="1">
        <v>11</v>
      </c>
      <c r="B18" s="680" t="s">
        <v>2923</v>
      </c>
      <c r="C18" s="1"/>
      <c r="D18" s="1" t="s">
        <v>2924</v>
      </c>
      <c r="E18" s="6" t="s">
        <v>2904</v>
      </c>
      <c r="F18" s="1">
        <v>66</v>
      </c>
      <c r="G18" s="180" t="s">
        <v>18</v>
      </c>
      <c r="H18" s="1">
        <v>56</v>
      </c>
      <c r="I18" s="1">
        <v>98</v>
      </c>
      <c r="J18" s="1">
        <f t="shared" si="1"/>
        <v>154</v>
      </c>
      <c r="K18" s="1">
        <v>116</v>
      </c>
      <c r="L18" s="1"/>
      <c r="M18" s="1">
        <f t="shared" si="2"/>
        <v>116</v>
      </c>
      <c r="N18" s="1">
        <v>264</v>
      </c>
      <c r="O18" s="1">
        <v>20</v>
      </c>
      <c r="P18" s="1">
        <f t="shared" si="3"/>
        <v>284</v>
      </c>
      <c r="Q18" s="1">
        <v>78</v>
      </c>
      <c r="R18" s="1">
        <v>60</v>
      </c>
      <c r="S18" s="1">
        <f t="shared" si="4"/>
        <v>138</v>
      </c>
      <c r="T18" s="1">
        <v>256</v>
      </c>
      <c r="U18" s="1">
        <v>40</v>
      </c>
      <c r="V18" s="1">
        <f t="shared" si="5"/>
        <v>296</v>
      </c>
      <c r="W18" s="1"/>
      <c r="X18" s="1">
        <v>60</v>
      </c>
      <c r="Y18" s="1">
        <f t="shared" si="6"/>
        <v>60</v>
      </c>
      <c r="Z18" s="1">
        <v>136</v>
      </c>
      <c r="AA18" s="1">
        <v>40</v>
      </c>
      <c r="AB18" s="1">
        <f t="shared" si="7"/>
        <v>176</v>
      </c>
      <c r="AC18" s="1">
        <v>118</v>
      </c>
      <c r="AD18" s="1">
        <v>58</v>
      </c>
      <c r="AE18" s="1">
        <f t="shared" si="8"/>
        <v>176</v>
      </c>
      <c r="AF18" s="1">
        <v>10</v>
      </c>
      <c r="AG18" s="1"/>
      <c r="AH18" s="1">
        <f t="shared" si="9"/>
        <v>10</v>
      </c>
      <c r="AI18" s="1">
        <v>154</v>
      </c>
      <c r="AJ18" s="1"/>
      <c r="AK18" s="1">
        <f t="shared" si="10"/>
        <v>154</v>
      </c>
      <c r="AL18" s="1">
        <v>212</v>
      </c>
      <c r="AM18" s="1">
        <v>20</v>
      </c>
      <c r="AN18" s="1">
        <f t="shared" si="11"/>
        <v>232</v>
      </c>
      <c r="AO18" s="1"/>
      <c r="AP18" s="1"/>
      <c r="AQ18" s="1">
        <f t="shared" si="12"/>
        <v>0</v>
      </c>
      <c r="AR18" s="6">
        <f t="shared" si="28"/>
        <v>1400</v>
      </c>
      <c r="AS18" s="6">
        <f t="shared" si="13"/>
        <v>338</v>
      </c>
      <c r="AT18" s="6">
        <f t="shared" si="14"/>
        <v>1738</v>
      </c>
      <c r="AU18" s="494">
        <f t="shared" si="15"/>
        <v>116.66666666666667</v>
      </c>
      <c r="AV18" s="494">
        <f t="shared" si="15"/>
        <v>28.166666666666668</v>
      </c>
      <c r="AW18" s="71">
        <f t="shared" si="16"/>
        <v>144.83333333333334</v>
      </c>
      <c r="AX18" s="71">
        <f t="shared" si="29"/>
        <v>58333.333333333336</v>
      </c>
      <c r="AY18" s="71">
        <f t="shared" si="17"/>
        <v>16900</v>
      </c>
      <c r="AZ18" s="71">
        <f t="shared" si="18"/>
        <v>75233.333333333343</v>
      </c>
      <c r="BA18" s="1">
        <v>118</v>
      </c>
      <c r="BB18" s="1">
        <v>60</v>
      </c>
      <c r="BC18" s="679">
        <f t="shared" si="19"/>
        <v>178</v>
      </c>
      <c r="BD18" s="1">
        <v>236</v>
      </c>
      <c r="BE18" s="1">
        <v>40</v>
      </c>
      <c r="BF18" s="679">
        <f t="shared" si="20"/>
        <v>276</v>
      </c>
      <c r="BG18" s="1">
        <v>212</v>
      </c>
      <c r="BH18" s="1">
        <v>40</v>
      </c>
      <c r="BI18" s="679">
        <f t="shared" si="21"/>
        <v>252</v>
      </c>
      <c r="BJ18" s="1">
        <v>332</v>
      </c>
      <c r="BK18" s="1">
        <v>40</v>
      </c>
      <c r="BL18" s="679">
        <f t="shared" si="22"/>
        <v>372</v>
      </c>
      <c r="BM18" s="1"/>
      <c r="BN18" s="1"/>
      <c r="BO18" s="6">
        <f t="shared" si="23"/>
        <v>0</v>
      </c>
      <c r="BP18" s="1">
        <v>234</v>
      </c>
      <c r="BQ18" s="1">
        <v>76</v>
      </c>
      <c r="BR18" s="6">
        <f t="shared" si="24"/>
        <v>310</v>
      </c>
      <c r="BS18" s="382"/>
      <c r="BT18" s="1"/>
      <c r="BU18" s="6">
        <f t="shared" si="30"/>
        <v>0</v>
      </c>
      <c r="BV18" s="6"/>
      <c r="BW18" s="6"/>
      <c r="BX18" s="6">
        <f t="shared" si="31"/>
        <v>0</v>
      </c>
      <c r="BY18" s="6"/>
      <c r="BZ18" s="6"/>
      <c r="CA18" s="6">
        <f t="shared" si="32"/>
        <v>0</v>
      </c>
      <c r="CB18" s="174">
        <f t="shared" si="25"/>
        <v>1132</v>
      </c>
      <c r="CC18" s="174">
        <f t="shared" si="26"/>
        <v>256</v>
      </c>
      <c r="CD18" s="174">
        <f t="shared" si="27"/>
        <v>1388</v>
      </c>
      <c r="CE18" s="175">
        <f t="shared" si="33"/>
        <v>125.77777777777777</v>
      </c>
      <c r="CF18" s="175">
        <f t="shared" si="34"/>
        <v>28.444444444444443</v>
      </c>
      <c r="CG18" s="175">
        <f t="shared" si="35"/>
        <v>154.22222222222223</v>
      </c>
    </row>
    <row r="19" spans="1:168">
      <c r="A19" s="6">
        <v>12</v>
      </c>
      <c r="B19" s="700" t="s">
        <v>2925</v>
      </c>
      <c r="C19" s="6"/>
      <c r="D19" s="6" t="s">
        <v>2926</v>
      </c>
      <c r="E19" s="6" t="s">
        <v>2904</v>
      </c>
      <c r="F19" s="6">
        <v>50</v>
      </c>
      <c r="G19" s="679" t="s">
        <v>18</v>
      </c>
      <c r="H19" s="1">
        <v>50</v>
      </c>
      <c r="I19" s="1"/>
      <c r="J19" s="1">
        <f t="shared" si="1"/>
        <v>50</v>
      </c>
      <c r="K19" s="1">
        <v>80</v>
      </c>
      <c r="L19" s="1"/>
      <c r="M19" s="1">
        <f t="shared" si="2"/>
        <v>80</v>
      </c>
      <c r="N19" s="1">
        <v>80</v>
      </c>
      <c r="O19" s="1"/>
      <c r="P19" s="1">
        <f t="shared" si="3"/>
        <v>80</v>
      </c>
      <c r="Q19" s="1"/>
      <c r="R19" s="1"/>
      <c r="S19" s="1">
        <f t="shared" si="4"/>
        <v>0</v>
      </c>
      <c r="T19" s="1">
        <v>70</v>
      </c>
      <c r="U19" s="1"/>
      <c r="V19" s="1">
        <f t="shared" si="5"/>
        <v>70</v>
      </c>
      <c r="W19" s="1"/>
      <c r="X19" s="1"/>
      <c r="Y19" s="1">
        <f t="shared" si="6"/>
        <v>0</v>
      </c>
      <c r="Z19" s="1"/>
      <c r="AA19" s="1"/>
      <c r="AB19" s="1">
        <f t="shared" si="7"/>
        <v>0</v>
      </c>
      <c r="AC19" s="1">
        <v>120</v>
      </c>
      <c r="AD19" s="1"/>
      <c r="AE19" s="1">
        <f t="shared" si="8"/>
        <v>120</v>
      </c>
      <c r="AF19" s="1">
        <v>65</v>
      </c>
      <c r="AG19" s="1"/>
      <c r="AH19" s="1">
        <f t="shared" si="9"/>
        <v>65</v>
      </c>
      <c r="AI19" s="1"/>
      <c r="AJ19" s="1"/>
      <c r="AK19" s="1">
        <f t="shared" si="10"/>
        <v>0</v>
      </c>
      <c r="AL19" s="1"/>
      <c r="AM19" s="1"/>
      <c r="AN19" s="1">
        <f t="shared" si="11"/>
        <v>0</v>
      </c>
      <c r="AO19" s="1"/>
      <c r="AP19" s="1"/>
      <c r="AQ19" s="1">
        <f t="shared" si="12"/>
        <v>0</v>
      </c>
      <c r="AR19" s="6">
        <f t="shared" si="28"/>
        <v>465</v>
      </c>
      <c r="AS19" s="6">
        <f t="shared" si="13"/>
        <v>0</v>
      </c>
      <c r="AT19" s="6">
        <f t="shared" si="14"/>
        <v>465</v>
      </c>
      <c r="AU19" s="494">
        <f t="shared" si="15"/>
        <v>38.75</v>
      </c>
      <c r="AV19" s="494">
        <f t="shared" si="15"/>
        <v>0</v>
      </c>
      <c r="AW19" s="494">
        <f t="shared" si="16"/>
        <v>38.75</v>
      </c>
      <c r="AX19" s="217">
        <f t="shared" si="29"/>
        <v>19375</v>
      </c>
      <c r="AY19" s="217">
        <f t="shared" si="17"/>
        <v>0</v>
      </c>
      <c r="AZ19" s="217">
        <f t="shared" si="18"/>
        <v>19375</v>
      </c>
      <c r="BA19" s="1">
        <v>50</v>
      </c>
      <c r="BB19" s="1"/>
      <c r="BC19" s="679">
        <f t="shared" si="19"/>
        <v>50</v>
      </c>
      <c r="BD19" s="1">
        <v>100</v>
      </c>
      <c r="BE19" s="1"/>
      <c r="BF19" s="679">
        <f t="shared" si="20"/>
        <v>100</v>
      </c>
      <c r="BG19" s="1"/>
      <c r="BH19" s="1"/>
      <c r="BI19" s="679">
        <f t="shared" si="21"/>
        <v>0</v>
      </c>
      <c r="BJ19" s="1"/>
      <c r="BK19" s="1"/>
      <c r="BL19" s="679">
        <f t="shared" si="22"/>
        <v>0</v>
      </c>
      <c r="BM19" s="6">
        <v>18</v>
      </c>
      <c r="BN19" s="6"/>
      <c r="BO19" s="6">
        <f t="shared" si="23"/>
        <v>18</v>
      </c>
      <c r="BP19" s="6">
        <v>40</v>
      </c>
      <c r="BQ19" s="6"/>
      <c r="BR19" s="6">
        <f t="shared" si="24"/>
        <v>40</v>
      </c>
      <c r="BS19" s="78"/>
      <c r="BT19" s="6"/>
      <c r="BU19" s="6">
        <f t="shared" si="30"/>
        <v>0</v>
      </c>
      <c r="BV19" s="6"/>
      <c r="BW19" s="6"/>
      <c r="BX19" s="6">
        <f t="shared" si="31"/>
        <v>0</v>
      </c>
      <c r="BY19" s="6"/>
      <c r="BZ19" s="6"/>
      <c r="CA19" s="6">
        <f t="shared" si="32"/>
        <v>0</v>
      </c>
      <c r="CB19" s="174">
        <f t="shared" si="25"/>
        <v>208</v>
      </c>
      <c r="CC19" s="174">
        <f t="shared" si="26"/>
        <v>0</v>
      </c>
      <c r="CD19" s="174">
        <f t="shared" si="27"/>
        <v>208</v>
      </c>
      <c r="CE19" s="175">
        <f t="shared" si="33"/>
        <v>23.111111111111111</v>
      </c>
      <c r="CF19" s="175">
        <f t="shared" si="34"/>
        <v>0</v>
      </c>
      <c r="CG19" s="175">
        <f t="shared" si="35"/>
        <v>23.111111111111111</v>
      </c>
    </row>
    <row r="20" spans="1:168" s="699" customFormat="1">
      <c r="A20" s="522">
        <v>13</v>
      </c>
      <c r="B20" s="698" t="s">
        <v>2927</v>
      </c>
      <c r="C20" s="522"/>
      <c r="D20" s="522" t="s">
        <v>2928</v>
      </c>
      <c r="E20" s="522" t="s">
        <v>2904</v>
      </c>
      <c r="F20" s="522">
        <v>53.33</v>
      </c>
      <c r="G20" s="718" t="s">
        <v>18</v>
      </c>
      <c r="H20" s="522"/>
      <c r="I20" s="522"/>
      <c r="J20" s="522">
        <f t="shared" si="1"/>
        <v>0</v>
      </c>
      <c r="K20" s="522">
        <v>210</v>
      </c>
      <c r="L20" s="522">
        <v>36</v>
      </c>
      <c r="M20" s="522">
        <f t="shared" si="2"/>
        <v>246</v>
      </c>
      <c r="N20" s="522">
        <v>410</v>
      </c>
      <c r="O20" s="522"/>
      <c r="P20" s="522">
        <f t="shared" si="3"/>
        <v>410</v>
      </c>
      <c r="Q20" s="522">
        <v>166</v>
      </c>
      <c r="R20" s="522"/>
      <c r="S20" s="522">
        <f t="shared" si="4"/>
        <v>166</v>
      </c>
      <c r="T20" s="522">
        <v>210</v>
      </c>
      <c r="U20" s="522">
        <v>100</v>
      </c>
      <c r="V20" s="522">
        <f t="shared" si="5"/>
        <v>310</v>
      </c>
      <c r="W20" s="522"/>
      <c r="X20" s="522"/>
      <c r="Y20" s="522">
        <f t="shared" si="6"/>
        <v>0</v>
      </c>
      <c r="Z20" s="522">
        <v>184</v>
      </c>
      <c r="AA20" s="522">
        <v>112</v>
      </c>
      <c r="AB20" s="522">
        <f t="shared" si="7"/>
        <v>296</v>
      </c>
      <c r="AC20" s="522"/>
      <c r="AD20" s="522"/>
      <c r="AE20" s="522">
        <f t="shared" si="8"/>
        <v>0</v>
      </c>
      <c r="AF20" s="522">
        <v>100</v>
      </c>
      <c r="AG20" s="522"/>
      <c r="AH20" s="522">
        <f t="shared" si="9"/>
        <v>100</v>
      </c>
      <c r="AI20" s="522">
        <v>190</v>
      </c>
      <c r="AJ20" s="522"/>
      <c r="AK20" s="522">
        <f t="shared" si="10"/>
        <v>190</v>
      </c>
      <c r="AL20" s="522">
        <v>100</v>
      </c>
      <c r="AM20" s="522">
        <v>36</v>
      </c>
      <c r="AN20" s="522">
        <f t="shared" si="11"/>
        <v>136</v>
      </c>
      <c r="AO20" s="522">
        <v>179</v>
      </c>
      <c r="AP20" s="522">
        <v>148</v>
      </c>
      <c r="AQ20" s="522">
        <f t="shared" si="12"/>
        <v>327</v>
      </c>
      <c r="AR20" s="522">
        <f t="shared" si="28"/>
        <v>1749</v>
      </c>
      <c r="AS20" s="522">
        <f t="shared" si="13"/>
        <v>432</v>
      </c>
      <c r="AT20" s="522">
        <f t="shared" si="14"/>
        <v>2181</v>
      </c>
      <c r="AU20" s="523">
        <f t="shared" si="15"/>
        <v>145.75</v>
      </c>
      <c r="AV20" s="523">
        <f t="shared" si="15"/>
        <v>36</v>
      </c>
      <c r="AW20" s="523">
        <f t="shared" si="16"/>
        <v>181.75</v>
      </c>
      <c r="AX20" s="523">
        <f t="shared" si="29"/>
        <v>72875</v>
      </c>
      <c r="AY20" s="523">
        <f t="shared" si="17"/>
        <v>21600</v>
      </c>
      <c r="AZ20" s="523">
        <f t="shared" si="18"/>
        <v>94475</v>
      </c>
      <c r="BA20" s="522"/>
      <c r="BB20" s="522"/>
      <c r="BC20" s="718">
        <f t="shared" si="19"/>
        <v>0</v>
      </c>
      <c r="BD20" s="522">
        <v>164</v>
      </c>
      <c r="BE20" s="522"/>
      <c r="BF20" s="718">
        <f t="shared" si="20"/>
        <v>164</v>
      </c>
      <c r="BG20" s="522"/>
      <c r="BH20" s="522"/>
      <c r="BI20" s="718">
        <f t="shared" si="21"/>
        <v>0</v>
      </c>
      <c r="BJ20" s="522">
        <v>96</v>
      </c>
      <c r="BK20" s="522">
        <v>96</v>
      </c>
      <c r="BL20" s="718">
        <f t="shared" si="22"/>
        <v>192</v>
      </c>
      <c r="BM20" s="522"/>
      <c r="BN20" s="522"/>
      <c r="BO20" s="522">
        <f t="shared" si="23"/>
        <v>0</v>
      </c>
      <c r="BP20" s="522"/>
      <c r="BQ20" s="522"/>
      <c r="BR20" s="522">
        <f t="shared" si="24"/>
        <v>0</v>
      </c>
      <c r="BS20" s="920"/>
      <c r="BT20" s="522"/>
      <c r="BU20" s="522">
        <f t="shared" ref="BU20:BU36" si="36">BS20+BT20</f>
        <v>0</v>
      </c>
      <c r="BV20" s="522"/>
      <c r="BW20" s="522"/>
      <c r="BX20" s="522">
        <f t="shared" ref="BX20:BX36" si="37">BV20+BW20</f>
        <v>0</v>
      </c>
      <c r="BY20" s="522"/>
      <c r="BZ20" s="522"/>
      <c r="CA20" s="522">
        <f t="shared" ref="CA20:CA36" si="38">BY20+BZ20</f>
        <v>0</v>
      </c>
      <c r="CB20" s="174">
        <f t="shared" si="25"/>
        <v>260</v>
      </c>
      <c r="CC20" s="174">
        <f t="shared" si="26"/>
        <v>96</v>
      </c>
      <c r="CD20" s="174">
        <f t="shared" si="27"/>
        <v>356</v>
      </c>
      <c r="CE20" s="175">
        <f t="shared" si="33"/>
        <v>28.888888888888889</v>
      </c>
      <c r="CF20" s="175">
        <f t="shared" si="34"/>
        <v>10.666666666666666</v>
      </c>
      <c r="CG20" s="175">
        <f t="shared" si="35"/>
        <v>39.555555555555557</v>
      </c>
      <c r="CH20" s="361"/>
      <c r="CI20" s="361"/>
      <c r="CJ20" s="361"/>
      <c r="CK20" s="361"/>
      <c r="CL20" s="361"/>
      <c r="CM20" s="361"/>
      <c r="CN20" s="361"/>
      <c r="CO20" s="361"/>
      <c r="CP20" s="361"/>
      <c r="CQ20" s="361"/>
      <c r="CR20" s="361"/>
      <c r="CS20" s="361"/>
      <c r="CT20" s="361"/>
      <c r="CU20" s="361"/>
      <c r="CV20" s="361"/>
      <c r="CW20" s="361"/>
      <c r="CX20" s="361"/>
      <c r="CY20" s="361"/>
      <c r="CZ20" s="361"/>
      <c r="DA20" s="361"/>
      <c r="DB20" s="361"/>
      <c r="DC20" s="361"/>
      <c r="DD20" s="361"/>
      <c r="DE20" s="361"/>
      <c r="DF20" s="361"/>
      <c r="DG20" s="361"/>
      <c r="DH20" s="361"/>
      <c r="DI20" s="361"/>
      <c r="DJ20" s="361"/>
      <c r="DK20" s="361"/>
      <c r="DL20" s="361"/>
      <c r="DM20" s="361"/>
      <c r="DN20" s="361"/>
      <c r="DO20" s="361"/>
      <c r="DP20" s="361"/>
      <c r="DQ20" s="361"/>
      <c r="DR20" s="361"/>
      <c r="DS20" s="361"/>
      <c r="DT20" s="361"/>
      <c r="DU20" s="361"/>
      <c r="DV20" s="361"/>
      <c r="DW20" s="361"/>
      <c r="DX20" s="361"/>
      <c r="DY20" s="361"/>
      <c r="DZ20" s="361"/>
      <c r="EA20" s="361"/>
      <c r="EB20" s="361"/>
      <c r="EC20" s="361"/>
      <c r="ED20" s="361"/>
      <c r="EE20" s="361"/>
      <c r="EF20" s="361"/>
      <c r="EG20" s="361"/>
      <c r="EH20" s="361"/>
      <c r="EI20" s="361"/>
      <c r="EJ20" s="361"/>
      <c r="EK20" s="361"/>
      <c r="EL20" s="361"/>
      <c r="EM20" s="361"/>
      <c r="EN20" s="361"/>
      <c r="EO20" s="361"/>
      <c r="EP20" s="361"/>
      <c r="EQ20" s="361"/>
      <c r="ER20" s="361"/>
      <c r="ES20" s="361"/>
      <c r="ET20" s="361"/>
      <c r="EU20" s="361"/>
      <c r="EV20" s="361"/>
      <c r="EW20" s="361"/>
      <c r="EX20" s="361"/>
      <c r="EY20" s="361"/>
      <c r="EZ20" s="361"/>
      <c r="FA20" s="361"/>
      <c r="FB20" s="361"/>
      <c r="FC20" s="361"/>
      <c r="FD20" s="361"/>
      <c r="FE20" s="361"/>
      <c r="FF20" s="361"/>
      <c r="FG20" s="361"/>
      <c r="FH20" s="361"/>
      <c r="FI20" s="361"/>
      <c r="FJ20" s="361"/>
      <c r="FK20" s="361"/>
      <c r="FL20" s="361"/>
    </row>
    <row r="21" spans="1:168" s="699" customFormat="1">
      <c r="A21" s="522">
        <v>14</v>
      </c>
      <c r="B21" s="698" t="s">
        <v>2929</v>
      </c>
      <c r="C21" s="522"/>
      <c r="D21" s="522" t="s">
        <v>2930</v>
      </c>
      <c r="E21" s="522" t="s">
        <v>2904</v>
      </c>
      <c r="F21" s="522">
        <v>163.33000000000001</v>
      </c>
      <c r="G21" s="718" t="s">
        <v>18</v>
      </c>
      <c r="H21" s="522">
        <v>430</v>
      </c>
      <c r="I21" s="522"/>
      <c r="J21" s="522">
        <f t="shared" si="1"/>
        <v>430</v>
      </c>
      <c r="K21" s="522">
        <v>390</v>
      </c>
      <c r="L21" s="522">
        <v>44</v>
      </c>
      <c r="M21" s="522">
        <f t="shared" si="2"/>
        <v>434</v>
      </c>
      <c r="N21" s="522">
        <v>330</v>
      </c>
      <c r="O21" s="522">
        <v>36</v>
      </c>
      <c r="P21" s="522">
        <f t="shared" si="3"/>
        <v>366</v>
      </c>
      <c r="Q21" s="522">
        <v>450</v>
      </c>
      <c r="R21" s="522">
        <v>110</v>
      </c>
      <c r="S21" s="522">
        <f t="shared" si="4"/>
        <v>560</v>
      </c>
      <c r="T21" s="522">
        <v>340</v>
      </c>
      <c r="U21" s="522">
        <v>136</v>
      </c>
      <c r="V21" s="522">
        <f t="shared" si="5"/>
        <v>476</v>
      </c>
      <c r="W21" s="522"/>
      <c r="X21" s="522"/>
      <c r="Y21" s="522">
        <f t="shared" si="6"/>
        <v>0</v>
      </c>
      <c r="Z21" s="522">
        <v>315</v>
      </c>
      <c r="AA21" s="522">
        <v>38</v>
      </c>
      <c r="AB21" s="522">
        <f t="shared" si="7"/>
        <v>353</v>
      </c>
      <c r="AC21" s="522">
        <v>322</v>
      </c>
      <c r="AD21" s="522">
        <v>46</v>
      </c>
      <c r="AE21" s="522">
        <f t="shared" si="8"/>
        <v>368</v>
      </c>
      <c r="AF21" s="522">
        <v>486</v>
      </c>
      <c r="AG21" s="522">
        <v>82</v>
      </c>
      <c r="AH21" s="522">
        <f t="shared" si="9"/>
        <v>568</v>
      </c>
      <c r="AI21" s="522"/>
      <c r="AJ21" s="522"/>
      <c r="AK21" s="522">
        <f t="shared" si="10"/>
        <v>0</v>
      </c>
      <c r="AL21" s="522">
        <v>404</v>
      </c>
      <c r="AM21" s="522">
        <v>56</v>
      </c>
      <c r="AN21" s="522">
        <f t="shared" si="11"/>
        <v>460</v>
      </c>
      <c r="AO21" s="522">
        <v>30</v>
      </c>
      <c r="AP21" s="522">
        <v>78</v>
      </c>
      <c r="AQ21" s="522">
        <f t="shared" si="12"/>
        <v>108</v>
      </c>
      <c r="AR21" s="522">
        <f t="shared" si="28"/>
        <v>3497</v>
      </c>
      <c r="AS21" s="522">
        <f t="shared" si="13"/>
        <v>580</v>
      </c>
      <c r="AT21" s="522">
        <f t="shared" si="14"/>
        <v>4077</v>
      </c>
      <c r="AU21" s="523">
        <f t="shared" si="15"/>
        <v>291.41666666666669</v>
      </c>
      <c r="AV21" s="523">
        <f t="shared" si="15"/>
        <v>48.333333333333336</v>
      </c>
      <c r="AW21" s="523">
        <f t="shared" si="16"/>
        <v>339.75</v>
      </c>
      <c r="AX21" s="523">
        <f t="shared" si="29"/>
        <v>145708.33333333334</v>
      </c>
      <c r="AY21" s="523">
        <f t="shared" si="17"/>
        <v>29000</v>
      </c>
      <c r="AZ21" s="523">
        <f t="shared" si="18"/>
        <v>174708.33333333334</v>
      </c>
      <c r="BA21" s="522">
        <v>602</v>
      </c>
      <c r="BB21" s="522">
        <v>6</v>
      </c>
      <c r="BC21" s="718">
        <f t="shared" si="19"/>
        <v>608</v>
      </c>
      <c r="BD21" s="522"/>
      <c r="BE21" s="522"/>
      <c r="BF21" s="718">
        <f t="shared" si="20"/>
        <v>0</v>
      </c>
      <c r="BG21" s="522">
        <v>538</v>
      </c>
      <c r="BH21" s="522">
        <v>18</v>
      </c>
      <c r="BI21" s="718">
        <f t="shared" si="21"/>
        <v>556</v>
      </c>
      <c r="BJ21" s="522">
        <v>390</v>
      </c>
      <c r="BK21" s="522">
        <v>36</v>
      </c>
      <c r="BL21" s="718">
        <f t="shared" si="22"/>
        <v>426</v>
      </c>
      <c r="BM21" s="522"/>
      <c r="BN21" s="522"/>
      <c r="BO21" s="522">
        <f t="shared" si="23"/>
        <v>0</v>
      </c>
      <c r="BP21" s="522">
        <v>514</v>
      </c>
      <c r="BQ21" s="522"/>
      <c r="BR21" s="522">
        <f t="shared" si="24"/>
        <v>514</v>
      </c>
      <c r="BS21" s="920">
        <v>280</v>
      </c>
      <c r="BT21" s="522"/>
      <c r="BU21" s="522">
        <f t="shared" si="36"/>
        <v>280</v>
      </c>
      <c r="BV21" s="522"/>
      <c r="BW21" s="522"/>
      <c r="BX21" s="522">
        <f t="shared" si="37"/>
        <v>0</v>
      </c>
      <c r="BY21" s="522"/>
      <c r="BZ21" s="522"/>
      <c r="CA21" s="522">
        <f t="shared" si="38"/>
        <v>0</v>
      </c>
      <c r="CB21" s="174">
        <f t="shared" si="25"/>
        <v>2324</v>
      </c>
      <c r="CC21" s="174">
        <f t="shared" si="26"/>
        <v>60</v>
      </c>
      <c r="CD21" s="174">
        <f t="shared" si="27"/>
        <v>2384</v>
      </c>
      <c r="CE21" s="175">
        <f t="shared" si="33"/>
        <v>258.22222222222223</v>
      </c>
      <c r="CF21" s="175">
        <f t="shared" si="34"/>
        <v>6.666666666666667</v>
      </c>
      <c r="CG21" s="175">
        <f t="shared" si="35"/>
        <v>264.88888888888891</v>
      </c>
      <c r="CH21" s="361"/>
      <c r="CI21" s="361"/>
      <c r="CJ21" s="361"/>
      <c r="CK21" s="361"/>
      <c r="CL21" s="361"/>
      <c r="CM21" s="361"/>
      <c r="CN21" s="361"/>
      <c r="CO21" s="361"/>
      <c r="CP21" s="361"/>
      <c r="CQ21" s="361"/>
      <c r="CR21" s="361"/>
      <c r="CS21" s="361"/>
      <c r="CT21" s="361"/>
      <c r="CU21" s="361"/>
      <c r="CV21" s="361"/>
      <c r="CW21" s="361"/>
      <c r="CX21" s="361"/>
      <c r="CY21" s="361"/>
      <c r="CZ21" s="361"/>
      <c r="DA21" s="361"/>
      <c r="DB21" s="361"/>
      <c r="DC21" s="361"/>
      <c r="DD21" s="361"/>
      <c r="DE21" s="361"/>
      <c r="DF21" s="361"/>
      <c r="DG21" s="361"/>
      <c r="DH21" s="361"/>
      <c r="DI21" s="361"/>
      <c r="DJ21" s="361"/>
      <c r="DK21" s="361"/>
      <c r="DL21" s="361"/>
      <c r="DM21" s="361"/>
      <c r="DN21" s="361"/>
      <c r="DO21" s="361"/>
      <c r="DP21" s="361"/>
      <c r="DQ21" s="361"/>
      <c r="DR21" s="361"/>
      <c r="DS21" s="361"/>
      <c r="DT21" s="361"/>
      <c r="DU21" s="361"/>
      <c r="DV21" s="361"/>
      <c r="DW21" s="361"/>
      <c r="DX21" s="361"/>
      <c r="DY21" s="361"/>
      <c r="DZ21" s="361"/>
      <c r="EA21" s="361"/>
      <c r="EB21" s="361"/>
      <c r="EC21" s="361"/>
      <c r="ED21" s="361"/>
      <c r="EE21" s="361"/>
      <c r="EF21" s="361"/>
      <c r="EG21" s="361"/>
      <c r="EH21" s="361"/>
      <c r="EI21" s="361"/>
      <c r="EJ21" s="361"/>
      <c r="EK21" s="361"/>
      <c r="EL21" s="361"/>
      <c r="EM21" s="361"/>
      <c r="EN21" s="361"/>
      <c r="EO21" s="361"/>
      <c r="EP21" s="361"/>
      <c r="EQ21" s="361"/>
      <c r="ER21" s="361"/>
      <c r="ES21" s="361"/>
      <c r="ET21" s="361"/>
      <c r="EU21" s="361"/>
      <c r="EV21" s="361"/>
      <c r="EW21" s="361"/>
      <c r="EX21" s="361"/>
      <c r="EY21" s="361"/>
      <c r="EZ21" s="361"/>
      <c r="FA21" s="361"/>
      <c r="FB21" s="361"/>
      <c r="FC21" s="361"/>
      <c r="FD21" s="361"/>
      <c r="FE21" s="361"/>
      <c r="FF21" s="361"/>
      <c r="FG21" s="361"/>
      <c r="FH21" s="361"/>
      <c r="FI21" s="361"/>
      <c r="FJ21" s="361"/>
      <c r="FK21" s="361"/>
      <c r="FL21" s="361"/>
    </row>
    <row r="22" spans="1:168">
      <c r="A22" s="6">
        <v>15</v>
      </c>
      <c r="B22" s="678" t="s">
        <v>2931</v>
      </c>
      <c r="C22" s="6"/>
      <c r="D22" s="6" t="s">
        <v>2932</v>
      </c>
      <c r="E22" s="6" t="s">
        <v>2904</v>
      </c>
      <c r="F22" s="6">
        <v>32.33</v>
      </c>
      <c r="G22" s="679" t="s">
        <v>18</v>
      </c>
      <c r="H22" s="1">
        <v>64</v>
      </c>
      <c r="I22" s="1"/>
      <c r="J22" s="1">
        <f t="shared" si="1"/>
        <v>64</v>
      </c>
      <c r="K22" s="1">
        <v>36</v>
      </c>
      <c r="L22" s="1"/>
      <c r="M22" s="1">
        <f t="shared" si="2"/>
        <v>36</v>
      </c>
      <c r="N22" s="1">
        <v>30</v>
      </c>
      <c r="O22" s="1"/>
      <c r="P22" s="1">
        <f t="shared" si="3"/>
        <v>30</v>
      </c>
      <c r="Q22" s="1"/>
      <c r="R22" s="1"/>
      <c r="S22" s="1">
        <f t="shared" si="4"/>
        <v>0</v>
      </c>
      <c r="T22" s="1">
        <v>56</v>
      </c>
      <c r="U22" s="1"/>
      <c r="V22" s="1">
        <f t="shared" si="5"/>
        <v>56</v>
      </c>
      <c r="W22" s="1">
        <v>18.5</v>
      </c>
      <c r="X22" s="1"/>
      <c r="Y22" s="1">
        <f t="shared" si="6"/>
        <v>18.5</v>
      </c>
      <c r="Z22" s="1">
        <v>84</v>
      </c>
      <c r="AA22" s="1"/>
      <c r="AB22" s="1">
        <f t="shared" si="7"/>
        <v>84</v>
      </c>
      <c r="AC22" s="1"/>
      <c r="AD22" s="1"/>
      <c r="AE22" s="1">
        <f t="shared" si="8"/>
        <v>0</v>
      </c>
      <c r="AF22" s="1"/>
      <c r="AG22" s="1"/>
      <c r="AH22" s="1">
        <f t="shared" si="9"/>
        <v>0</v>
      </c>
      <c r="AI22" s="1">
        <v>81</v>
      </c>
      <c r="AJ22" s="1"/>
      <c r="AK22" s="1">
        <f t="shared" si="10"/>
        <v>81</v>
      </c>
      <c r="AL22" s="1"/>
      <c r="AM22" s="1"/>
      <c r="AN22" s="1">
        <f t="shared" si="11"/>
        <v>0</v>
      </c>
      <c r="AO22" s="1">
        <v>36</v>
      </c>
      <c r="AP22" s="1"/>
      <c r="AQ22" s="1">
        <f t="shared" si="12"/>
        <v>36</v>
      </c>
      <c r="AR22" s="6">
        <f t="shared" si="28"/>
        <v>405.5</v>
      </c>
      <c r="AS22" s="6">
        <f t="shared" si="13"/>
        <v>0</v>
      </c>
      <c r="AT22" s="6">
        <f t="shared" si="14"/>
        <v>405.5</v>
      </c>
      <c r="AU22" s="494">
        <f t="shared" si="15"/>
        <v>33.791666666666664</v>
      </c>
      <c r="AV22" s="494">
        <f t="shared" si="15"/>
        <v>0</v>
      </c>
      <c r="AW22" s="494">
        <f t="shared" si="16"/>
        <v>33.791666666666664</v>
      </c>
      <c r="AX22" s="217">
        <f t="shared" si="29"/>
        <v>16895.833333333332</v>
      </c>
      <c r="AY22" s="217">
        <f t="shared" si="17"/>
        <v>0</v>
      </c>
      <c r="AZ22" s="217">
        <f t="shared" si="18"/>
        <v>16895.833333333332</v>
      </c>
      <c r="BA22" s="1">
        <v>20</v>
      </c>
      <c r="BB22" s="1"/>
      <c r="BC22" s="679">
        <f t="shared" si="19"/>
        <v>20</v>
      </c>
      <c r="BD22" s="1">
        <v>41</v>
      </c>
      <c r="BE22" s="1"/>
      <c r="BF22" s="679">
        <f t="shared" si="20"/>
        <v>41</v>
      </c>
      <c r="BG22" s="1"/>
      <c r="BH22" s="1"/>
      <c r="BI22" s="679">
        <f t="shared" si="21"/>
        <v>0</v>
      </c>
      <c r="BJ22" s="1"/>
      <c r="BK22" s="1"/>
      <c r="BL22" s="679">
        <f t="shared" si="22"/>
        <v>0</v>
      </c>
      <c r="BM22" s="6"/>
      <c r="BN22" s="6"/>
      <c r="BO22" s="6">
        <f t="shared" si="23"/>
        <v>0</v>
      </c>
      <c r="BP22" s="6">
        <v>10</v>
      </c>
      <c r="BQ22" s="6"/>
      <c r="BR22" s="6">
        <f t="shared" si="24"/>
        <v>10</v>
      </c>
      <c r="BS22" s="78">
        <v>18</v>
      </c>
      <c r="BT22" s="6"/>
      <c r="BU22" s="6">
        <f t="shared" si="36"/>
        <v>18</v>
      </c>
      <c r="BV22" s="6"/>
      <c r="BW22" s="6"/>
      <c r="BX22" s="6">
        <f t="shared" si="37"/>
        <v>0</v>
      </c>
      <c r="BY22" s="6"/>
      <c r="BZ22" s="6"/>
      <c r="CA22" s="6">
        <f t="shared" si="38"/>
        <v>0</v>
      </c>
      <c r="CB22" s="174">
        <f t="shared" si="25"/>
        <v>89</v>
      </c>
      <c r="CC22" s="174">
        <f t="shared" si="26"/>
        <v>0</v>
      </c>
      <c r="CD22" s="174">
        <f t="shared" si="27"/>
        <v>89</v>
      </c>
      <c r="CE22" s="175">
        <f t="shared" si="33"/>
        <v>9.8888888888888893</v>
      </c>
      <c r="CF22" s="175">
        <f t="shared" si="34"/>
        <v>0</v>
      </c>
      <c r="CG22" s="175">
        <f t="shared" si="35"/>
        <v>9.8888888888888893</v>
      </c>
    </row>
    <row r="23" spans="1:168">
      <c r="A23" s="6">
        <v>16</v>
      </c>
      <c r="B23" s="678" t="s">
        <v>2933</v>
      </c>
      <c r="C23" s="6"/>
      <c r="D23" s="6" t="s">
        <v>2934</v>
      </c>
      <c r="E23" s="6" t="s">
        <v>2904</v>
      </c>
      <c r="F23" s="6">
        <v>16</v>
      </c>
      <c r="G23" s="679" t="s">
        <v>18</v>
      </c>
      <c r="H23" s="1"/>
      <c r="I23" s="1"/>
      <c r="J23" s="1">
        <f t="shared" si="1"/>
        <v>0</v>
      </c>
      <c r="K23" s="1">
        <v>40</v>
      </c>
      <c r="L23" s="1"/>
      <c r="M23" s="1">
        <f t="shared" si="2"/>
        <v>40</v>
      </c>
      <c r="N23" s="1"/>
      <c r="O23" s="1"/>
      <c r="P23" s="1">
        <f t="shared" si="3"/>
        <v>0</v>
      </c>
      <c r="Q23" s="1">
        <v>100</v>
      </c>
      <c r="R23" s="1"/>
      <c r="S23" s="1">
        <f t="shared" si="4"/>
        <v>100</v>
      </c>
      <c r="T23" s="1">
        <v>93</v>
      </c>
      <c r="U23" s="1"/>
      <c r="V23" s="1">
        <f t="shared" si="5"/>
        <v>93</v>
      </c>
      <c r="W23" s="1"/>
      <c r="X23" s="1"/>
      <c r="Y23" s="1">
        <f t="shared" si="6"/>
        <v>0</v>
      </c>
      <c r="Z23" s="1">
        <v>40</v>
      </c>
      <c r="AA23" s="1"/>
      <c r="AB23" s="1">
        <f t="shared" si="7"/>
        <v>40</v>
      </c>
      <c r="AC23" s="1"/>
      <c r="AD23" s="1"/>
      <c r="AE23" s="1">
        <f t="shared" si="8"/>
        <v>0</v>
      </c>
      <c r="AF23" s="1"/>
      <c r="AG23" s="1"/>
      <c r="AH23" s="1">
        <f t="shared" si="9"/>
        <v>0</v>
      </c>
      <c r="AI23" s="1">
        <v>40</v>
      </c>
      <c r="AJ23" s="1"/>
      <c r="AK23" s="1">
        <f t="shared" si="10"/>
        <v>40</v>
      </c>
      <c r="AL23" s="1"/>
      <c r="AM23" s="1"/>
      <c r="AN23" s="1">
        <f t="shared" si="11"/>
        <v>0</v>
      </c>
      <c r="AO23" s="1"/>
      <c r="AP23" s="1"/>
      <c r="AQ23" s="1">
        <f t="shared" si="12"/>
        <v>0</v>
      </c>
      <c r="AR23" s="6">
        <f t="shared" si="28"/>
        <v>313</v>
      </c>
      <c r="AS23" s="6">
        <f t="shared" si="13"/>
        <v>0</v>
      </c>
      <c r="AT23" s="6">
        <f t="shared" si="14"/>
        <v>313</v>
      </c>
      <c r="AU23" s="494">
        <f t="shared" si="15"/>
        <v>26.083333333333332</v>
      </c>
      <c r="AV23" s="494">
        <f t="shared" si="15"/>
        <v>0</v>
      </c>
      <c r="AW23" s="494">
        <f t="shared" si="16"/>
        <v>26.083333333333332</v>
      </c>
      <c r="AX23" s="217">
        <f t="shared" si="29"/>
        <v>13041.666666666666</v>
      </c>
      <c r="AY23" s="217">
        <f t="shared" si="17"/>
        <v>0</v>
      </c>
      <c r="AZ23" s="217">
        <f t="shared" si="18"/>
        <v>13041.666666666666</v>
      </c>
      <c r="BA23" s="1"/>
      <c r="BB23" s="1"/>
      <c r="BC23" s="679">
        <f t="shared" si="19"/>
        <v>0</v>
      </c>
      <c r="BD23" s="1"/>
      <c r="BE23" s="1"/>
      <c r="BF23" s="679">
        <f t="shared" si="20"/>
        <v>0</v>
      </c>
      <c r="BG23" s="1">
        <v>40</v>
      </c>
      <c r="BH23" s="1"/>
      <c r="BI23" s="679">
        <f t="shared" si="21"/>
        <v>40</v>
      </c>
      <c r="BJ23" s="1"/>
      <c r="BK23" s="1"/>
      <c r="BL23" s="679">
        <f t="shared" si="22"/>
        <v>0</v>
      </c>
      <c r="BM23" s="6"/>
      <c r="BN23" s="6"/>
      <c r="BO23" s="6">
        <f t="shared" si="23"/>
        <v>0</v>
      </c>
      <c r="BP23" s="6">
        <v>20</v>
      </c>
      <c r="BQ23" s="6"/>
      <c r="BR23" s="6">
        <f t="shared" si="24"/>
        <v>20</v>
      </c>
      <c r="BS23" s="78"/>
      <c r="BT23" s="6"/>
      <c r="BU23" s="6">
        <f t="shared" si="36"/>
        <v>0</v>
      </c>
      <c r="BV23" s="6"/>
      <c r="BW23" s="6"/>
      <c r="BX23" s="6">
        <f t="shared" si="37"/>
        <v>0</v>
      </c>
      <c r="BY23" s="6"/>
      <c r="BZ23" s="6"/>
      <c r="CA23" s="6">
        <f t="shared" si="38"/>
        <v>0</v>
      </c>
      <c r="CB23" s="174">
        <f t="shared" si="25"/>
        <v>60</v>
      </c>
      <c r="CC23" s="174">
        <f t="shared" si="26"/>
        <v>0</v>
      </c>
      <c r="CD23" s="174">
        <f t="shared" si="27"/>
        <v>60</v>
      </c>
      <c r="CE23" s="175">
        <f t="shared" si="33"/>
        <v>6.666666666666667</v>
      </c>
      <c r="CF23" s="175">
        <f t="shared" si="34"/>
        <v>0</v>
      </c>
      <c r="CG23" s="175">
        <f t="shared" si="35"/>
        <v>6.666666666666667</v>
      </c>
    </row>
    <row r="24" spans="1:168" s="61" customFormat="1">
      <c r="A24" s="522">
        <v>17</v>
      </c>
      <c r="B24" s="698" t="s">
        <v>2935</v>
      </c>
      <c r="C24" s="522"/>
      <c r="D24" s="522" t="s">
        <v>2936</v>
      </c>
      <c r="E24" s="522" t="s">
        <v>2904</v>
      </c>
      <c r="F24" s="522">
        <v>53.33</v>
      </c>
      <c r="G24" s="718" t="s">
        <v>18</v>
      </c>
      <c r="H24" s="522">
        <v>100</v>
      </c>
      <c r="I24" s="522"/>
      <c r="J24" s="522">
        <f t="shared" si="1"/>
        <v>100</v>
      </c>
      <c r="K24" s="522"/>
      <c r="L24" s="522">
        <v>38</v>
      </c>
      <c r="M24" s="522">
        <f t="shared" si="2"/>
        <v>38</v>
      </c>
      <c r="N24" s="522">
        <v>50</v>
      </c>
      <c r="O24" s="522"/>
      <c r="P24" s="522">
        <f t="shared" si="3"/>
        <v>50</v>
      </c>
      <c r="Q24" s="522"/>
      <c r="R24" s="522"/>
      <c r="S24" s="522">
        <f t="shared" si="4"/>
        <v>0</v>
      </c>
      <c r="T24" s="522"/>
      <c r="U24" s="522"/>
      <c r="V24" s="522">
        <f t="shared" si="5"/>
        <v>0</v>
      </c>
      <c r="W24" s="522"/>
      <c r="X24" s="522"/>
      <c r="Y24" s="522">
        <f t="shared" si="6"/>
        <v>0</v>
      </c>
      <c r="Z24" s="522">
        <v>40</v>
      </c>
      <c r="AA24" s="522">
        <v>20.5</v>
      </c>
      <c r="AB24" s="522">
        <f t="shared" si="7"/>
        <v>60.5</v>
      </c>
      <c r="AC24" s="522">
        <v>112</v>
      </c>
      <c r="AD24" s="522">
        <v>40</v>
      </c>
      <c r="AE24" s="522">
        <f t="shared" si="8"/>
        <v>152</v>
      </c>
      <c r="AF24" s="522"/>
      <c r="AG24" s="522"/>
      <c r="AH24" s="522">
        <f t="shared" si="9"/>
        <v>0</v>
      </c>
      <c r="AI24" s="522"/>
      <c r="AJ24" s="522"/>
      <c r="AK24" s="522">
        <f t="shared" si="10"/>
        <v>0</v>
      </c>
      <c r="AL24" s="522"/>
      <c r="AM24" s="522"/>
      <c r="AN24" s="522">
        <f t="shared" si="11"/>
        <v>0</v>
      </c>
      <c r="AO24" s="522"/>
      <c r="AP24" s="522"/>
      <c r="AQ24" s="522">
        <f t="shared" si="12"/>
        <v>0</v>
      </c>
      <c r="AR24" s="522">
        <f t="shared" si="28"/>
        <v>302</v>
      </c>
      <c r="AS24" s="522">
        <f t="shared" si="13"/>
        <v>58.5</v>
      </c>
      <c r="AT24" s="522">
        <f t="shared" si="14"/>
        <v>360.5</v>
      </c>
      <c r="AU24" s="523">
        <f t="shared" si="15"/>
        <v>25.166666666666668</v>
      </c>
      <c r="AV24" s="523">
        <f t="shared" si="15"/>
        <v>4.875</v>
      </c>
      <c r="AW24" s="523">
        <f t="shared" si="16"/>
        <v>30.041666666666668</v>
      </c>
      <c r="AX24" s="523">
        <f t="shared" si="29"/>
        <v>12583.333333333334</v>
      </c>
      <c r="AY24" s="523">
        <f t="shared" si="17"/>
        <v>2925</v>
      </c>
      <c r="AZ24" s="523">
        <f t="shared" si="18"/>
        <v>15508.333333333334</v>
      </c>
      <c r="BA24" s="522"/>
      <c r="BB24" s="522"/>
      <c r="BC24" s="718">
        <f t="shared" si="19"/>
        <v>0</v>
      </c>
      <c r="BD24" s="522"/>
      <c r="BE24" s="522"/>
      <c r="BF24" s="718">
        <f t="shared" si="20"/>
        <v>0</v>
      </c>
      <c r="BG24" s="522"/>
      <c r="BH24" s="522"/>
      <c r="BI24" s="718">
        <f t="shared" si="21"/>
        <v>0</v>
      </c>
      <c r="BJ24" s="522"/>
      <c r="BK24" s="522"/>
      <c r="BL24" s="718">
        <f t="shared" si="22"/>
        <v>0</v>
      </c>
      <c r="BM24" s="522"/>
      <c r="BN24" s="522"/>
      <c r="BO24" s="522">
        <f t="shared" si="23"/>
        <v>0</v>
      </c>
      <c r="BP24" s="522"/>
      <c r="BQ24" s="522"/>
      <c r="BR24" s="522">
        <f t="shared" si="24"/>
        <v>0</v>
      </c>
      <c r="BS24" s="920"/>
      <c r="BT24" s="522"/>
      <c r="BU24" s="522">
        <f t="shared" si="36"/>
        <v>0</v>
      </c>
      <c r="BV24" s="522"/>
      <c r="BW24" s="522"/>
      <c r="BX24" s="522">
        <f t="shared" si="37"/>
        <v>0</v>
      </c>
      <c r="BY24" s="522"/>
      <c r="BZ24" s="522"/>
      <c r="CA24" s="522">
        <f t="shared" si="38"/>
        <v>0</v>
      </c>
      <c r="CB24" s="174">
        <f t="shared" si="25"/>
        <v>0</v>
      </c>
      <c r="CC24" s="174">
        <f t="shared" si="26"/>
        <v>0</v>
      </c>
      <c r="CD24" s="174">
        <f t="shared" si="27"/>
        <v>0</v>
      </c>
      <c r="CE24" s="175">
        <f t="shared" si="33"/>
        <v>0</v>
      </c>
      <c r="CF24" s="175">
        <f t="shared" si="34"/>
        <v>0</v>
      </c>
      <c r="CG24" s="175">
        <f t="shared" si="35"/>
        <v>0</v>
      </c>
      <c r="CH24" s="361"/>
      <c r="CI24" s="361"/>
      <c r="CJ24" s="361"/>
      <c r="CK24" s="361"/>
      <c r="CL24" s="361"/>
      <c r="CM24" s="361"/>
      <c r="CN24" s="361"/>
      <c r="CO24" s="361"/>
      <c r="CP24" s="361"/>
      <c r="CQ24" s="361"/>
      <c r="CR24" s="361"/>
      <c r="CS24" s="361"/>
      <c r="CT24" s="361"/>
      <c r="CU24" s="361"/>
      <c r="CV24" s="361"/>
      <c r="CW24" s="361"/>
      <c r="CX24" s="361"/>
      <c r="CY24" s="361"/>
      <c r="CZ24" s="361"/>
      <c r="DA24" s="361"/>
      <c r="DB24" s="361"/>
      <c r="DC24" s="361"/>
      <c r="DD24" s="361"/>
      <c r="DE24" s="361"/>
      <c r="DF24" s="361"/>
      <c r="DG24" s="361"/>
      <c r="DH24" s="361"/>
      <c r="DI24" s="361"/>
      <c r="DJ24" s="361"/>
      <c r="DK24" s="361"/>
      <c r="DL24" s="361"/>
      <c r="DM24" s="361"/>
      <c r="DN24" s="361"/>
      <c r="DO24" s="361"/>
      <c r="DP24" s="361"/>
      <c r="DQ24" s="361"/>
      <c r="DR24" s="361"/>
      <c r="DS24" s="361"/>
      <c r="DT24" s="361"/>
      <c r="DU24" s="361"/>
      <c r="DV24" s="361"/>
      <c r="DW24" s="361"/>
      <c r="DX24" s="361"/>
      <c r="DY24" s="361"/>
      <c r="DZ24" s="361"/>
      <c r="EA24" s="361"/>
      <c r="EB24" s="361"/>
      <c r="EC24" s="361"/>
      <c r="ED24" s="361"/>
      <c r="EE24" s="361"/>
      <c r="EF24" s="361"/>
      <c r="EG24" s="361"/>
      <c r="EH24" s="361"/>
      <c r="EI24" s="361"/>
      <c r="EJ24" s="361"/>
      <c r="EK24" s="361"/>
      <c r="EL24" s="361"/>
      <c r="EM24" s="361"/>
      <c r="EN24" s="361"/>
      <c r="EO24" s="361"/>
      <c r="EP24" s="361"/>
      <c r="EQ24" s="361"/>
      <c r="ER24" s="361"/>
      <c r="ES24" s="361"/>
      <c r="ET24" s="361"/>
      <c r="EU24" s="361"/>
      <c r="EV24" s="361"/>
      <c r="EW24" s="361"/>
      <c r="EX24" s="361"/>
      <c r="EY24" s="361"/>
      <c r="EZ24" s="361"/>
      <c r="FA24" s="361"/>
      <c r="FB24" s="361"/>
      <c r="FC24" s="361"/>
      <c r="FD24" s="361"/>
      <c r="FE24" s="361"/>
      <c r="FF24" s="361"/>
      <c r="FG24" s="361"/>
      <c r="FH24" s="361"/>
      <c r="FI24" s="361"/>
      <c r="FJ24" s="361"/>
      <c r="FK24" s="361"/>
      <c r="FL24" s="361"/>
    </row>
    <row r="25" spans="1:168" s="61" customFormat="1">
      <c r="A25" s="522">
        <v>18</v>
      </c>
      <c r="B25" s="698" t="s">
        <v>2937</v>
      </c>
      <c r="C25" s="522"/>
      <c r="D25" s="522" t="s">
        <v>2938</v>
      </c>
      <c r="E25" s="522" t="s">
        <v>2904</v>
      </c>
      <c r="F25" s="522">
        <v>0</v>
      </c>
      <c r="G25" s="718" t="s">
        <v>18</v>
      </c>
      <c r="H25" s="522">
        <v>360</v>
      </c>
      <c r="I25" s="522"/>
      <c r="J25" s="522">
        <f t="shared" si="1"/>
        <v>360</v>
      </c>
      <c r="K25" s="522">
        <v>100</v>
      </c>
      <c r="L25" s="522"/>
      <c r="M25" s="522">
        <f t="shared" si="2"/>
        <v>100</v>
      </c>
      <c r="N25" s="522">
        <v>320</v>
      </c>
      <c r="O25" s="522"/>
      <c r="P25" s="522">
        <f t="shared" si="3"/>
        <v>320</v>
      </c>
      <c r="Q25" s="522"/>
      <c r="R25" s="522"/>
      <c r="S25" s="522">
        <f t="shared" si="4"/>
        <v>0</v>
      </c>
      <c r="T25" s="522">
        <v>300</v>
      </c>
      <c r="U25" s="522"/>
      <c r="V25" s="522">
        <f t="shared" si="5"/>
        <v>300</v>
      </c>
      <c r="W25" s="522"/>
      <c r="X25" s="522"/>
      <c r="Y25" s="522">
        <f t="shared" si="6"/>
        <v>0</v>
      </c>
      <c r="Z25" s="522"/>
      <c r="AA25" s="522"/>
      <c r="AB25" s="522">
        <f t="shared" si="7"/>
        <v>0</v>
      </c>
      <c r="AC25" s="522">
        <v>600</v>
      </c>
      <c r="AD25" s="522"/>
      <c r="AE25" s="522">
        <f t="shared" si="8"/>
        <v>600</v>
      </c>
      <c r="AF25" s="522"/>
      <c r="AG25" s="522"/>
      <c r="AH25" s="522">
        <f t="shared" si="9"/>
        <v>0</v>
      </c>
      <c r="AI25" s="522"/>
      <c r="AJ25" s="522"/>
      <c r="AK25" s="522">
        <f t="shared" si="10"/>
        <v>0</v>
      </c>
      <c r="AL25" s="522"/>
      <c r="AM25" s="522"/>
      <c r="AN25" s="522">
        <f t="shared" si="11"/>
        <v>0</v>
      </c>
      <c r="AO25" s="522">
        <v>300</v>
      </c>
      <c r="AP25" s="522"/>
      <c r="AQ25" s="522">
        <f t="shared" si="12"/>
        <v>300</v>
      </c>
      <c r="AR25" s="522">
        <f t="shared" si="28"/>
        <v>1980</v>
      </c>
      <c r="AS25" s="522">
        <f t="shared" si="13"/>
        <v>0</v>
      </c>
      <c r="AT25" s="522">
        <f t="shared" si="14"/>
        <v>1980</v>
      </c>
      <c r="AU25" s="523">
        <f t="shared" si="15"/>
        <v>165</v>
      </c>
      <c r="AV25" s="523">
        <f t="shared" si="15"/>
        <v>0</v>
      </c>
      <c r="AW25" s="523">
        <f t="shared" si="16"/>
        <v>165</v>
      </c>
      <c r="AX25" s="523">
        <f t="shared" si="29"/>
        <v>82500</v>
      </c>
      <c r="AY25" s="523">
        <f t="shared" si="17"/>
        <v>0</v>
      </c>
      <c r="AZ25" s="523">
        <f t="shared" si="18"/>
        <v>82500</v>
      </c>
      <c r="BA25" s="522">
        <v>500</v>
      </c>
      <c r="BB25" s="522"/>
      <c r="BC25" s="718">
        <f t="shared" si="19"/>
        <v>500</v>
      </c>
      <c r="BD25" s="522">
        <v>500</v>
      </c>
      <c r="BE25" s="522"/>
      <c r="BF25" s="718">
        <f t="shared" si="20"/>
        <v>500</v>
      </c>
      <c r="BG25" s="522">
        <v>500</v>
      </c>
      <c r="BH25" s="522"/>
      <c r="BI25" s="718">
        <f t="shared" si="21"/>
        <v>500</v>
      </c>
      <c r="BJ25" s="522">
        <v>200</v>
      </c>
      <c r="BK25" s="522"/>
      <c r="BL25" s="718">
        <f t="shared" si="22"/>
        <v>200</v>
      </c>
      <c r="BM25" s="522"/>
      <c r="BN25" s="522"/>
      <c r="BO25" s="522">
        <f t="shared" si="23"/>
        <v>0</v>
      </c>
      <c r="BP25" s="522">
        <v>600</v>
      </c>
      <c r="BQ25" s="522"/>
      <c r="BR25" s="522">
        <f t="shared" si="24"/>
        <v>600</v>
      </c>
      <c r="BS25" s="920"/>
      <c r="BT25" s="522"/>
      <c r="BU25" s="522">
        <f t="shared" si="36"/>
        <v>0</v>
      </c>
      <c r="BV25" s="522"/>
      <c r="BW25" s="522"/>
      <c r="BX25" s="522">
        <f t="shared" si="37"/>
        <v>0</v>
      </c>
      <c r="BY25" s="522"/>
      <c r="BZ25" s="522"/>
      <c r="CA25" s="522">
        <f t="shared" si="38"/>
        <v>0</v>
      </c>
      <c r="CB25" s="174">
        <f t="shared" si="25"/>
        <v>2300</v>
      </c>
      <c r="CC25" s="174">
        <f t="shared" si="26"/>
        <v>0</v>
      </c>
      <c r="CD25" s="174">
        <f t="shared" si="27"/>
        <v>2300</v>
      </c>
      <c r="CE25" s="175">
        <f t="shared" si="33"/>
        <v>255.55555555555554</v>
      </c>
      <c r="CF25" s="175">
        <f t="shared" si="34"/>
        <v>0</v>
      </c>
      <c r="CG25" s="175">
        <f t="shared" si="35"/>
        <v>255.55555555555554</v>
      </c>
      <c r="CH25" s="361"/>
      <c r="CI25" s="361"/>
      <c r="CJ25" s="361"/>
      <c r="CK25" s="361"/>
      <c r="CL25" s="361"/>
      <c r="CM25" s="361"/>
      <c r="CN25" s="361"/>
      <c r="CO25" s="361"/>
      <c r="CP25" s="361"/>
      <c r="CQ25" s="361"/>
      <c r="CR25" s="361"/>
      <c r="CS25" s="361"/>
      <c r="CT25" s="361"/>
      <c r="CU25" s="361"/>
      <c r="CV25" s="361"/>
      <c r="CW25" s="361"/>
      <c r="CX25" s="361"/>
      <c r="CY25" s="361"/>
      <c r="CZ25" s="361"/>
      <c r="DA25" s="361"/>
      <c r="DB25" s="361"/>
      <c r="DC25" s="361"/>
      <c r="DD25" s="361"/>
      <c r="DE25" s="361"/>
      <c r="DF25" s="361"/>
      <c r="DG25" s="361"/>
      <c r="DH25" s="361"/>
      <c r="DI25" s="361"/>
      <c r="DJ25" s="361"/>
      <c r="DK25" s="361"/>
      <c r="DL25" s="361"/>
      <c r="DM25" s="361"/>
      <c r="DN25" s="361"/>
      <c r="DO25" s="361"/>
      <c r="DP25" s="361"/>
      <c r="DQ25" s="361"/>
      <c r="DR25" s="361"/>
      <c r="DS25" s="361"/>
      <c r="DT25" s="361"/>
      <c r="DU25" s="361"/>
      <c r="DV25" s="361"/>
      <c r="DW25" s="361"/>
      <c r="DX25" s="361"/>
      <c r="DY25" s="361"/>
      <c r="DZ25" s="361"/>
      <c r="EA25" s="361"/>
      <c r="EB25" s="361"/>
      <c r="EC25" s="361"/>
      <c r="ED25" s="361"/>
      <c r="EE25" s="361"/>
      <c r="EF25" s="361"/>
      <c r="EG25" s="361"/>
      <c r="EH25" s="361"/>
      <c r="EI25" s="361"/>
      <c r="EJ25" s="361"/>
      <c r="EK25" s="361"/>
      <c r="EL25" s="361"/>
      <c r="EM25" s="361"/>
      <c r="EN25" s="361"/>
      <c r="EO25" s="361"/>
      <c r="EP25" s="361"/>
      <c r="EQ25" s="361"/>
      <c r="ER25" s="361"/>
      <c r="ES25" s="361"/>
      <c r="ET25" s="361"/>
      <c r="EU25" s="361"/>
      <c r="EV25" s="361"/>
      <c r="EW25" s="361"/>
      <c r="EX25" s="361"/>
      <c r="EY25" s="361"/>
      <c r="EZ25" s="361"/>
      <c r="FA25" s="361"/>
      <c r="FB25" s="361"/>
      <c r="FC25" s="361"/>
      <c r="FD25" s="361"/>
      <c r="FE25" s="361"/>
      <c r="FF25" s="361"/>
      <c r="FG25" s="361"/>
      <c r="FH25" s="361"/>
      <c r="FI25" s="361"/>
      <c r="FJ25" s="361"/>
      <c r="FK25" s="361"/>
      <c r="FL25" s="361"/>
    </row>
    <row r="26" spans="1:168" s="61" customFormat="1">
      <c r="A26" s="522">
        <v>19</v>
      </c>
      <c r="B26" s="698" t="s">
        <v>2939</v>
      </c>
      <c r="C26" s="522"/>
      <c r="D26" s="522" t="s">
        <v>2940</v>
      </c>
      <c r="E26" s="522" t="s">
        <v>2904</v>
      </c>
      <c r="F26" s="522">
        <v>362</v>
      </c>
      <c r="G26" s="718" t="s">
        <v>18</v>
      </c>
      <c r="H26" s="522">
        <v>100</v>
      </c>
      <c r="I26" s="522">
        <v>100</v>
      </c>
      <c r="J26" s="522">
        <f t="shared" si="1"/>
        <v>200</v>
      </c>
      <c r="K26" s="522">
        <v>270</v>
      </c>
      <c r="L26" s="522">
        <v>60</v>
      </c>
      <c r="M26" s="522">
        <f t="shared" si="2"/>
        <v>330</v>
      </c>
      <c r="N26" s="522">
        <v>471</v>
      </c>
      <c r="O26" s="522"/>
      <c r="P26" s="522">
        <f t="shared" si="3"/>
        <v>471</v>
      </c>
      <c r="Q26" s="522"/>
      <c r="R26" s="522">
        <v>170</v>
      </c>
      <c r="S26" s="522">
        <f t="shared" si="4"/>
        <v>170</v>
      </c>
      <c r="T26" s="522"/>
      <c r="U26" s="522">
        <v>100</v>
      </c>
      <c r="V26" s="522">
        <f t="shared" si="5"/>
        <v>100</v>
      </c>
      <c r="W26" s="522">
        <v>300</v>
      </c>
      <c r="X26" s="522"/>
      <c r="Y26" s="522">
        <f t="shared" si="6"/>
        <v>300</v>
      </c>
      <c r="Z26" s="522"/>
      <c r="AA26" s="522"/>
      <c r="AB26" s="522">
        <f t="shared" si="7"/>
        <v>0</v>
      </c>
      <c r="AC26" s="522">
        <v>236</v>
      </c>
      <c r="AD26" s="522">
        <v>56</v>
      </c>
      <c r="AE26" s="522">
        <f t="shared" si="8"/>
        <v>292</v>
      </c>
      <c r="AF26" s="522">
        <v>240</v>
      </c>
      <c r="AG26" s="522">
        <v>172</v>
      </c>
      <c r="AH26" s="522">
        <f t="shared" si="9"/>
        <v>412</v>
      </c>
      <c r="AI26" s="522"/>
      <c r="AJ26" s="522"/>
      <c r="AK26" s="522">
        <f t="shared" si="10"/>
        <v>0</v>
      </c>
      <c r="AL26" s="522"/>
      <c r="AM26" s="522"/>
      <c r="AN26" s="522">
        <f t="shared" si="11"/>
        <v>0</v>
      </c>
      <c r="AO26" s="522">
        <v>274</v>
      </c>
      <c r="AP26" s="522">
        <v>132</v>
      </c>
      <c r="AQ26" s="522">
        <f t="shared" si="12"/>
        <v>406</v>
      </c>
      <c r="AR26" s="522">
        <f t="shared" si="28"/>
        <v>1891</v>
      </c>
      <c r="AS26" s="522">
        <f t="shared" si="13"/>
        <v>734</v>
      </c>
      <c r="AT26" s="522">
        <f t="shared" si="14"/>
        <v>2625</v>
      </c>
      <c r="AU26" s="523">
        <f t="shared" si="15"/>
        <v>157.58333333333334</v>
      </c>
      <c r="AV26" s="523">
        <f t="shared" si="15"/>
        <v>61.166666666666664</v>
      </c>
      <c r="AW26" s="523">
        <f t="shared" si="16"/>
        <v>218.75</v>
      </c>
      <c r="AX26" s="523">
        <f t="shared" si="29"/>
        <v>78791.666666666672</v>
      </c>
      <c r="AY26" s="523">
        <f t="shared" si="17"/>
        <v>36700</v>
      </c>
      <c r="AZ26" s="523">
        <f t="shared" si="18"/>
        <v>115491.66666666667</v>
      </c>
      <c r="BA26" s="522"/>
      <c r="BB26" s="522"/>
      <c r="BC26" s="718">
        <f t="shared" si="19"/>
        <v>0</v>
      </c>
      <c r="BD26" s="522"/>
      <c r="BE26" s="522"/>
      <c r="BF26" s="718">
        <f t="shared" si="20"/>
        <v>0</v>
      </c>
      <c r="BG26" s="522">
        <v>372</v>
      </c>
      <c r="BH26" s="522">
        <v>118</v>
      </c>
      <c r="BI26" s="718">
        <f t="shared" si="21"/>
        <v>490</v>
      </c>
      <c r="BJ26" s="522"/>
      <c r="BK26" s="522"/>
      <c r="BL26" s="718">
        <f t="shared" si="22"/>
        <v>0</v>
      </c>
      <c r="BM26" s="522"/>
      <c r="BN26" s="522"/>
      <c r="BO26" s="522">
        <f t="shared" si="23"/>
        <v>0</v>
      </c>
      <c r="BP26" s="522">
        <v>372</v>
      </c>
      <c r="BQ26" s="522">
        <v>36</v>
      </c>
      <c r="BR26" s="522">
        <f t="shared" si="24"/>
        <v>408</v>
      </c>
      <c r="BS26" s="920"/>
      <c r="BT26" s="522"/>
      <c r="BU26" s="522">
        <f t="shared" si="36"/>
        <v>0</v>
      </c>
      <c r="BV26" s="522"/>
      <c r="BW26" s="522"/>
      <c r="BX26" s="522">
        <f t="shared" si="37"/>
        <v>0</v>
      </c>
      <c r="BY26" s="522"/>
      <c r="BZ26" s="522"/>
      <c r="CA26" s="522">
        <f t="shared" si="38"/>
        <v>0</v>
      </c>
      <c r="CB26" s="174">
        <f t="shared" si="25"/>
        <v>744</v>
      </c>
      <c r="CC26" s="174">
        <f t="shared" si="26"/>
        <v>154</v>
      </c>
      <c r="CD26" s="174">
        <f t="shared" si="27"/>
        <v>898</v>
      </c>
      <c r="CE26" s="175">
        <f t="shared" si="33"/>
        <v>82.666666666666671</v>
      </c>
      <c r="CF26" s="175">
        <f t="shared" si="34"/>
        <v>17.111111111111111</v>
      </c>
      <c r="CG26" s="175">
        <f t="shared" si="35"/>
        <v>99.777777777777771</v>
      </c>
      <c r="CH26" s="361"/>
      <c r="CI26" s="361"/>
      <c r="CJ26" s="361"/>
      <c r="CK26" s="361"/>
      <c r="CL26" s="361"/>
      <c r="CM26" s="361"/>
      <c r="CN26" s="361"/>
      <c r="CO26" s="361"/>
      <c r="CP26" s="361"/>
      <c r="CQ26" s="361"/>
      <c r="CR26" s="361"/>
      <c r="CS26" s="361"/>
      <c r="CT26" s="361"/>
      <c r="CU26" s="361"/>
      <c r="CV26" s="361"/>
      <c r="CW26" s="361"/>
      <c r="CX26" s="361"/>
      <c r="CY26" s="361"/>
      <c r="CZ26" s="361"/>
      <c r="DA26" s="361"/>
      <c r="DB26" s="361"/>
      <c r="DC26" s="361"/>
      <c r="DD26" s="361"/>
      <c r="DE26" s="361"/>
      <c r="DF26" s="361"/>
      <c r="DG26" s="361"/>
      <c r="DH26" s="361"/>
      <c r="DI26" s="361"/>
      <c r="DJ26" s="361"/>
      <c r="DK26" s="361"/>
      <c r="DL26" s="361"/>
      <c r="DM26" s="361"/>
      <c r="DN26" s="361"/>
      <c r="DO26" s="361"/>
      <c r="DP26" s="361"/>
      <c r="DQ26" s="361"/>
      <c r="DR26" s="361"/>
      <c r="DS26" s="361"/>
      <c r="DT26" s="361"/>
      <c r="DU26" s="361"/>
      <c r="DV26" s="361"/>
      <c r="DW26" s="361"/>
      <c r="DX26" s="361"/>
      <c r="DY26" s="361"/>
      <c r="DZ26" s="361"/>
      <c r="EA26" s="361"/>
      <c r="EB26" s="361"/>
      <c r="EC26" s="361"/>
      <c r="ED26" s="361"/>
      <c r="EE26" s="361"/>
      <c r="EF26" s="361"/>
      <c r="EG26" s="361"/>
      <c r="EH26" s="361"/>
      <c r="EI26" s="361"/>
      <c r="EJ26" s="361"/>
      <c r="EK26" s="361"/>
      <c r="EL26" s="361"/>
      <c r="EM26" s="361"/>
      <c r="EN26" s="361"/>
      <c r="EO26" s="361"/>
      <c r="EP26" s="361"/>
      <c r="EQ26" s="361"/>
      <c r="ER26" s="361"/>
      <c r="ES26" s="361"/>
      <c r="ET26" s="361"/>
      <c r="EU26" s="361"/>
      <c r="EV26" s="361"/>
      <c r="EW26" s="361"/>
      <c r="EX26" s="361"/>
      <c r="EY26" s="361"/>
      <c r="EZ26" s="361"/>
      <c r="FA26" s="361"/>
      <c r="FB26" s="361"/>
      <c r="FC26" s="361"/>
      <c r="FD26" s="361"/>
      <c r="FE26" s="361"/>
      <c r="FF26" s="361"/>
      <c r="FG26" s="361"/>
      <c r="FH26" s="361"/>
      <c r="FI26" s="361"/>
      <c r="FJ26" s="361"/>
      <c r="FK26" s="361"/>
      <c r="FL26" s="361"/>
    </row>
    <row r="27" spans="1:168" s="61" customFormat="1">
      <c r="A27" s="522">
        <v>20</v>
      </c>
      <c r="B27" s="698" t="s">
        <v>2941</v>
      </c>
      <c r="C27" s="522"/>
      <c r="D27" s="522" t="s">
        <v>2942</v>
      </c>
      <c r="E27" s="522" t="s">
        <v>2904</v>
      </c>
      <c r="F27" s="522">
        <v>745</v>
      </c>
      <c r="G27" s="718" t="s">
        <v>18</v>
      </c>
      <c r="H27" s="522">
        <v>1500</v>
      </c>
      <c r="I27" s="522"/>
      <c r="J27" s="522">
        <f t="shared" si="1"/>
        <v>1500</v>
      </c>
      <c r="K27" s="522">
        <v>1500</v>
      </c>
      <c r="L27" s="522"/>
      <c r="M27" s="522">
        <f t="shared" si="2"/>
        <v>1500</v>
      </c>
      <c r="N27" s="522">
        <v>2000</v>
      </c>
      <c r="O27" s="522">
        <v>600</v>
      </c>
      <c r="P27" s="522">
        <f t="shared" si="3"/>
        <v>2600</v>
      </c>
      <c r="Q27" s="522"/>
      <c r="R27" s="522"/>
      <c r="S27" s="522">
        <f t="shared" si="4"/>
        <v>0</v>
      </c>
      <c r="T27" s="522"/>
      <c r="U27" s="522"/>
      <c r="V27" s="522">
        <f t="shared" si="5"/>
        <v>0</v>
      </c>
      <c r="W27" s="522">
        <v>1500</v>
      </c>
      <c r="X27" s="522"/>
      <c r="Y27" s="522">
        <f t="shared" si="6"/>
        <v>1500</v>
      </c>
      <c r="Z27" s="522">
        <v>1500</v>
      </c>
      <c r="AA27" s="522"/>
      <c r="AB27" s="522">
        <f t="shared" si="7"/>
        <v>1500</v>
      </c>
      <c r="AC27" s="522"/>
      <c r="AD27" s="522"/>
      <c r="AE27" s="522">
        <f t="shared" si="8"/>
        <v>0</v>
      </c>
      <c r="AF27" s="522"/>
      <c r="AG27" s="522">
        <v>500</v>
      </c>
      <c r="AH27" s="522">
        <f t="shared" si="9"/>
        <v>500</v>
      </c>
      <c r="AI27" s="522"/>
      <c r="AJ27" s="522"/>
      <c r="AK27" s="522">
        <f t="shared" si="10"/>
        <v>0</v>
      </c>
      <c r="AL27" s="522">
        <v>1600</v>
      </c>
      <c r="AM27" s="522">
        <v>1200</v>
      </c>
      <c r="AN27" s="522">
        <f t="shared" si="11"/>
        <v>2800</v>
      </c>
      <c r="AO27" s="522"/>
      <c r="AP27" s="522"/>
      <c r="AQ27" s="522">
        <f t="shared" si="12"/>
        <v>0</v>
      </c>
      <c r="AR27" s="522">
        <f t="shared" si="28"/>
        <v>9600</v>
      </c>
      <c r="AS27" s="522">
        <f t="shared" si="13"/>
        <v>2300</v>
      </c>
      <c r="AT27" s="522">
        <f t="shared" si="14"/>
        <v>11900</v>
      </c>
      <c r="AU27" s="523">
        <f t="shared" si="15"/>
        <v>800</v>
      </c>
      <c r="AV27" s="523">
        <f t="shared" si="15"/>
        <v>191.66666666666666</v>
      </c>
      <c r="AW27" s="523">
        <f t="shared" si="16"/>
        <v>991.66666666666663</v>
      </c>
      <c r="AX27" s="523">
        <f t="shared" si="29"/>
        <v>400000</v>
      </c>
      <c r="AY27" s="523">
        <f t="shared" si="17"/>
        <v>115000</v>
      </c>
      <c r="AZ27" s="523">
        <f t="shared" si="18"/>
        <v>515000</v>
      </c>
      <c r="BA27" s="522">
        <v>1500</v>
      </c>
      <c r="BB27" s="522"/>
      <c r="BC27" s="718">
        <f t="shared" si="19"/>
        <v>1500</v>
      </c>
      <c r="BD27" s="522">
        <v>1500</v>
      </c>
      <c r="BE27" s="522">
        <v>700</v>
      </c>
      <c r="BF27" s="718">
        <f t="shared" si="20"/>
        <v>2200</v>
      </c>
      <c r="BG27" s="522"/>
      <c r="BH27" s="522"/>
      <c r="BI27" s="718">
        <f t="shared" si="21"/>
        <v>0</v>
      </c>
      <c r="BJ27" s="522"/>
      <c r="BK27" s="522">
        <v>800</v>
      </c>
      <c r="BL27" s="718">
        <f t="shared" si="22"/>
        <v>800</v>
      </c>
      <c r="BM27" s="522">
        <v>1500</v>
      </c>
      <c r="BN27" s="522"/>
      <c r="BO27" s="522">
        <f t="shared" si="23"/>
        <v>1500</v>
      </c>
      <c r="BP27" s="522"/>
      <c r="BQ27" s="522"/>
      <c r="BR27" s="522">
        <f t="shared" si="24"/>
        <v>0</v>
      </c>
      <c r="BS27" s="920"/>
      <c r="BT27" s="522">
        <v>700</v>
      </c>
      <c r="BU27" s="522">
        <f t="shared" si="36"/>
        <v>700</v>
      </c>
      <c r="BV27" s="522"/>
      <c r="BW27" s="522"/>
      <c r="BX27" s="522">
        <f t="shared" si="37"/>
        <v>0</v>
      </c>
      <c r="BY27" s="522"/>
      <c r="BZ27" s="522"/>
      <c r="CA27" s="522">
        <f t="shared" si="38"/>
        <v>0</v>
      </c>
      <c r="CB27" s="174">
        <f t="shared" si="25"/>
        <v>4500</v>
      </c>
      <c r="CC27" s="174">
        <f t="shared" si="26"/>
        <v>2200</v>
      </c>
      <c r="CD27" s="174">
        <f t="shared" si="27"/>
        <v>6700</v>
      </c>
      <c r="CE27" s="175">
        <f t="shared" si="33"/>
        <v>500</v>
      </c>
      <c r="CF27" s="175">
        <f t="shared" si="34"/>
        <v>244.44444444444446</v>
      </c>
      <c r="CG27" s="175">
        <f t="shared" si="35"/>
        <v>744.44444444444446</v>
      </c>
      <c r="CH27" s="361"/>
      <c r="CI27" s="361"/>
      <c r="CJ27" s="361"/>
      <c r="CK27" s="361"/>
      <c r="CL27" s="361"/>
      <c r="CM27" s="361"/>
      <c r="CN27" s="361"/>
      <c r="CO27" s="361"/>
      <c r="CP27" s="361"/>
      <c r="CQ27" s="361"/>
      <c r="CR27" s="361"/>
      <c r="CS27" s="361"/>
      <c r="CT27" s="361"/>
      <c r="CU27" s="361"/>
      <c r="CV27" s="361"/>
      <c r="CW27" s="361"/>
      <c r="CX27" s="361"/>
      <c r="CY27" s="361"/>
      <c r="CZ27" s="361"/>
      <c r="DA27" s="361"/>
      <c r="DB27" s="361"/>
      <c r="DC27" s="361"/>
      <c r="DD27" s="361"/>
      <c r="DE27" s="361"/>
      <c r="DF27" s="361"/>
      <c r="DG27" s="361"/>
      <c r="DH27" s="361"/>
      <c r="DI27" s="361"/>
      <c r="DJ27" s="361"/>
      <c r="DK27" s="361"/>
      <c r="DL27" s="361"/>
      <c r="DM27" s="361"/>
      <c r="DN27" s="361"/>
      <c r="DO27" s="361"/>
      <c r="DP27" s="361"/>
      <c r="DQ27" s="361"/>
      <c r="DR27" s="361"/>
      <c r="DS27" s="361"/>
      <c r="DT27" s="361"/>
      <c r="DU27" s="361"/>
      <c r="DV27" s="361"/>
      <c r="DW27" s="361"/>
      <c r="DX27" s="361"/>
      <c r="DY27" s="361"/>
      <c r="DZ27" s="361"/>
      <c r="EA27" s="361"/>
      <c r="EB27" s="361"/>
      <c r="EC27" s="361"/>
      <c r="ED27" s="361"/>
      <c r="EE27" s="361"/>
      <c r="EF27" s="361"/>
      <c r="EG27" s="361"/>
      <c r="EH27" s="361"/>
      <c r="EI27" s="361"/>
      <c r="EJ27" s="361"/>
      <c r="EK27" s="361"/>
      <c r="EL27" s="361"/>
      <c r="EM27" s="361"/>
      <c r="EN27" s="361"/>
      <c r="EO27" s="361"/>
      <c r="EP27" s="361"/>
      <c r="EQ27" s="361"/>
      <c r="ER27" s="361"/>
      <c r="ES27" s="361"/>
      <c r="ET27" s="361"/>
      <c r="EU27" s="361"/>
      <c r="EV27" s="361"/>
      <c r="EW27" s="361"/>
      <c r="EX27" s="361"/>
      <c r="EY27" s="361"/>
      <c r="EZ27" s="361"/>
      <c r="FA27" s="361"/>
      <c r="FB27" s="361"/>
      <c r="FC27" s="361"/>
      <c r="FD27" s="361"/>
      <c r="FE27" s="361"/>
      <c r="FF27" s="361"/>
      <c r="FG27" s="361"/>
      <c r="FH27" s="361"/>
      <c r="FI27" s="361"/>
      <c r="FJ27" s="361"/>
      <c r="FK27" s="361"/>
      <c r="FL27" s="361"/>
    </row>
    <row r="28" spans="1:168" s="61" customFormat="1">
      <c r="A28" s="522">
        <v>21</v>
      </c>
      <c r="B28" s="698" t="s">
        <v>2943</v>
      </c>
      <c r="C28" s="522"/>
      <c r="D28" s="522" t="s">
        <v>2944</v>
      </c>
      <c r="E28" s="522" t="s">
        <v>2904</v>
      </c>
      <c r="F28" s="522">
        <v>60</v>
      </c>
      <c r="G28" s="718" t="s">
        <v>15</v>
      </c>
      <c r="H28" s="522">
        <v>200</v>
      </c>
      <c r="I28" s="522">
        <v>80</v>
      </c>
      <c r="J28" s="522">
        <f t="shared" si="1"/>
        <v>280</v>
      </c>
      <c r="K28" s="522">
        <v>200</v>
      </c>
      <c r="L28" s="522">
        <v>100</v>
      </c>
      <c r="M28" s="522">
        <f t="shared" si="2"/>
        <v>300</v>
      </c>
      <c r="N28" s="522">
        <v>145</v>
      </c>
      <c r="O28" s="522"/>
      <c r="P28" s="522">
        <f t="shared" si="3"/>
        <v>145</v>
      </c>
      <c r="Q28" s="522"/>
      <c r="R28" s="522"/>
      <c r="S28" s="522">
        <f t="shared" si="4"/>
        <v>0</v>
      </c>
      <c r="T28" s="522"/>
      <c r="U28" s="522">
        <v>100</v>
      </c>
      <c r="V28" s="522">
        <f t="shared" si="5"/>
        <v>100</v>
      </c>
      <c r="W28" s="522"/>
      <c r="X28" s="522"/>
      <c r="Y28" s="522">
        <f t="shared" si="6"/>
        <v>0</v>
      </c>
      <c r="Z28" s="522">
        <v>300</v>
      </c>
      <c r="AA28" s="522"/>
      <c r="AB28" s="522">
        <f t="shared" si="7"/>
        <v>300</v>
      </c>
      <c r="AC28" s="522"/>
      <c r="AD28" s="522"/>
      <c r="AE28" s="522">
        <f t="shared" si="8"/>
        <v>0</v>
      </c>
      <c r="AF28" s="522"/>
      <c r="AG28" s="522"/>
      <c r="AH28" s="522">
        <f t="shared" si="9"/>
        <v>0</v>
      </c>
      <c r="AI28" s="522"/>
      <c r="AJ28" s="522"/>
      <c r="AK28" s="522">
        <f t="shared" si="10"/>
        <v>0</v>
      </c>
      <c r="AL28" s="522"/>
      <c r="AM28" s="522"/>
      <c r="AN28" s="522">
        <f t="shared" si="11"/>
        <v>0</v>
      </c>
      <c r="AO28" s="522"/>
      <c r="AP28" s="522"/>
      <c r="AQ28" s="522">
        <f t="shared" si="12"/>
        <v>0</v>
      </c>
      <c r="AR28" s="522">
        <f t="shared" si="28"/>
        <v>845</v>
      </c>
      <c r="AS28" s="522">
        <f t="shared" si="13"/>
        <v>280</v>
      </c>
      <c r="AT28" s="522">
        <f t="shared" si="14"/>
        <v>1125</v>
      </c>
      <c r="AU28" s="523">
        <f t="shared" si="15"/>
        <v>70.416666666666671</v>
      </c>
      <c r="AV28" s="523">
        <f t="shared" si="15"/>
        <v>23.333333333333332</v>
      </c>
      <c r="AW28" s="523">
        <f t="shared" si="16"/>
        <v>93.75</v>
      </c>
      <c r="AX28" s="523">
        <f t="shared" si="29"/>
        <v>35208.333333333336</v>
      </c>
      <c r="AY28" s="523">
        <f t="shared" si="17"/>
        <v>14000</v>
      </c>
      <c r="AZ28" s="523">
        <f t="shared" si="18"/>
        <v>49208.333333333336</v>
      </c>
      <c r="BA28" s="522"/>
      <c r="BB28" s="522"/>
      <c r="BC28" s="718">
        <f t="shared" si="19"/>
        <v>0</v>
      </c>
      <c r="BD28" s="522"/>
      <c r="BE28" s="522"/>
      <c r="BF28" s="718">
        <f t="shared" si="20"/>
        <v>0</v>
      </c>
      <c r="BG28" s="522"/>
      <c r="BH28" s="522"/>
      <c r="BI28" s="718">
        <f t="shared" si="21"/>
        <v>0</v>
      </c>
      <c r="BJ28" s="522"/>
      <c r="BK28" s="522"/>
      <c r="BL28" s="718">
        <f t="shared" si="22"/>
        <v>0</v>
      </c>
      <c r="BM28" s="522"/>
      <c r="BN28" s="522"/>
      <c r="BO28" s="522">
        <f t="shared" si="23"/>
        <v>0</v>
      </c>
      <c r="BP28" s="522"/>
      <c r="BQ28" s="522"/>
      <c r="BR28" s="522">
        <f t="shared" si="24"/>
        <v>0</v>
      </c>
      <c r="BS28" s="920"/>
      <c r="BT28" s="522"/>
      <c r="BU28" s="522">
        <f t="shared" si="36"/>
        <v>0</v>
      </c>
      <c r="BV28" s="522"/>
      <c r="BW28" s="522"/>
      <c r="BX28" s="522">
        <f t="shared" si="37"/>
        <v>0</v>
      </c>
      <c r="BY28" s="522"/>
      <c r="BZ28" s="522"/>
      <c r="CA28" s="522">
        <f t="shared" si="38"/>
        <v>0</v>
      </c>
      <c r="CB28" s="174">
        <f t="shared" si="25"/>
        <v>0</v>
      </c>
      <c r="CC28" s="174">
        <f t="shared" si="26"/>
        <v>0</v>
      </c>
      <c r="CD28" s="174">
        <f t="shared" si="27"/>
        <v>0</v>
      </c>
      <c r="CE28" s="175">
        <f t="shared" si="33"/>
        <v>0</v>
      </c>
      <c r="CF28" s="175">
        <f t="shared" si="34"/>
        <v>0</v>
      </c>
      <c r="CG28" s="175">
        <f t="shared" si="35"/>
        <v>0</v>
      </c>
      <c r="CH28" s="361"/>
      <c r="CI28" s="361"/>
      <c r="CJ28" s="361"/>
      <c r="CK28" s="361"/>
      <c r="CL28" s="361"/>
      <c r="CM28" s="361"/>
      <c r="CN28" s="361"/>
      <c r="CO28" s="361"/>
      <c r="CP28" s="361"/>
      <c r="CQ28" s="361"/>
      <c r="CR28" s="361"/>
      <c r="CS28" s="361"/>
      <c r="CT28" s="361"/>
      <c r="CU28" s="361"/>
      <c r="CV28" s="361"/>
      <c r="CW28" s="361"/>
      <c r="CX28" s="361"/>
      <c r="CY28" s="361"/>
      <c r="CZ28" s="361"/>
      <c r="DA28" s="361"/>
      <c r="DB28" s="361"/>
      <c r="DC28" s="361"/>
      <c r="DD28" s="361"/>
      <c r="DE28" s="361"/>
      <c r="DF28" s="361"/>
      <c r="DG28" s="361"/>
      <c r="DH28" s="361"/>
      <c r="DI28" s="361"/>
      <c r="DJ28" s="361"/>
      <c r="DK28" s="361"/>
      <c r="DL28" s="361"/>
      <c r="DM28" s="361"/>
      <c r="DN28" s="361"/>
      <c r="DO28" s="361"/>
      <c r="DP28" s="361"/>
      <c r="DQ28" s="361"/>
      <c r="DR28" s="361"/>
      <c r="DS28" s="361"/>
      <c r="DT28" s="361"/>
      <c r="DU28" s="361"/>
      <c r="DV28" s="361"/>
      <c r="DW28" s="361"/>
      <c r="DX28" s="361"/>
      <c r="DY28" s="361"/>
      <c r="DZ28" s="361"/>
      <c r="EA28" s="361"/>
      <c r="EB28" s="361"/>
      <c r="EC28" s="361"/>
      <c r="ED28" s="361"/>
      <c r="EE28" s="361"/>
      <c r="EF28" s="361"/>
      <c r="EG28" s="361"/>
      <c r="EH28" s="361"/>
      <c r="EI28" s="361"/>
      <c r="EJ28" s="361"/>
      <c r="EK28" s="361"/>
      <c r="EL28" s="361"/>
      <c r="EM28" s="361"/>
      <c r="EN28" s="361"/>
      <c r="EO28" s="361"/>
      <c r="EP28" s="361"/>
      <c r="EQ28" s="361"/>
      <c r="ER28" s="361"/>
      <c r="ES28" s="361"/>
      <c r="ET28" s="361"/>
      <c r="EU28" s="361"/>
      <c r="EV28" s="361"/>
      <c r="EW28" s="361"/>
      <c r="EX28" s="361"/>
      <c r="EY28" s="361"/>
      <c r="EZ28" s="361"/>
      <c r="FA28" s="361"/>
      <c r="FB28" s="361"/>
      <c r="FC28" s="361"/>
      <c r="FD28" s="361"/>
      <c r="FE28" s="361"/>
      <c r="FF28" s="361"/>
      <c r="FG28" s="361"/>
      <c r="FH28" s="361"/>
      <c r="FI28" s="361"/>
      <c r="FJ28" s="361"/>
      <c r="FK28" s="361"/>
      <c r="FL28" s="361"/>
    </row>
    <row r="29" spans="1:168">
      <c r="A29" s="6">
        <v>22</v>
      </c>
      <c r="B29" s="678" t="s">
        <v>2945</v>
      </c>
      <c r="C29" s="6"/>
      <c r="D29" s="6" t="s">
        <v>2946</v>
      </c>
      <c r="E29" s="6" t="s">
        <v>2904</v>
      </c>
      <c r="F29" s="6">
        <v>46.66</v>
      </c>
      <c r="G29" s="679" t="s">
        <v>18</v>
      </c>
      <c r="H29" s="1">
        <v>49</v>
      </c>
      <c r="I29" s="1"/>
      <c r="J29" s="1">
        <f t="shared" si="1"/>
        <v>49</v>
      </c>
      <c r="K29" s="1">
        <v>60</v>
      </c>
      <c r="L29" s="1"/>
      <c r="M29" s="1">
        <f t="shared" si="2"/>
        <v>60</v>
      </c>
      <c r="N29" s="1">
        <v>140</v>
      </c>
      <c r="O29" s="1"/>
      <c r="P29" s="1">
        <f t="shared" si="3"/>
        <v>140</v>
      </c>
      <c r="Q29" s="1"/>
      <c r="R29" s="1"/>
      <c r="S29" s="1">
        <f t="shared" si="4"/>
        <v>0</v>
      </c>
      <c r="T29" s="1">
        <v>60</v>
      </c>
      <c r="U29" s="1"/>
      <c r="V29" s="1">
        <f t="shared" si="5"/>
        <v>60</v>
      </c>
      <c r="W29" s="1">
        <v>160</v>
      </c>
      <c r="X29" s="1"/>
      <c r="Y29" s="1">
        <f t="shared" si="6"/>
        <v>160</v>
      </c>
      <c r="Z29" s="1"/>
      <c r="AA29" s="1"/>
      <c r="AB29" s="1">
        <f t="shared" si="7"/>
        <v>0</v>
      </c>
      <c r="AC29" s="1">
        <v>40</v>
      </c>
      <c r="AD29" s="1"/>
      <c r="AE29" s="1">
        <f t="shared" si="8"/>
        <v>40</v>
      </c>
      <c r="AF29" s="1"/>
      <c r="AG29" s="1"/>
      <c r="AH29" s="1">
        <f t="shared" si="9"/>
        <v>0</v>
      </c>
      <c r="AI29" s="1">
        <v>36</v>
      </c>
      <c r="AJ29" s="1"/>
      <c r="AK29" s="1">
        <f t="shared" si="10"/>
        <v>36</v>
      </c>
      <c r="AL29" s="1">
        <v>110</v>
      </c>
      <c r="AM29" s="1">
        <v>36</v>
      </c>
      <c r="AN29" s="1">
        <f t="shared" si="11"/>
        <v>146</v>
      </c>
      <c r="AO29" s="1">
        <v>40</v>
      </c>
      <c r="AP29" s="1"/>
      <c r="AQ29" s="1">
        <f t="shared" si="12"/>
        <v>40</v>
      </c>
      <c r="AR29" s="6">
        <f t="shared" si="28"/>
        <v>695</v>
      </c>
      <c r="AS29" s="6">
        <f t="shared" si="13"/>
        <v>36</v>
      </c>
      <c r="AT29" s="6">
        <f t="shared" si="14"/>
        <v>731</v>
      </c>
      <c r="AU29" s="494">
        <f t="shared" si="15"/>
        <v>57.916666666666664</v>
      </c>
      <c r="AV29" s="494">
        <f t="shared" si="15"/>
        <v>3</v>
      </c>
      <c r="AW29" s="494">
        <f t="shared" si="16"/>
        <v>60.916666666666664</v>
      </c>
      <c r="AX29" s="217">
        <f t="shared" si="29"/>
        <v>28958.333333333332</v>
      </c>
      <c r="AY29" s="217">
        <f t="shared" si="17"/>
        <v>1800</v>
      </c>
      <c r="AZ29" s="217">
        <f t="shared" si="18"/>
        <v>30758.333333333332</v>
      </c>
      <c r="BA29" s="1"/>
      <c r="BB29" s="1"/>
      <c r="BC29" s="679">
        <f t="shared" si="19"/>
        <v>0</v>
      </c>
      <c r="BD29" s="1">
        <v>70</v>
      </c>
      <c r="BE29" s="1"/>
      <c r="BF29" s="679">
        <f t="shared" si="20"/>
        <v>70</v>
      </c>
      <c r="BG29" s="1">
        <v>116</v>
      </c>
      <c r="BH29" s="1"/>
      <c r="BI29" s="679">
        <f t="shared" si="21"/>
        <v>116</v>
      </c>
      <c r="BJ29" s="1"/>
      <c r="BK29" s="1"/>
      <c r="BL29" s="679">
        <f t="shared" si="22"/>
        <v>0</v>
      </c>
      <c r="BM29" s="6">
        <v>120</v>
      </c>
      <c r="BN29" s="6"/>
      <c r="BO29" s="6">
        <f t="shared" si="23"/>
        <v>120</v>
      </c>
      <c r="BP29" s="6"/>
      <c r="BQ29" s="6"/>
      <c r="BR29" s="6">
        <f t="shared" si="24"/>
        <v>0</v>
      </c>
      <c r="BS29" s="78">
        <v>38</v>
      </c>
      <c r="BT29" s="6"/>
      <c r="BU29" s="6">
        <f t="shared" si="36"/>
        <v>38</v>
      </c>
      <c r="BV29" s="6"/>
      <c r="BW29" s="6"/>
      <c r="BX29" s="6">
        <f t="shared" si="37"/>
        <v>0</v>
      </c>
      <c r="BY29" s="6"/>
      <c r="BZ29" s="6"/>
      <c r="CA29" s="6">
        <f t="shared" si="38"/>
        <v>0</v>
      </c>
      <c r="CB29" s="174">
        <f t="shared" si="25"/>
        <v>344</v>
      </c>
      <c r="CC29" s="174">
        <f t="shared" si="26"/>
        <v>0</v>
      </c>
      <c r="CD29" s="174">
        <f t="shared" si="27"/>
        <v>344</v>
      </c>
      <c r="CE29" s="175">
        <f t="shared" si="33"/>
        <v>38.222222222222221</v>
      </c>
      <c r="CF29" s="175">
        <f t="shared" si="34"/>
        <v>0</v>
      </c>
      <c r="CG29" s="175">
        <f t="shared" si="35"/>
        <v>38.222222222222221</v>
      </c>
    </row>
    <row r="30" spans="1:168" s="61" customFormat="1">
      <c r="A30" s="522">
        <v>23</v>
      </c>
      <c r="B30" s="698" t="s">
        <v>2947</v>
      </c>
      <c r="C30" s="522"/>
      <c r="D30" s="522" t="s">
        <v>2948</v>
      </c>
      <c r="E30" s="522" t="s">
        <v>2904</v>
      </c>
      <c r="F30" s="522">
        <v>0</v>
      </c>
      <c r="G30" s="718" t="s">
        <v>18</v>
      </c>
      <c r="H30" s="522">
        <v>400</v>
      </c>
      <c r="I30" s="522"/>
      <c r="J30" s="522">
        <f t="shared" si="1"/>
        <v>400</v>
      </c>
      <c r="K30" s="522"/>
      <c r="L30" s="522"/>
      <c r="M30" s="522">
        <f t="shared" si="2"/>
        <v>0</v>
      </c>
      <c r="N30" s="522">
        <v>560</v>
      </c>
      <c r="O30" s="522">
        <v>100</v>
      </c>
      <c r="P30" s="522">
        <f t="shared" si="3"/>
        <v>660</v>
      </c>
      <c r="Q30" s="522"/>
      <c r="R30" s="522"/>
      <c r="S30" s="522">
        <f t="shared" si="4"/>
        <v>0</v>
      </c>
      <c r="T30" s="522">
        <v>300</v>
      </c>
      <c r="U30" s="522"/>
      <c r="V30" s="522">
        <f t="shared" si="5"/>
        <v>300</v>
      </c>
      <c r="W30" s="522"/>
      <c r="X30" s="522"/>
      <c r="Y30" s="522">
        <f t="shared" si="6"/>
        <v>0</v>
      </c>
      <c r="Z30" s="522"/>
      <c r="AA30" s="522"/>
      <c r="AB30" s="522">
        <f t="shared" si="7"/>
        <v>0</v>
      </c>
      <c r="AC30" s="522"/>
      <c r="AD30" s="522"/>
      <c r="AE30" s="522">
        <f t="shared" si="8"/>
        <v>0</v>
      </c>
      <c r="AF30" s="522"/>
      <c r="AG30" s="522"/>
      <c r="AH30" s="522">
        <f t="shared" si="9"/>
        <v>0</v>
      </c>
      <c r="AI30" s="522">
        <v>120</v>
      </c>
      <c r="AJ30" s="522">
        <v>42</v>
      </c>
      <c r="AK30" s="522">
        <f t="shared" si="10"/>
        <v>162</v>
      </c>
      <c r="AL30" s="522"/>
      <c r="AM30" s="522"/>
      <c r="AN30" s="522">
        <f t="shared" si="11"/>
        <v>0</v>
      </c>
      <c r="AO30" s="522">
        <v>160</v>
      </c>
      <c r="AP30" s="522"/>
      <c r="AQ30" s="522">
        <f t="shared" si="12"/>
        <v>160</v>
      </c>
      <c r="AR30" s="522">
        <f t="shared" si="28"/>
        <v>1540</v>
      </c>
      <c r="AS30" s="522">
        <f t="shared" si="13"/>
        <v>142</v>
      </c>
      <c r="AT30" s="522">
        <f t="shared" si="14"/>
        <v>1682</v>
      </c>
      <c r="AU30" s="523">
        <f t="shared" si="15"/>
        <v>128.33333333333334</v>
      </c>
      <c r="AV30" s="523">
        <f t="shared" si="15"/>
        <v>11.833333333333334</v>
      </c>
      <c r="AW30" s="523">
        <f t="shared" si="16"/>
        <v>140.16666666666669</v>
      </c>
      <c r="AX30" s="523">
        <f t="shared" si="29"/>
        <v>64166.666666666672</v>
      </c>
      <c r="AY30" s="523">
        <f t="shared" si="17"/>
        <v>7100</v>
      </c>
      <c r="AZ30" s="523">
        <f t="shared" si="18"/>
        <v>71266.666666666672</v>
      </c>
      <c r="BA30" s="522">
        <v>240</v>
      </c>
      <c r="BB30" s="522">
        <v>60</v>
      </c>
      <c r="BC30" s="718">
        <f t="shared" si="19"/>
        <v>300</v>
      </c>
      <c r="BD30" s="522">
        <v>500</v>
      </c>
      <c r="BE30" s="522">
        <v>60</v>
      </c>
      <c r="BF30" s="718">
        <f t="shared" si="20"/>
        <v>560</v>
      </c>
      <c r="BG30" s="522"/>
      <c r="BH30" s="522"/>
      <c r="BI30" s="718">
        <f t="shared" si="21"/>
        <v>0</v>
      </c>
      <c r="BJ30" s="522">
        <v>500</v>
      </c>
      <c r="BK30" s="522"/>
      <c r="BL30" s="718">
        <f t="shared" si="22"/>
        <v>500</v>
      </c>
      <c r="BM30" s="522"/>
      <c r="BN30" s="522"/>
      <c r="BO30" s="522">
        <f t="shared" si="23"/>
        <v>0</v>
      </c>
      <c r="BP30" s="522">
        <v>500</v>
      </c>
      <c r="BQ30" s="522">
        <v>100</v>
      </c>
      <c r="BR30" s="522">
        <f t="shared" si="24"/>
        <v>600</v>
      </c>
      <c r="BS30" s="920"/>
      <c r="BT30" s="522"/>
      <c r="BU30" s="522">
        <f t="shared" si="36"/>
        <v>0</v>
      </c>
      <c r="BV30" s="522"/>
      <c r="BW30" s="522"/>
      <c r="BX30" s="522">
        <f t="shared" si="37"/>
        <v>0</v>
      </c>
      <c r="BY30" s="522"/>
      <c r="BZ30" s="522"/>
      <c r="CA30" s="522">
        <f t="shared" si="38"/>
        <v>0</v>
      </c>
      <c r="CB30" s="174">
        <f t="shared" si="25"/>
        <v>1740</v>
      </c>
      <c r="CC30" s="174">
        <f t="shared" si="26"/>
        <v>220</v>
      </c>
      <c r="CD30" s="174">
        <f t="shared" si="27"/>
        <v>1960</v>
      </c>
      <c r="CE30" s="175">
        <f t="shared" si="33"/>
        <v>193.33333333333334</v>
      </c>
      <c r="CF30" s="175">
        <f t="shared" si="34"/>
        <v>24.444444444444443</v>
      </c>
      <c r="CG30" s="175">
        <f t="shared" si="35"/>
        <v>217.77777777777777</v>
      </c>
      <c r="CH30" s="361"/>
      <c r="CI30" s="361"/>
      <c r="CJ30" s="361"/>
      <c r="CK30" s="361"/>
      <c r="CL30" s="361"/>
      <c r="CM30" s="361"/>
      <c r="CN30" s="361"/>
      <c r="CO30" s="361"/>
      <c r="CP30" s="361"/>
      <c r="CQ30" s="361"/>
      <c r="CR30" s="361"/>
      <c r="CS30" s="361"/>
      <c r="CT30" s="361"/>
      <c r="CU30" s="361"/>
      <c r="CV30" s="361"/>
      <c r="CW30" s="361"/>
      <c r="CX30" s="361"/>
      <c r="CY30" s="361"/>
      <c r="CZ30" s="361"/>
      <c r="DA30" s="361"/>
      <c r="DB30" s="361"/>
      <c r="DC30" s="361"/>
      <c r="DD30" s="361"/>
      <c r="DE30" s="361"/>
      <c r="DF30" s="361"/>
      <c r="DG30" s="361"/>
      <c r="DH30" s="361"/>
      <c r="DI30" s="361"/>
      <c r="DJ30" s="361"/>
      <c r="DK30" s="361"/>
      <c r="DL30" s="361"/>
      <c r="DM30" s="361"/>
      <c r="DN30" s="361"/>
      <c r="DO30" s="361"/>
      <c r="DP30" s="361"/>
      <c r="DQ30" s="361"/>
      <c r="DR30" s="361"/>
      <c r="DS30" s="361"/>
      <c r="DT30" s="361"/>
      <c r="DU30" s="361"/>
      <c r="DV30" s="361"/>
      <c r="DW30" s="361"/>
      <c r="DX30" s="361"/>
      <c r="DY30" s="361"/>
      <c r="DZ30" s="361"/>
      <c r="EA30" s="361"/>
      <c r="EB30" s="361"/>
      <c r="EC30" s="361"/>
      <c r="ED30" s="361"/>
      <c r="EE30" s="361"/>
      <c r="EF30" s="361"/>
      <c r="EG30" s="361"/>
      <c r="EH30" s="361"/>
      <c r="EI30" s="361"/>
      <c r="EJ30" s="361"/>
      <c r="EK30" s="361"/>
      <c r="EL30" s="361"/>
      <c r="EM30" s="361"/>
      <c r="EN30" s="361"/>
      <c r="EO30" s="361"/>
      <c r="EP30" s="361"/>
      <c r="EQ30" s="361"/>
      <c r="ER30" s="361"/>
      <c r="ES30" s="361"/>
      <c r="ET30" s="361"/>
      <c r="EU30" s="361"/>
      <c r="EV30" s="361"/>
      <c r="EW30" s="361"/>
      <c r="EX30" s="361"/>
      <c r="EY30" s="361"/>
      <c r="EZ30" s="361"/>
      <c r="FA30" s="361"/>
      <c r="FB30" s="361"/>
      <c r="FC30" s="361"/>
      <c r="FD30" s="361"/>
      <c r="FE30" s="361"/>
      <c r="FF30" s="361"/>
      <c r="FG30" s="361"/>
      <c r="FH30" s="361"/>
      <c r="FI30" s="361"/>
      <c r="FJ30" s="361"/>
      <c r="FK30" s="361"/>
      <c r="FL30" s="361"/>
    </row>
    <row r="31" spans="1:168">
      <c r="A31" s="6">
        <v>24</v>
      </c>
      <c r="B31" s="678" t="s">
        <v>2949</v>
      </c>
      <c r="C31" s="6"/>
      <c r="D31" s="6" t="s">
        <v>2950</v>
      </c>
      <c r="E31" s="6" t="s">
        <v>2904</v>
      </c>
      <c r="F31" s="6">
        <v>21.66</v>
      </c>
      <c r="G31" s="679" t="s">
        <v>15</v>
      </c>
      <c r="H31" s="1"/>
      <c r="I31" s="1"/>
      <c r="J31" s="1">
        <f t="shared" si="1"/>
        <v>0</v>
      </c>
      <c r="K31" s="1">
        <v>80</v>
      </c>
      <c r="L31" s="1"/>
      <c r="M31" s="1">
        <f t="shared" si="2"/>
        <v>80</v>
      </c>
      <c r="N31" s="1"/>
      <c r="O31" s="1"/>
      <c r="P31" s="1">
        <f t="shared" si="3"/>
        <v>0</v>
      </c>
      <c r="Q31" s="1">
        <v>60</v>
      </c>
      <c r="R31" s="1"/>
      <c r="S31" s="1">
        <f t="shared" si="4"/>
        <v>60</v>
      </c>
      <c r="T31" s="1"/>
      <c r="U31" s="1"/>
      <c r="V31" s="1">
        <f t="shared" si="5"/>
        <v>0</v>
      </c>
      <c r="W31" s="1"/>
      <c r="X31" s="1"/>
      <c r="Y31" s="1">
        <f t="shared" si="6"/>
        <v>0</v>
      </c>
      <c r="Z31" s="1">
        <v>90</v>
      </c>
      <c r="AA31" s="1"/>
      <c r="AB31" s="1">
        <f t="shared" si="7"/>
        <v>90</v>
      </c>
      <c r="AC31" s="1"/>
      <c r="AD31" s="1"/>
      <c r="AE31" s="1">
        <f t="shared" si="8"/>
        <v>0</v>
      </c>
      <c r="AF31" s="1"/>
      <c r="AG31" s="1"/>
      <c r="AH31" s="1">
        <f t="shared" si="9"/>
        <v>0</v>
      </c>
      <c r="AI31" s="1"/>
      <c r="AJ31" s="1"/>
      <c r="AK31" s="1">
        <f t="shared" si="10"/>
        <v>0</v>
      </c>
      <c r="AL31" s="1"/>
      <c r="AM31" s="1"/>
      <c r="AN31" s="1">
        <f t="shared" si="11"/>
        <v>0</v>
      </c>
      <c r="AO31" s="1"/>
      <c r="AP31" s="1"/>
      <c r="AQ31" s="1">
        <f t="shared" si="12"/>
        <v>0</v>
      </c>
      <c r="AR31" s="6">
        <f t="shared" si="28"/>
        <v>230</v>
      </c>
      <c r="AS31" s="6">
        <f t="shared" si="13"/>
        <v>0</v>
      </c>
      <c r="AT31" s="6">
        <f t="shared" si="14"/>
        <v>230</v>
      </c>
      <c r="AU31" s="494">
        <f t="shared" si="15"/>
        <v>19.166666666666668</v>
      </c>
      <c r="AV31" s="494">
        <f t="shared" si="15"/>
        <v>0</v>
      </c>
      <c r="AW31" s="494">
        <f t="shared" si="16"/>
        <v>19.166666666666668</v>
      </c>
      <c r="AX31" s="217">
        <f t="shared" si="29"/>
        <v>9583.3333333333339</v>
      </c>
      <c r="AY31" s="217">
        <f t="shared" si="17"/>
        <v>0</v>
      </c>
      <c r="AZ31" s="217">
        <f t="shared" si="18"/>
        <v>9583.3333333333339</v>
      </c>
      <c r="BA31" s="1"/>
      <c r="BB31" s="1"/>
      <c r="BC31" s="679">
        <f t="shared" si="19"/>
        <v>0</v>
      </c>
      <c r="BD31" s="1"/>
      <c r="BE31" s="1"/>
      <c r="BF31" s="679">
        <f t="shared" si="20"/>
        <v>0</v>
      </c>
      <c r="BG31" s="1"/>
      <c r="BH31" s="1"/>
      <c r="BI31" s="679">
        <f t="shared" si="21"/>
        <v>0</v>
      </c>
      <c r="BJ31" s="1"/>
      <c r="BK31" s="1"/>
      <c r="BL31" s="679">
        <f t="shared" si="22"/>
        <v>0</v>
      </c>
      <c r="BM31" s="6"/>
      <c r="BN31" s="6"/>
      <c r="BO31" s="6">
        <f t="shared" si="23"/>
        <v>0</v>
      </c>
      <c r="BP31" s="6"/>
      <c r="BQ31" s="6"/>
      <c r="BR31" s="6">
        <f t="shared" si="24"/>
        <v>0</v>
      </c>
      <c r="BS31" s="78"/>
      <c r="BT31" s="6"/>
      <c r="BU31" s="6">
        <f t="shared" si="36"/>
        <v>0</v>
      </c>
      <c r="BV31" s="6"/>
      <c r="BW31" s="6"/>
      <c r="BX31" s="6">
        <f t="shared" si="37"/>
        <v>0</v>
      </c>
      <c r="BY31" s="6"/>
      <c r="BZ31" s="6"/>
      <c r="CA31" s="6">
        <f t="shared" si="38"/>
        <v>0</v>
      </c>
      <c r="CB31" s="174">
        <f t="shared" si="25"/>
        <v>0</v>
      </c>
      <c r="CC31" s="174">
        <f t="shared" si="26"/>
        <v>0</v>
      </c>
      <c r="CD31" s="174">
        <f t="shared" si="27"/>
        <v>0</v>
      </c>
      <c r="CE31" s="175">
        <f t="shared" si="33"/>
        <v>0</v>
      </c>
      <c r="CF31" s="175">
        <f t="shared" si="34"/>
        <v>0</v>
      </c>
      <c r="CG31" s="175">
        <f t="shared" si="35"/>
        <v>0</v>
      </c>
    </row>
    <row r="32" spans="1:168" s="61" customFormat="1">
      <c r="A32" s="522">
        <v>25</v>
      </c>
      <c r="B32" s="698" t="s">
        <v>2951</v>
      </c>
      <c r="C32" s="522"/>
      <c r="D32" s="522" t="s">
        <v>2952</v>
      </c>
      <c r="E32" s="522" t="s">
        <v>2904</v>
      </c>
      <c r="F32" s="522">
        <v>616</v>
      </c>
      <c r="G32" s="718" t="s">
        <v>18</v>
      </c>
      <c r="H32" s="522"/>
      <c r="I32" s="522"/>
      <c r="J32" s="522">
        <f t="shared" si="1"/>
        <v>0</v>
      </c>
      <c r="K32" s="522">
        <v>80</v>
      </c>
      <c r="L32" s="522"/>
      <c r="M32" s="522">
        <f t="shared" si="2"/>
        <v>80</v>
      </c>
      <c r="N32" s="522">
        <v>800</v>
      </c>
      <c r="O32" s="522"/>
      <c r="P32" s="522">
        <f t="shared" si="3"/>
        <v>800</v>
      </c>
      <c r="Q32" s="522"/>
      <c r="R32" s="522"/>
      <c r="S32" s="522">
        <f t="shared" si="4"/>
        <v>0</v>
      </c>
      <c r="T32" s="522">
        <v>800</v>
      </c>
      <c r="U32" s="522"/>
      <c r="V32" s="522">
        <f t="shared" si="5"/>
        <v>800</v>
      </c>
      <c r="W32" s="522"/>
      <c r="X32" s="522"/>
      <c r="Y32" s="522">
        <f t="shared" si="6"/>
        <v>0</v>
      </c>
      <c r="Z32" s="522">
        <v>700</v>
      </c>
      <c r="AA32" s="522"/>
      <c r="AB32" s="522">
        <f t="shared" si="7"/>
        <v>700</v>
      </c>
      <c r="AC32" s="522"/>
      <c r="AD32" s="522"/>
      <c r="AE32" s="522">
        <f t="shared" si="8"/>
        <v>0</v>
      </c>
      <c r="AF32" s="522">
        <v>500</v>
      </c>
      <c r="AG32" s="522"/>
      <c r="AH32" s="522">
        <f t="shared" si="9"/>
        <v>500</v>
      </c>
      <c r="AI32" s="522">
        <v>610</v>
      </c>
      <c r="AJ32" s="522"/>
      <c r="AK32" s="522">
        <f t="shared" si="10"/>
        <v>610</v>
      </c>
      <c r="AL32" s="522">
        <v>500</v>
      </c>
      <c r="AM32" s="522"/>
      <c r="AN32" s="522">
        <f t="shared" si="11"/>
        <v>500</v>
      </c>
      <c r="AO32" s="522">
        <v>600</v>
      </c>
      <c r="AP32" s="522"/>
      <c r="AQ32" s="522">
        <f t="shared" si="12"/>
        <v>600</v>
      </c>
      <c r="AR32" s="522">
        <f t="shared" si="28"/>
        <v>4590</v>
      </c>
      <c r="AS32" s="522">
        <f t="shared" si="13"/>
        <v>0</v>
      </c>
      <c r="AT32" s="522">
        <f t="shared" si="14"/>
        <v>4590</v>
      </c>
      <c r="AU32" s="523">
        <f t="shared" si="15"/>
        <v>382.5</v>
      </c>
      <c r="AV32" s="523">
        <f t="shared" si="15"/>
        <v>0</v>
      </c>
      <c r="AW32" s="523">
        <f t="shared" si="16"/>
        <v>382.5</v>
      </c>
      <c r="AX32" s="523">
        <f t="shared" si="29"/>
        <v>191250</v>
      </c>
      <c r="AY32" s="523">
        <f t="shared" si="17"/>
        <v>0</v>
      </c>
      <c r="AZ32" s="523">
        <f t="shared" si="18"/>
        <v>191250</v>
      </c>
      <c r="BA32" s="522">
        <v>500</v>
      </c>
      <c r="BB32" s="522"/>
      <c r="BC32" s="718">
        <f t="shared" si="19"/>
        <v>500</v>
      </c>
      <c r="BD32" s="522">
        <v>600</v>
      </c>
      <c r="BE32" s="522"/>
      <c r="BF32" s="718">
        <f t="shared" si="20"/>
        <v>600</v>
      </c>
      <c r="BG32" s="522">
        <v>600</v>
      </c>
      <c r="BH32" s="522"/>
      <c r="BI32" s="718">
        <f t="shared" si="21"/>
        <v>600</v>
      </c>
      <c r="BJ32" s="522"/>
      <c r="BK32" s="522"/>
      <c r="BL32" s="718">
        <f t="shared" si="22"/>
        <v>0</v>
      </c>
      <c r="BM32" s="522">
        <v>500</v>
      </c>
      <c r="BN32" s="522"/>
      <c r="BO32" s="522">
        <f t="shared" si="23"/>
        <v>500</v>
      </c>
      <c r="BP32" s="522">
        <v>860</v>
      </c>
      <c r="BQ32" s="522"/>
      <c r="BR32" s="522">
        <f t="shared" si="24"/>
        <v>860</v>
      </c>
      <c r="BS32" s="920"/>
      <c r="BT32" s="522"/>
      <c r="BU32" s="522">
        <f t="shared" si="36"/>
        <v>0</v>
      </c>
      <c r="BV32" s="522"/>
      <c r="BW32" s="522"/>
      <c r="BX32" s="522">
        <f t="shared" si="37"/>
        <v>0</v>
      </c>
      <c r="BY32" s="522"/>
      <c r="BZ32" s="522"/>
      <c r="CA32" s="522">
        <f t="shared" si="38"/>
        <v>0</v>
      </c>
      <c r="CB32" s="174">
        <f t="shared" si="25"/>
        <v>3060</v>
      </c>
      <c r="CC32" s="174">
        <f t="shared" si="26"/>
        <v>0</v>
      </c>
      <c r="CD32" s="174">
        <f t="shared" si="27"/>
        <v>3060</v>
      </c>
      <c r="CE32" s="175">
        <f t="shared" si="33"/>
        <v>340</v>
      </c>
      <c r="CF32" s="175">
        <f t="shared" si="34"/>
        <v>0</v>
      </c>
      <c r="CG32" s="175">
        <f t="shared" si="35"/>
        <v>340</v>
      </c>
      <c r="CH32" s="361"/>
      <c r="CI32" s="361"/>
      <c r="CJ32" s="361"/>
      <c r="CK32" s="361"/>
      <c r="CL32" s="361"/>
      <c r="CM32" s="361"/>
      <c r="CN32" s="361"/>
      <c r="CO32" s="361"/>
      <c r="CP32" s="361"/>
      <c r="CQ32" s="361"/>
      <c r="CR32" s="361"/>
      <c r="CS32" s="361"/>
      <c r="CT32" s="361"/>
      <c r="CU32" s="361"/>
      <c r="CV32" s="361"/>
      <c r="CW32" s="361"/>
      <c r="CX32" s="361"/>
      <c r="CY32" s="361"/>
      <c r="CZ32" s="361"/>
      <c r="DA32" s="361"/>
      <c r="DB32" s="361"/>
      <c r="DC32" s="361"/>
      <c r="DD32" s="361"/>
      <c r="DE32" s="361"/>
      <c r="DF32" s="361"/>
      <c r="DG32" s="361"/>
      <c r="DH32" s="361"/>
      <c r="DI32" s="361"/>
      <c r="DJ32" s="361"/>
      <c r="DK32" s="361"/>
      <c r="DL32" s="361"/>
      <c r="DM32" s="361"/>
      <c r="DN32" s="361"/>
      <c r="DO32" s="361"/>
      <c r="DP32" s="361"/>
      <c r="DQ32" s="361"/>
      <c r="DR32" s="361"/>
      <c r="DS32" s="361"/>
      <c r="DT32" s="361"/>
      <c r="DU32" s="361"/>
      <c r="DV32" s="361"/>
      <c r="DW32" s="361"/>
      <c r="DX32" s="361"/>
      <c r="DY32" s="361"/>
      <c r="DZ32" s="361"/>
      <c r="EA32" s="361"/>
      <c r="EB32" s="361"/>
      <c r="EC32" s="361"/>
      <c r="ED32" s="361"/>
      <c r="EE32" s="361"/>
      <c r="EF32" s="361"/>
      <c r="EG32" s="361"/>
      <c r="EH32" s="361"/>
      <c r="EI32" s="361"/>
      <c r="EJ32" s="361"/>
      <c r="EK32" s="361"/>
      <c r="EL32" s="361"/>
      <c r="EM32" s="361"/>
      <c r="EN32" s="361"/>
      <c r="EO32" s="361"/>
      <c r="EP32" s="361"/>
      <c r="EQ32" s="361"/>
      <c r="ER32" s="361"/>
      <c r="ES32" s="361"/>
      <c r="ET32" s="361"/>
      <c r="EU32" s="361"/>
      <c r="EV32" s="361"/>
      <c r="EW32" s="361"/>
      <c r="EX32" s="361"/>
      <c r="EY32" s="361"/>
      <c r="EZ32" s="361"/>
      <c r="FA32" s="361"/>
      <c r="FB32" s="361"/>
      <c r="FC32" s="361"/>
      <c r="FD32" s="361"/>
      <c r="FE32" s="361"/>
      <c r="FF32" s="361"/>
      <c r="FG32" s="361"/>
      <c r="FH32" s="361"/>
      <c r="FI32" s="361"/>
      <c r="FJ32" s="361"/>
      <c r="FK32" s="361"/>
      <c r="FL32" s="361"/>
    </row>
    <row r="33" spans="1:168" s="61" customFormat="1">
      <c r="A33" s="522">
        <v>26</v>
      </c>
      <c r="B33" s="698" t="s">
        <v>2953</v>
      </c>
      <c r="C33" s="522"/>
      <c r="D33" s="522" t="s">
        <v>2954</v>
      </c>
      <c r="E33" s="522" t="s">
        <v>2904</v>
      </c>
      <c r="F33" s="522">
        <v>86</v>
      </c>
      <c r="G33" s="718" t="s">
        <v>18</v>
      </c>
      <c r="H33" s="522"/>
      <c r="I33" s="522"/>
      <c r="J33" s="522">
        <f t="shared" si="1"/>
        <v>0</v>
      </c>
      <c r="K33" s="522"/>
      <c r="L33" s="522"/>
      <c r="M33" s="522">
        <f t="shared" si="2"/>
        <v>0</v>
      </c>
      <c r="N33" s="522">
        <v>310</v>
      </c>
      <c r="O33" s="522"/>
      <c r="P33" s="522">
        <f t="shared" si="3"/>
        <v>310</v>
      </c>
      <c r="Q33" s="522">
        <v>316</v>
      </c>
      <c r="R33" s="522"/>
      <c r="S33" s="522">
        <f t="shared" si="4"/>
        <v>316</v>
      </c>
      <c r="T33" s="522"/>
      <c r="U33" s="522"/>
      <c r="V33" s="522">
        <f t="shared" si="5"/>
        <v>0</v>
      </c>
      <c r="W33" s="522"/>
      <c r="X33" s="522"/>
      <c r="Y33" s="522">
        <f t="shared" si="6"/>
        <v>0</v>
      </c>
      <c r="Z33" s="522">
        <v>310</v>
      </c>
      <c r="AA33" s="522"/>
      <c r="AB33" s="522">
        <f t="shared" si="7"/>
        <v>310</v>
      </c>
      <c r="AC33" s="522"/>
      <c r="AD33" s="522"/>
      <c r="AE33" s="522">
        <f t="shared" si="8"/>
        <v>0</v>
      </c>
      <c r="AF33" s="522"/>
      <c r="AG33" s="522"/>
      <c r="AH33" s="522">
        <f t="shared" si="9"/>
        <v>0</v>
      </c>
      <c r="AI33" s="522"/>
      <c r="AJ33" s="522"/>
      <c r="AK33" s="522">
        <f t="shared" si="10"/>
        <v>0</v>
      </c>
      <c r="AL33" s="522"/>
      <c r="AM33" s="522"/>
      <c r="AN33" s="522">
        <f t="shared" si="11"/>
        <v>0</v>
      </c>
      <c r="AO33" s="522">
        <v>360</v>
      </c>
      <c r="AP33" s="522"/>
      <c r="AQ33" s="522">
        <f t="shared" si="12"/>
        <v>360</v>
      </c>
      <c r="AR33" s="522">
        <f t="shared" si="28"/>
        <v>1296</v>
      </c>
      <c r="AS33" s="522">
        <f t="shared" si="13"/>
        <v>0</v>
      </c>
      <c r="AT33" s="522">
        <f t="shared" si="14"/>
        <v>1296</v>
      </c>
      <c r="AU33" s="523">
        <f t="shared" si="15"/>
        <v>108</v>
      </c>
      <c r="AV33" s="523">
        <f t="shared" si="15"/>
        <v>0</v>
      </c>
      <c r="AW33" s="523">
        <f t="shared" si="16"/>
        <v>108</v>
      </c>
      <c r="AX33" s="523">
        <f t="shared" si="29"/>
        <v>54000</v>
      </c>
      <c r="AY33" s="523">
        <f t="shared" si="17"/>
        <v>0</v>
      </c>
      <c r="AZ33" s="523">
        <f t="shared" si="18"/>
        <v>54000</v>
      </c>
      <c r="BA33" s="522"/>
      <c r="BB33" s="522"/>
      <c r="BC33" s="718">
        <f t="shared" si="19"/>
        <v>0</v>
      </c>
      <c r="BD33" s="522">
        <v>320</v>
      </c>
      <c r="BE33" s="522"/>
      <c r="BF33" s="718">
        <f t="shared" si="20"/>
        <v>320</v>
      </c>
      <c r="BG33" s="522"/>
      <c r="BH33" s="522"/>
      <c r="BI33" s="718">
        <f t="shared" si="21"/>
        <v>0</v>
      </c>
      <c r="BJ33" s="522">
        <v>536</v>
      </c>
      <c r="BK33" s="522">
        <v>18</v>
      </c>
      <c r="BL33" s="718">
        <f t="shared" si="22"/>
        <v>554</v>
      </c>
      <c r="BM33" s="522"/>
      <c r="BN33" s="522"/>
      <c r="BO33" s="522">
        <f t="shared" si="23"/>
        <v>0</v>
      </c>
      <c r="BP33" s="522"/>
      <c r="BQ33" s="522"/>
      <c r="BR33" s="522">
        <f t="shared" si="24"/>
        <v>0</v>
      </c>
      <c r="BS33" s="920">
        <v>400</v>
      </c>
      <c r="BT33" s="522"/>
      <c r="BU33" s="522">
        <f t="shared" si="36"/>
        <v>400</v>
      </c>
      <c r="BV33" s="522"/>
      <c r="BW33" s="522"/>
      <c r="BX33" s="522">
        <f t="shared" si="37"/>
        <v>0</v>
      </c>
      <c r="BY33" s="522"/>
      <c r="BZ33" s="522"/>
      <c r="CA33" s="522">
        <f t="shared" si="38"/>
        <v>0</v>
      </c>
      <c r="CB33" s="174">
        <f t="shared" si="25"/>
        <v>1256</v>
      </c>
      <c r="CC33" s="174">
        <f t="shared" si="26"/>
        <v>18</v>
      </c>
      <c r="CD33" s="174">
        <f t="shared" si="27"/>
        <v>1274</v>
      </c>
      <c r="CE33" s="175">
        <f t="shared" si="33"/>
        <v>139.55555555555554</v>
      </c>
      <c r="CF33" s="175">
        <f t="shared" si="34"/>
        <v>2</v>
      </c>
      <c r="CG33" s="175">
        <f t="shared" si="35"/>
        <v>141.55555555555554</v>
      </c>
      <c r="CH33" s="361"/>
      <c r="CI33" s="361"/>
      <c r="CJ33" s="361"/>
      <c r="CK33" s="361"/>
      <c r="CL33" s="361"/>
      <c r="CM33" s="361"/>
      <c r="CN33" s="361"/>
      <c r="CO33" s="361"/>
      <c r="CP33" s="361"/>
      <c r="CQ33" s="361"/>
      <c r="CR33" s="361"/>
      <c r="CS33" s="361"/>
      <c r="CT33" s="361"/>
      <c r="CU33" s="361"/>
      <c r="CV33" s="361"/>
      <c r="CW33" s="361"/>
      <c r="CX33" s="361"/>
      <c r="CY33" s="361"/>
      <c r="CZ33" s="361"/>
      <c r="DA33" s="361"/>
      <c r="DB33" s="361"/>
      <c r="DC33" s="361"/>
      <c r="DD33" s="361"/>
      <c r="DE33" s="361"/>
      <c r="DF33" s="361"/>
      <c r="DG33" s="361"/>
      <c r="DH33" s="361"/>
      <c r="DI33" s="361"/>
      <c r="DJ33" s="361"/>
      <c r="DK33" s="361"/>
      <c r="DL33" s="361"/>
      <c r="DM33" s="361"/>
      <c r="DN33" s="361"/>
      <c r="DO33" s="361"/>
      <c r="DP33" s="361"/>
      <c r="DQ33" s="361"/>
      <c r="DR33" s="361"/>
      <c r="DS33" s="361"/>
      <c r="DT33" s="361"/>
      <c r="DU33" s="361"/>
      <c r="DV33" s="361"/>
      <c r="DW33" s="361"/>
      <c r="DX33" s="361"/>
      <c r="DY33" s="361"/>
      <c r="DZ33" s="361"/>
      <c r="EA33" s="361"/>
      <c r="EB33" s="361"/>
      <c r="EC33" s="361"/>
      <c r="ED33" s="361"/>
      <c r="EE33" s="361"/>
      <c r="EF33" s="361"/>
      <c r="EG33" s="361"/>
      <c r="EH33" s="361"/>
      <c r="EI33" s="361"/>
      <c r="EJ33" s="361"/>
      <c r="EK33" s="361"/>
      <c r="EL33" s="361"/>
      <c r="EM33" s="361"/>
      <c r="EN33" s="361"/>
      <c r="EO33" s="361"/>
      <c r="EP33" s="361"/>
      <c r="EQ33" s="361"/>
      <c r="ER33" s="361"/>
      <c r="ES33" s="361"/>
      <c r="ET33" s="361"/>
      <c r="EU33" s="361"/>
      <c r="EV33" s="361"/>
      <c r="EW33" s="361"/>
      <c r="EX33" s="361"/>
      <c r="EY33" s="361"/>
      <c r="EZ33" s="361"/>
      <c r="FA33" s="361"/>
      <c r="FB33" s="361"/>
      <c r="FC33" s="361"/>
      <c r="FD33" s="361"/>
      <c r="FE33" s="361"/>
      <c r="FF33" s="361"/>
      <c r="FG33" s="361"/>
      <c r="FH33" s="361"/>
      <c r="FI33" s="361"/>
      <c r="FJ33" s="361"/>
      <c r="FK33" s="361"/>
      <c r="FL33" s="361"/>
    </row>
    <row r="34" spans="1:168">
      <c r="A34" s="6">
        <v>27</v>
      </c>
      <c r="B34" s="680" t="s">
        <v>2955</v>
      </c>
      <c r="C34" s="1"/>
      <c r="D34" s="1" t="s">
        <v>2956</v>
      </c>
      <c r="E34" s="6" t="s">
        <v>2904</v>
      </c>
      <c r="F34" s="1">
        <v>60</v>
      </c>
      <c r="G34" s="180" t="s">
        <v>18</v>
      </c>
      <c r="H34" s="1"/>
      <c r="I34" s="1"/>
      <c r="J34" s="1">
        <f t="shared" si="1"/>
        <v>0</v>
      </c>
      <c r="K34" s="1"/>
      <c r="L34" s="1"/>
      <c r="M34" s="1">
        <f t="shared" si="2"/>
        <v>0</v>
      </c>
      <c r="N34" s="1"/>
      <c r="O34" s="1"/>
      <c r="P34" s="1">
        <f t="shared" si="3"/>
        <v>0</v>
      </c>
      <c r="Q34" s="1"/>
      <c r="R34" s="1"/>
      <c r="S34" s="1">
        <f t="shared" si="4"/>
        <v>0</v>
      </c>
      <c r="T34" s="1"/>
      <c r="U34" s="1"/>
      <c r="V34" s="1">
        <f t="shared" si="5"/>
        <v>0</v>
      </c>
      <c r="W34" s="1"/>
      <c r="X34" s="1"/>
      <c r="Y34" s="1">
        <f t="shared" si="6"/>
        <v>0</v>
      </c>
      <c r="Z34" s="1"/>
      <c r="AA34" s="1"/>
      <c r="AB34" s="1">
        <f t="shared" si="7"/>
        <v>0</v>
      </c>
      <c r="AC34" s="1"/>
      <c r="AD34" s="1"/>
      <c r="AE34" s="1">
        <f t="shared" si="8"/>
        <v>0</v>
      </c>
      <c r="AF34" s="1">
        <v>100</v>
      </c>
      <c r="AG34" s="1"/>
      <c r="AH34" s="1">
        <f t="shared" si="9"/>
        <v>100</v>
      </c>
      <c r="AI34" s="1">
        <v>100</v>
      </c>
      <c r="AJ34" s="1"/>
      <c r="AK34" s="1">
        <f t="shared" si="10"/>
        <v>100</v>
      </c>
      <c r="AL34" s="1"/>
      <c r="AM34" s="1"/>
      <c r="AN34" s="1">
        <f t="shared" si="11"/>
        <v>0</v>
      </c>
      <c r="AO34" s="1"/>
      <c r="AP34" s="1"/>
      <c r="AQ34" s="1">
        <f t="shared" si="12"/>
        <v>0</v>
      </c>
      <c r="AR34" s="6">
        <f t="shared" si="28"/>
        <v>200</v>
      </c>
      <c r="AS34" s="6">
        <f t="shared" si="13"/>
        <v>0</v>
      </c>
      <c r="AT34" s="6">
        <f t="shared" si="14"/>
        <v>200</v>
      </c>
      <c r="AU34" s="494">
        <f t="shared" si="15"/>
        <v>16.666666666666668</v>
      </c>
      <c r="AV34" s="494">
        <f t="shared" si="15"/>
        <v>0</v>
      </c>
      <c r="AW34" s="494">
        <f t="shared" si="16"/>
        <v>16.666666666666668</v>
      </c>
      <c r="AX34" s="217">
        <f t="shared" si="29"/>
        <v>8333.3333333333339</v>
      </c>
      <c r="AY34" s="217">
        <f t="shared" si="17"/>
        <v>0</v>
      </c>
      <c r="AZ34" s="217">
        <f t="shared" si="18"/>
        <v>8333.3333333333339</v>
      </c>
      <c r="BA34" s="1">
        <v>40</v>
      </c>
      <c r="BB34" s="1"/>
      <c r="BC34" s="679">
        <f t="shared" si="19"/>
        <v>40</v>
      </c>
      <c r="BD34" s="1"/>
      <c r="BE34" s="1"/>
      <c r="BF34" s="679">
        <f t="shared" si="20"/>
        <v>0</v>
      </c>
      <c r="BG34" s="1"/>
      <c r="BH34" s="1"/>
      <c r="BI34" s="679">
        <f t="shared" si="21"/>
        <v>0</v>
      </c>
      <c r="BJ34" s="1">
        <v>100</v>
      </c>
      <c r="BK34" s="1"/>
      <c r="BL34" s="679">
        <f t="shared" si="22"/>
        <v>100</v>
      </c>
      <c r="BM34" s="6"/>
      <c r="BN34" s="6"/>
      <c r="BO34" s="6">
        <f t="shared" si="23"/>
        <v>0</v>
      </c>
      <c r="BP34" s="6"/>
      <c r="BQ34" s="6"/>
      <c r="BR34" s="6">
        <f t="shared" si="24"/>
        <v>0</v>
      </c>
      <c r="BS34" s="78"/>
      <c r="BT34" s="6"/>
      <c r="BU34" s="6">
        <f t="shared" si="36"/>
        <v>0</v>
      </c>
      <c r="BV34" s="6"/>
      <c r="BW34" s="6"/>
      <c r="BX34" s="6">
        <f t="shared" si="37"/>
        <v>0</v>
      </c>
      <c r="BY34" s="6"/>
      <c r="BZ34" s="6"/>
      <c r="CA34" s="6">
        <f t="shared" si="38"/>
        <v>0</v>
      </c>
      <c r="CB34" s="174">
        <f t="shared" si="25"/>
        <v>140</v>
      </c>
      <c r="CC34" s="174">
        <f t="shared" si="26"/>
        <v>0</v>
      </c>
      <c r="CD34" s="174">
        <f t="shared" si="27"/>
        <v>140</v>
      </c>
      <c r="CE34" s="175">
        <f t="shared" si="33"/>
        <v>15.555555555555555</v>
      </c>
      <c r="CF34" s="175">
        <f t="shared" si="34"/>
        <v>0</v>
      </c>
      <c r="CG34" s="175">
        <f t="shared" si="35"/>
        <v>15.555555555555555</v>
      </c>
    </row>
    <row r="35" spans="1:168" s="61" customFormat="1">
      <c r="A35" s="522">
        <v>28</v>
      </c>
      <c r="B35" s="698" t="s">
        <v>2957</v>
      </c>
      <c r="C35" s="522"/>
      <c r="D35" s="522" t="s">
        <v>2958</v>
      </c>
      <c r="E35" s="522" t="s">
        <v>2904</v>
      </c>
      <c r="F35" s="522">
        <v>93.33</v>
      </c>
      <c r="G35" s="718" t="s">
        <v>18</v>
      </c>
      <c r="H35" s="522">
        <v>250</v>
      </c>
      <c r="I35" s="522">
        <v>100</v>
      </c>
      <c r="J35" s="522">
        <f t="shared" si="1"/>
        <v>350</v>
      </c>
      <c r="K35" s="522"/>
      <c r="L35" s="522"/>
      <c r="M35" s="522">
        <f t="shared" si="2"/>
        <v>0</v>
      </c>
      <c r="N35" s="522">
        <v>390</v>
      </c>
      <c r="O35" s="522">
        <v>36</v>
      </c>
      <c r="P35" s="522">
        <f t="shared" si="3"/>
        <v>426</v>
      </c>
      <c r="Q35" s="522"/>
      <c r="R35" s="522">
        <v>18</v>
      </c>
      <c r="S35" s="522">
        <f t="shared" si="4"/>
        <v>18</v>
      </c>
      <c r="T35" s="522"/>
      <c r="U35" s="522">
        <v>40</v>
      </c>
      <c r="V35" s="522">
        <f t="shared" si="5"/>
        <v>40</v>
      </c>
      <c r="W35" s="522"/>
      <c r="X35" s="522">
        <v>72</v>
      </c>
      <c r="Y35" s="522">
        <f t="shared" si="6"/>
        <v>72</v>
      </c>
      <c r="Z35" s="522"/>
      <c r="AA35" s="522"/>
      <c r="AB35" s="522">
        <f t="shared" si="7"/>
        <v>0</v>
      </c>
      <c r="AC35" s="522"/>
      <c r="AD35" s="522">
        <v>40</v>
      </c>
      <c r="AE35" s="522">
        <f t="shared" si="8"/>
        <v>40</v>
      </c>
      <c r="AF35" s="522">
        <v>100</v>
      </c>
      <c r="AG35" s="522"/>
      <c r="AH35" s="522">
        <f t="shared" si="9"/>
        <v>100</v>
      </c>
      <c r="AI35" s="522"/>
      <c r="AJ35" s="522"/>
      <c r="AK35" s="522">
        <f t="shared" si="10"/>
        <v>0</v>
      </c>
      <c r="AL35" s="522">
        <v>240</v>
      </c>
      <c r="AM35" s="522"/>
      <c r="AN35" s="522">
        <f t="shared" si="11"/>
        <v>240</v>
      </c>
      <c r="AO35" s="522"/>
      <c r="AP35" s="522"/>
      <c r="AQ35" s="522">
        <f t="shared" si="12"/>
        <v>0</v>
      </c>
      <c r="AR35" s="522">
        <f t="shared" si="28"/>
        <v>980</v>
      </c>
      <c r="AS35" s="522">
        <f t="shared" si="13"/>
        <v>266</v>
      </c>
      <c r="AT35" s="522">
        <f t="shared" si="14"/>
        <v>1246</v>
      </c>
      <c r="AU35" s="523">
        <f t="shared" si="15"/>
        <v>81.666666666666671</v>
      </c>
      <c r="AV35" s="523">
        <f t="shared" si="15"/>
        <v>22.166666666666668</v>
      </c>
      <c r="AW35" s="523">
        <f t="shared" si="16"/>
        <v>103.83333333333334</v>
      </c>
      <c r="AX35" s="523">
        <f t="shared" si="29"/>
        <v>40833.333333333336</v>
      </c>
      <c r="AY35" s="523">
        <f t="shared" si="17"/>
        <v>13300</v>
      </c>
      <c r="AZ35" s="523">
        <f t="shared" si="18"/>
        <v>54133.333333333336</v>
      </c>
      <c r="BA35" s="522">
        <v>236</v>
      </c>
      <c r="BB35" s="522">
        <v>82</v>
      </c>
      <c r="BC35" s="718">
        <f t="shared" si="19"/>
        <v>318</v>
      </c>
      <c r="BD35" s="522"/>
      <c r="BE35" s="522"/>
      <c r="BF35" s="718">
        <f t="shared" si="20"/>
        <v>0</v>
      </c>
      <c r="BG35" s="522">
        <v>100</v>
      </c>
      <c r="BH35" s="522"/>
      <c r="BI35" s="718">
        <f t="shared" si="21"/>
        <v>100</v>
      </c>
      <c r="BJ35" s="522"/>
      <c r="BK35" s="522"/>
      <c r="BL35" s="718">
        <f t="shared" si="22"/>
        <v>0</v>
      </c>
      <c r="BM35" s="522">
        <v>220</v>
      </c>
      <c r="BN35" s="522"/>
      <c r="BO35" s="522">
        <f t="shared" si="23"/>
        <v>220</v>
      </c>
      <c r="BP35" s="522"/>
      <c r="BQ35" s="522">
        <v>58</v>
      </c>
      <c r="BR35" s="522">
        <f t="shared" si="24"/>
        <v>58</v>
      </c>
      <c r="BS35" s="920"/>
      <c r="BT35" s="522"/>
      <c r="BU35" s="522">
        <f t="shared" si="36"/>
        <v>0</v>
      </c>
      <c r="BV35" s="522"/>
      <c r="BW35" s="522"/>
      <c r="BX35" s="522">
        <f t="shared" si="37"/>
        <v>0</v>
      </c>
      <c r="BY35" s="522"/>
      <c r="BZ35" s="522"/>
      <c r="CA35" s="522">
        <f t="shared" si="38"/>
        <v>0</v>
      </c>
      <c r="CB35" s="174">
        <f t="shared" si="25"/>
        <v>556</v>
      </c>
      <c r="CC35" s="174">
        <f t="shared" si="26"/>
        <v>140</v>
      </c>
      <c r="CD35" s="174">
        <f t="shared" si="27"/>
        <v>696</v>
      </c>
      <c r="CE35" s="175">
        <f t="shared" si="33"/>
        <v>61.777777777777779</v>
      </c>
      <c r="CF35" s="175">
        <f t="shared" si="34"/>
        <v>15.555555555555555</v>
      </c>
      <c r="CG35" s="175">
        <f t="shared" si="35"/>
        <v>77.333333333333329</v>
      </c>
      <c r="CH35" s="361"/>
      <c r="CI35" s="361"/>
      <c r="CJ35" s="361"/>
      <c r="CK35" s="361"/>
      <c r="CL35" s="361"/>
      <c r="CM35" s="361"/>
      <c r="CN35" s="361"/>
      <c r="CO35" s="361"/>
      <c r="CP35" s="361"/>
      <c r="CQ35" s="361"/>
      <c r="CR35" s="361"/>
      <c r="CS35" s="361"/>
      <c r="CT35" s="361"/>
      <c r="CU35" s="361"/>
      <c r="CV35" s="361"/>
      <c r="CW35" s="361"/>
      <c r="CX35" s="361"/>
      <c r="CY35" s="361"/>
      <c r="CZ35" s="361"/>
      <c r="DA35" s="361"/>
      <c r="DB35" s="361"/>
      <c r="DC35" s="361"/>
      <c r="DD35" s="361"/>
      <c r="DE35" s="361"/>
      <c r="DF35" s="361"/>
      <c r="DG35" s="361"/>
      <c r="DH35" s="361"/>
      <c r="DI35" s="361"/>
      <c r="DJ35" s="361"/>
      <c r="DK35" s="361"/>
      <c r="DL35" s="361"/>
      <c r="DM35" s="361"/>
      <c r="DN35" s="361"/>
      <c r="DO35" s="361"/>
      <c r="DP35" s="361"/>
      <c r="DQ35" s="361"/>
      <c r="DR35" s="361"/>
      <c r="DS35" s="361"/>
      <c r="DT35" s="361"/>
      <c r="DU35" s="361"/>
      <c r="DV35" s="361"/>
      <c r="DW35" s="361"/>
      <c r="DX35" s="361"/>
      <c r="DY35" s="361"/>
      <c r="DZ35" s="361"/>
      <c r="EA35" s="361"/>
      <c r="EB35" s="361"/>
      <c r="EC35" s="361"/>
      <c r="ED35" s="361"/>
      <c r="EE35" s="361"/>
      <c r="EF35" s="361"/>
      <c r="EG35" s="361"/>
      <c r="EH35" s="361"/>
      <c r="EI35" s="361"/>
      <c r="EJ35" s="361"/>
      <c r="EK35" s="361"/>
      <c r="EL35" s="361"/>
      <c r="EM35" s="361"/>
      <c r="EN35" s="361"/>
      <c r="EO35" s="361"/>
      <c r="EP35" s="361"/>
      <c r="EQ35" s="361"/>
      <c r="ER35" s="361"/>
      <c r="ES35" s="361"/>
      <c r="ET35" s="361"/>
      <c r="EU35" s="361"/>
      <c r="EV35" s="361"/>
      <c r="EW35" s="361"/>
      <c r="EX35" s="361"/>
      <c r="EY35" s="361"/>
      <c r="EZ35" s="361"/>
      <c r="FA35" s="361"/>
      <c r="FB35" s="361"/>
      <c r="FC35" s="361"/>
      <c r="FD35" s="361"/>
      <c r="FE35" s="361"/>
      <c r="FF35" s="361"/>
      <c r="FG35" s="361"/>
      <c r="FH35" s="361"/>
      <c r="FI35" s="361"/>
      <c r="FJ35" s="361"/>
      <c r="FK35" s="361"/>
      <c r="FL35" s="361"/>
    </row>
    <row r="36" spans="1:168" s="61" customFormat="1">
      <c r="A36" s="522">
        <v>29</v>
      </c>
      <c r="B36" s="698" t="s">
        <v>2959</v>
      </c>
      <c r="C36" s="522"/>
      <c r="D36" s="522" t="s">
        <v>2960</v>
      </c>
      <c r="E36" s="522" t="s">
        <v>2904</v>
      </c>
      <c r="F36" s="522">
        <v>0</v>
      </c>
      <c r="G36" s="718" t="s">
        <v>18</v>
      </c>
      <c r="H36" s="522"/>
      <c r="I36" s="522"/>
      <c r="J36" s="522">
        <f t="shared" si="1"/>
        <v>0</v>
      </c>
      <c r="K36" s="522">
        <v>440</v>
      </c>
      <c r="L36" s="522">
        <v>60</v>
      </c>
      <c r="M36" s="522">
        <f t="shared" si="2"/>
        <v>500</v>
      </c>
      <c r="N36" s="522">
        <v>730</v>
      </c>
      <c r="O36" s="522">
        <v>80</v>
      </c>
      <c r="P36" s="522">
        <f t="shared" si="3"/>
        <v>810</v>
      </c>
      <c r="Q36" s="522">
        <v>300</v>
      </c>
      <c r="R36" s="522"/>
      <c r="S36" s="522">
        <f t="shared" si="4"/>
        <v>300</v>
      </c>
      <c r="T36" s="522"/>
      <c r="U36" s="522">
        <v>100</v>
      </c>
      <c r="V36" s="522">
        <f t="shared" si="5"/>
        <v>100</v>
      </c>
      <c r="W36" s="522"/>
      <c r="X36" s="522"/>
      <c r="Y36" s="522">
        <f t="shared" si="6"/>
        <v>0</v>
      </c>
      <c r="Z36" s="522">
        <v>372</v>
      </c>
      <c r="AA36" s="522">
        <v>60</v>
      </c>
      <c r="AB36" s="522">
        <f t="shared" si="7"/>
        <v>432</v>
      </c>
      <c r="AC36" s="522"/>
      <c r="AD36" s="522"/>
      <c r="AE36" s="522">
        <f t="shared" si="8"/>
        <v>0</v>
      </c>
      <c r="AF36" s="522"/>
      <c r="AG36" s="522"/>
      <c r="AH36" s="522">
        <f t="shared" si="9"/>
        <v>0</v>
      </c>
      <c r="AI36" s="522"/>
      <c r="AJ36" s="522"/>
      <c r="AK36" s="522">
        <f t="shared" si="10"/>
        <v>0</v>
      </c>
      <c r="AL36" s="522"/>
      <c r="AM36" s="522"/>
      <c r="AN36" s="522">
        <f t="shared" si="11"/>
        <v>0</v>
      </c>
      <c r="AO36" s="522"/>
      <c r="AP36" s="522"/>
      <c r="AQ36" s="522">
        <f t="shared" si="12"/>
        <v>0</v>
      </c>
      <c r="AR36" s="522">
        <f t="shared" si="28"/>
        <v>1842</v>
      </c>
      <c r="AS36" s="522">
        <f t="shared" si="13"/>
        <v>300</v>
      </c>
      <c r="AT36" s="522">
        <f t="shared" si="14"/>
        <v>2142</v>
      </c>
      <c r="AU36" s="523">
        <f t="shared" si="15"/>
        <v>153.5</v>
      </c>
      <c r="AV36" s="523">
        <f t="shared" si="15"/>
        <v>25</v>
      </c>
      <c r="AW36" s="523">
        <f t="shared" si="16"/>
        <v>178.5</v>
      </c>
      <c r="AX36" s="523">
        <f t="shared" si="29"/>
        <v>76750</v>
      </c>
      <c r="AY36" s="523">
        <f t="shared" si="17"/>
        <v>15000</v>
      </c>
      <c r="AZ36" s="523">
        <f t="shared" si="18"/>
        <v>91750</v>
      </c>
      <c r="BA36" s="522">
        <v>350</v>
      </c>
      <c r="BB36" s="522">
        <v>100</v>
      </c>
      <c r="BC36" s="718">
        <f t="shared" si="19"/>
        <v>450</v>
      </c>
      <c r="BD36" s="522"/>
      <c r="BE36" s="522"/>
      <c r="BF36" s="718">
        <f t="shared" si="20"/>
        <v>0</v>
      </c>
      <c r="BG36" s="522">
        <v>900</v>
      </c>
      <c r="BH36" s="522"/>
      <c r="BI36" s="718">
        <f t="shared" si="21"/>
        <v>900</v>
      </c>
      <c r="BJ36" s="522"/>
      <c r="BK36" s="522"/>
      <c r="BL36" s="718">
        <f t="shared" si="22"/>
        <v>0</v>
      </c>
      <c r="BM36" s="522"/>
      <c r="BN36" s="522"/>
      <c r="BO36" s="522">
        <f t="shared" si="23"/>
        <v>0</v>
      </c>
      <c r="BP36" s="522"/>
      <c r="BQ36" s="522"/>
      <c r="BR36" s="522">
        <f t="shared" si="24"/>
        <v>0</v>
      </c>
      <c r="BS36" s="920">
        <v>500</v>
      </c>
      <c r="BT36" s="522"/>
      <c r="BU36" s="522">
        <f t="shared" si="36"/>
        <v>500</v>
      </c>
      <c r="BV36" s="522"/>
      <c r="BW36" s="522"/>
      <c r="BX36" s="522">
        <f t="shared" si="37"/>
        <v>0</v>
      </c>
      <c r="BY36" s="522"/>
      <c r="BZ36" s="522"/>
      <c r="CA36" s="522">
        <f t="shared" si="38"/>
        <v>0</v>
      </c>
      <c r="CB36" s="174">
        <f t="shared" si="25"/>
        <v>1750</v>
      </c>
      <c r="CC36" s="174">
        <f t="shared" si="26"/>
        <v>100</v>
      </c>
      <c r="CD36" s="174">
        <f t="shared" si="27"/>
        <v>1850</v>
      </c>
      <c r="CE36" s="175">
        <f t="shared" si="33"/>
        <v>194.44444444444446</v>
      </c>
      <c r="CF36" s="175">
        <f t="shared" si="34"/>
        <v>11.111111111111111</v>
      </c>
      <c r="CG36" s="175">
        <f t="shared" si="35"/>
        <v>205.55555555555554</v>
      </c>
      <c r="CH36" s="361"/>
      <c r="CI36" s="361"/>
      <c r="CJ36" s="361"/>
      <c r="CK36" s="361"/>
      <c r="CL36" s="361"/>
      <c r="CM36" s="361"/>
      <c r="CN36" s="361"/>
      <c r="CO36" s="361"/>
      <c r="CP36" s="361"/>
      <c r="CQ36" s="361"/>
      <c r="CR36" s="361"/>
      <c r="CS36" s="361"/>
      <c r="CT36" s="361"/>
      <c r="CU36" s="361"/>
      <c r="CV36" s="361"/>
      <c r="CW36" s="361"/>
      <c r="CX36" s="361"/>
      <c r="CY36" s="361"/>
      <c r="CZ36" s="361"/>
      <c r="DA36" s="361"/>
      <c r="DB36" s="361"/>
      <c r="DC36" s="361"/>
      <c r="DD36" s="361"/>
      <c r="DE36" s="361"/>
      <c r="DF36" s="361"/>
      <c r="DG36" s="361"/>
      <c r="DH36" s="361"/>
      <c r="DI36" s="361"/>
      <c r="DJ36" s="361"/>
      <c r="DK36" s="361"/>
      <c r="DL36" s="361"/>
      <c r="DM36" s="361"/>
      <c r="DN36" s="361"/>
      <c r="DO36" s="361"/>
      <c r="DP36" s="361"/>
      <c r="DQ36" s="361"/>
      <c r="DR36" s="361"/>
      <c r="DS36" s="361"/>
      <c r="DT36" s="361"/>
      <c r="DU36" s="361"/>
      <c r="DV36" s="361"/>
      <c r="DW36" s="361"/>
      <c r="DX36" s="361"/>
      <c r="DY36" s="361"/>
      <c r="DZ36" s="361"/>
      <c r="EA36" s="361"/>
      <c r="EB36" s="361"/>
      <c r="EC36" s="361"/>
      <c r="ED36" s="361"/>
      <c r="EE36" s="361"/>
      <c r="EF36" s="361"/>
      <c r="EG36" s="361"/>
      <c r="EH36" s="361"/>
      <c r="EI36" s="361"/>
      <c r="EJ36" s="361"/>
      <c r="EK36" s="361"/>
      <c r="EL36" s="361"/>
      <c r="EM36" s="361"/>
      <c r="EN36" s="361"/>
      <c r="EO36" s="361"/>
      <c r="EP36" s="361"/>
      <c r="EQ36" s="361"/>
      <c r="ER36" s="361"/>
      <c r="ES36" s="361"/>
      <c r="ET36" s="361"/>
      <c r="EU36" s="361"/>
      <c r="EV36" s="361"/>
      <c r="EW36" s="361"/>
      <c r="EX36" s="361"/>
      <c r="EY36" s="361"/>
      <c r="EZ36" s="361"/>
      <c r="FA36" s="361"/>
      <c r="FB36" s="361"/>
      <c r="FC36" s="361"/>
      <c r="FD36" s="361"/>
      <c r="FE36" s="361"/>
      <c r="FF36" s="361"/>
      <c r="FG36" s="361"/>
      <c r="FH36" s="361"/>
      <c r="FI36" s="361"/>
      <c r="FJ36" s="361"/>
      <c r="FK36" s="361"/>
      <c r="FL36" s="361"/>
    </row>
    <row r="37" spans="1:168">
      <c r="A37" s="6">
        <v>30</v>
      </c>
      <c r="B37" s="680" t="s">
        <v>2961</v>
      </c>
      <c r="C37" s="6"/>
      <c r="D37" s="6" t="s">
        <v>2962</v>
      </c>
      <c r="E37" s="6" t="s">
        <v>2904</v>
      </c>
      <c r="F37" s="6">
        <v>0</v>
      </c>
      <c r="G37" s="679" t="s">
        <v>18</v>
      </c>
      <c r="H37" s="1"/>
      <c r="I37" s="1"/>
      <c r="J37" s="1">
        <f t="shared" si="1"/>
        <v>0</v>
      </c>
      <c r="K37" s="1">
        <v>10</v>
      </c>
      <c r="L37" s="1"/>
      <c r="M37" s="1">
        <f t="shared" si="2"/>
        <v>10</v>
      </c>
      <c r="N37" s="1"/>
      <c r="O37" s="1"/>
      <c r="P37" s="1">
        <f t="shared" si="3"/>
        <v>0</v>
      </c>
      <c r="Q37" s="1"/>
      <c r="R37" s="1"/>
      <c r="S37" s="1">
        <f t="shared" si="4"/>
        <v>0</v>
      </c>
      <c r="T37" s="1"/>
      <c r="U37" s="1"/>
      <c r="V37" s="1">
        <f t="shared" si="5"/>
        <v>0</v>
      </c>
      <c r="W37" s="1"/>
      <c r="X37" s="1"/>
      <c r="Y37" s="1">
        <f t="shared" si="6"/>
        <v>0</v>
      </c>
      <c r="Z37" s="1"/>
      <c r="AA37" s="1"/>
      <c r="AB37" s="1">
        <f t="shared" si="7"/>
        <v>0</v>
      </c>
      <c r="AC37" s="1"/>
      <c r="AD37" s="1"/>
      <c r="AE37" s="1">
        <f t="shared" si="8"/>
        <v>0</v>
      </c>
      <c r="AF37" s="1"/>
      <c r="AG37" s="1"/>
      <c r="AH37" s="1">
        <f t="shared" si="9"/>
        <v>0</v>
      </c>
      <c r="AI37" s="1">
        <v>150</v>
      </c>
      <c r="AJ37" s="1"/>
      <c r="AK37" s="1">
        <f t="shared" si="10"/>
        <v>150</v>
      </c>
      <c r="AL37" s="1">
        <v>300</v>
      </c>
      <c r="AM37" s="1"/>
      <c r="AN37" s="1">
        <f t="shared" si="11"/>
        <v>300</v>
      </c>
      <c r="AO37" s="1"/>
      <c r="AP37" s="1"/>
      <c r="AQ37" s="1">
        <f t="shared" si="12"/>
        <v>0</v>
      </c>
      <c r="AR37" s="6">
        <f t="shared" si="28"/>
        <v>460</v>
      </c>
      <c r="AS37" s="6">
        <f t="shared" si="13"/>
        <v>0</v>
      </c>
      <c r="AT37" s="6">
        <f t="shared" si="14"/>
        <v>460</v>
      </c>
      <c r="AU37" s="494">
        <f t="shared" si="15"/>
        <v>38.333333333333336</v>
      </c>
      <c r="AV37" s="494">
        <f t="shared" si="15"/>
        <v>0</v>
      </c>
      <c r="AW37" s="494">
        <f t="shared" si="16"/>
        <v>38.333333333333336</v>
      </c>
      <c r="AX37" s="217">
        <f t="shared" si="29"/>
        <v>19166.666666666668</v>
      </c>
      <c r="AY37" s="217">
        <f t="shared" si="17"/>
        <v>0</v>
      </c>
      <c r="AZ37" s="217">
        <f t="shared" si="18"/>
        <v>19166.666666666668</v>
      </c>
      <c r="BA37" s="1"/>
      <c r="BB37" s="1"/>
      <c r="BC37" s="679">
        <f t="shared" si="19"/>
        <v>0</v>
      </c>
      <c r="BD37" s="1"/>
      <c r="BE37" s="1"/>
      <c r="BF37" s="679">
        <f t="shared" si="20"/>
        <v>0</v>
      </c>
      <c r="BG37" s="1">
        <v>200</v>
      </c>
      <c r="BH37" s="1"/>
      <c r="BI37" s="679">
        <f t="shared" si="21"/>
        <v>200</v>
      </c>
      <c r="BJ37" s="1"/>
      <c r="BK37" s="1"/>
      <c r="BL37" s="679">
        <f t="shared" si="22"/>
        <v>0</v>
      </c>
      <c r="BM37" s="6"/>
      <c r="BN37" s="6"/>
      <c r="BO37" s="6">
        <f t="shared" si="23"/>
        <v>0</v>
      </c>
      <c r="BP37" s="6"/>
      <c r="BQ37" s="6"/>
      <c r="BR37" s="6">
        <f t="shared" si="24"/>
        <v>0</v>
      </c>
      <c r="BS37" s="78"/>
      <c r="BT37" s="6"/>
      <c r="BU37" s="6">
        <f t="shared" ref="BU37:BU70" si="39">BS37+BT37</f>
        <v>0</v>
      </c>
      <c r="BV37" s="6"/>
      <c r="BW37" s="6"/>
      <c r="BX37" s="6">
        <f t="shared" ref="BX37:BX70" si="40">BV37+BW37</f>
        <v>0</v>
      </c>
      <c r="BY37" s="6"/>
      <c r="BZ37" s="6"/>
      <c r="CA37" s="6">
        <f t="shared" ref="CA37:CA70" si="41">BY37+BZ37</f>
        <v>0</v>
      </c>
      <c r="CB37" s="174">
        <f t="shared" si="25"/>
        <v>200</v>
      </c>
      <c r="CC37" s="174">
        <f t="shared" si="26"/>
        <v>0</v>
      </c>
      <c r="CD37" s="174">
        <f t="shared" si="27"/>
        <v>200</v>
      </c>
      <c r="CE37" s="175">
        <f t="shared" si="33"/>
        <v>22.222222222222221</v>
      </c>
      <c r="CF37" s="175">
        <f t="shared" si="34"/>
        <v>0</v>
      </c>
      <c r="CG37" s="175">
        <f t="shared" si="35"/>
        <v>22.222222222222221</v>
      </c>
    </row>
    <row r="38" spans="1:168">
      <c r="A38" s="6">
        <v>31</v>
      </c>
      <c r="B38" s="680" t="s">
        <v>2963</v>
      </c>
      <c r="C38" s="6"/>
      <c r="D38" s="6" t="s">
        <v>2964</v>
      </c>
      <c r="E38" s="6" t="s">
        <v>2904</v>
      </c>
      <c r="F38" s="6">
        <v>0</v>
      </c>
      <c r="G38" s="679" t="s">
        <v>18</v>
      </c>
      <c r="H38" s="1"/>
      <c r="I38" s="1"/>
      <c r="J38" s="1">
        <f t="shared" si="1"/>
        <v>0</v>
      </c>
      <c r="K38" s="1">
        <v>10</v>
      </c>
      <c r="L38" s="1"/>
      <c r="M38" s="1">
        <f t="shared" si="2"/>
        <v>10</v>
      </c>
      <c r="N38" s="1">
        <v>10</v>
      </c>
      <c r="O38" s="1"/>
      <c r="P38" s="1">
        <f t="shared" si="3"/>
        <v>10</v>
      </c>
      <c r="Q38" s="1"/>
      <c r="R38" s="1"/>
      <c r="S38" s="1">
        <f t="shared" si="4"/>
        <v>0</v>
      </c>
      <c r="T38" s="1">
        <v>20</v>
      </c>
      <c r="U38" s="1"/>
      <c r="V38" s="1">
        <f t="shared" si="5"/>
        <v>20</v>
      </c>
      <c r="W38" s="1"/>
      <c r="X38" s="1"/>
      <c r="Y38" s="1">
        <f t="shared" si="6"/>
        <v>0</v>
      </c>
      <c r="Z38" s="1">
        <v>20</v>
      </c>
      <c r="AA38" s="1"/>
      <c r="AB38" s="1">
        <f t="shared" si="7"/>
        <v>20</v>
      </c>
      <c r="AC38" s="1"/>
      <c r="AD38" s="1"/>
      <c r="AE38" s="1">
        <f t="shared" si="8"/>
        <v>0</v>
      </c>
      <c r="AF38" s="1"/>
      <c r="AG38" s="1"/>
      <c r="AH38" s="1">
        <f t="shared" si="9"/>
        <v>0</v>
      </c>
      <c r="AI38" s="1">
        <v>84</v>
      </c>
      <c r="AJ38" s="1"/>
      <c r="AK38" s="1">
        <f t="shared" si="10"/>
        <v>84</v>
      </c>
      <c r="AL38" s="1"/>
      <c r="AM38" s="1"/>
      <c r="AN38" s="1">
        <f t="shared" si="11"/>
        <v>0</v>
      </c>
      <c r="AO38" s="1"/>
      <c r="AP38" s="1"/>
      <c r="AQ38" s="1">
        <f t="shared" si="12"/>
        <v>0</v>
      </c>
      <c r="AR38" s="6">
        <f t="shared" si="28"/>
        <v>144</v>
      </c>
      <c r="AS38" s="6">
        <f t="shared" si="13"/>
        <v>0</v>
      </c>
      <c r="AT38" s="6">
        <f t="shared" si="14"/>
        <v>144</v>
      </c>
      <c r="AU38" s="494">
        <f t="shared" si="15"/>
        <v>12</v>
      </c>
      <c r="AV38" s="494">
        <f t="shared" si="15"/>
        <v>0</v>
      </c>
      <c r="AW38" s="494">
        <f t="shared" si="16"/>
        <v>12</v>
      </c>
      <c r="AX38" s="217">
        <f t="shared" si="29"/>
        <v>6000</v>
      </c>
      <c r="AY38" s="217">
        <f t="shared" si="17"/>
        <v>0</v>
      </c>
      <c r="AZ38" s="217">
        <f t="shared" si="18"/>
        <v>6000</v>
      </c>
      <c r="BA38" s="1">
        <v>109</v>
      </c>
      <c r="BB38" s="1"/>
      <c r="BC38" s="679">
        <f t="shared" si="19"/>
        <v>109</v>
      </c>
      <c r="BD38" s="1"/>
      <c r="BE38" s="1"/>
      <c r="BF38" s="679">
        <f t="shared" si="20"/>
        <v>0</v>
      </c>
      <c r="BG38" s="1"/>
      <c r="BH38" s="1"/>
      <c r="BI38" s="679">
        <f t="shared" si="21"/>
        <v>0</v>
      </c>
      <c r="BJ38" s="1">
        <v>66</v>
      </c>
      <c r="BK38" s="1"/>
      <c r="BL38" s="679">
        <f t="shared" si="22"/>
        <v>66</v>
      </c>
      <c r="BM38" s="6"/>
      <c r="BN38" s="6"/>
      <c r="BO38" s="6">
        <f t="shared" si="23"/>
        <v>0</v>
      </c>
      <c r="BP38" s="6"/>
      <c r="BQ38" s="6"/>
      <c r="BR38" s="6">
        <f t="shared" si="24"/>
        <v>0</v>
      </c>
      <c r="BS38" s="78"/>
      <c r="BT38" s="6"/>
      <c r="BU38" s="6">
        <f t="shared" si="39"/>
        <v>0</v>
      </c>
      <c r="BV38" s="6"/>
      <c r="BW38" s="6"/>
      <c r="BX38" s="6">
        <f t="shared" si="40"/>
        <v>0</v>
      </c>
      <c r="BY38" s="6"/>
      <c r="BZ38" s="6"/>
      <c r="CA38" s="6">
        <f t="shared" si="41"/>
        <v>0</v>
      </c>
      <c r="CB38" s="174">
        <f t="shared" si="25"/>
        <v>175</v>
      </c>
      <c r="CC38" s="174">
        <f t="shared" si="26"/>
        <v>0</v>
      </c>
      <c r="CD38" s="174">
        <f t="shared" si="27"/>
        <v>175</v>
      </c>
      <c r="CE38" s="175">
        <f t="shared" si="33"/>
        <v>19.444444444444443</v>
      </c>
      <c r="CF38" s="175">
        <f t="shared" si="34"/>
        <v>0</v>
      </c>
      <c r="CG38" s="175">
        <f t="shared" si="35"/>
        <v>19.444444444444443</v>
      </c>
    </row>
    <row r="39" spans="1:168">
      <c r="A39" s="6">
        <v>32</v>
      </c>
      <c r="B39" s="680" t="s">
        <v>2965</v>
      </c>
      <c r="C39" s="6"/>
      <c r="D39" s="6" t="s">
        <v>2966</v>
      </c>
      <c r="E39" s="6" t="s">
        <v>2904</v>
      </c>
      <c r="F39" s="6">
        <v>0</v>
      </c>
      <c r="G39" s="679" t="s">
        <v>15</v>
      </c>
      <c r="H39" s="1"/>
      <c r="I39" s="1"/>
      <c r="J39" s="1">
        <f t="shared" si="1"/>
        <v>0</v>
      </c>
      <c r="K39" s="1">
        <v>10</v>
      </c>
      <c r="L39" s="1"/>
      <c r="M39" s="1">
        <f t="shared" si="2"/>
        <v>10</v>
      </c>
      <c r="N39" s="1">
        <v>10</v>
      </c>
      <c r="O39" s="1"/>
      <c r="P39" s="1">
        <f t="shared" si="3"/>
        <v>10</v>
      </c>
      <c r="Q39" s="1"/>
      <c r="R39" s="1"/>
      <c r="S39" s="1">
        <f t="shared" si="4"/>
        <v>0</v>
      </c>
      <c r="T39" s="1"/>
      <c r="U39" s="1"/>
      <c r="V39" s="1">
        <f t="shared" si="5"/>
        <v>0</v>
      </c>
      <c r="W39" s="1"/>
      <c r="X39" s="1"/>
      <c r="Y39" s="1">
        <f t="shared" si="6"/>
        <v>0</v>
      </c>
      <c r="Z39" s="1"/>
      <c r="AA39" s="1"/>
      <c r="AB39" s="1">
        <f t="shared" si="7"/>
        <v>0</v>
      </c>
      <c r="AC39" s="1"/>
      <c r="AD39" s="1"/>
      <c r="AE39" s="1">
        <f t="shared" si="8"/>
        <v>0</v>
      </c>
      <c r="AF39" s="1">
        <v>30</v>
      </c>
      <c r="AG39" s="1"/>
      <c r="AH39" s="1">
        <f t="shared" si="9"/>
        <v>30</v>
      </c>
      <c r="AI39" s="1"/>
      <c r="AJ39" s="1"/>
      <c r="AK39" s="1">
        <f t="shared" si="10"/>
        <v>0</v>
      </c>
      <c r="AL39" s="1"/>
      <c r="AM39" s="1"/>
      <c r="AN39" s="1">
        <f t="shared" si="11"/>
        <v>0</v>
      </c>
      <c r="AO39" s="1"/>
      <c r="AP39" s="1"/>
      <c r="AQ39" s="1">
        <f t="shared" si="12"/>
        <v>0</v>
      </c>
      <c r="AR39" s="6">
        <f t="shared" si="28"/>
        <v>50</v>
      </c>
      <c r="AS39" s="6">
        <f t="shared" si="13"/>
        <v>0</v>
      </c>
      <c r="AT39" s="6">
        <f t="shared" si="14"/>
        <v>50</v>
      </c>
      <c r="AU39" s="494">
        <f t="shared" si="15"/>
        <v>4.166666666666667</v>
      </c>
      <c r="AV39" s="494">
        <f t="shared" si="15"/>
        <v>0</v>
      </c>
      <c r="AW39" s="494">
        <f t="shared" si="16"/>
        <v>4.166666666666667</v>
      </c>
      <c r="AX39" s="217">
        <f t="shared" si="29"/>
        <v>2083.3333333333335</v>
      </c>
      <c r="AY39" s="217">
        <f t="shared" si="17"/>
        <v>0</v>
      </c>
      <c r="AZ39" s="217">
        <f t="shared" si="18"/>
        <v>2083.3333333333335</v>
      </c>
      <c r="BA39" s="1"/>
      <c r="BB39" s="1"/>
      <c r="BC39" s="679">
        <f t="shared" si="19"/>
        <v>0</v>
      </c>
      <c r="BD39" s="1"/>
      <c r="BE39" s="1"/>
      <c r="BF39" s="679">
        <f t="shared" si="20"/>
        <v>0</v>
      </c>
      <c r="BG39" s="1">
        <v>100</v>
      </c>
      <c r="BH39" s="1"/>
      <c r="BI39" s="679">
        <f t="shared" si="21"/>
        <v>100</v>
      </c>
      <c r="BJ39" s="1"/>
      <c r="BK39" s="1"/>
      <c r="BL39" s="679">
        <f t="shared" si="22"/>
        <v>0</v>
      </c>
      <c r="BM39" s="6"/>
      <c r="BN39" s="6"/>
      <c r="BO39" s="6">
        <f t="shared" si="23"/>
        <v>0</v>
      </c>
      <c r="BP39" s="6"/>
      <c r="BQ39" s="6"/>
      <c r="BR39" s="6">
        <f t="shared" si="24"/>
        <v>0</v>
      </c>
      <c r="BS39" s="78"/>
      <c r="BT39" s="6"/>
      <c r="BU39" s="6">
        <f t="shared" si="39"/>
        <v>0</v>
      </c>
      <c r="BV39" s="6"/>
      <c r="BW39" s="6"/>
      <c r="BX39" s="6">
        <f t="shared" si="40"/>
        <v>0</v>
      </c>
      <c r="BY39" s="6"/>
      <c r="BZ39" s="6"/>
      <c r="CA39" s="6">
        <f t="shared" si="41"/>
        <v>0</v>
      </c>
      <c r="CB39" s="174">
        <f t="shared" si="25"/>
        <v>100</v>
      </c>
      <c r="CC39" s="174">
        <f t="shared" si="26"/>
        <v>0</v>
      </c>
      <c r="CD39" s="174">
        <f t="shared" si="27"/>
        <v>100</v>
      </c>
      <c r="CE39" s="175">
        <f t="shared" si="33"/>
        <v>11.111111111111111</v>
      </c>
      <c r="CF39" s="175">
        <f t="shared" si="34"/>
        <v>0</v>
      </c>
      <c r="CG39" s="175">
        <f t="shared" si="35"/>
        <v>11.111111111111111</v>
      </c>
    </row>
    <row r="40" spans="1:168">
      <c r="A40" s="6">
        <v>33</v>
      </c>
      <c r="B40" s="678" t="s">
        <v>2967</v>
      </c>
      <c r="C40" s="6"/>
      <c r="D40" s="6" t="s">
        <v>2968</v>
      </c>
      <c r="E40" s="6" t="s">
        <v>2904</v>
      </c>
      <c r="F40" s="6"/>
      <c r="G40" s="679" t="s">
        <v>18</v>
      </c>
      <c r="H40" s="1"/>
      <c r="I40" s="1"/>
      <c r="J40" s="1">
        <f t="shared" si="1"/>
        <v>0</v>
      </c>
      <c r="K40" s="1"/>
      <c r="L40" s="1"/>
      <c r="M40" s="1">
        <f t="shared" si="2"/>
        <v>0</v>
      </c>
      <c r="N40" s="1"/>
      <c r="O40" s="1"/>
      <c r="P40" s="1"/>
      <c r="Q40" s="1"/>
      <c r="R40" s="1"/>
      <c r="S40" s="1">
        <f t="shared" si="4"/>
        <v>0</v>
      </c>
      <c r="T40" s="1"/>
      <c r="U40" s="1"/>
      <c r="V40" s="1">
        <f t="shared" si="5"/>
        <v>0</v>
      </c>
      <c r="W40" s="1"/>
      <c r="X40" s="1"/>
      <c r="Y40" s="1">
        <f t="shared" si="6"/>
        <v>0</v>
      </c>
      <c r="Z40" s="1">
        <v>100</v>
      </c>
      <c r="AA40" s="1"/>
      <c r="AB40" s="1">
        <f t="shared" si="7"/>
        <v>100</v>
      </c>
      <c r="AC40" s="1"/>
      <c r="AD40" s="1"/>
      <c r="AE40" s="1">
        <f t="shared" si="8"/>
        <v>0</v>
      </c>
      <c r="AF40" s="1"/>
      <c r="AG40" s="1"/>
      <c r="AH40" s="1">
        <f t="shared" si="9"/>
        <v>0</v>
      </c>
      <c r="AI40" s="1"/>
      <c r="AJ40" s="1"/>
      <c r="AK40" s="1">
        <f t="shared" si="10"/>
        <v>0</v>
      </c>
      <c r="AL40" s="1"/>
      <c r="AM40" s="1"/>
      <c r="AN40" s="1">
        <f t="shared" si="11"/>
        <v>0</v>
      </c>
      <c r="AO40" s="1"/>
      <c r="AP40" s="1"/>
      <c r="AQ40" s="1">
        <f t="shared" si="12"/>
        <v>0</v>
      </c>
      <c r="AR40" s="6">
        <f t="shared" si="28"/>
        <v>100</v>
      </c>
      <c r="AS40" s="6">
        <f t="shared" si="13"/>
        <v>0</v>
      </c>
      <c r="AT40" s="6">
        <f t="shared" si="14"/>
        <v>100</v>
      </c>
      <c r="AU40" s="494">
        <f t="shared" si="15"/>
        <v>8.3333333333333339</v>
      </c>
      <c r="AV40" s="494">
        <f t="shared" si="15"/>
        <v>0</v>
      </c>
      <c r="AW40" s="494">
        <f t="shared" si="16"/>
        <v>8.3333333333333339</v>
      </c>
      <c r="AX40" s="217">
        <f t="shared" si="29"/>
        <v>4166.666666666667</v>
      </c>
      <c r="AY40" s="217">
        <f t="shared" si="17"/>
        <v>0</v>
      </c>
      <c r="AZ40" s="217">
        <f t="shared" si="18"/>
        <v>4166.666666666667</v>
      </c>
      <c r="BA40" s="1"/>
      <c r="BB40" s="1"/>
      <c r="BC40" s="679">
        <f t="shared" si="19"/>
        <v>0</v>
      </c>
      <c r="BD40" s="1"/>
      <c r="BE40" s="1"/>
      <c r="BF40" s="679">
        <f t="shared" si="20"/>
        <v>0</v>
      </c>
      <c r="BG40" s="1"/>
      <c r="BH40" s="1"/>
      <c r="BI40" s="679">
        <f t="shared" si="21"/>
        <v>0</v>
      </c>
      <c r="BJ40" s="1"/>
      <c r="BK40" s="1"/>
      <c r="BL40" s="679">
        <f t="shared" si="22"/>
        <v>0</v>
      </c>
      <c r="BM40" s="6"/>
      <c r="BN40" s="6"/>
      <c r="BO40" s="6">
        <f t="shared" si="23"/>
        <v>0</v>
      </c>
      <c r="BP40" s="6"/>
      <c r="BQ40" s="6"/>
      <c r="BR40" s="6">
        <f t="shared" si="24"/>
        <v>0</v>
      </c>
      <c r="BS40" s="78"/>
      <c r="BT40" s="6"/>
      <c r="BU40" s="6">
        <f t="shared" si="39"/>
        <v>0</v>
      </c>
      <c r="BV40" s="6"/>
      <c r="BW40" s="6"/>
      <c r="BX40" s="6">
        <f t="shared" si="40"/>
        <v>0</v>
      </c>
      <c r="BY40" s="6"/>
      <c r="BZ40" s="6"/>
      <c r="CA40" s="6">
        <f t="shared" si="41"/>
        <v>0</v>
      </c>
      <c r="CB40" s="174">
        <f t="shared" si="25"/>
        <v>0</v>
      </c>
      <c r="CC40" s="174">
        <f t="shared" si="26"/>
        <v>0</v>
      </c>
      <c r="CD40" s="174">
        <f t="shared" si="27"/>
        <v>0</v>
      </c>
      <c r="CE40" s="175">
        <f t="shared" si="33"/>
        <v>0</v>
      </c>
      <c r="CF40" s="175">
        <f t="shared" si="34"/>
        <v>0</v>
      </c>
      <c r="CG40" s="175">
        <f t="shared" si="35"/>
        <v>0</v>
      </c>
    </row>
    <row r="41" spans="1:168">
      <c r="A41" s="6">
        <v>34</v>
      </c>
      <c r="B41" s="678" t="s">
        <v>2969</v>
      </c>
      <c r="C41" s="6"/>
      <c r="D41" s="6" t="s">
        <v>2970</v>
      </c>
      <c r="E41" s="6" t="s">
        <v>2904</v>
      </c>
      <c r="F41" s="6"/>
      <c r="G41" s="679" t="s">
        <v>18</v>
      </c>
      <c r="H41" s="1"/>
      <c r="I41" s="1"/>
      <c r="J41" s="1">
        <f t="shared" si="1"/>
        <v>0</v>
      </c>
      <c r="K41" s="1"/>
      <c r="L41" s="1"/>
      <c r="M41" s="1">
        <f t="shared" si="2"/>
        <v>0</v>
      </c>
      <c r="N41" s="1"/>
      <c r="O41" s="1"/>
      <c r="P41" s="1"/>
      <c r="Q41" s="1"/>
      <c r="R41" s="1"/>
      <c r="S41" s="1">
        <f t="shared" si="4"/>
        <v>0</v>
      </c>
      <c r="T41" s="1"/>
      <c r="U41" s="1"/>
      <c r="V41" s="1">
        <f t="shared" si="5"/>
        <v>0</v>
      </c>
      <c r="W41" s="1"/>
      <c r="X41" s="1"/>
      <c r="Y41" s="1">
        <f t="shared" si="6"/>
        <v>0</v>
      </c>
      <c r="Z41" s="1"/>
      <c r="AA41" s="1"/>
      <c r="AB41" s="1">
        <f t="shared" si="7"/>
        <v>0</v>
      </c>
      <c r="AC41" s="1"/>
      <c r="AD41" s="1">
        <v>29</v>
      </c>
      <c r="AE41" s="1">
        <f t="shared" si="8"/>
        <v>29</v>
      </c>
      <c r="AF41" s="1"/>
      <c r="AG41" s="1"/>
      <c r="AH41" s="1">
        <f t="shared" si="9"/>
        <v>0</v>
      </c>
      <c r="AI41" s="1"/>
      <c r="AJ41" s="1"/>
      <c r="AK41" s="1">
        <f t="shared" si="10"/>
        <v>0</v>
      </c>
      <c r="AL41" s="1"/>
      <c r="AM41" s="1"/>
      <c r="AN41" s="1">
        <f t="shared" si="11"/>
        <v>0</v>
      </c>
      <c r="AO41" s="1"/>
      <c r="AP41" s="1"/>
      <c r="AQ41" s="1">
        <f t="shared" si="12"/>
        <v>0</v>
      </c>
      <c r="AR41" s="6">
        <f t="shared" si="28"/>
        <v>0</v>
      </c>
      <c r="AS41" s="6">
        <f t="shared" si="13"/>
        <v>0</v>
      </c>
      <c r="AT41" s="6">
        <f t="shared" si="14"/>
        <v>0</v>
      </c>
      <c r="AU41" s="494">
        <f t="shared" si="15"/>
        <v>0</v>
      </c>
      <c r="AV41" s="494">
        <f t="shared" si="15"/>
        <v>0</v>
      </c>
      <c r="AW41" s="494">
        <f t="shared" si="16"/>
        <v>0</v>
      </c>
      <c r="AX41" s="217">
        <f t="shared" si="29"/>
        <v>0</v>
      </c>
      <c r="AY41" s="217">
        <f t="shared" si="17"/>
        <v>0</v>
      </c>
      <c r="AZ41" s="217">
        <f t="shared" si="18"/>
        <v>0</v>
      </c>
      <c r="BA41" s="1"/>
      <c r="BB41" s="1"/>
      <c r="BC41" s="679">
        <f t="shared" si="19"/>
        <v>0</v>
      </c>
      <c r="BD41" s="1">
        <v>20</v>
      </c>
      <c r="BE41" s="1">
        <v>18</v>
      </c>
      <c r="BF41" s="679">
        <f t="shared" si="20"/>
        <v>38</v>
      </c>
      <c r="BG41" s="1"/>
      <c r="BH41" s="1"/>
      <c r="BI41" s="679">
        <f t="shared" si="21"/>
        <v>0</v>
      </c>
      <c r="BJ41" s="1"/>
      <c r="BK41" s="1"/>
      <c r="BL41" s="679">
        <f t="shared" si="22"/>
        <v>0</v>
      </c>
      <c r="BM41" s="6">
        <v>38</v>
      </c>
      <c r="BN41" s="6"/>
      <c r="BO41" s="6">
        <f t="shared" si="23"/>
        <v>38</v>
      </c>
      <c r="BP41" s="6"/>
      <c r="BQ41" s="6"/>
      <c r="BR41" s="6">
        <f t="shared" si="24"/>
        <v>0</v>
      </c>
      <c r="BS41" s="78"/>
      <c r="BT41" s="6"/>
      <c r="BU41" s="6">
        <f t="shared" si="39"/>
        <v>0</v>
      </c>
      <c r="BV41" s="6"/>
      <c r="BW41" s="6"/>
      <c r="BX41" s="6">
        <f t="shared" si="40"/>
        <v>0</v>
      </c>
      <c r="BY41" s="6"/>
      <c r="BZ41" s="6"/>
      <c r="CA41" s="6">
        <f t="shared" si="41"/>
        <v>0</v>
      </c>
      <c r="CB41" s="174">
        <f t="shared" si="25"/>
        <v>58</v>
      </c>
      <c r="CC41" s="174">
        <f t="shared" si="26"/>
        <v>18</v>
      </c>
      <c r="CD41" s="174">
        <f t="shared" si="27"/>
        <v>76</v>
      </c>
      <c r="CE41" s="175">
        <f t="shared" si="33"/>
        <v>6.4444444444444446</v>
      </c>
      <c r="CF41" s="175">
        <f t="shared" si="34"/>
        <v>2</v>
      </c>
      <c r="CG41" s="175">
        <f t="shared" si="35"/>
        <v>8.4444444444444446</v>
      </c>
    </row>
    <row r="42" spans="1:168">
      <c r="A42" s="6">
        <v>35</v>
      </c>
      <c r="B42" s="678" t="s">
        <v>2971</v>
      </c>
      <c r="C42" s="6"/>
      <c r="D42" s="6" t="s">
        <v>2972</v>
      </c>
      <c r="E42" s="6" t="s">
        <v>2904</v>
      </c>
      <c r="F42" s="6"/>
      <c r="G42" s="679" t="s">
        <v>18</v>
      </c>
      <c r="H42" s="1"/>
      <c r="I42" s="1"/>
      <c r="J42" s="1">
        <f t="shared" si="1"/>
        <v>0</v>
      </c>
      <c r="K42" s="1"/>
      <c r="L42" s="1"/>
      <c r="M42" s="1">
        <f t="shared" si="2"/>
        <v>0</v>
      </c>
      <c r="N42" s="1"/>
      <c r="O42" s="1"/>
      <c r="P42" s="1"/>
      <c r="Q42" s="1"/>
      <c r="R42" s="1"/>
      <c r="S42" s="1">
        <f t="shared" si="4"/>
        <v>0</v>
      </c>
      <c r="T42" s="1"/>
      <c r="U42" s="1"/>
      <c r="V42" s="1">
        <f t="shared" si="5"/>
        <v>0</v>
      </c>
      <c r="W42" s="1"/>
      <c r="X42" s="1"/>
      <c r="Y42" s="1">
        <f t="shared" si="6"/>
        <v>0</v>
      </c>
      <c r="Z42" s="1"/>
      <c r="AA42" s="1"/>
      <c r="AB42" s="1">
        <f t="shared" si="7"/>
        <v>0</v>
      </c>
      <c r="AC42" s="1">
        <v>58</v>
      </c>
      <c r="AD42" s="1"/>
      <c r="AE42" s="1">
        <f t="shared" si="8"/>
        <v>58</v>
      </c>
      <c r="AF42" s="1"/>
      <c r="AG42" s="1"/>
      <c r="AH42" s="1">
        <f t="shared" si="9"/>
        <v>0</v>
      </c>
      <c r="AI42" s="1"/>
      <c r="AJ42" s="1"/>
      <c r="AK42" s="1">
        <f t="shared" si="10"/>
        <v>0</v>
      </c>
      <c r="AL42" s="1"/>
      <c r="AM42" s="1"/>
      <c r="AN42" s="1">
        <f t="shared" si="11"/>
        <v>0</v>
      </c>
      <c r="AO42" s="1"/>
      <c r="AP42" s="1"/>
      <c r="AQ42" s="1">
        <f t="shared" si="12"/>
        <v>0</v>
      </c>
      <c r="AR42" s="6">
        <f t="shared" si="28"/>
        <v>58</v>
      </c>
      <c r="AS42" s="6">
        <f t="shared" si="13"/>
        <v>0</v>
      </c>
      <c r="AT42" s="6">
        <f t="shared" si="14"/>
        <v>58</v>
      </c>
      <c r="AU42" s="494">
        <f t="shared" si="15"/>
        <v>4.833333333333333</v>
      </c>
      <c r="AV42" s="494">
        <f t="shared" si="15"/>
        <v>0</v>
      </c>
      <c r="AW42" s="494">
        <f t="shared" si="16"/>
        <v>4.833333333333333</v>
      </c>
      <c r="AX42" s="217">
        <f t="shared" si="29"/>
        <v>2416.6666666666665</v>
      </c>
      <c r="AY42" s="217">
        <f t="shared" si="17"/>
        <v>0</v>
      </c>
      <c r="AZ42" s="217">
        <f t="shared" si="18"/>
        <v>2416.6666666666665</v>
      </c>
      <c r="BA42" s="1"/>
      <c r="BB42" s="1"/>
      <c r="BC42" s="679">
        <f t="shared" si="19"/>
        <v>0</v>
      </c>
      <c r="BD42" s="1"/>
      <c r="BE42" s="1"/>
      <c r="BF42" s="679">
        <f t="shared" si="20"/>
        <v>0</v>
      </c>
      <c r="BG42" s="1"/>
      <c r="BH42" s="1"/>
      <c r="BI42" s="679">
        <f t="shared" si="21"/>
        <v>0</v>
      </c>
      <c r="BJ42" s="1"/>
      <c r="BK42" s="1"/>
      <c r="BL42" s="679">
        <f t="shared" si="22"/>
        <v>0</v>
      </c>
      <c r="BM42" s="6"/>
      <c r="BN42" s="6"/>
      <c r="BO42" s="6">
        <f t="shared" si="23"/>
        <v>0</v>
      </c>
      <c r="BP42" s="6"/>
      <c r="BQ42" s="6"/>
      <c r="BR42" s="6">
        <f t="shared" si="24"/>
        <v>0</v>
      </c>
      <c r="BS42" s="78"/>
      <c r="BT42" s="6"/>
      <c r="BU42" s="6">
        <f t="shared" si="39"/>
        <v>0</v>
      </c>
      <c r="BV42" s="6"/>
      <c r="BW42" s="6"/>
      <c r="BX42" s="6">
        <f t="shared" si="40"/>
        <v>0</v>
      </c>
      <c r="BY42" s="6"/>
      <c r="BZ42" s="6"/>
      <c r="CA42" s="6">
        <f t="shared" si="41"/>
        <v>0</v>
      </c>
      <c r="CB42" s="174">
        <f t="shared" si="25"/>
        <v>0</v>
      </c>
      <c r="CC42" s="174">
        <f t="shared" si="26"/>
        <v>0</v>
      </c>
      <c r="CD42" s="174">
        <f t="shared" si="27"/>
        <v>0</v>
      </c>
      <c r="CE42" s="175">
        <f t="shared" si="33"/>
        <v>0</v>
      </c>
      <c r="CF42" s="175">
        <f t="shared" si="34"/>
        <v>0</v>
      </c>
      <c r="CG42" s="175">
        <f t="shared" si="35"/>
        <v>0</v>
      </c>
    </row>
    <row r="43" spans="1:168">
      <c r="A43" s="6">
        <v>36</v>
      </c>
      <c r="B43" s="678" t="s">
        <v>2973</v>
      </c>
      <c r="C43" s="6"/>
      <c r="D43" s="6" t="s">
        <v>2974</v>
      </c>
      <c r="E43" s="6" t="s">
        <v>2904</v>
      </c>
      <c r="F43" s="6"/>
      <c r="G43" s="679" t="s">
        <v>18</v>
      </c>
      <c r="H43" s="1"/>
      <c r="I43" s="1"/>
      <c r="J43" s="1">
        <f t="shared" si="1"/>
        <v>0</v>
      </c>
      <c r="K43" s="1"/>
      <c r="L43" s="1"/>
      <c r="M43" s="1">
        <f t="shared" si="2"/>
        <v>0</v>
      </c>
      <c r="N43" s="1"/>
      <c r="O43" s="1"/>
      <c r="P43" s="1"/>
      <c r="Q43" s="1"/>
      <c r="R43" s="1"/>
      <c r="S43" s="1">
        <f t="shared" si="4"/>
        <v>0</v>
      </c>
      <c r="T43" s="1"/>
      <c r="U43" s="1"/>
      <c r="V43" s="1">
        <f t="shared" si="5"/>
        <v>0</v>
      </c>
      <c r="W43" s="1"/>
      <c r="X43" s="1"/>
      <c r="Y43" s="1">
        <f t="shared" si="6"/>
        <v>0</v>
      </c>
      <c r="Z43" s="1"/>
      <c r="AA43" s="1"/>
      <c r="AB43" s="1">
        <f t="shared" si="7"/>
        <v>0</v>
      </c>
      <c r="AC43" s="1">
        <v>15</v>
      </c>
      <c r="AD43" s="1"/>
      <c r="AE43" s="1">
        <f t="shared" si="8"/>
        <v>15</v>
      </c>
      <c r="AF43" s="1"/>
      <c r="AG43" s="1"/>
      <c r="AH43" s="1">
        <f t="shared" si="9"/>
        <v>0</v>
      </c>
      <c r="AI43" s="1"/>
      <c r="AJ43" s="1"/>
      <c r="AK43" s="1">
        <f t="shared" si="10"/>
        <v>0</v>
      </c>
      <c r="AL43" s="1">
        <v>50</v>
      </c>
      <c r="AM43" s="1"/>
      <c r="AN43" s="1">
        <f t="shared" si="11"/>
        <v>50</v>
      </c>
      <c r="AO43" s="1"/>
      <c r="AP43" s="1"/>
      <c r="AQ43" s="1">
        <f t="shared" si="12"/>
        <v>0</v>
      </c>
      <c r="AR43" s="6">
        <f t="shared" si="28"/>
        <v>65</v>
      </c>
      <c r="AS43" s="6">
        <f t="shared" si="13"/>
        <v>0</v>
      </c>
      <c r="AT43" s="6">
        <f t="shared" si="14"/>
        <v>65</v>
      </c>
      <c r="AU43" s="494">
        <f t="shared" si="15"/>
        <v>5.416666666666667</v>
      </c>
      <c r="AV43" s="494">
        <f t="shared" si="15"/>
        <v>0</v>
      </c>
      <c r="AW43" s="494">
        <f t="shared" si="16"/>
        <v>5.416666666666667</v>
      </c>
      <c r="AX43" s="217">
        <f t="shared" si="29"/>
        <v>2708.3333333333335</v>
      </c>
      <c r="AY43" s="217">
        <f t="shared" si="17"/>
        <v>0</v>
      </c>
      <c r="AZ43" s="217">
        <f t="shared" si="18"/>
        <v>2708.3333333333335</v>
      </c>
      <c r="BA43" s="1"/>
      <c r="BB43" s="1"/>
      <c r="BC43" s="679">
        <f t="shared" si="19"/>
        <v>0</v>
      </c>
      <c r="BD43" s="1"/>
      <c r="BE43" s="1"/>
      <c r="BF43" s="679">
        <f t="shared" si="20"/>
        <v>0</v>
      </c>
      <c r="BG43" s="1"/>
      <c r="BH43" s="1"/>
      <c r="BI43" s="679">
        <f t="shared" si="21"/>
        <v>0</v>
      </c>
      <c r="BJ43" s="1"/>
      <c r="BK43" s="1"/>
      <c r="BL43" s="679">
        <f t="shared" si="22"/>
        <v>0</v>
      </c>
      <c r="BM43" s="6"/>
      <c r="BN43" s="6"/>
      <c r="BO43" s="6">
        <f t="shared" si="23"/>
        <v>0</v>
      </c>
      <c r="BP43" s="6"/>
      <c r="BQ43" s="6"/>
      <c r="BR43" s="6">
        <f t="shared" si="24"/>
        <v>0</v>
      </c>
      <c r="BS43" s="78"/>
      <c r="BT43" s="6"/>
      <c r="BU43" s="6">
        <f t="shared" si="39"/>
        <v>0</v>
      </c>
      <c r="BV43" s="6"/>
      <c r="BW43" s="6"/>
      <c r="BX43" s="6">
        <f t="shared" si="40"/>
        <v>0</v>
      </c>
      <c r="BY43" s="6"/>
      <c r="BZ43" s="6"/>
      <c r="CA43" s="6">
        <f t="shared" si="41"/>
        <v>0</v>
      </c>
      <c r="CB43" s="174">
        <f t="shared" si="25"/>
        <v>0</v>
      </c>
      <c r="CC43" s="174">
        <f t="shared" si="26"/>
        <v>0</v>
      </c>
      <c r="CD43" s="174">
        <f t="shared" si="27"/>
        <v>0</v>
      </c>
      <c r="CE43" s="175">
        <f t="shared" si="33"/>
        <v>0</v>
      </c>
      <c r="CF43" s="175">
        <f t="shared" si="34"/>
        <v>0</v>
      </c>
      <c r="CG43" s="175">
        <f t="shared" si="35"/>
        <v>0</v>
      </c>
    </row>
    <row r="44" spans="1:168">
      <c r="A44" s="6">
        <v>37</v>
      </c>
      <c r="B44" s="678" t="s">
        <v>2975</v>
      </c>
      <c r="C44" s="6"/>
      <c r="D44" s="6" t="s">
        <v>2976</v>
      </c>
      <c r="E44" s="6" t="s">
        <v>2904</v>
      </c>
      <c r="F44" s="6"/>
      <c r="G44" s="679" t="s">
        <v>18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>
        <v>15</v>
      </c>
      <c r="AJ44" s="1"/>
      <c r="AK44" s="1">
        <f t="shared" si="10"/>
        <v>15</v>
      </c>
      <c r="AL44" s="1"/>
      <c r="AM44" s="1"/>
      <c r="AN44" s="1">
        <f t="shared" si="11"/>
        <v>0</v>
      </c>
      <c r="AO44" s="1"/>
      <c r="AP44" s="1"/>
      <c r="AQ44" s="1">
        <f t="shared" si="12"/>
        <v>0</v>
      </c>
      <c r="AR44" s="6">
        <f t="shared" si="28"/>
        <v>15</v>
      </c>
      <c r="AS44" s="6">
        <f t="shared" si="13"/>
        <v>0</v>
      </c>
      <c r="AT44" s="6">
        <f t="shared" si="14"/>
        <v>15</v>
      </c>
      <c r="AU44" s="494">
        <f t="shared" si="15"/>
        <v>1.25</v>
      </c>
      <c r="AV44" s="494">
        <f t="shared" si="15"/>
        <v>0</v>
      </c>
      <c r="AW44" s="494">
        <f t="shared" si="16"/>
        <v>1.25</v>
      </c>
      <c r="AX44" s="217"/>
      <c r="AY44" s="217"/>
      <c r="AZ44" s="217"/>
      <c r="BA44" s="1"/>
      <c r="BB44" s="1"/>
      <c r="BC44" s="679">
        <f t="shared" si="19"/>
        <v>0</v>
      </c>
      <c r="BD44" s="1"/>
      <c r="BE44" s="1"/>
      <c r="BF44" s="679">
        <f t="shared" si="20"/>
        <v>0</v>
      </c>
      <c r="BG44" s="1">
        <v>20</v>
      </c>
      <c r="BH44" s="1"/>
      <c r="BI44" s="679">
        <f t="shared" si="21"/>
        <v>20</v>
      </c>
      <c r="BJ44" s="1"/>
      <c r="BK44" s="1"/>
      <c r="BL44" s="679">
        <f t="shared" si="22"/>
        <v>0</v>
      </c>
      <c r="BM44" s="6"/>
      <c r="BN44" s="6"/>
      <c r="BO44" s="6">
        <f t="shared" si="23"/>
        <v>0</v>
      </c>
      <c r="BP44" s="6"/>
      <c r="BQ44" s="6"/>
      <c r="BR44" s="6">
        <f t="shared" si="24"/>
        <v>0</v>
      </c>
      <c r="BS44" s="78"/>
      <c r="BT44" s="6"/>
      <c r="BU44" s="6">
        <f t="shared" si="39"/>
        <v>0</v>
      </c>
      <c r="BV44" s="6"/>
      <c r="BW44" s="6"/>
      <c r="BX44" s="6">
        <f t="shared" si="40"/>
        <v>0</v>
      </c>
      <c r="BY44" s="6"/>
      <c r="BZ44" s="6"/>
      <c r="CA44" s="6">
        <f t="shared" si="41"/>
        <v>0</v>
      </c>
      <c r="CB44" s="174">
        <f t="shared" si="25"/>
        <v>20</v>
      </c>
      <c r="CC44" s="174">
        <f t="shared" si="26"/>
        <v>0</v>
      </c>
      <c r="CD44" s="174">
        <f t="shared" si="27"/>
        <v>20</v>
      </c>
      <c r="CE44" s="175">
        <f t="shared" si="33"/>
        <v>2.2222222222222223</v>
      </c>
      <c r="CF44" s="175">
        <f t="shared" si="34"/>
        <v>0</v>
      </c>
      <c r="CG44" s="175">
        <f t="shared" si="35"/>
        <v>2.2222222222222223</v>
      </c>
    </row>
    <row r="45" spans="1:168">
      <c r="A45" s="6">
        <v>38</v>
      </c>
      <c r="B45" s="678" t="s">
        <v>2977</v>
      </c>
      <c r="C45" s="6"/>
      <c r="D45" s="6" t="s">
        <v>2978</v>
      </c>
      <c r="E45" s="6" t="s">
        <v>2904</v>
      </c>
      <c r="F45" s="6"/>
      <c r="G45" s="679" t="s">
        <v>15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>
        <v>10</v>
      </c>
      <c r="AJ45" s="1"/>
      <c r="AK45" s="1">
        <f t="shared" si="10"/>
        <v>10</v>
      </c>
      <c r="AL45" s="1"/>
      <c r="AM45" s="1"/>
      <c r="AN45" s="1">
        <f t="shared" si="11"/>
        <v>0</v>
      </c>
      <c r="AO45" s="1"/>
      <c r="AP45" s="1"/>
      <c r="AQ45" s="1">
        <f t="shared" si="12"/>
        <v>0</v>
      </c>
      <c r="AR45" s="6">
        <f t="shared" si="28"/>
        <v>10</v>
      </c>
      <c r="AS45" s="6">
        <f t="shared" si="13"/>
        <v>0</v>
      </c>
      <c r="AT45" s="6">
        <f t="shared" si="14"/>
        <v>10</v>
      </c>
      <c r="AU45" s="494">
        <f t="shared" si="15"/>
        <v>0.83333333333333337</v>
      </c>
      <c r="AV45" s="494">
        <f t="shared" si="15"/>
        <v>0</v>
      </c>
      <c r="AW45" s="494">
        <f t="shared" si="16"/>
        <v>0.83333333333333337</v>
      </c>
      <c r="AX45" s="217"/>
      <c r="AY45" s="217"/>
      <c r="AZ45" s="217"/>
      <c r="BA45" s="1"/>
      <c r="BB45" s="1"/>
      <c r="BC45" s="679">
        <f t="shared" si="19"/>
        <v>0</v>
      </c>
      <c r="BD45" s="1"/>
      <c r="BE45" s="1"/>
      <c r="BF45" s="679">
        <f t="shared" si="20"/>
        <v>0</v>
      </c>
      <c r="BG45" s="1"/>
      <c r="BH45" s="1"/>
      <c r="BI45" s="679">
        <f t="shared" si="21"/>
        <v>0</v>
      </c>
      <c r="BJ45" s="1"/>
      <c r="BK45" s="1"/>
      <c r="BL45" s="679">
        <f t="shared" si="22"/>
        <v>0</v>
      </c>
      <c r="BM45" s="6"/>
      <c r="BN45" s="6"/>
      <c r="BO45" s="6">
        <f t="shared" si="23"/>
        <v>0</v>
      </c>
      <c r="BP45" s="6"/>
      <c r="BQ45" s="6"/>
      <c r="BR45" s="6">
        <f t="shared" si="24"/>
        <v>0</v>
      </c>
      <c r="BS45" s="78"/>
      <c r="BT45" s="6"/>
      <c r="BU45" s="6">
        <f t="shared" si="39"/>
        <v>0</v>
      </c>
      <c r="BV45" s="6"/>
      <c r="BW45" s="6"/>
      <c r="BX45" s="6">
        <f t="shared" si="40"/>
        <v>0</v>
      </c>
      <c r="BY45" s="6"/>
      <c r="BZ45" s="6"/>
      <c r="CA45" s="6">
        <f t="shared" si="41"/>
        <v>0</v>
      </c>
      <c r="CB45" s="174">
        <f t="shared" si="25"/>
        <v>0</v>
      </c>
      <c r="CC45" s="174">
        <f t="shared" si="26"/>
        <v>0</v>
      </c>
      <c r="CD45" s="174">
        <f t="shared" si="27"/>
        <v>0</v>
      </c>
      <c r="CE45" s="175">
        <f t="shared" si="33"/>
        <v>0</v>
      </c>
      <c r="CF45" s="175">
        <f t="shared" si="34"/>
        <v>0</v>
      </c>
      <c r="CG45" s="175">
        <f t="shared" si="35"/>
        <v>0</v>
      </c>
    </row>
    <row r="46" spans="1:168">
      <c r="A46" s="6">
        <v>39</v>
      </c>
      <c r="B46" s="678" t="s">
        <v>2979</v>
      </c>
      <c r="C46" s="6"/>
      <c r="D46" s="6" t="s">
        <v>2980</v>
      </c>
      <c r="E46" s="6" t="s">
        <v>2904</v>
      </c>
      <c r="F46" s="6"/>
      <c r="G46" s="679" t="s">
        <v>18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>
        <v>25</v>
      </c>
      <c r="AJ46" s="1"/>
      <c r="AK46" s="1">
        <f t="shared" si="10"/>
        <v>25</v>
      </c>
      <c r="AL46" s="1"/>
      <c r="AM46" s="1"/>
      <c r="AN46" s="1">
        <f t="shared" si="11"/>
        <v>0</v>
      </c>
      <c r="AO46" s="1"/>
      <c r="AP46" s="1"/>
      <c r="AQ46" s="1">
        <f t="shared" si="12"/>
        <v>0</v>
      </c>
      <c r="AR46" s="6">
        <f t="shared" si="28"/>
        <v>25</v>
      </c>
      <c r="AS46" s="6">
        <f t="shared" si="13"/>
        <v>0</v>
      </c>
      <c r="AT46" s="6">
        <f t="shared" si="14"/>
        <v>25</v>
      </c>
      <c r="AU46" s="494">
        <f t="shared" si="15"/>
        <v>2.0833333333333335</v>
      </c>
      <c r="AV46" s="494">
        <f t="shared" si="15"/>
        <v>0</v>
      </c>
      <c r="AW46" s="494">
        <f t="shared" si="16"/>
        <v>2.0833333333333335</v>
      </c>
      <c r="AX46" s="217"/>
      <c r="AY46" s="217"/>
      <c r="AZ46" s="217"/>
      <c r="BA46" s="1">
        <v>10</v>
      </c>
      <c r="BB46" s="1"/>
      <c r="BC46" s="679">
        <f t="shared" si="19"/>
        <v>10</v>
      </c>
      <c r="BD46" s="1"/>
      <c r="BE46" s="1"/>
      <c r="BF46" s="679">
        <f t="shared" si="20"/>
        <v>0</v>
      </c>
      <c r="BG46" s="1"/>
      <c r="BH46" s="1"/>
      <c r="BI46" s="679">
        <f t="shared" si="21"/>
        <v>0</v>
      </c>
      <c r="BJ46" s="1">
        <v>10</v>
      </c>
      <c r="BK46" s="1"/>
      <c r="BL46" s="679">
        <f t="shared" si="22"/>
        <v>10</v>
      </c>
      <c r="BM46" s="6">
        <v>10</v>
      </c>
      <c r="BN46" s="6"/>
      <c r="BO46" s="6">
        <f t="shared" si="23"/>
        <v>10</v>
      </c>
      <c r="BP46" s="6"/>
      <c r="BQ46" s="6"/>
      <c r="BR46" s="6">
        <f t="shared" si="24"/>
        <v>0</v>
      </c>
      <c r="BS46" s="78"/>
      <c r="BT46" s="6"/>
      <c r="BU46" s="6">
        <f t="shared" si="39"/>
        <v>0</v>
      </c>
      <c r="BV46" s="6"/>
      <c r="BW46" s="6"/>
      <c r="BX46" s="6">
        <f t="shared" si="40"/>
        <v>0</v>
      </c>
      <c r="BY46" s="6"/>
      <c r="BZ46" s="6"/>
      <c r="CA46" s="6">
        <f t="shared" si="41"/>
        <v>0</v>
      </c>
      <c r="CB46" s="174">
        <f t="shared" si="25"/>
        <v>30</v>
      </c>
      <c r="CC46" s="174">
        <f t="shared" si="26"/>
        <v>0</v>
      </c>
      <c r="CD46" s="174">
        <f t="shared" si="27"/>
        <v>30</v>
      </c>
      <c r="CE46" s="175">
        <f t="shared" si="33"/>
        <v>3.3333333333333335</v>
      </c>
      <c r="CF46" s="175">
        <f t="shared" si="34"/>
        <v>0</v>
      </c>
      <c r="CG46" s="175">
        <f t="shared" si="35"/>
        <v>3.3333333333333335</v>
      </c>
    </row>
    <row r="47" spans="1:168">
      <c r="A47" s="6">
        <v>40</v>
      </c>
      <c r="B47" s="678" t="s">
        <v>2981</v>
      </c>
      <c r="C47" s="6"/>
      <c r="D47" s="6" t="s">
        <v>2982</v>
      </c>
      <c r="E47" s="6" t="s">
        <v>2904</v>
      </c>
      <c r="F47" s="6"/>
      <c r="G47" s="679" t="s">
        <v>18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>
        <v>10</v>
      </c>
      <c r="AJ47" s="1"/>
      <c r="AK47" s="1">
        <f t="shared" si="10"/>
        <v>10</v>
      </c>
      <c r="AL47" s="1"/>
      <c r="AM47" s="1"/>
      <c r="AN47" s="1">
        <f t="shared" si="11"/>
        <v>0</v>
      </c>
      <c r="AO47" s="1">
        <v>15</v>
      </c>
      <c r="AP47" s="1"/>
      <c r="AQ47" s="1">
        <f t="shared" si="12"/>
        <v>15</v>
      </c>
      <c r="AR47" s="6">
        <f t="shared" si="28"/>
        <v>25</v>
      </c>
      <c r="AS47" s="6">
        <f t="shared" si="13"/>
        <v>0</v>
      </c>
      <c r="AT47" s="6">
        <f t="shared" si="14"/>
        <v>25</v>
      </c>
      <c r="AU47" s="494">
        <f t="shared" si="15"/>
        <v>2.0833333333333335</v>
      </c>
      <c r="AV47" s="494">
        <f t="shared" si="15"/>
        <v>0</v>
      </c>
      <c r="AW47" s="494">
        <f t="shared" si="16"/>
        <v>2.0833333333333335</v>
      </c>
      <c r="AX47" s="217"/>
      <c r="AY47" s="217"/>
      <c r="AZ47" s="217"/>
      <c r="BA47" s="1"/>
      <c r="BB47" s="1"/>
      <c r="BC47" s="679">
        <f t="shared" si="19"/>
        <v>0</v>
      </c>
      <c r="BD47" s="1"/>
      <c r="BE47" s="1"/>
      <c r="BF47" s="679">
        <f t="shared" si="20"/>
        <v>0</v>
      </c>
      <c r="BG47" s="1"/>
      <c r="BH47" s="1"/>
      <c r="BI47" s="679">
        <f t="shared" si="21"/>
        <v>0</v>
      </c>
      <c r="BJ47" s="1">
        <v>10</v>
      </c>
      <c r="BK47" s="1"/>
      <c r="BL47" s="679">
        <f t="shared" si="22"/>
        <v>10</v>
      </c>
      <c r="BM47" s="6"/>
      <c r="BN47" s="6"/>
      <c r="BO47" s="6">
        <f t="shared" si="23"/>
        <v>0</v>
      </c>
      <c r="BP47" s="6"/>
      <c r="BQ47" s="6"/>
      <c r="BR47" s="6">
        <f t="shared" si="24"/>
        <v>0</v>
      </c>
      <c r="BS47" s="78"/>
      <c r="BT47" s="6"/>
      <c r="BU47" s="6">
        <f t="shared" si="39"/>
        <v>0</v>
      </c>
      <c r="BV47" s="6"/>
      <c r="BW47" s="6"/>
      <c r="BX47" s="6">
        <f t="shared" si="40"/>
        <v>0</v>
      </c>
      <c r="BY47" s="6"/>
      <c r="BZ47" s="6"/>
      <c r="CA47" s="6">
        <f t="shared" si="41"/>
        <v>0</v>
      </c>
      <c r="CB47" s="174">
        <f t="shared" si="25"/>
        <v>10</v>
      </c>
      <c r="CC47" s="174">
        <f t="shared" si="26"/>
        <v>0</v>
      </c>
      <c r="CD47" s="174">
        <f t="shared" si="27"/>
        <v>10</v>
      </c>
      <c r="CE47" s="175">
        <f t="shared" si="33"/>
        <v>1.1111111111111112</v>
      </c>
      <c r="CF47" s="175">
        <f t="shared" si="34"/>
        <v>0</v>
      </c>
      <c r="CG47" s="175">
        <f t="shared" si="35"/>
        <v>1.1111111111111112</v>
      </c>
    </row>
    <row r="48" spans="1:168">
      <c r="A48" s="6">
        <v>41</v>
      </c>
      <c r="B48" s="678" t="s">
        <v>2983</v>
      </c>
      <c r="C48" s="6"/>
      <c r="D48" s="6" t="s">
        <v>2984</v>
      </c>
      <c r="E48" s="6" t="s">
        <v>2904</v>
      </c>
      <c r="F48" s="6"/>
      <c r="G48" s="679" t="s">
        <v>15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>
        <v>20</v>
      </c>
      <c r="AJ48" s="1"/>
      <c r="AK48" s="1">
        <f t="shared" si="10"/>
        <v>20</v>
      </c>
      <c r="AL48" s="1">
        <v>54</v>
      </c>
      <c r="AM48" s="1"/>
      <c r="AN48" s="1">
        <f t="shared" si="11"/>
        <v>54</v>
      </c>
      <c r="AO48" s="1"/>
      <c r="AP48" s="1"/>
      <c r="AQ48" s="1">
        <f t="shared" si="12"/>
        <v>0</v>
      </c>
      <c r="AR48" s="6">
        <f t="shared" si="28"/>
        <v>74</v>
      </c>
      <c r="AS48" s="6">
        <f t="shared" si="13"/>
        <v>0</v>
      </c>
      <c r="AT48" s="6">
        <f t="shared" si="14"/>
        <v>74</v>
      </c>
      <c r="AU48" s="494">
        <f t="shared" si="15"/>
        <v>6.166666666666667</v>
      </c>
      <c r="AV48" s="494">
        <f t="shared" si="15"/>
        <v>0</v>
      </c>
      <c r="AW48" s="494">
        <f t="shared" si="16"/>
        <v>6.166666666666667</v>
      </c>
      <c r="AX48" s="217"/>
      <c r="AY48" s="217"/>
      <c r="AZ48" s="217"/>
      <c r="BA48" s="1">
        <v>120</v>
      </c>
      <c r="BB48" s="1"/>
      <c r="BC48" s="679">
        <f t="shared" si="19"/>
        <v>120</v>
      </c>
      <c r="BD48" s="1"/>
      <c r="BE48" s="1"/>
      <c r="BF48" s="679">
        <f t="shared" si="20"/>
        <v>0</v>
      </c>
      <c r="BG48" s="1">
        <v>198</v>
      </c>
      <c r="BH48" s="1"/>
      <c r="BI48" s="679">
        <f t="shared" si="21"/>
        <v>198</v>
      </c>
      <c r="BJ48" s="1">
        <v>20</v>
      </c>
      <c r="BK48" s="1"/>
      <c r="BL48" s="679">
        <f t="shared" si="22"/>
        <v>20</v>
      </c>
      <c r="BM48" s="6"/>
      <c r="BN48" s="6"/>
      <c r="BO48" s="6">
        <f t="shared" si="23"/>
        <v>0</v>
      </c>
      <c r="BP48" s="6">
        <v>180</v>
      </c>
      <c r="BQ48" s="6"/>
      <c r="BR48" s="6">
        <f t="shared" si="24"/>
        <v>180</v>
      </c>
      <c r="BS48" s="78"/>
      <c r="BT48" s="6"/>
      <c r="BU48" s="6">
        <f t="shared" si="39"/>
        <v>0</v>
      </c>
      <c r="BV48" s="6"/>
      <c r="BW48" s="6"/>
      <c r="BX48" s="6">
        <f t="shared" si="40"/>
        <v>0</v>
      </c>
      <c r="BY48" s="6"/>
      <c r="BZ48" s="6"/>
      <c r="CA48" s="6">
        <f t="shared" si="41"/>
        <v>0</v>
      </c>
      <c r="CB48" s="174">
        <f t="shared" si="25"/>
        <v>518</v>
      </c>
      <c r="CC48" s="174">
        <f t="shared" si="26"/>
        <v>0</v>
      </c>
      <c r="CD48" s="174">
        <f t="shared" si="27"/>
        <v>518</v>
      </c>
      <c r="CE48" s="175">
        <f t="shared" si="33"/>
        <v>57.555555555555557</v>
      </c>
      <c r="CF48" s="175">
        <f t="shared" si="34"/>
        <v>0</v>
      </c>
      <c r="CG48" s="175">
        <f t="shared" si="35"/>
        <v>57.555555555555557</v>
      </c>
    </row>
    <row r="49" spans="1:85">
      <c r="A49" s="6">
        <v>42</v>
      </c>
      <c r="B49" s="678" t="s">
        <v>2985</v>
      </c>
      <c r="C49" s="6"/>
      <c r="D49" s="6" t="s">
        <v>2986</v>
      </c>
      <c r="E49" s="6" t="s">
        <v>2904</v>
      </c>
      <c r="F49" s="6"/>
      <c r="G49" s="679" t="s">
        <v>15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>
        <v>160</v>
      </c>
      <c r="AJ49" s="1"/>
      <c r="AK49" s="1">
        <f t="shared" si="10"/>
        <v>160</v>
      </c>
      <c r="AL49" s="1">
        <v>160</v>
      </c>
      <c r="AM49" s="1"/>
      <c r="AN49" s="1">
        <f t="shared" si="11"/>
        <v>160</v>
      </c>
      <c r="AO49" s="1"/>
      <c r="AP49" s="1"/>
      <c r="AQ49" s="1">
        <f t="shared" si="12"/>
        <v>0</v>
      </c>
      <c r="AR49" s="6">
        <f t="shared" si="28"/>
        <v>320</v>
      </c>
      <c r="AS49" s="6">
        <f t="shared" si="13"/>
        <v>0</v>
      </c>
      <c r="AT49" s="6">
        <f t="shared" si="14"/>
        <v>320</v>
      </c>
      <c r="AU49" s="494">
        <f t="shared" si="15"/>
        <v>26.666666666666668</v>
      </c>
      <c r="AV49" s="494">
        <f t="shared" si="15"/>
        <v>0</v>
      </c>
      <c r="AW49" s="494">
        <f t="shared" si="16"/>
        <v>26.666666666666668</v>
      </c>
      <c r="AX49" s="217"/>
      <c r="AY49" s="217"/>
      <c r="AZ49" s="217"/>
      <c r="BA49" s="1">
        <v>310</v>
      </c>
      <c r="BB49" s="1"/>
      <c r="BC49" s="679">
        <f t="shared" si="19"/>
        <v>310</v>
      </c>
      <c r="BD49" s="1"/>
      <c r="BE49" s="1"/>
      <c r="BF49" s="679">
        <f t="shared" si="20"/>
        <v>0</v>
      </c>
      <c r="BG49" s="1">
        <v>500</v>
      </c>
      <c r="BH49" s="1"/>
      <c r="BI49" s="679">
        <f t="shared" si="21"/>
        <v>500</v>
      </c>
      <c r="BJ49" s="1">
        <v>26</v>
      </c>
      <c r="BK49" s="1"/>
      <c r="BL49" s="679">
        <f t="shared" si="22"/>
        <v>26</v>
      </c>
      <c r="BM49" s="6"/>
      <c r="BN49" s="6"/>
      <c r="BO49" s="6">
        <f t="shared" si="23"/>
        <v>0</v>
      </c>
      <c r="BP49" s="6"/>
      <c r="BQ49" s="6"/>
      <c r="BR49" s="6">
        <f t="shared" si="24"/>
        <v>0</v>
      </c>
      <c r="BS49" s="78"/>
      <c r="BT49" s="6"/>
      <c r="BU49" s="6">
        <f t="shared" si="39"/>
        <v>0</v>
      </c>
      <c r="BV49" s="6"/>
      <c r="BW49" s="6"/>
      <c r="BX49" s="6">
        <f t="shared" si="40"/>
        <v>0</v>
      </c>
      <c r="BY49" s="6"/>
      <c r="BZ49" s="6"/>
      <c r="CA49" s="6">
        <f t="shared" si="41"/>
        <v>0</v>
      </c>
      <c r="CB49" s="174">
        <f t="shared" si="25"/>
        <v>836</v>
      </c>
      <c r="CC49" s="174">
        <f t="shared" si="26"/>
        <v>0</v>
      </c>
      <c r="CD49" s="174">
        <f t="shared" si="27"/>
        <v>836</v>
      </c>
      <c r="CE49" s="175">
        <f t="shared" si="33"/>
        <v>92.888888888888886</v>
      </c>
      <c r="CF49" s="175">
        <f t="shared" si="34"/>
        <v>0</v>
      </c>
      <c r="CG49" s="175">
        <f t="shared" si="35"/>
        <v>92.888888888888886</v>
      </c>
    </row>
    <row r="50" spans="1:85">
      <c r="A50" s="6">
        <v>43</v>
      </c>
      <c r="B50" s="678" t="s">
        <v>2987</v>
      </c>
      <c r="C50" s="6"/>
      <c r="D50" s="6" t="s">
        <v>2988</v>
      </c>
      <c r="E50" s="6" t="s">
        <v>2904</v>
      </c>
      <c r="F50" s="6"/>
      <c r="G50" s="679" t="s">
        <v>18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>
        <v>25</v>
      </c>
      <c r="AJ50" s="1"/>
      <c r="AK50" s="1">
        <f t="shared" si="10"/>
        <v>25</v>
      </c>
      <c r="AL50" s="1"/>
      <c r="AM50" s="1"/>
      <c r="AN50" s="1">
        <f t="shared" si="11"/>
        <v>0</v>
      </c>
      <c r="AO50" s="1"/>
      <c r="AP50" s="1"/>
      <c r="AQ50" s="1">
        <f t="shared" si="12"/>
        <v>0</v>
      </c>
      <c r="AR50" s="6">
        <f t="shared" si="28"/>
        <v>25</v>
      </c>
      <c r="AS50" s="6">
        <f t="shared" si="13"/>
        <v>0</v>
      </c>
      <c r="AT50" s="6">
        <f t="shared" si="14"/>
        <v>25</v>
      </c>
      <c r="AU50" s="494">
        <f t="shared" si="15"/>
        <v>2.0833333333333335</v>
      </c>
      <c r="AV50" s="494">
        <f t="shared" si="15"/>
        <v>0</v>
      </c>
      <c r="AW50" s="494">
        <f t="shared" si="16"/>
        <v>2.0833333333333335</v>
      </c>
      <c r="AX50" s="217"/>
      <c r="AY50" s="217"/>
      <c r="AZ50" s="217"/>
      <c r="BA50" s="1">
        <v>18</v>
      </c>
      <c r="BB50" s="1"/>
      <c r="BC50" s="679">
        <f t="shared" si="19"/>
        <v>18</v>
      </c>
      <c r="BD50" s="1"/>
      <c r="BE50" s="1"/>
      <c r="BF50" s="679">
        <f t="shared" si="20"/>
        <v>0</v>
      </c>
      <c r="BG50" s="1"/>
      <c r="BH50" s="1"/>
      <c r="BI50" s="679">
        <f t="shared" si="21"/>
        <v>0</v>
      </c>
      <c r="BJ50" s="1"/>
      <c r="BK50" s="1"/>
      <c r="BL50" s="679">
        <f t="shared" si="22"/>
        <v>0</v>
      </c>
      <c r="BM50" s="6">
        <v>9</v>
      </c>
      <c r="BN50" s="6"/>
      <c r="BO50" s="6">
        <f t="shared" si="23"/>
        <v>9</v>
      </c>
      <c r="BP50" s="6"/>
      <c r="BQ50" s="6"/>
      <c r="BR50" s="6">
        <f t="shared" si="24"/>
        <v>0</v>
      </c>
      <c r="BS50" s="78"/>
      <c r="BT50" s="6"/>
      <c r="BU50" s="6">
        <f t="shared" si="39"/>
        <v>0</v>
      </c>
      <c r="BV50" s="6"/>
      <c r="BW50" s="6"/>
      <c r="BX50" s="6">
        <f t="shared" si="40"/>
        <v>0</v>
      </c>
      <c r="BY50" s="6"/>
      <c r="BZ50" s="6"/>
      <c r="CA50" s="6">
        <f t="shared" si="41"/>
        <v>0</v>
      </c>
      <c r="CB50" s="174">
        <f t="shared" si="25"/>
        <v>27</v>
      </c>
      <c r="CC50" s="174">
        <f t="shared" si="26"/>
        <v>0</v>
      </c>
      <c r="CD50" s="174">
        <f t="shared" si="27"/>
        <v>27</v>
      </c>
      <c r="CE50" s="175">
        <f t="shared" si="33"/>
        <v>3</v>
      </c>
      <c r="CF50" s="175">
        <f t="shared" si="34"/>
        <v>0</v>
      </c>
      <c r="CG50" s="175">
        <f t="shared" si="35"/>
        <v>3</v>
      </c>
    </row>
    <row r="51" spans="1:85">
      <c r="A51" s="6">
        <v>44</v>
      </c>
      <c r="B51" s="678" t="s">
        <v>2989</v>
      </c>
      <c r="C51" s="6"/>
      <c r="D51" s="6" t="s">
        <v>2990</v>
      </c>
      <c r="E51" s="6" t="s">
        <v>2904</v>
      </c>
      <c r="F51" s="6"/>
      <c r="G51" s="679" t="s">
        <v>15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>
        <v>25</v>
      </c>
      <c r="AJ51" s="1"/>
      <c r="AK51" s="1">
        <f t="shared" si="10"/>
        <v>25</v>
      </c>
      <c r="AL51" s="1"/>
      <c r="AM51" s="1"/>
      <c r="AN51" s="1">
        <f t="shared" si="11"/>
        <v>0</v>
      </c>
      <c r="AO51" s="1"/>
      <c r="AP51" s="1"/>
      <c r="AQ51" s="1">
        <f t="shared" si="12"/>
        <v>0</v>
      </c>
      <c r="AR51" s="6">
        <f t="shared" si="28"/>
        <v>25</v>
      </c>
      <c r="AS51" s="6">
        <f t="shared" si="13"/>
        <v>0</v>
      </c>
      <c r="AT51" s="6">
        <f t="shared" si="14"/>
        <v>25</v>
      </c>
      <c r="AU51" s="494">
        <f t="shared" si="15"/>
        <v>2.0833333333333335</v>
      </c>
      <c r="AV51" s="494">
        <f t="shared" si="15"/>
        <v>0</v>
      </c>
      <c r="AW51" s="494">
        <f t="shared" si="16"/>
        <v>2.0833333333333335</v>
      </c>
      <c r="AX51" s="217"/>
      <c r="AY51" s="217"/>
      <c r="AZ51" s="217"/>
      <c r="BA51" s="1"/>
      <c r="BB51" s="1"/>
      <c r="BC51" s="679">
        <f t="shared" si="19"/>
        <v>0</v>
      </c>
      <c r="BD51" s="1"/>
      <c r="BE51" s="1"/>
      <c r="BF51" s="679">
        <f t="shared" si="20"/>
        <v>0</v>
      </c>
      <c r="BG51" s="1"/>
      <c r="BH51" s="1"/>
      <c r="BI51" s="679">
        <f t="shared" si="21"/>
        <v>0</v>
      </c>
      <c r="BJ51" s="1"/>
      <c r="BK51" s="1"/>
      <c r="BL51" s="679">
        <f t="shared" si="22"/>
        <v>0</v>
      </c>
      <c r="BM51" s="6"/>
      <c r="BN51" s="6"/>
      <c r="BO51" s="6">
        <f t="shared" si="23"/>
        <v>0</v>
      </c>
      <c r="BP51" s="6"/>
      <c r="BQ51" s="6"/>
      <c r="BR51" s="6">
        <f t="shared" si="24"/>
        <v>0</v>
      </c>
      <c r="BS51" s="78"/>
      <c r="BT51" s="6"/>
      <c r="BU51" s="6">
        <f t="shared" si="39"/>
        <v>0</v>
      </c>
      <c r="BV51" s="6"/>
      <c r="BW51" s="6"/>
      <c r="BX51" s="6">
        <f t="shared" si="40"/>
        <v>0</v>
      </c>
      <c r="BY51" s="6"/>
      <c r="BZ51" s="6"/>
      <c r="CA51" s="6">
        <f t="shared" si="41"/>
        <v>0</v>
      </c>
      <c r="CB51" s="174">
        <f t="shared" si="25"/>
        <v>0</v>
      </c>
      <c r="CC51" s="174">
        <f t="shared" si="26"/>
        <v>0</v>
      </c>
      <c r="CD51" s="174">
        <f t="shared" si="27"/>
        <v>0</v>
      </c>
      <c r="CE51" s="175">
        <f t="shared" si="33"/>
        <v>0</v>
      </c>
      <c r="CF51" s="175">
        <f t="shared" si="34"/>
        <v>0</v>
      </c>
      <c r="CG51" s="175">
        <f t="shared" si="35"/>
        <v>0</v>
      </c>
    </row>
    <row r="52" spans="1:85">
      <c r="A52" s="6">
        <v>45</v>
      </c>
      <c r="B52" s="678" t="s">
        <v>2991</v>
      </c>
      <c r="C52" s="6"/>
      <c r="D52" s="6" t="s">
        <v>2992</v>
      </c>
      <c r="E52" s="6" t="s">
        <v>2904</v>
      </c>
      <c r="F52" s="6"/>
      <c r="G52" s="679" t="s">
        <v>2993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>
        <v>50</v>
      </c>
      <c r="AJ52" s="1"/>
      <c r="AK52" s="1">
        <f t="shared" si="10"/>
        <v>50</v>
      </c>
      <c r="AL52" s="1">
        <v>20</v>
      </c>
      <c r="AM52" s="1"/>
      <c r="AN52" s="1">
        <f t="shared" si="11"/>
        <v>20</v>
      </c>
      <c r="AO52" s="1"/>
      <c r="AP52" s="1"/>
      <c r="AQ52" s="1">
        <f t="shared" si="12"/>
        <v>0</v>
      </c>
      <c r="AR52" s="6">
        <f t="shared" si="28"/>
        <v>70</v>
      </c>
      <c r="AS52" s="6">
        <f t="shared" si="13"/>
        <v>0</v>
      </c>
      <c r="AT52" s="6">
        <f t="shared" si="14"/>
        <v>70</v>
      </c>
      <c r="AU52" s="494">
        <f t="shared" si="15"/>
        <v>5.833333333333333</v>
      </c>
      <c r="AV52" s="494">
        <f t="shared" si="15"/>
        <v>0</v>
      </c>
      <c r="AW52" s="494">
        <f t="shared" si="16"/>
        <v>5.833333333333333</v>
      </c>
      <c r="AX52" s="217"/>
      <c r="AY52" s="217"/>
      <c r="AZ52" s="217"/>
      <c r="BA52" s="1"/>
      <c r="BB52" s="1"/>
      <c r="BC52" s="679">
        <f t="shared" si="19"/>
        <v>0</v>
      </c>
      <c r="BD52" s="1">
        <v>40</v>
      </c>
      <c r="BE52" s="1"/>
      <c r="BF52" s="679">
        <f t="shared" si="20"/>
        <v>40</v>
      </c>
      <c r="BG52" s="1"/>
      <c r="BH52" s="1"/>
      <c r="BI52" s="679">
        <f t="shared" si="21"/>
        <v>0</v>
      </c>
      <c r="BJ52" s="1"/>
      <c r="BK52" s="1"/>
      <c r="BL52" s="679">
        <f t="shared" si="22"/>
        <v>0</v>
      </c>
      <c r="BM52" s="6"/>
      <c r="BN52" s="6"/>
      <c r="BO52" s="6">
        <f t="shared" si="23"/>
        <v>0</v>
      </c>
      <c r="BP52" s="6"/>
      <c r="BQ52" s="6"/>
      <c r="BR52" s="6">
        <f t="shared" si="24"/>
        <v>0</v>
      </c>
      <c r="BS52" s="78"/>
      <c r="BT52" s="6"/>
      <c r="BU52" s="6">
        <f t="shared" si="39"/>
        <v>0</v>
      </c>
      <c r="BV52" s="6"/>
      <c r="BW52" s="6"/>
      <c r="BX52" s="6">
        <f t="shared" si="40"/>
        <v>0</v>
      </c>
      <c r="BY52" s="6"/>
      <c r="BZ52" s="6"/>
      <c r="CA52" s="6">
        <f t="shared" si="41"/>
        <v>0</v>
      </c>
      <c r="CB52" s="174">
        <f t="shared" si="25"/>
        <v>40</v>
      </c>
      <c r="CC52" s="174">
        <f t="shared" si="26"/>
        <v>0</v>
      </c>
      <c r="CD52" s="174">
        <f t="shared" si="27"/>
        <v>40</v>
      </c>
      <c r="CE52" s="175">
        <f t="shared" si="33"/>
        <v>4.4444444444444446</v>
      </c>
      <c r="CF52" s="175">
        <f t="shared" si="34"/>
        <v>0</v>
      </c>
      <c r="CG52" s="175">
        <f t="shared" si="35"/>
        <v>4.4444444444444446</v>
      </c>
    </row>
    <row r="53" spans="1:85">
      <c r="A53" s="6">
        <v>46</v>
      </c>
      <c r="B53" s="678" t="s">
        <v>2994</v>
      </c>
      <c r="C53" s="6"/>
      <c r="D53" s="6" t="s">
        <v>2995</v>
      </c>
      <c r="E53" s="6" t="s">
        <v>2904</v>
      </c>
      <c r="F53" s="6"/>
      <c r="G53" s="679" t="s">
        <v>18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>
        <v>65</v>
      </c>
      <c r="AJ53" s="1"/>
      <c r="AK53" s="1">
        <f t="shared" si="10"/>
        <v>65</v>
      </c>
      <c r="AL53" s="1"/>
      <c r="AM53" s="1"/>
      <c r="AN53" s="1">
        <f t="shared" si="11"/>
        <v>0</v>
      </c>
      <c r="AO53" s="1">
        <v>100</v>
      </c>
      <c r="AP53" s="1"/>
      <c r="AQ53" s="1">
        <f t="shared" si="12"/>
        <v>100</v>
      </c>
      <c r="AR53" s="6">
        <f t="shared" si="28"/>
        <v>165</v>
      </c>
      <c r="AS53" s="6">
        <f t="shared" si="13"/>
        <v>0</v>
      </c>
      <c r="AT53" s="6">
        <f t="shared" si="14"/>
        <v>165</v>
      </c>
      <c r="AU53" s="494">
        <f t="shared" si="15"/>
        <v>13.75</v>
      </c>
      <c r="AV53" s="494">
        <f t="shared" si="15"/>
        <v>0</v>
      </c>
      <c r="AW53" s="494">
        <f t="shared" si="16"/>
        <v>13.75</v>
      </c>
      <c r="AX53" s="217"/>
      <c r="AY53" s="217"/>
      <c r="AZ53" s="217"/>
      <c r="BA53" s="1"/>
      <c r="BB53" s="1"/>
      <c r="BC53" s="679">
        <f t="shared" si="19"/>
        <v>0</v>
      </c>
      <c r="BD53" s="1">
        <v>94</v>
      </c>
      <c r="BE53" s="1"/>
      <c r="BF53" s="679">
        <f t="shared" si="20"/>
        <v>94</v>
      </c>
      <c r="BG53" s="1"/>
      <c r="BH53" s="1"/>
      <c r="BI53" s="679">
        <f t="shared" si="21"/>
        <v>0</v>
      </c>
      <c r="BJ53" s="1"/>
      <c r="BK53" s="1"/>
      <c r="BL53" s="679">
        <f t="shared" si="22"/>
        <v>0</v>
      </c>
      <c r="BM53" s="6"/>
      <c r="BN53" s="6"/>
      <c r="BO53" s="6">
        <f t="shared" si="23"/>
        <v>0</v>
      </c>
      <c r="BP53" s="6"/>
      <c r="BQ53" s="6"/>
      <c r="BR53" s="6">
        <f t="shared" si="24"/>
        <v>0</v>
      </c>
      <c r="BS53" s="78"/>
      <c r="BT53" s="6"/>
      <c r="BU53" s="6">
        <f t="shared" si="39"/>
        <v>0</v>
      </c>
      <c r="BV53" s="6"/>
      <c r="BW53" s="6"/>
      <c r="BX53" s="6">
        <f t="shared" si="40"/>
        <v>0</v>
      </c>
      <c r="BY53" s="6"/>
      <c r="BZ53" s="6"/>
      <c r="CA53" s="6">
        <f t="shared" si="41"/>
        <v>0</v>
      </c>
      <c r="CB53" s="174">
        <f t="shared" si="25"/>
        <v>94</v>
      </c>
      <c r="CC53" s="174">
        <f t="shared" si="26"/>
        <v>0</v>
      </c>
      <c r="CD53" s="174">
        <f t="shared" si="27"/>
        <v>94</v>
      </c>
      <c r="CE53" s="175">
        <f t="shared" si="33"/>
        <v>10.444444444444445</v>
      </c>
      <c r="CF53" s="175">
        <f t="shared" si="34"/>
        <v>0</v>
      </c>
      <c r="CG53" s="175">
        <f t="shared" si="35"/>
        <v>10.444444444444445</v>
      </c>
    </row>
    <row r="54" spans="1:85">
      <c r="A54" s="6">
        <v>47</v>
      </c>
      <c r="B54" s="678" t="s">
        <v>2996</v>
      </c>
      <c r="C54" s="6"/>
      <c r="D54" s="6" t="s">
        <v>2997</v>
      </c>
      <c r="E54" s="6" t="s">
        <v>2904</v>
      </c>
      <c r="F54" s="6"/>
      <c r="G54" s="679" t="s">
        <v>15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>
        <v>80</v>
      </c>
      <c r="AJ54" s="1"/>
      <c r="AK54" s="1">
        <f t="shared" si="10"/>
        <v>80</v>
      </c>
      <c r="AL54" s="1"/>
      <c r="AM54" s="1"/>
      <c r="AN54" s="1">
        <f t="shared" si="11"/>
        <v>0</v>
      </c>
      <c r="AO54" s="1"/>
      <c r="AP54" s="1"/>
      <c r="AQ54" s="1">
        <f t="shared" si="12"/>
        <v>0</v>
      </c>
      <c r="AR54" s="6">
        <f t="shared" si="28"/>
        <v>80</v>
      </c>
      <c r="AS54" s="6">
        <f t="shared" si="13"/>
        <v>0</v>
      </c>
      <c r="AT54" s="6">
        <f t="shared" si="14"/>
        <v>80</v>
      </c>
      <c r="AU54" s="494">
        <f t="shared" si="15"/>
        <v>6.666666666666667</v>
      </c>
      <c r="AV54" s="494">
        <f t="shared" si="15"/>
        <v>0</v>
      </c>
      <c r="AW54" s="494">
        <f t="shared" si="16"/>
        <v>6.666666666666667</v>
      </c>
      <c r="AX54" s="217"/>
      <c r="AY54" s="217"/>
      <c r="AZ54" s="217"/>
      <c r="BA54" s="1"/>
      <c r="BB54" s="1"/>
      <c r="BC54" s="679">
        <f t="shared" si="19"/>
        <v>0</v>
      </c>
      <c r="BD54" s="1"/>
      <c r="BE54" s="1"/>
      <c r="BF54" s="679">
        <f t="shared" si="20"/>
        <v>0</v>
      </c>
      <c r="BG54" s="1"/>
      <c r="BH54" s="1"/>
      <c r="BI54" s="679">
        <f t="shared" si="21"/>
        <v>0</v>
      </c>
      <c r="BJ54" s="1"/>
      <c r="BK54" s="1"/>
      <c r="BL54" s="679">
        <f t="shared" si="22"/>
        <v>0</v>
      </c>
      <c r="BM54" s="6"/>
      <c r="BN54" s="6"/>
      <c r="BO54" s="6">
        <f t="shared" si="23"/>
        <v>0</v>
      </c>
      <c r="BP54" s="6"/>
      <c r="BQ54" s="6"/>
      <c r="BR54" s="6">
        <f t="shared" si="24"/>
        <v>0</v>
      </c>
      <c r="BS54" s="78"/>
      <c r="BT54" s="6"/>
      <c r="BU54" s="6">
        <f t="shared" si="39"/>
        <v>0</v>
      </c>
      <c r="BV54" s="6"/>
      <c r="BW54" s="6"/>
      <c r="BX54" s="6">
        <f t="shared" si="40"/>
        <v>0</v>
      </c>
      <c r="BY54" s="6"/>
      <c r="BZ54" s="6"/>
      <c r="CA54" s="6">
        <f t="shared" si="41"/>
        <v>0</v>
      </c>
      <c r="CB54" s="174">
        <f t="shared" si="25"/>
        <v>0</v>
      </c>
      <c r="CC54" s="174">
        <f t="shared" si="26"/>
        <v>0</v>
      </c>
      <c r="CD54" s="174">
        <f t="shared" si="27"/>
        <v>0</v>
      </c>
      <c r="CE54" s="175">
        <f t="shared" si="33"/>
        <v>0</v>
      </c>
      <c r="CF54" s="175">
        <f t="shared" si="34"/>
        <v>0</v>
      </c>
      <c r="CG54" s="175">
        <f t="shared" si="35"/>
        <v>0</v>
      </c>
    </row>
    <row r="55" spans="1:85">
      <c r="A55" s="6">
        <v>48</v>
      </c>
      <c r="B55" s="678" t="s">
        <v>2998</v>
      </c>
      <c r="C55" s="6"/>
      <c r="D55" s="6" t="s">
        <v>2999</v>
      </c>
      <c r="E55" s="6" t="s">
        <v>2904</v>
      </c>
      <c r="F55" s="6"/>
      <c r="G55" s="679" t="s">
        <v>15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>
        <v>132</v>
      </c>
      <c r="AJ55" s="1">
        <v>94</v>
      </c>
      <c r="AK55" s="1">
        <f t="shared" si="10"/>
        <v>226</v>
      </c>
      <c r="AL55" s="1">
        <v>18</v>
      </c>
      <c r="AM55" s="1"/>
      <c r="AN55" s="1">
        <f t="shared" si="11"/>
        <v>18</v>
      </c>
      <c r="AO55" s="1"/>
      <c r="AP55" s="1"/>
      <c r="AQ55" s="1">
        <f t="shared" si="12"/>
        <v>0</v>
      </c>
      <c r="AR55" s="6">
        <f t="shared" si="28"/>
        <v>150</v>
      </c>
      <c r="AS55" s="6">
        <f t="shared" si="13"/>
        <v>94</v>
      </c>
      <c r="AT55" s="6">
        <f t="shared" si="14"/>
        <v>244</v>
      </c>
      <c r="AU55" s="494">
        <f t="shared" si="15"/>
        <v>12.5</v>
      </c>
      <c r="AV55" s="494">
        <f t="shared" si="15"/>
        <v>7.833333333333333</v>
      </c>
      <c r="AW55" s="494">
        <f t="shared" si="16"/>
        <v>20.333333333333332</v>
      </c>
      <c r="AX55" s="217"/>
      <c r="AY55" s="217"/>
      <c r="AZ55" s="217"/>
      <c r="BA55" s="1">
        <v>40</v>
      </c>
      <c r="BB55" s="1"/>
      <c r="BC55" s="679">
        <f t="shared" si="19"/>
        <v>40</v>
      </c>
      <c r="BD55" s="1"/>
      <c r="BE55" s="1"/>
      <c r="BF55" s="679">
        <f t="shared" si="20"/>
        <v>0</v>
      </c>
      <c r="BG55" s="1"/>
      <c r="BH55" s="1"/>
      <c r="BI55" s="679">
        <f t="shared" si="21"/>
        <v>0</v>
      </c>
      <c r="BJ55" s="1"/>
      <c r="BK55" s="1"/>
      <c r="BL55" s="679">
        <f t="shared" si="22"/>
        <v>0</v>
      </c>
      <c r="BM55" s="6"/>
      <c r="BN55" s="6"/>
      <c r="BO55" s="6">
        <f t="shared" si="23"/>
        <v>0</v>
      </c>
      <c r="BP55" s="6"/>
      <c r="BQ55" s="6"/>
      <c r="BR55" s="6">
        <f t="shared" si="24"/>
        <v>0</v>
      </c>
      <c r="BS55" s="78"/>
      <c r="BT55" s="6"/>
      <c r="BU55" s="6">
        <f t="shared" si="39"/>
        <v>0</v>
      </c>
      <c r="BV55" s="6"/>
      <c r="BW55" s="6"/>
      <c r="BX55" s="6">
        <f t="shared" si="40"/>
        <v>0</v>
      </c>
      <c r="BY55" s="6"/>
      <c r="BZ55" s="6"/>
      <c r="CA55" s="6">
        <f t="shared" si="41"/>
        <v>0</v>
      </c>
      <c r="CB55" s="174">
        <f t="shared" si="25"/>
        <v>40</v>
      </c>
      <c r="CC55" s="174">
        <f t="shared" si="26"/>
        <v>0</v>
      </c>
      <c r="CD55" s="174">
        <f t="shared" si="27"/>
        <v>40</v>
      </c>
      <c r="CE55" s="175">
        <f t="shared" si="33"/>
        <v>4.4444444444444446</v>
      </c>
      <c r="CF55" s="175">
        <f t="shared" si="34"/>
        <v>0</v>
      </c>
      <c r="CG55" s="175">
        <f t="shared" si="35"/>
        <v>4.4444444444444446</v>
      </c>
    </row>
    <row r="56" spans="1:85">
      <c r="A56" s="6">
        <v>49</v>
      </c>
      <c r="B56" s="678" t="s">
        <v>3000</v>
      </c>
      <c r="C56" s="6"/>
      <c r="D56" s="6" t="s">
        <v>3001</v>
      </c>
      <c r="E56" s="6" t="s">
        <v>2904</v>
      </c>
      <c r="F56" s="6"/>
      <c r="G56" s="679" t="s">
        <v>18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>
        <v>20</v>
      </c>
      <c r="AJ56" s="1"/>
      <c r="AK56" s="1">
        <f t="shared" si="10"/>
        <v>20</v>
      </c>
      <c r="AL56" s="1"/>
      <c r="AM56" s="1"/>
      <c r="AN56" s="1">
        <f t="shared" si="11"/>
        <v>0</v>
      </c>
      <c r="AO56" s="1"/>
      <c r="AP56" s="1"/>
      <c r="AQ56" s="1">
        <f t="shared" si="12"/>
        <v>0</v>
      </c>
      <c r="AR56" s="6">
        <f t="shared" si="28"/>
        <v>20</v>
      </c>
      <c r="AS56" s="6">
        <f t="shared" si="13"/>
        <v>0</v>
      </c>
      <c r="AT56" s="6">
        <f t="shared" si="14"/>
        <v>20</v>
      </c>
      <c r="AU56" s="494">
        <f t="shared" si="15"/>
        <v>1.6666666666666667</v>
      </c>
      <c r="AV56" s="494">
        <f t="shared" si="15"/>
        <v>0</v>
      </c>
      <c r="AW56" s="494">
        <f t="shared" si="16"/>
        <v>1.6666666666666667</v>
      </c>
      <c r="AX56" s="217"/>
      <c r="AY56" s="217"/>
      <c r="AZ56" s="217"/>
      <c r="BA56" s="1">
        <v>19</v>
      </c>
      <c r="BB56" s="1"/>
      <c r="BC56" s="679">
        <f t="shared" si="19"/>
        <v>19</v>
      </c>
      <c r="BD56" s="1"/>
      <c r="BE56" s="1"/>
      <c r="BF56" s="679">
        <f t="shared" si="20"/>
        <v>0</v>
      </c>
      <c r="BG56" s="1"/>
      <c r="BH56" s="1"/>
      <c r="BI56" s="679">
        <f t="shared" si="21"/>
        <v>0</v>
      </c>
      <c r="BJ56" s="1"/>
      <c r="BK56" s="1"/>
      <c r="BL56" s="679">
        <f t="shared" si="22"/>
        <v>0</v>
      </c>
      <c r="BM56" s="6"/>
      <c r="BN56" s="6"/>
      <c r="BO56" s="6">
        <f t="shared" si="23"/>
        <v>0</v>
      </c>
      <c r="BP56" s="6"/>
      <c r="BQ56" s="6"/>
      <c r="BR56" s="6">
        <f t="shared" si="24"/>
        <v>0</v>
      </c>
      <c r="BS56" s="78"/>
      <c r="BT56" s="6"/>
      <c r="BU56" s="6">
        <f t="shared" si="39"/>
        <v>0</v>
      </c>
      <c r="BV56" s="6"/>
      <c r="BW56" s="6"/>
      <c r="BX56" s="6">
        <f t="shared" si="40"/>
        <v>0</v>
      </c>
      <c r="BY56" s="6"/>
      <c r="BZ56" s="6"/>
      <c r="CA56" s="6">
        <f t="shared" si="41"/>
        <v>0</v>
      </c>
      <c r="CB56" s="174">
        <f t="shared" si="25"/>
        <v>19</v>
      </c>
      <c r="CC56" s="174">
        <f t="shared" si="26"/>
        <v>0</v>
      </c>
      <c r="CD56" s="174">
        <f t="shared" si="27"/>
        <v>19</v>
      </c>
      <c r="CE56" s="175">
        <f t="shared" si="33"/>
        <v>2.1111111111111112</v>
      </c>
      <c r="CF56" s="175">
        <f t="shared" si="34"/>
        <v>0</v>
      </c>
      <c r="CG56" s="175">
        <f t="shared" si="35"/>
        <v>2.1111111111111112</v>
      </c>
    </row>
    <row r="57" spans="1:85">
      <c r="A57" s="6">
        <v>50</v>
      </c>
      <c r="B57" s="678" t="s">
        <v>3002</v>
      </c>
      <c r="C57" s="6"/>
      <c r="D57" s="6" t="s">
        <v>3003</v>
      </c>
      <c r="E57" s="6" t="s">
        <v>2904</v>
      </c>
      <c r="F57" s="6"/>
      <c r="G57" s="679" t="s">
        <v>15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>
        <v>80</v>
      </c>
      <c r="AJ57" s="1"/>
      <c r="AK57" s="1">
        <f t="shared" si="10"/>
        <v>80</v>
      </c>
      <c r="AL57" s="1"/>
      <c r="AM57" s="1"/>
      <c r="AN57" s="1">
        <f t="shared" si="11"/>
        <v>0</v>
      </c>
      <c r="AO57" s="1"/>
      <c r="AP57" s="1"/>
      <c r="AQ57" s="1">
        <f t="shared" si="12"/>
        <v>0</v>
      </c>
      <c r="AR57" s="6">
        <f t="shared" si="28"/>
        <v>80</v>
      </c>
      <c r="AS57" s="6">
        <f t="shared" si="13"/>
        <v>0</v>
      </c>
      <c r="AT57" s="6">
        <f t="shared" si="14"/>
        <v>80</v>
      </c>
      <c r="AU57" s="494">
        <f t="shared" si="15"/>
        <v>6.666666666666667</v>
      </c>
      <c r="AV57" s="494">
        <f t="shared" si="15"/>
        <v>0</v>
      </c>
      <c r="AW57" s="494">
        <f t="shared" si="16"/>
        <v>6.666666666666667</v>
      </c>
      <c r="AX57" s="217"/>
      <c r="AY57" s="217"/>
      <c r="AZ57" s="217"/>
      <c r="BA57" s="1"/>
      <c r="BB57" s="1"/>
      <c r="BC57" s="679">
        <f t="shared" si="19"/>
        <v>0</v>
      </c>
      <c r="BD57" s="1"/>
      <c r="BE57" s="1"/>
      <c r="BF57" s="679">
        <f t="shared" si="20"/>
        <v>0</v>
      </c>
      <c r="BG57" s="1"/>
      <c r="BH57" s="1"/>
      <c r="BI57" s="679">
        <f t="shared" si="21"/>
        <v>0</v>
      </c>
      <c r="BJ57" s="1">
        <v>100</v>
      </c>
      <c r="BK57" s="1"/>
      <c r="BL57" s="679">
        <f t="shared" si="22"/>
        <v>100</v>
      </c>
      <c r="BM57" s="6"/>
      <c r="BN57" s="6"/>
      <c r="BO57" s="6">
        <f t="shared" si="23"/>
        <v>0</v>
      </c>
      <c r="BP57" s="6"/>
      <c r="BQ57" s="6"/>
      <c r="BR57" s="6">
        <f t="shared" si="24"/>
        <v>0</v>
      </c>
      <c r="BS57" s="78"/>
      <c r="BT57" s="6"/>
      <c r="BU57" s="6">
        <f t="shared" si="39"/>
        <v>0</v>
      </c>
      <c r="BV57" s="6"/>
      <c r="BW57" s="6"/>
      <c r="BX57" s="6">
        <f t="shared" si="40"/>
        <v>0</v>
      </c>
      <c r="BY57" s="6"/>
      <c r="BZ57" s="6"/>
      <c r="CA57" s="6">
        <f t="shared" si="41"/>
        <v>0</v>
      </c>
      <c r="CB57" s="174">
        <f t="shared" si="25"/>
        <v>100</v>
      </c>
      <c r="CC57" s="174">
        <f t="shared" si="26"/>
        <v>0</v>
      </c>
      <c r="CD57" s="174">
        <f t="shared" si="27"/>
        <v>100</v>
      </c>
      <c r="CE57" s="175">
        <f t="shared" si="33"/>
        <v>11.111111111111111</v>
      </c>
      <c r="CF57" s="175">
        <f t="shared" si="34"/>
        <v>0</v>
      </c>
      <c r="CG57" s="175">
        <f t="shared" si="35"/>
        <v>11.111111111111111</v>
      </c>
    </row>
    <row r="58" spans="1:85">
      <c r="A58" s="6">
        <v>51</v>
      </c>
      <c r="B58" s="678" t="s">
        <v>3004</v>
      </c>
      <c r="C58" s="6"/>
      <c r="D58" s="6" t="s">
        <v>3005</v>
      </c>
      <c r="E58" s="6" t="s">
        <v>2904</v>
      </c>
      <c r="F58" s="6"/>
      <c r="G58" s="679" t="s">
        <v>15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>
        <v>20</v>
      </c>
      <c r="AJ58" s="1"/>
      <c r="AK58" s="1">
        <f t="shared" si="10"/>
        <v>20</v>
      </c>
      <c r="AL58" s="1"/>
      <c r="AM58" s="1"/>
      <c r="AN58" s="1">
        <f t="shared" si="11"/>
        <v>0</v>
      </c>
      <c r="AO58" s="1"/>
      <c r="AP58" s="1"/>
      <c r="AQ58" s="1">
        <f t="shared" si="12"/>
        <v>0</v>
      </c>
      <c r="AR58" s="6">
        <f t="shared" si="28"/>
        <v>20</v>
      </c>
      <c r="AS58" s="6">
        <f t="shared" si="13"/>
        <v>0</v>
      </c>
      <c r="AT58" s="6">
        <f t="shared" si="14"/>
        <v>20</v>
      </c>
      <c r="AU58" s="494">
        <f t="shared" si="15"/>
        <v>1.6666666666666667</v>
      </c>
      <c r="AV58" s="494">
        <f t="shared" si="15"/>
        <v>0</v>
      </c>
      <c r="AW58" s="494">
        <f t="shared" si="16"/>
        <v>1.6666666666666667</v>
      </c>
      <c r="AX58" s="217"/>
      <c r="AY58" s="217"/>
      <c r="AZ58" s="217"/>
      <c r="BA58" s="1"/>
      <c r="BB58" s="1"/>
      <c r="BC58" s="679">
        <f t="shared" si="19"/>
        <v>0</v>
      </c>
      <c r="BD58" s="1"/>
      <c r="BE58" s="1"/>
      <c r="BF58" s="679">
        <f t="shared" si="20"/>
        <v>0</v>
      </c>
      <c r="BG58" s="1"/>
      <c r="BH58" s="1"/>
      <c r="BI58" s="679">
        <f t="shared" si="21"/>
        <v>0</v>
      </c>
      <c r="BJ58" s="1"/>
      <c r="BK58" s="1"/>
      <c r="BL58" s="679">
        <f t="shared" si="22"/>
        <v>0</v>
      </c>
      <c r="BM58" s="6"/>
      <c r="BN58" s="6"/>
      <c r="BO58" s="6">
        <f t="shared" si="23"/>
        <v>0</v>
      </c>
      <c r="BP58" s="6"/>
      <c r="BQ58" s="6"/>
      <c r="BR58" s="6">
        <f t="shared" si="24"/>
        <v>0</v>
      </c>
      <c r="BS58" s="78"/>
      <c r="BT58" s="6"/>
      <c r="BU58" s="6">
        <f t="shared" si="39"/>
        <v>0</v>
      </c>
      <c r="BV58" s="6"/>
      <c r="BW58" s="6"/>
      <c r="BX58" s="6">
        <f t="shared" si="40"/>
        <v>0</v>
      </c>
      <c r="BY58" s="6"/>
      <c r="BZ58" s="6"/>
      <c r="CA58" s="6">
        <f t="shared" si="41"/>
        <v>0</v>
      </c>
      <c r="CB58" s="174">
        <f t="shared" si="25"/>
        <v>0</v>
      </c>
      <c r="CC58" s="174">
        <f t="shared" si="26"/>
        <v>0</v>
      </c>
      <c r="CD58" s="174">
        <f t="shared" si="27"/>
        <v>0</v>
      </c>
      <c r="CE58" s="175">
        <f t="shared" si="33"/>
        <v>0</v>
      </c>
      <c r="CF58" s="175">
        <f t="shared" si="34"/>
        <v>0</v>
      </c>
      <c r="CG58" s="175">
        <f t="shared" si="35"/>
        <v>0</v>
      </c>
    </row>
    <row r="59" spans="1:85">
      <c r="A59" s="6">
        <v>52</v>
      </c>
      <c r="B59" s="678" t="s">
        <v>3006</v>
      </c>
      <c r="C59" s="6"/>
      <c r="D59" s="6" t="s">
        <v>3007</v>
      </c>
      <c r="E59" s="6" t="s">
        <v>2904</v>
      </c>
      <c r="F59" s="6"/>
      <c r="G59" s="679" t="s">
        <v>18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>
        <v>20</v>
      </c>
      <c r="AJ59" s="1"/>
      <c r="AK59" s="1">
        <f t="shared" si="10"/>
        <v>20</v>
      </c>
      <c r="AL59" s="1"/>
      <c r="AM59" s="1"/>
      <c r="AN59" s="1">
        <f t="shared" si="11"/>
        <v>0</v>
      </c>
      <c r="AO59" s="1"/>
      <c r="AP59" s="1"/>
      <c r="AQ59" s="1">
        <f t="shared" si="12"/>
        <v>0</v>
      </c>
      <c r="AR59" s="6">
        <f t="shared" si="28"/>
        <v>20</v>
      </c>
      <c r="AS59" s="6">
        <f t="shared" si="13"/>
        <v>0</v>
      </c>
      <c r="AT59" s="6">
        <f t="shared" si="14"/>
        <v>20</v>
      </c>
      <c r="AU59" s="494">
        <f t="shared" si="15"/>
        <v>1.6666666666666667</v>
      </c>
      <c r="AV59" s="494">
        <f t="shared" si="15"/>
        <v>0</v>
      </c>
      <c r="AW59" s="494">
        <f t="shared" si="16"/>
        <v>1.6666666666666667</v>
      </c>
      <c r="AX59" s="217"/>
      <c r="AY59" s="217"/>
      <c r="AZ59" s="217"/>
      <c r="BA59" s="1"/>
      <c r="BB59" s="1"/>
      <c r="BC59" s="679">
        <f t="shared" si="19"/>
        <v>0</v>
      </c>
      <c r="BD59" s="1"/>
      <c r="BE59" s="1"/>
      <c r="BF59" s="679">
        <f t="shared" si="20"/>
        <v>0</v>
      </c>
      <c r="BG59" s="1"/>
      <c r="BH59" s="1"/>
      <c r="BI59" s="679">
        <f t="shared" si="21"/>
        <v>0</v>
      </c>
      <c r="BJ59" s="1"/>
      <c r="BK59" s="1"/>
      <c r="BL59" s="679">
        <f t="shared" si="22"/>
        <v>0</v>
      </c>
      <c r="BM59" s="6"/>
      <c r="BN59" s="6"/>
      <c r="BO59" s="6">
        <f t="shared" si="23"/>
        <v>0</v>
      </c>
      <c r="BP59" s="6"/>
      <c r="BQ59" s="6"/>
      <c r="BR59" s="6">
        <f t="shared" si="24"/>
        <v>0</v>
      </c>
      <c r="BS59" s="78"/>
      <c r="BT59" s="6"/>
      <c r="BU59" s="6">
        <f t="shared" si="39"/>
        <v>0</v>
      </c>
      <c r="BV59" s="6"/>
      <c r="BW59" s="6"/>
      <c r="BX59" s="6">
        <f t="shared" si="40"/>
        <v>0</v>
      </c>
      <c r="BY59" s="6"/>
      <c r="BZ59" s="6"/>
      <c r="CA59" s="6">
        <f t="shared" si="41"/>
        <v>0</v>
      </c>
      <c r="CB59" s="174">
        <f t="shared" si="25"/>
        <v>0</v>
      </c>
      <c r="CC59" s="174">
        <f t="shared" si="26"/>
        <v>0</v>
      </c>
      <c r="CD59" s="174">
        <f t="shared" si="27"/>
        <v>0</v>
      </c>
      <c r="CE59" s="175">
        <f t="shared" si="33"/>
        <v>0</v>
      </c>
      <c r="CF59" s="175">
        <f t="shared" si="34"/>
        <v>0</v>
      </c>
      <c r="CG59" s="175">
        <f t="shared" si="35"/>
        <v>0</v>
      </c>
    </row>
    <row r="60" spans="1:85">
      <c r="A60" s="6">
        <v>53</v>
      </c>
      <c r="B60" s="678" t="s">
        <v>3008</v>
      </c>
      <c r="C60" s="6"/>
      <c r="D60" s="6" t="s">
        <v>3009</v>
      </c>
      <c r="E60" s="6" t="s">
        <v>2904</v>
      </c>
      <c r="F60" s="6"/>
      <c r="G60" s="679" t="s">
        <v>18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>
        <v>30</v>
      </c>
      <c r="AJ60" s="1"/>
      <c r="AK60" s="1">
        <f t="shared" si="10"/>
        <v>30</v>
      </c>
      <c r="AL60" s="1"/>
      <c r="AM60" s="1"/>
      <c r="AN60" s="1">
        <f t="shared" si="11"/>
        <v>0</v>
      </c>
      <c r="AO60" s="1">
        <v>40</v>
      </c>
      <c r="AP60" s="1"/>
      <c r="AQ60" s="1">
        <f t="shared" si="12"/>
        <v>40</v>
      </c>
      <c r="AR60" s="6">
        <f t="shared" si="28"/>
        <v>70</v>
      </c>
      <c r="AS60" s="6">
        <f t="shared" si="13"/>
        <v>0</v>
      </c>
      <c r="AT60" s="6">
        <f t="shared" si="14"/>
        <v>70</v>
      </c>
      <c r="AU60" s="494">
        <f t="shared" si="15"/>
        <v>5.833333333333333</v>
      </c>
      <c r="AV60" s="494">
        <f t="shared" si="15"/>
        <v>0</v>
      </c>
      <c r="AW60" s="494">
        <f t="shared" si="16"/>
        <v>5.833333333333333</v>
      </c>
      <c r="AX60" s="217"/>
      <c r="AY60" s="217"/>
      <c r="AZ60" s="217"/>
      <c r="BA60" s="1"/>
      <c r="BB60" s="1"/>
      <c r="BC60" s="679">
        <f t="shared" si="19"/>
        <v>0</v>
      </c>
      <c r="BD60" s="1">
        <v>45</v>
      </c>
      <c r="BE60" s="1"/>
      <c r="BF60" s="679">
        <f t="shared" si="20"/>
        <v>45</v>
      </c>
      <c r="BG60" s="1">
        <v>20</v>
      </c>
      <c r="BH60" s="1"/>
      <c r="BI60" s="679">
        <f t="shared" si="21"/>
        <v>20</v>
      </c>
      <c r="BJ60" s="1"/>
      <c r="BK60" s="1"/>
      <c r="BL60" s="679">
        <f t="shared" si="22"/>
        <v>0</v>
      </c>
      <c r="BM60" s="6">
        <v>35</v>
      </c>
      <c r="BN60" s="6"/>
      <c r="BO60" s="6">
        <f t="shared" si="23"/>
        <v>35</v>
      </c>
      <c r="BP60" s="6"/>
      <c r="BQ60" s="6"/>
      <c r="BR60" s="6">
        <f t="shared" si="24"/>
        <v>0</v>
      </c>
      <c r="BS60" s="78">
        <v>34</v>
      </c>
      <c r="BT60" s="6"/>
      <c r="BU60" s="6">
        <f t="shared" si="39"/>
        <v>34</v>
      </c>
      <c r="BV60" s="6"/>
      <c r="BW60" s="6"/>
      <c r="BX60" s="6">
        <f t="shared" si="40"/>
        <v>0</v>
      </c>
      <c r="BY60" s="6"/>
      <c r="BZ60" s="6"/>
      <c r="CA60" s="6">
        <f t="shared" si="41"/>
        <v>0</v>
      </c>
      <c r="CB60" s="174">
        <f t="shared" si="25"/>
        <v>134</v>
      </c>
      <c r="CC60" s="174">
        <f t="shared" si="26"/>
        <v>0</v>
      </c>
      <c r="CD60" s="174">
        <f t="shared" si="27"/>
        <v>134</v>
      </c>
      <c r="CE60" s="175">
        <f t="shared" si="33"/>
        <v>14.888888888888889</v>
      </c>
      <c r="CF60" s="175">
        <f t="shared" si="34"/>
        <v>0</v>
      </c>
      <c r="CG60" s="175">
        <f t="shared" si="35"/>
        <v>14.888888888888889</v>
      </c>
    </row>
    <row r="61" spans="1:85">
      <c r="A61" s="6">
        <v>54</v>
      </c>
      <c r="B61" s="678" t="s">
        <v>3010</v>
      </c>
      <c r="C61" s="6"/>
      <c r="D61" s="6" t="s">
        <v>3011</v>
      </c>
      <c r="E61" s="6" t="s">
        <v>2904</v>
      </c>
      <c r="F61" s="6"/>
      <c r="G61" s="679" t="s">
        <v>18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>
        <v>20</v>
      </c>
      <c r="AJ61" s="1"/>
      <c r="AK61" s="1">
        <f t="shared" si="10"/>
        <v>20</v>
      </c>
      <c r="AL61" s="1"/>
      <c r="AM61" s="1"/>
      <c r="AN61" s="1">
        <f t="shared" si="11"/>
        <v>0</v>
      </c>
      <c r="AO61" s="1">
        <v>20</v>
      </c>
      <c r="AP61" s="1"/>
      <c r="AQ61" s="1">
        <f t="shared" si="12"/>
        <v>20</v>
      </c>
      <c r="AR61" s="6">
        <f t="shared" si="28"/>
        <v>40</v>
      </c>
      <c r="AS61" s="6">
        <f t="shared" si="13"/>
        <v>0</v>
      </c>
      <c r="AT61" s="6">
        <f t="shared" si="14"/>
        <v>40</v>
      </c>
      <c r="AU61" s="494">
        <f t="shared" si="15"/>
        <v>3.3333333333333335</v>
      </c>
      <c r="AV61" s="494">
        <f t="shared" si="15"/>
        <v>0</v>
      </c>
      <c r="AW61" s="494">
        <f t="shared" si="16"/>
        <v>3.3333333333333335</v>
      </c>
      <c r="AX61" s="217"/>
      <c r="AY61" s="217"/>
      <c r="AZ61" s="217"/>
      <c r="BA61" s="1">
        <v>20</v>
      </c>
      <c r="BB61" s="1"/>
      <c r="BC61" s="679">
        <f t="shared" si="19"/>
        <v>20</v>
      </c>
      <c r="BD61" s="1"/>
      <c r="BE61" s="1"/>
      <c r="BF61" s="679">
        <f t="shared" si="20"/>
        <v>0</v>
      </c>
      <c r="BG61" s="1">
        <v>69</v>
      </c>
      <c r="BH61" s="1"/>
      <c r="BI61" s="679">
        <f t="shared" si="21"/>
        <v>69</v>
      </c>
      <c r="BJ61" s="1"/>
      <c r="BK61" s="1"/>
      <c r="BL61" s="679">
        <f t="shared" si="22"/>
        <v>0</v>
      </c>
      <c r="BM61" s="6"/>
      <c r="BN61" s="6"/>
      <c r="BO61" s="6">
        <f t="shared" si="23"/>
        <v>0</v>
      </c>
      <c r="BP61" s="6"/>
      <c r="BQ61" s="6"/>
      <c r="BR61" s="6">
        <f t="shared" si="24"/>
        <v>0</v>
      </c>
      <c r="BS61" s="78"/>
      <c r="BT61" s="6"/>
      <c r="BU61" s="6">
        <f t="shared" si="39"/>
        <v>0</v>
      </c>
      <c r="BV61" s="6"/>
      <c r="BW61" s="6"/>
      <c r="BX61" s="6">
        <f t="shared" si="40"/>
        <v>0</v>
      </c>
      <c r="BY61" s="6"/>
      <c r="BZ61" s="6"/>
      <c r="CA61" s="6">
        <f t="shared" si="41"/>
        <v>0</v>
      </c>
      <c r="CB61" s="174">
        <f t="shared" si="25"/>
        <v>89</v>
      </c>
      <c r="CC61" s="174">
        <f t="shared" si="26"/>
        <v>0</v>
      </c>
      <c r="CD61" s="174">
        <f t="shared" si="27"/>
        <v>89</v>
      </c>
      <c r="CE61" s="175">
        <f t="shared" si="33"/>
        <v>9.8888888888888893</v>
      </c>
      <c r="CF61" s="175">
        <f t="shared" si="34"/>
        <v>0</v>
      </c>
      <c r="CG61" s="175">
        <f t="shared" si="35"/>
        <v>9.8888888888888893</v>
      </c>
    </row>
    <row r="62" spans="1:85">
      <c r="A62" s="6">
        <v>55</v>
      </c>
      <c r="B62" s="678" t="s">
        <v>3012</v>
      </c>
      <c r="C62" s="6"/>
      <c r="D62" s="6" t="s">
        <v>3013</v>
      </c>
      <c r="E62" s="6" t="s">
        <v>2904</v>
      </c>
      <c r="F62" s="6"/>
      <c r="G62" s="679" t="s">
        <v>15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>
        <v>40</v>
      </c>
      <c r="AJ62" s="1"/>
      <c r="AK62" s="1">
        <f t="shared" si="10"/>
        <v>40</v>
      </c>
      <c r="AL62" s="1"/>
      <c r="AM62" s="1"/>
      <c r="AN62" s="1">
        <f t="shared" si="11"/>
        <v>0</v>
      </c>
      <c r="AO62" s="1"/>
      <c r="AP62" s="1"/>
      <c r="AQ62" s="1">
        <f t="shared" si="12"/>
        <v>0</v>
      </c>
      <c r="AR62" s="6">
        <f t="shared" si="28"/>
        <v>40</v>
      </c>
      <c r="AS62" s="6">
        <f t="shared" si="13"/>
        <v>0</v>
      </c>
      <c r="AT62" s="6">
        <f t="shared" si="14"/>
        <v>40</v>
      </c>
      <c r="AU62" s="494">
        <f t="shared" si="15"/>
        <v>3.3333333333333335</v>
      </c>
      <c r="AV62" s="494">
        <f t="shared" si="15"/>
        <v>0</v>
      </c>
      <c r="AW62" s="494">
        <f t="shared" si="16"/>
        <v>3.3333333333333335</v>
      </c>
      <c r="AX62" s="217"/>
      <c r="AY62" s="217"/>
      <c r="AZ62" s="217"/>
      <c r="BA62" s="1"/>
      <c r="BB62" s="1"/>
      <c r="BC62" s="679">
        <f t="shared" si="19"/>
        <v>0</v>
      </c>
      <c r="BD62" s="1"/>
      <c r="BE62" s="1"/>
      <c r="BF62" s="679">
        <f t="shared" si="20"/>
        <v>0</v>
      </c>
      <c r="BG62" s="1"/>
      <c r="BH62" s="1"/>
      <c r="BI62" s="679">
        <f t="shared" si="21"/>
        <v>0</v>
      </c>
      <c r="BJ62" s="1"/>
      <c r="BK62" s="1"/>
      <c r="BL62" s="679">
        <f t="shared" si="22"/>
        <v>0</v>
      </c>
      <c r="BM62" s="6"/>
      <c r="BN62" s="6"/>
      <c r="BO62" s="6">
        <f t="shared" si="23"/>
        <v>0</v>
      </c>
      <c r="BP62" s="6"/>
      <c r="BQ62" s="6"/>
      <c r="BR62" s="6">
        <f t="shared" si="24"/>
        <v>0</v>
      </c>
      <c r="BS62" s="78"/>
      <c r="BT62" s="6"/>
      <c r="BU62" s="6">
        <f t="shared" si="39"/>
        <v>0</v>
      </c>
      <c r="BV62" s="6"/>
      <c r="BW62" s="6"/>
      <c r="BX62" s="6">
        <f t="shared" si="40"/>
        <v>0</v>
      </c>
      <c r="BY62" s="6"/>
      <c r="BZ62" s="6"/>
      <c r="CA62" s="6">
        <f t="shared" si="41"/>
        <v>0</v>
      </c>
      <c r="CB62" s="174">
        <f t="shared" si="25"/>
        <v>0</v>
      </c>
      <c r="CC62" s="174">
        <f t="shared" si="26"/>
        <v>0</v>
      </c>
      <c r="CD62" s="174">
        <f t="shared" si="27"/>
        <v>0</v>
      </c>
      <c r="CE62" s="175">
        <f t="shared" si="33"/>
        <v>0</v>
      </c>
      <c r="CF62" s="175">
        <f t="shared" si="34"/>
        <v>0</v>
      </c>
      <c r="CG62" s="175">
        <f t="shared" si="35"/>
        <v>0</v>
      </c>
    </row>
    <row r="63" spans="1:85">
      <c r="A63" s="6">
        <v>56</v>
      </c>
      <c r="B63" s="678" t="s">
        <v>3014</v>
      </c>
      <c r="C63" s="6"/>
      <c r="D63" s="6" t="s">
        <v>3015</v>
      </c>
      <c r="E63" s="6" t="s">
        <v>2904</v>
      </c>
      <c r="F63" s="6"/>
      <c r="G63" s="679" t="s">
        <v>15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>
        <v>25</v>
      </c>
      <c r="AJ63" s="1"/>
      <c r="AK63" s="1">
        <f t="shared" si="10"/>
        <v>25</v>
      </c>
      <c r="AL63" s="1"/>
      <c r="AM63" s="1"/>
      <c r="AN63" s="1">
        <f t="shared" si="11"/>
        <v>0</v>
      </c>
      <c r="AO63" s="1"/>
      <c r="AP63" s="1"/>
      <c r="AQ63" s="1">
        <f t="shared" si="12"/>
        <v>0</v>
      </c>
      <c r="AR63" s="6">
        <f t="shared" si="28"/>
        <v>25</v>
      </c>
      <c r="AS63" s="6">
        <f t="shared" si="13"/>
        <v>0</v>
      </c>
      <c r="AT63" s="6">
        <f t="shared" si="14"/>
        <v>25</v>
      </c>
      <c r="AU63" s="494">
        <f t="shared" si="15"/>
        <v>2.0833333333333335</v>
      </c>
      <c r="AV63" s="494">
        <f t="shared" si="15"/>
        <v>0</v>
      </c>
      <c r="AW63" s="494">
        <f t="shared" si="16"/>
        <v>2.0833333333333335</v>
      </c>
      <c r="AX63" s="217"/>
      <c r="AY63" s="217"/>
      <c r="AZ63" s="217"/>
      <c r="BA63" s="1"/>
      <c r="BB63" s="1"/>
      <c r="BC63" s="679">
        <f t="shared" si="19"/>
        <v>0</v>
      </c>
      <c r="BD63" s="1"/>
      <c r="BE63" s="1"/>
      <c r="BF63" s="679">
        <f t="shared" si="20"/>
        <v>0</v>
      </c>
      <c r="BG63" s="1"/>
      <c r="BH63" s="1"/>
      <c r="BI63" s="679">
        <f t="shared" si="21"/>
        <v>0</v>
      </c>
      <c r="BJ63" s="1"/>
      <c r="BK63" s="1"/>
      <c r="BL63" s="679">
        <f t="shared" si="22"/>
        <v>0</v>
      </c>
      <c r="BM63" s="6"/>
      <c r="BN63" s="6"/>
      <c r="BO63" s="6">
        <f t="shared" si="23"/>
        <v>0</v>
      </c>
      <c r="BP63" s="6"/>
      <c r="BQ63" s="6"/>
      <c r="BR63" s="6">
        <f t="shared" si="24"/>
        <v>0</v>
      </c>
      <c r="BS63" s="78"/>
      <c r="BT63" s="6"/>
      <c r="BU63" s="6">
        <f t="shared" si="39"/>
        <v>0</v>
      </c>
      <c r="BV63" s="6"/>
      <c r="BW63" s="6"/>
      <c r="BX63" s="6">
        <f t="shared" si="40"/>
        <v>0</v>
      </c>
      <c r="BY63" s="6"/>
      <c r="BZ63" s="6"/>
      <c r="CA63" s="6">
        <f t="shared" si="41"/>
        <v>0</v>
      </c>
      <c r="CB63" s="174">
        <f t="shared" si="25"/>
        <v>0</v>
      </c>
      <c r="CC63" s="174">
        <f t="shared" si="26"/>
        <v>0</v>
      </c>
      <c r="CD63" s="174">
        <f t="shared" si="27"/>
        <v>0</v>
      </c>
      <c r="CE63" s="175">
        <f t="shared" si="33"/>
        <v>0</v>
      </c>
      <c r="CF63" s="175">
        <f t="shared" si="34"/>
        <v>0</v>
      </c>
      <c r="CG63" s="175">
        <f t="shared" si="35"/>
        <v>0</v>
      </c>
    </row>
    <row r="64" spans="1:85">
      <c r="A64" s="6">
        <v>57</v>
      </c>
      <c r="B64" s="678" t="s">
        <v>3016</v>
      </c>
      <c r="C64" s="6"/>
      <c r="D64" s="6" t="s">
        <v>3017</v>
      </c>
      <c r="E64" s="6" t="s">
        <v>2904</v>
      </c>
      <c r="F64" s="6"/>
      <c r="G64" s="679" t="s">
        <v>18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>
        <v>131</v>
      </c>
      <c r="AJ64" s="1">
        <v>18</v>
      </c>
      <c r="AK64" s="1">
        <f t="shared" si="10"/>
        <v>149</v>
      </c>
      <c r="AL64" s="1"/>
      <c r="AM64" s="1"/>
      <c r="AN64" s="1">
        <f t="shared" si="11"/>
        <v>0</v>
      </c>
      <c r="AO64" s="1"/>
      <c r="AP64" s="1"/>
      <c r="AQ64" s="1">
        <f t="shared" si="12"/>
        <v>0</v>
      </c>
      <c r="AR64" s="6">
        <f t="shared" si="28"/>
        <v>131</v>
      </c>
      <c r="AS64" s="6">
        <f t="shared" si="13"/>
        <v>18</v>
      </c>
      <c r="AT64" s="6">
        <f t="shared" si="14"/>
        <v>149</v>
      </c>
      <c r="AU64" s="494">
        <f t="shared" si="15"/>
        <v>10.916666666666666</v>
      </c>
      <c r="AV64" s="494">
        <f t="shared" si="15"/>
        <v>1.5</v>
      </c>
      <c r="AW64" s="494">
        <f t="shared" si="16"/>
        <v>12.416666666666666</v>
      </c>
      <c r="AX64" s="217"/>
      <c r="AY64" s="217"/>
      <c r="AZ64" s="217"/>
      <c r="BA64" s="1">
        <v>131</v>
      </c>
      <c r="BB64" s="1">
        <v>18</v>
      </c>
      <c r="BC64" s="679">
        <f t="shared" si="19"/>
        <v>149</v>
      </c>
      <c r="BD64" s="1"/>
      <c r="BE64" s="1"/>
      <c r="BF64" s="679">
        <f t="shared" si="20"/>
        <v>0</v>
      </c>
      <c r="BG64" s="1">
        <v>131</v>
      </c>
      <c r="BH64" s="1"/>
      <c r="BI64" s="679">
        <f t="shared" si="21"/>
        <v>131</v>
      </c>
      <c r="BJ64" s="1"/>
      <c r="BK64" s="1"/>
      <c r="BL64" s="679">
        <f t="shared" si="22"/>
        <v>0</v>
      </c>
      <c r="BM64" s="6"/>
      <c r="BN64" s="6"/>
      <c r="BO64" s="6">
        <f t="shared" si="23"/>
        <v>0</v>
      </c>
      <c r="BP64" s="6">
        <v>131</v>
      </c>
      <c r="BQ64" s="6"/>
      <c r="BR64" s="6">
        <f t="shared" si="24"/>
        <v>131</v>
      </c>
      <c r="BS64" s="78"/>
      <c r="BT64" s="6"/>
      <c r="BU64" s="6">
        <f t="shared" si="39"/>
        <v>0</v>
      </c>
      <c r="BV64" s="6"/>
      <c r="BW64" s="6"/>
      <c r="BX64" s="6">
        <f t="shared" si="40"/>
        <v>0</v>
      </c>
      <c r="BY64" s="6"/>
      <c r="BZ64" s="6"/>
      <c r="CA64" s="6">
        <f t="shared" si="41"/>
        <v>0</v>
      </c>
      <c r="CB64" s="174">
        <f t="shared" si="25"/>
        <v>393</v>
      </c>
      <c r="CC64" s="174">
        <f t="shared" si="26"/>
        <v>18</v>
      </c>
      <c r="CD64" s="174">
        <f t="shared" si="27"/>
        <v>411</v>
      </c>
      <c r="CE64" s="175">
        <f t="shared" si="33"/>
        <v>43.666666666666664</v>
      </c>
      <c r="CF64" s="175">
        <f t="shared" si="34"/>
        <v>2</v>
      </c>
      <c r="CG64" s="175">
        <f t="shared" si="35"/>
        <v>45.666666666666664</v>
      </c>
    </row>
    <row r="65" spans="1:168">
      <c r="A65" s="6">
        <v>58</v>
      </c>
      <c r="B65" s="678" t="s">
        <v>3018</v>
      </c>
      <c r="C65" s="6"/>
      <c r="D65" s="6" t="s">
        <v>3019</v>
      </c>
      <c r="E65" s="6" t="s">
        <v>2904</v>
      </c>
      <c r="F65" s="6"/>
      <c r="G65" s="679" t="s">
        <v>15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>
        <v>121</v>
      </c>
      <c r="AJ65" s="1"/>
      <c r="AK65" s="1">
        <f t="shared" si="10"/>
        <v>121</v>
      </c>
      <c r="AL65" s="1"/>
      <c r="AM65" s="1"/>
      <c r="AN65" s="1">
        <f t="shared" si="11"/>
        <v>0</v>
      </c>
      <c r="AO65" s="1"/>
      <c r="AP65" s="1"/>
      <c r="AQ65" s="1">
        <f t="shared" si="12"/>
        <v>0</v>
      </c>
      <c r="AR65" s="6">
        <f t="shared" si="28"/>
        <v>121</v>
      </c>
      <c r="AS65" s="6">
        <f t="shared" si="13"/>
        <v>0</v>
      </c>
      <c r="AT65" s="6">
        <f t="shared" si="14"/>
        <v>121</v>
      </c>
      <c r="AU65" s="494">
        <f t="shared" si="15"/>
        <v>10.083333333333334</v>
      </c>
      <c r="AV65" s="494">
        <f t="shared" si="15"/>
        <v>0</v>
      </c>
      <c r="AW65" s="494">
        <f t="shared" si="16"/>
        <v>10.083333333333334</v>
      </c>
      <c r="AX65" s="217"/>
      <c r="AY65" s="217"/>
      <c r="AZ65" s="217"/>
      <c r="BA65" s="1">
        <v>118</v>
      </c>
      <c r="BB65" s="1">
        <v>20</v>
      </c>
      <c r="BC65" s="679">
        <f t="shared" si="19"/>
        <v>138</v>
      </c>
      <c r="BD65" s="1"/>
      <c r="BE65" s="1"/>
      <c r="BF65" s="679">
        <f t="shared" si="20"/>
        <v>0</v>
      </c>
      <c r="BG65" s="1">
        <v>100</v>
      </c>
      <c r="BH65" s="1"/>
      <c r="BI65" s="679">
        <f t="shared" si="21"/>
        <v>100</v>
      </c>
      <c r="BJ65" s="1"/>
      <c r="BK65" s="1"/>
      <c r="BL65" s="679">
        <f t="shared" si="22"/>
        <v>0</v>
      </c>
      <c r="BM65" s="6"/>
      <c r="BN65" s="6"/>
      <c r="BO65" s="6">
        <f t="shared" si="23"/>
        <v>0</v>
      </c>
      <c r="BP65" s="6">
        <v>160</v>
      </c>
      <c r="BQ65" s="6"/>
      <c r="BR65" s="6">
        <f t="shared" si="24"/>
        <v>160</v>
      </c>
      <c r="BS65" s="78"/>
      <c r="BT65" s="6"/>
      <c r="BU65" s="6">
        <f t="shared" si="39"/>
        <v>0</v>
      </c>
      <c r="BV65" s="6"/>
      <c r="BW65" s="6"/>
      <c r="BX65" s="6">
        <f t="shared" si="40"/>
        <v>0</v>
      </c>
      <c r="BY65" s="6"/>
      <c r="BZ65" s="6"/>
      <c r="CA65" s="6">
        <f t="shared" si="41"/>
        <v>0</v>
      </c>
      <c r="CB65" s="174">
        <f t="shared" si="25"/>
        <v>378</v>
      </c>
      <c r="CC65" s="174">
        <f t="shared" si="26"/>
        <v>20</v>
      </c>
      <c r="CD65" s="174">
        <f t="shared" si="27"/>
        <v>398</v>
      </c>
      <c r="CE65" s="175">
        <f t="shared" si="33"/>
        <v>42</v>
      </c>
      <c r="CF65" s="175">
        <f t="shared" si="34"/>
        <v>2.2222222222222223</v>
      </c>
      <c r="CG65" s="175">
        <f t="shared" si="35"/>
        <v>44.222222222222221</v>
      </c>
    </row>
    <row r="66" spans="1:168">
      <c r="A66" s="6">
        <v>59</v>
      </c>
      <c r="B66" s="678" t="s">
        <v>3020</v>
      </c>
      <c r="C66" s="6"/>
      <c r="D66" s="6" t="s">
        <v>3021</v>
      </c>
      <c r="E66" s="6" t="s">
        <v>2904</v>
      </c>
      <c r="F66" s="6"/>
      <c r="G66" s="679" t="s">
        <v>15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>
        <v>10</v>
      </c>
      <c r="AJ66" s="1"/>
      <c r="AK66" s="1">
        <f t="shared" si="10"/>
        <v>10</v>
      </c>
      <c r="AL66" s="1"/>
      <c r="AM66" s="1"/>
      <c r="AN66" s="1">
        <f t="shared" si="11"/>
        <v>0</v>
      </c>
      <c r="AO66" s="1"/>
      <c r="AP66" s="1"/>
      <c r="AQ66" s="1">
        <f t="shared" si="12"/>
        <v>0</v>
      </c>
      <c r="AR66" s="6">
        <f t="shared" si="28"/>
        <v>10</v>
      </c>
      <c r="AS66" s="6">
        <f t="shared" si="13"/>
        <v>0</v>
      </c>
      <c r="AT66" s="6">
        <f t="shared" si="14"/>
        <v>10</v>
      </c>
      <c r="AU66" s="494">
        <f t="shared" si="15"/>
        <v>0.83333333333333337</v>
      </c>
      <c r="AV66" s="494">
        <f t="shared" si="15"/>
        <v>0</v>
      </c>
      <c r="AW66" s="494">
        <f t="shared" si="16"/>
        <v>0.83333333333333337</v>
      </c>
      <c r="AX66" s="217"/>
      <c r="AY66" s="217"/>
      <c r="AZ66" s="217"/>
      <c r="BA66" s="1"/>
      <c r="BB66" s="1"/>
      <c r="BC66" s="679">
        <f t="shared" si="19"/>
        <v>0</v>
      </c>
      <c r="BD66" s="1"/>
      <c r="BE66" s="1"/>
      <c r="BF66" s="679">
        <f t="shared" si="20"/>
        <v>0</v>
      </c>
      <c r="BG66" s="1"/>
      <c r="BH66" s="1"/>
      <c r="BI66" s="679">
        <f t="shared" si="21"/>
        <v>0</v>
      </c>
      <c r="BJ66" s="1"/>
      <c r="BK66" s="1"/>
      <c r="BL66" s="679">
        <f t="shared" si="22"/>
        <v>0</v>
      </c>
      <c r="BM66" s="6"/>
      <c r="BN66" s="6"/>
      <c r="BO66" s="6">
        <f t="shared" si="23"/>
        <v>0</v>
      </c>
      <c r="BP66" s="6"/>
      <c r="BQ66" s="6"/>
      <c r="BR66" s="6">
        <f t="shared" si="24"/>
        <v>0</v>
      </c>
      <c r="BS66" s="78"/>
      <c r="BT66" s="6"/>
      <c r="BU66" s="6">
        <f t="shared" si="39"/>
        <v>0</v>
      </c>
      <c r="BV66" s="6"/>
      <c r="BW66" s="6"/>
      <c r="BX66" s="6">
        <f t="shared" si="40"/>
        <v>0</v>
      </c>
      <c r="BY66" s="6"/>
      <c r="BZ66" s="6"/>
      <c r="CA66" s="6">
        <f t="shared" si="41"/>
        <v>0</v>
      </c>
      <c r="CB66" s="174">
        <f t="shared" si="25"/>
        <v>0</v>
      </c>
      <c r="CC66" s="174">
        <f t="shared" si="26"/>
        <v>0</v>
      </c>
      <c r="CD66" s="174">
        <f t="shared" si="27"/>
        <v>0</v>
      </c>
      <c r="CE66" s="175">
        <f t="shared" si="33"/>
        <v>0</v>
      </c>
      <c r="CF66" s="175">
        <f t="shared" si="34"/>
        <v>0</v>
      </c>
      <c r="CG66" s="175">
        <f t="shared" si="35"/>
        <v>0</v>
      </c>
    </row>
    <row r="67" spans="1:168">
      <c r="A67" s="6">
        <v>60</v>
      </c>
      <c r="B67" s="678" t="s">
        <v>3022</v>
      </c>
      <c r="C67" s="6"/>
      <c r="D67" s="6" t="s">
        <v>3023</v>
      </c>
      <c r="E67" s="6" t="s">
        <v>2904</v>
      </c>
      <c r="F67" s="6"/>
      <c r="G67" s="679" t="s">
        <v>15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>
        <v>60</v>
      </c>
      <c r="AJ67" s="1"/>
      <c r="AK67" s="1">
        <f t="shared" si="10"/>
        <v>60</v>
      </c>
      <c r="AL67" s="1">
        <v>100</v>
      </c>
      <c r="AM67" s="1"/>
      <c r="AN67" s="1">
        <f t="shared" si="11"/>
        <v>100</v>
      </c>
      <c r="AO67" s="1"/>
      <c r="AP67" s="1"/>
      <c r="AQ67" s="1">
        <f t="shared" si="12"/>
        <v>0</v>
      </c>
      <c r="AR67" s="6">
        <f t="shared" si="28"/>
        <v>160</v>
      </c>
      <c r="AS67" s="6">
        <f t="shared" si="13"/>
        <v>0</v>
      </c>
      <c r="AT67" s="6">
        <f t="shared" si="14"/>
        <v>160</v>
      </c>
      <c r="AU67" s="494">
        <f t="shared" si="15"/>
        <v>13.333333333333334</v>
      </c>
      <c r="AV67" s="494">
        <f t="shared" si="15"/>
        <v>0</v>
      </c>
      <c r="AW67" s="494">
        <f t="shared" si="16"/>
        <v>13.333333333333334</v>
      </c>
      <c r="AX67" s="217"/>
      <c r="AY67" s="217"/>
      <c r="AZ67" s="217"/>
      <c r="BA67" s="1">
        <v>40</v>
      </c>
      <c r="BB67" s="1"/>
      <c r="BC67" s="679">
        <f t="shared" si="19"/>
        <v>40</v>
      </c>
      <c r="BD67" s="1"/>
      <c r="BE67" s="1"/>
      <c r="BF67" s="679">
        <f t="shared" si="20"/>
        <v>0</v>
      </c>
      <c r="BG67" s="1">
        <v>100</v>
      </c>
      <c r="BH67" s="1"/>
      <c r="BI67" s="679">
        <f t="shared" si="21"/>
        <v>100</v>
      </c>
      <c r="BJ67" s="1"/>
      <c r="BK67" s="1"/>
      <c r="BL67" s="679">
        <f t="shared" si="22"/>
        <v>0</v>
      </c>
      <c r="BM67" s="6"/>
      <c r="BN67" s="6"/>
      <c r="BO67" s="6">
        <f t="shared" si="23"/>
        <v>0</v>
      </c>
      <c r="BP67" s="6"/>
      <c r="BQ67" s="6"/>
      <c r="BR67" s="6">
        <f t="shared" si="24"/>
        <v>0</v>
      </c>
      <c r="BS67" s="78"/>
      <c r="BT67" s="6"/>
      <c r="BU67" s="6">
        <f t="shared" si="39"/>
        <v>0</v>
      </c>
      <c r="BV67" s="6"/>
      <c r="BW67" s="6"/>
      <c r="BX67" s="6">
        <f t="shared" si="40"/>
        <v>0</v>
      </c>
      <c r="BY67" s="6"/>
      <c r="BZ67" s="6"/>
      <c r="CA67" s="6">
        <f t="shared" si="41"/>
        <v>0</v>
      </c>
      <c r="CB67" s="174">
        <f t="shared" si="25"/>
        <v>140</v>
      </c>
      <c r="CC67" s="174">
        <f t="shared" si="26"/>
        <v>0</v>
      </c>
      <c r="CD67" s="174">
        <f t="shared" si="27"/>
        <v>140</v>
      </c>
      <c r="CE67" s="175">
        <f t="shared" si="33"/>
        <v>15.555555555555555</v>
      </c>
      <c r="CF67" s="175">
        <f t="shared" si="34"/>
        <v>0</v>
      </c>
      <c r="CG67" s="175">
        <f t="shared" si="35"/>
        <v>15.555555555555555</v>
      </c>
    </row>
    <row r="68" spans="1:168">
      <c r="A68" s="6">
        <v>61</v>
      </c>
      <c r="B68" s="678" t="s">
        <v>3024</v>
      </c>
      <c r="C68" s="6"/>
      <c r="D68" s="6" t="s">
        <v>3025</v>
      </c>
      <c r="E68" s="6" t="s">
        <v>2904</v>
      </c>
      <c r="F68" s="6"/>
      <c r="G68" s="679" t="s">
        <v>18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>
        <v>10</v>
      </c>
      <c r="AJ68" s="1"/>
      <c r="AK68" s="1">
        <f t="shared" si="10"/>
        <v>10</v>
      </c>
      <c r="AL68" s="1"/>
      <c r="AM68" s="1"/>
      <c r="AN68" s="1">
        <f t="shared" si="11"/>
        <v>0</v>
      </c>
      <c r="AO68" s="1"/>
      <c r="AP68" s="1"/>
      <c r="AQ68" s="1">
        <f t="shared" si="12"/>
        <v>0</v>
      </c>
      <c r="AR68" s="6">
        <f t="shared" si="28"/>
        <v>10</v>
      </c>
      <c r="AS68" s="6">
        <f t="shared" si="13"/>
        <v>0</v>
      </c>
      <c r="AT68" s="6">
        <f t="shared" si="14"/>
        <v>10</v>
      </c>
      <c r="AU68" s="494">
        <f t="shared" si="15"/>
        <v>0.83333333333333337</v>
      </c>
      <c r="AV68" s="494">
        <f t="shared" si="15"/>
        <v>0</v>
      </c>
      <c r="AW68" s="494">
        <f t="shared" si="16"/>
        <v>0.83333333333333337</v>
      </c>
      <c r="AX68" s="217"/>
      <c r="AY68" s="217"/>
      <c r="AZ68" s="217"/>
      <c r="BA68" s="1"/>
      <c r="BB68" s="1"/>
      <c r="BC68" s="679">
        <f t="shared" si="19"/>
        <v>0</v>
      </c>
      <c r="BD68" s="1"/>
      <c r="BE68" s="1"/>
      <c r="BF68" s="679">
        <f t="shared" si="20"/>
        <v>0</v>
      </c>
      <c r="BG68" s="1"/>
      <c r="BH68" s="1"/>
      <c r="BI68" s="679">
        <f t="shared" si="21"/>
        <v>0</v>
      </c>
      <c r="BJ68" s="1"/>
      <c r="BK68" s="1"/>
      <c r="BL68" s="679">
        <f t="shared" si="22"/>
        <v>0</v>
      </c>
      <c r="BM68" s="6"/>
      <c r="BN68" s="6"/>
      <c r="BO68" s="6">
        <f t="shared" si="23"/>
        <v>0</v>
      </c>
      <c r="BP68" s="6"/>
      <c r="BQ68" s="6"/>
      <c r="BR68" s="6">
        <f t="shared" si="24"/>
        <v>0</v>
      </c>
      <c r="BS68" s="78"/>
      <c r="BT68" s="6"/>
      <c r="BU68" s="6">
        <f t="shared" si="39"/>
        <v>0</v>
      </c>
      <c r="BV68" s="6"/>
      <c r="BW68" s="6"/>
      <c r="BX68" s="6">
        <f t="shared" si="40"/>
        <v>0</v>
      </c>
      <c r="BY68" s="6"/>
      <c r="BZ68" s="6"/>
      <c r="CA68" s="6">
        <f t="shared" si="41"/>
        <v>0</v>
      </c>
      <c r="CB68" s="174">
        <f t="shared" si="25"/>
        <v>0</v>
      </c>
      <c r="CC68" s="174">
        <f t="shared" si="26"/>
        <v>0</v>
      </c>
      <c r="CD68" s="174">
        <f t="shared" si="27"/>
        <v>0</v>
      </c>
      <c r="CE68" s="175">
        <f t="shared" si="33"/>
        <v>0</v>
      </c>
      <c r="CF68" s="175">
        <f t="shared" si="34"/>
        <v>0</v>
      </c>
      <c r="CG68" s="175">
        <f t="shared" si="35"/>
        <v>0</v>
      </c>
    </row>
    <row r="69" spans="1:168">
      <c r="A69" s="6">
        <v>62</v>
      </c>
      <c r="B69" s="678" t="s">
        <v>3026</v>
      </c>
      <c r="C69" s="6"/>
      <c r="D69" s="6" t="s">
        <v>3027</v>
      </c>
      <c r="E69" s="6" t="s">
        <v>2904</v>
      </c>
      <c r="F69" s="6"/>
      <c r="G69" s="679" t="s">
        <v>18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>
        <v>114</v>
      </c>
      <c r="AJ69" s="1"/>
      <c r="AK69" s="1">
        <f t="shared" si="10"/>
        <v>114</v>
      </c>
      <c r="AL69" s="1"/>
      <c r="AM69" s="1"/>
      <c r="AN69" s="1">
        <f t="shared" si="11"/>
        <v>0</v>
      </c>
      <c r="AO69" s="1"/>
      <c r="AP69" s="1"/>
      <c r="AQ69" s="1">
        <f t="shared" si="12"/>
        <v>0</v>
      </c>
      <c r="AR69" s="6">
        <f t="shared" si="28"/>
        <v>114</v>
      </c>
      <c r="AS69" s="6">
        <f t="shared" si="13"/>
        <v>0</v>
      </c>
      <c r="AT69" s="6">
        <f t="shared" si="14"/>
        <v>114</v>
      </c>
      <c r="AU69" s="494">
        <f t="shared" si="15"/>
        <v>9.5</v>
      </c>
      <c r="AV69" s="494">
        <f t="shared" si="15"/>
        <v>0</v>
      </c>
      <c r="AW69" s="494">
        <f t="shared" si="16"/>
        <v>9.5</v>
      </c>
      <c r="AX69" s="217"/>
      <c r="AY69" s="217"/>
      <c r="AZ69" s="217"/>
      <c r="BA69" s="1">
        <v>76</v>
      </c>
      <c r="BB69" s="1"/>
      <c r="BC69" s="679">
        <f t="shared" si="19"/>
        <v>76</v>
      </c>
      <c r="BD69" s="1"/>
      <c r="BE69" s="1"/>
      <c r="BF69" s="679">
        <f t="shared" si="20"/>
        <v>0</v>
      </c>
      <c r="BG69" s="1">
        <v>76</v>
      </c>
      <c r="BH69" s="1"/>
      <c r="BI69" s="679">
        <f t="shared" si="21"/>
        <v>76</v>
      </c>
      <c r="BJ69" s="1"/>
      <c r="BK69" s="1"/>
      <c r="BL69" s="679">
        <f t="shared" si="22"/>
        <v>0</v>
      </c>
      <c r="BM69" s="6"/>
      <c r="BN69" s="6"/>
      <c r="BO69" s="6">
        <f t="shared" si="23"/>
        <v>0</v>
      </c>
      <c r="BP69" s="6"/>
      <c r="BQ69" s="6"/>
      <c r="BR69" s="6">
        <f t="shared" si="24"/>
        <v>0</v>
      </c>
      <c r="BS69" s="78"/>
      <c r="BT69" s="6"/>
      <c r="BU69" s="6">
        <f t="shared" si="39"/>
        <v>0</v>
      </c>
      <c r="BV69" s="6"/>
      <c r="BW69" s="6"/>
      <c r="BX69" s="6">
        <f t="shared" si="40"/>
        <v>0</v>
      </c>
      <c r="BY69" s="6"/>
      <c r="BZ69" s="6"/>
      <c r="CA69" s="6">
        <f t="shared" si="41"/>
        <v>0</v>
      </c>
      <c r="CB69" s="174">
        <f t="shared" si="25"/>
        <v>152</v>
      </c>
      <c r="CC69" s="174">
        <f t="shared" si="26"/>
        <v>0</v>
      </c>
      <c r="CD69" s="174">
        <f t="shared" si="27"/>
        <v>152</v>
      </c>
      <c r="CE69" s="175">
        <f t="shared" si="33"/>
        <v>16.888888888888889</v>
      </c>
      <c r="CF69" s="175">
        <f t="shared" si="34"/>
        <v>0</v>
      </c>
      <c r="CG69" s="175">
        <f t="shared" si="35"/>
        <v>16.888888888888889</v>
      </c>
    </row>
    <row r="70" spans="1:168">
      <c r="A70" s="6">
        <v>63</v>
      </c>
      <c r="B70" s="678" t="s">
        <v>3028</v>
      </c>
      <c r="C70" s="6"/>
      <c r="D70" s="6" t="s">
        <v>3029</v>
      </c>
      <c r="E70" s="6" t="s">
        <v>2904</v>
      </c>
      <c r="F70" s="6"/>
      <c r="G70" s="679" t="s">
        <v>18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>
        <v>40</v>
      </c>
      <c r="AJ70" s="1"/>
      <c r="AK70" s="1">
        <f t="shared" si="10"/>
        <v>40</v>
      </c>
      <c r="AL70" s="1"/>
      <c r="AM70" s="1"/>
      <c r="AN70" s="1">
        <f t="shared" si="11"/>
        <v>0</v>
      </c>
      <c r="AO70" s="1">
        <v>15</v>
      </c>
      <c r="AP70" s="1"/>
      <c r="AQ70" s="1">
        <f t="shared" si="12"/>
        <v>15</v>
      </c>
      <c r="AR70" s="6">
        <f t="shared" si="28"/>
        <v>55</v>
      </c>
      <c r="AS70" s="6">
        <f t="shared" si="13"/>
        <v>0</v>
      </c>
      <c r="AT70" s="6">
        <f t="shared" si="14"/>
        <v>55</v>
      </c>
      <c r="AU70" s="494">
        <f t="shared" si="15"/>
        <v>4.583333333333333</v>
      </c>
      <c r="AV70" s="494">
        <f t="shared" si="15"/>
        <v>0</v>
      </c>
      <c r="AW70" s="494">
        <f t="shared" si="16"/>
        <v>4.583333333333333</v>
      </c>
      <c r="AX70" s="217"/>
      <c r="AY70" s="217"/>
      <c r="AZ70" s="217"/>
      <c r="BA70" s="1">
        <v>30</v>
      </c>
      <c r="BB70" s="1"/>
      <c r="BC70" s="679">
        <f t="shared" si="19"/>
        <v>30</v>
      </c>
      <c r="BD70" s="1"/>
      <c r="BE70" s="1"/>
      <c r="BF70" s="679">
        <f t="shared" si="20"/>
        <v>0</v>
      </c>
      <c r="BG70" s="1">
        <v>40</v>
      </c>
      <c r="BH70" s="1"/>
      <c r="BI70" s="679">
        <f t="shared" si="21"/>
        <v>40</v>
      </c>
      <c r="BJ70" s="1"/>
      <c r="BK70" s="1"/>
      <c r="BL70" s="679">
        <f t="shared" si="22"/>
        <v>0</v>
      </c>
      <c r="BM70" s="6"/>
      <c r="BN70" s="6"/>
      <c r="BO70" s="6">
        <f t="shared" si="23"/>
        <v>0</v>
      </c>
      <c r="BP70" s="6"/>
      <c r="BQ70" s="6"/>
      <c r="BR70" s="6">
        <f t="shared" si="24"/>
        <v>0</v>
      </c>
      <c r="BS70" s="78"/>
      <c r="BT70" s="6"/>
      <c r="BU70" s="6">
        <f t="shared" si="39"/>
        <v>0</v>
      </c>
      <c r="BV70" s="6"/>
      <c r="BW70" s="6"/>
      <c r="BX70" s="6">
        <f t="shared" si="40"/>
        <v>0</v>
      </c>
      <c r="BY70" s="6"/>
      <c r="BZ70" s="6"/>
      <c r="CA70" s="6">
        <f t="shared" si="41"/>
        <v>0</v>
      </c>
      <c r="CB70" s="174">
        <f t="shared" si="25"/>
        <v>70</v>
      </c>
      <c r="CC70" s="174">
        <f t="shared" si="26"/>
        <v>0</v>
      </c>
      <c r="CD70" s="174">
        <f t="shared" si="27"/>
        <v>70</v>
      </c>
      <c r="CE70" s="175">
        <f t="shared" si="33"/>
        <v>7.7777777777777777</v>
      </c>
      <c r="CF70" s="175">
        <f t="shared" si="34"/>
        <v>0</v>
      </c>
      <c r="CG70" s="175">
        <f t="shared" si="35"/>
        <v>7.7777777777777777</v>
      </c>
    </row>
    <row r="71" spans="1:168" s="61" customFormat="1">
      <c r="A71" s="522">
        <v>64</v>
      </c>
      <c r="B71" s="698" t="s">
        <v>3030</v>
      </c>
      <c r="C71" s="522"/>
      <c r="D71" s="522" t="s">
        <v>3031</v>
      </c>
      <c r="E71" s="522" t="s">
        <v>2904</v>
      </c>
      <c r="F71" s="522"/>
      <c r="G71" s="718" t="s">
        <v>18</v>
      </c>
      <c r="H71" s="522"/>
      <c r="I71" s="522"/>
      <c r="J71" s="522"/>
      <c r="K71" s="522"/>
      <c r="L71" s="522"/>
      <c r="M71" s="522"/>
      <c r="N71" s="522"/>
      <c r="O71" s="522"/>
      <c r="P71" s="522"/>
      <c r="Q71" s="522"/>
      <c r="R71" s="522"/>
      <c r="S71" s="522"/>
      <c r="T71" s="522"/>
      <c r="U71" s="522"/>
      <c r="V71" s="522"/>
      <c r="W71" s="522"/>
      <c r="X71" s="522"/>
      <c r="Y71" s="522"/>
      <c r="Z71" s="522"/>
      <c r="AA71" s="522"/>
      <c r="AB71" s="522"/>
      <c r="AC71" s="522"/>
      <c r="AD71" s="522"/>
      <c r="AE71" s="522"/>
      <c r="AF71" s="522"/>
      <c r="AG71" s="522"/>
      <c r="AH71" s="522"/>
      <c r="AI71" s="522">
        <v>340</v>
      </c>
      <c r="AJ71" s="522">
        <v>60</v>
      </c>
      <c r="AK71" s="522">
        <f t="shared" si="10"/>
        <v>400</v>
      </c>
      <c r="AL71" s="522"/>
      <c r="AM71" s="522"/>
      <c r="AN71" s="522">
        <f t="shared" si="11"/>
        <v>0</v>
      </c>
      <c r="AO71" s="522"/>
      <c r="AP71" s="522"/>
      <c r="AQ71" s="522">
        <f t="shared" si="12"/>
        <v>0</v>
      </c>
      <c r="AR71" s="522">
        <f t="shared" si="28"/>
        <v>340</v>
      </c>
      <c r="AS71" s="522">
        <f t="shared" si="13"/>
        <v>60</v>
      </c>
      <c r="AT71" s="522">
        <f t="shared" si="14"/>
        <v>400</v>
      </c>
      <c r="AU71" s="523">
        <f t="shared" si="15"/>
        <v>28.333333333333332</v>
      </c>
      <c r="AV71" s="523">
        <f t="shared" si="15"/>
        <v>5</v>
      </c>
      <c r="AW71" s="523">
        <f t="shared" si="16"/>
        <v>33.333333333333329</v>
      </c>
      <c r="AX71" s="523"/>
      <c r="AY71" s="523"/>
      <c r="AZ71" s="523"/>
      <c r="BA71" s="522">
        <v>400</v>
      </c>
      <c r="BB71" s="522"/>
      <c r="BC71" s="718">
        <f t="shared" si="19"/>
        <v>400</v>
      </c>
      <c r="BD71" s="522"/>
      <c r="BE71" s="522"/>
      <c r="BF71" s="718">
        <f t="shared" si="20"/>
        <v>0</v>
      </c>
      <c r="BG71" s="522"/>
      <c r="BH71" s="522"/>
      <c r="BI71" s="718">
        <f t="shared" si="21"/>
        <v>0</v>
      </c>
      <c r="BJ71" s="522"/>
      <c r="BK71" s="522"/>
      <c r="BL71" s="718">
        <f t="shared" si="22"/>
        <v>0</v>
      </c>
      <c r="BM71" s="522">
        <v>260</v>
      </c>
      <c r="BN71" s="522"/>
      <c r="BO71" s="522">
        <f t="shared" si="23"/>
        <v>260</v>
      </c>
      <c r="BP71" s="522">
        <v>400</v>
      </c>
      <c r="BQ71" s="522"/>
      <c r="BR71" s="522">
        <f t="shared" si="24"/>
        <v>400</v>
      </c>
      <c r="BS71" s="920"/>
      <c r="BT71" s="522"/>
      <c r="BU71" s="522">
        <f>BS71+BT71</f>
        <v>0</v>
      </c>
      <c r="BV71" s="522"/>
      <c r="BW71" s="522"/>
      <c r="BX71" s="522">
        <f>BV71+BW71</f>
        <v>0</v>
      </c>
      <c r="BY71" s="522"/>
      <c r="BZ71" s="522"/>
      <c r="CA71" s="522">
        <f>BY71+BZ71</f>
        <v>0</v>
      </c>
      <c r="CB71" s="174">
        <f t="shared" si="25"/>
        <v>1060</v>
      </c>
      <c r="CC71" s="174">
        <f t="shared" si="26"/>
        <v>0</v>
      </c>
      <c r="CD71" s="174">
        <f t="shared" si="27"/>
        <v>1060</v>
      </c>
      <c r="CE71" s="175">
        <f t="shared" si="33"/>
        <v>117.77777777777777</v>
      </c>
      <c r="CF71" s="175">
        <f t="shared" si="34"/>
        <v>0</v>
      </c>
      <c r="CG71" s="175">
        <f t="shared" si="35"/>
        <v>117.77777777777777</v>
      </c>
      <c r="CH71" s="361"/>
      <c r="CI71" s="361"/>
      <c r="CJ71" s="361"/>
      <c r="CK71" s="361"/>
      <c r="CL71" s="361"/>
      <c r="CM71" s="361"/>
      <c r="CN71" s="361"/>
      <c r="CO71" s="361"/>
      <c r="CP71" s="361"/>
      <c r="CQ71" s="361"/>
      <c r="CR71" s="361"/>
      <c r="CS71" s="361"/>
      <c r="CT71" s="361"/>
      <c r="CU71" s="361"/>
      <c r="CV71" s="361"/>
      <c r="CW71" s="361"/>
      <c r="CX71" s="361"/>
      <c r="CY71" s="361"/>
      <c r="CZ71" s="361"/>
      <c r="DA71" s="361"/>
      <c r="DB71" s="361"/>
      <c r="DC71" s="361"/>
      <c r="DD71" s="361"/>
      <c r="DE71" s="361"/>
      <c r="DF71" s="361"/>
      <c r="DG71" s="361"/>
      <c r="DH71" s="361"/>
      <c r="DI71" s="361"/>
      <c r="DJ71" s="361"/>
      <c r="DK71" s="361"/>
      <c r="DL71" s="361"/>
      <c r="DM71" s="361"/>
      <c r="DN71" s="361"/>
      <c r="DO71" s="361"/>
      <c r="DP71" s="361"/>
      <c r="DQ71" s="361"/>
      <c r="DR71" s="361"/>
      <c r="DS71" s="361"/>
      <c r="DT71" s="361"/>
      <c r="DU71" s="361"/>
      <c r="DV71" s="361"/>
      <c r="DW71" s="361"/>
      <c r="DX71" s="361"/>
      <c r="DY71" s="361"/>
      <c r="DZ71" s="361"/>
      <c r="EA71" s="361"/>
      <c r="EB71" s="361"/>
      <c r="EC71" s="361"/>
      <c r="ED71" s="361"/>
      <c r="EE71" s="361"/>
      <c r="EF71" s="361"/>
      <c r="EG71" s="361"/>
      <c r="EH71" s="361"/>
      <c r="EI71" s="361"/>
      <c r="EJ71" s="361"/>
      <c r="EK71" s="361"/>
      <c r="EL71" s="361"/>
      <c r="EM71" s="361"/>
      <c r="EN71" s="361"/>
      <c r="EO71" s="361"/>
      <c r="EP71" s="361"/>
      <c r="EQ71" s="361"/>
      <c r="ER71" s="361"/>
      <c r="ES71" s="361"/>
      <c r="ET71" s="361"/>
      <c r="EU71" s="361"/>
      <c r="EV71" s="361"/>
      <c r="EW71" s="361"/>
      <c r="EX71" s="361"/>
      <c r="EY71" s="361"/>
      <c r="EZ71" s="361"/>
      <c r="FA71" s="361"/>
      <c r="FB71" s="361"/>
      <c r="FC71" s="361"/>
      <c r="FD71" s="361"/>
      <c r="FE71" s="361"/>
      <c r="FF71" s="361"/>
      <c r="FG71" s="361"/>
      <c r="FH71" s="361"/>
      <c r="FI71" s="361"/>
      <c r="FJ71" s="361"/>
      <c r="FK71" s="361"/>
      <c r="FL71" s="361"/>
    </row>
    <row r="72" spans="1:168" s="61" customFormat="1">
      <c r="A72" s="522">
        <v>65</v>
      </c>
      <c r="B72" s="698" t="s">
        <v>3032</v>
      </c>
      <c r="C72" s="522"/>
      <c r="D72" s="522" t="s">
        <v>3033</v>
      </c>
      <c r="E72" s="522" t="s">
        <v>2904</v>
      </c>
      <c r="F72" s="522"/>
      <c r="G72" s="718" t="s">
        <v>18</v>
      </c>
      <c r="H72" s="522"/>
      <c r="I72" s="522"/>
      <c r="J72" s="522"/>
      <c r="K72" s="522"/>
      <c r="L72" s="522"/>
      <c r="M72" s="522"/>
      <c r="N72" s="522"/>
      <c r="O72" s="522"/>
      <c r="P72" s="522"/>
      <c r="Q72" s="522"/>
      <c r="R72" s="522"/>
      <c r="S72" s="522"/>
      <c r="T72" s="522"/>
      <c r="U72" s="522"/>
      <c r="V72" s="522"/>
      <c r="W72" s="522"/>
      <c r="X72" s="522"/>
      <c r="Y72" s="522"/>
      <c r="Z72" s="522"/>
      <c r="AA72" s="522"/>
      <c r="AB72" s="522"/>
      <c r="AC72" s="522"/>
      <c r="AD72" s="522"/>
      <c r="AE72" s="522"/>
      <c r="AF72" s="522"/>
      <c r="AG72" s="522"/>
      <c r="AH72" s="522"/>
      <c r="AI72" s="522">
        <v>128</v>
      </c>
      <c r="AJ72" s="522">
        <v>40</v>
      </c>
      <c r="AK72" s="522">
        <f t="shared" si="10"/>
        <v>168</v>
      </c>
      <c r="AL72" s="522"/>
      <c r="AM72" s="522"/>
      <c r="AN72" s="522">
        <f t="shared" si="11"/>
        <v>0</v>
      </c>
      <c r="AO72" s="522"/>
      <c r="AP72" s="522"/>
      <c r="AQ72" s="522">
        <f t="shared" si="12"/>
        <v>0</v>
      </c>
      <c r="AR72" s="522">
        <f t="shared" si="28"/>
        <v>128</v>
      </c>
      <c r="AS72" s="522">
        <f t="shared" si="13"/>
        <v>40</v>
      </c>
      <c r="AT72" s="522">
        <f t="shared" si="14"/>
        <v>168</v>
      </c>
      <c r="AU72" s="523">
        <f t="shared" si="15"/>
        <v>10.666666666666666</v>
      </c>
      <c r="AV72" s="523">
        <f t="shared" si="15"/>
        <v>3.3333333333333335</v>
      </c>
      <c r="AW72" s="523">
        <f t="shared" si="16"/>
        <v>14</v>
      </c>
      <c r="AX72" s="523"/>
      <c r="AY72" s="523"/>
      <c r="AZ72" s="523"/>
      <c r="BA72" s="522"/>
      <c r="BB72" s="522"/>
      <c r="BC72" s="718">
        <f t="shared" si="19"/>
        <v>0</v>
      </c>
      <c r="BD72" s="522"/>
      <c r="BE72" s="522"/>
      <c r="BF72" s="718">
        <f t="shared" si="20"/>
        <v>0</v>
      </c>
      <c r="BG72" s="522"/>
      <c r="BH72" s="522"/>
      <c r="BI72" s="718">
        <f t="shared" si="21"/>
        <v>0</v>
      </c>
      <c r="BJ72" s="522"/>
      <c r="BK72" s="522"/>
      <c r="BL72" s="718">
        <f t="shared" si="22"/>
        <v>0</v>
      </c>
      <c r="BM72" s="522"/>
      <c r="BN72" s="522"/>
      <c r="BO72" s="522">
        <f t="shared" si="23"/>
        <v>0</v>
      </c>
      <c r="BP72" s="522"/>
      <c r="BQ72" s="522"/>
      <c r="BR72" s="522">
        <f t="shared" si="24"/>
        <v>0</v>
      </c>
      <c r="BS72" s="920"/>
      <c r="BT72" s="522"/>
      <c r="BU72" s="522">
        <f>BS72+BT72</f>
        <v>0</v>
      </c>
      <c r="BV72" s="522"/>
      <c r="BW72" s="522"/>
      <c r="BX72" s="522">
        <f>BV72+BW72</f>
        <v>0</v>
      </c>
      <c r="BY72" s="522"/>
      <c r="BZ72" s="522"/>
      <c r="CA72" s="522">
        <f>BY72+BZ72</f>
        <v>0</v>
      </c>
      <c r="CB72" s="174">
        <f t="shared" si="25"/>
        <v>0</v>
      </c>
      <c r="CC72" s="174">
        <f t="shared" si="26"/>
        <v>0</v>
      </c>
      <c r="CD72" s="174">
        <f t="shared" si="27"/>
        <v>0</v>
      </c>
      <c r="CE72" s="175">
        <f t="shared" si="33"/>
        <v>0</v>
      </c>
      <c r="CF72" s="175">
        <f t="shared" si="34"/>
        <v>0</v>
      </c>
      <c r="CG72" s="175">
        <f t="shared" si="35"/>
        <v>0</v>
      </c>
      <c r="CH72" s="361"/>
      <c r="CI72" s="361"/>
      <c r="CJ72" s="361"/>
      <c r="CK72" s="361"/>
      <c r="CL72" s="361"/>
      <c r="CM72" s="361"/>
      <c r="CN72" s="361"/>
      <c r="CO72" s="361"/>
      <c r="CP72" s="361"/>
      <c r="CQ72" s="361"/>
      <c r="CR72" s="361"/>
      <c r="CS72" s="361"/>
      <c r="CT72" s="361"/>
      <c r="CU72" s="361"/>
      <c r="CV72" s="361"/>
      <c r="CW72" s="361"/>
      <c r="CX72" s="361"/>
      <c r="CY72" s="361"/>
      <c r="CZ72" s="361"/>
      <c r="DA72" s="361"/>
      <c r="DB72" s="361"/>
      <c r="DC72" s="361"/>
      <c r="DD72" s="361"/>
      <c r="DE72" s="361"/>
      <c r="DF72" s="361"/>
      <c r="DG72" s="361"/>
      <c r="DH72" s="361"/>
      <c r="DI72" s="361"/>
      <c r="DJ72" s="361"/>
      <c r="DK72" s="361"/>
      <c r="DL72" s="361"/>
      <c r="DM72" s="361"/>
      <c r="DN72" s="361"/>
      <c r="DO72" s="361"/>
      <c r="DP72" s="361"/>
      <c r="DQ72" s="361"/>
      <c r="DR72" s="361"/>
      <c r="DS72" s="361"/>
      <c r="DT72" s="361"/>
      <c r="DU72" s="361"/>
      <c r="DV72" s="361"/>
      <c r="DW72" s="361"/>
      <c r="DX72" s="361"/>
      <c r="DY72" s="361"/>
      <c r="DZ72" s="361"/>
      <c r="EA72" s="361"/>
      <c r="EB72" s="361"/>
      <c r="EC72" s="361"/>
      <c r="ED72" s="361"/>
      <c r="EE72" s="361"/>
      <c r="EF72" s="361"/>
      <c r="EG72" s="361"/>
      <c r="EH72" s="361"/>
      <c r="EI72" s="361"/>
      <c r="EJ72" s="361"/>
      <c r="EK72" s="361"/>
      <c r="EL72" s="361"/>
      <c r="EM72" s="361"/>
      <c r="EN72" s="361"/>
      <c r="EO72" s="361"/>
      <c r="EP72" s="361"/>
      <c r="EQ72" s="361"/>
      <c r="ER72" s="361"/>
      <c r="ES72" s="361"/>
      <c r="ET72" s="361"/>
      <c r="EU72" s="361"/>
      <c r="EV72" s="361"/>
      <c r="EW72" s="361"/>
      <c r="EX72" s="361"/>
      <c r="EY72" s="361"/>
      <c r="EZ72" s="361"/>
      <c r="FA72" s="361"/>
      <c r="FB72" s="361"/>
      <c r="FC72" s="361"/>
      <c r="FD72" s="361"/>
      <c r="FE72" s="361"/>
      <c r="FF72" s="361"/>
      <c r="FG72" s="361"/>
      <c r="FH72" s="361"/>
      <c r="FI72" s="361"/>
      <c r="FJ72" s="361"/>
      <c r="FK72" s="361"/>
      <c r="FL72" s="361"/>
    </row>
    <row r="73" spans="1:168">
      <c r="A73" s="6">
        <v>66</v>
      </c>
      <c r="B73" s="678" t="s">
        <v>3034</v>
      </c>
      <c r="C73" s="6"/>
      <c r="D73" s="6" t="s">
        <v>3035</v>
      </c>
      <c r="E73" s="6" t="s">
        <v>2904</v>
      </c>
      <c r="F73" s="6"/>
      <c r="G73" s="679" t="s">
        <v>15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>
        <v>25</v>
      </c>
      <c r="AJ73" s="1"/>
      <c r="AK73" s="1">
        <f t="shared" si="10"/>
        <v>25</v>
      </c>
      <c r="AL73" s="1"/>
      <c r="AM73" s="1"/>
      <c r="AN73" s="1">
        <f t="shared" ref="AN73:AN99" si="42">AM73+AL73</f>
        <v>0</v>
      </c>
      <c r="AO73" s="1"/>
      <c r="AP73" s="1"/>
      <c r="AQ73" s="1">
        <f t="shared" ref="AQ73:AQ99" si="43">AP73+AO73</f>
        <v>0</v>
      </c>
      <c r="AR73" s="6">
        <f t="shared" ref="AR73:AR99" si="44">Z73+AC73+W73+T73+Q73+N73+K73+H73+AF73+AI73+AL73+AO73</f>
        <v>25</v>
      </c>
      <c r="AS73" s="6">
        <f t="shared" ref="AS73:AS100" si="45">AA73+X73+U73+R73+O73+L73+I73+AG73+AJ73+AM73+AP73</f>
        <v>0</v>
      </c>
      <c r="AT73" s="6">
        <f t="shared" ref="AT73:AT100" si="46">AS73+AR73</f>
        <v>25</v>
      </c>
      <c r="AU73" s="494">
        <f t="shared" ref="AU73:AV100" si="47">AR73/12</f>
        <v>2.0833333333333335</v>
      </c>
      <c r="AV73" s="494">
        <f t="shared" si="47"/>
        <v>0</v>
      </c>
      <c r="AW73" s="494">
        <f t="shared" si="16"/>
        <v>2.0833333333333335</v>
      </c>
      <c r="AX73" s="217"/>
      <c r="AY73" s="217"/>
      <c r="AZ73" s="217"/>
      <c r="BA73" s="1"/>
      <c r="BB73" s="1"/>
      <c r="BC73" s="679">
        <f t="shared" ref="BC73:BC99" si="48">BB73+BA73</f>
        <v>0</v>
      </c>
      <c r="BD73" s="1">
        <v>88</v>
      </c>
      <c r="BE73" s="1"/>
      <c r="BF73" s="679">
        <f t="shared" ref="BF73:BF99" si="49">BE73+BD73</f>
        <v>88</v>
      </c>
      <c r="BG73" s="1"/>
      <c r="BH73" s="1"/>
      <c r="BI73" s="679">
        <f t="shared" ref="BI73:BI99" si="50">BH73+BG73</f>
        <v>0</v>
      </c>
      <c r="BJ73" s="1"/>
      <c r="BK73" s="1"/>
      <c r="BL73" s="679">
        <f t="shared" ref="BL73:BL99" si="51">BK73+BJ73</f>
        <v>0</v>
      </c>
      <c r="BM73" s="6"/>
      <c r="BN73" s="6"/>
      <c r="BO73" s="6">
        <f t="shared" ref="BO73:BO99" si="52">BN73+BM73</f>
        <v>0</v>
      </c>
      <c r="BP73" s="6"/>
      <c r="BQ73" s="6"/>
      <c r="BR73" s="6">
        <f t="shared" ref="BR73:BR99" si="53">BQ73+BP73</f>
        <v>0</v>
      </c>
      <c r="BS73" s="78"/>
      <c r="BT73" s="6"/>
      <c r="BU73" s="6">
        <f t="shared" ref="BU73:BU89" si="54">BS73+BT73</f>
        <v>0</v>
      </c>
      <c r="BV73" s="6"/>
      <c r="BW73" s="6"/>
      <c r="BX73" s="6">
        <f t="shared" ref="BX73:BX89" si="55">BV73+BW73</f>
        <v>0</v>
      </c>
      <c r="BY73" s="6"/>
      <c r="BZ73" s="6"/>
      <c r="CA73" s="6">
        <f t="shared" ref="CA73:CA89" si="56">BY73+BZ73</f>
        <v>0</v>
      </c>
      <c r="CB73" s="174">
        <f t="shared" ref="CB73:CB99" si="57">BA73+BD73+BG73+BJ73+BM73+BP73+BS73+BV73+BY73</f>
        <v>88</v>
      </c>
      <c r="CC73" s="174">
        <f t="shared" ref="CC73:CC99" si="58">BB73+BE73+BH73+BK73+BN73+BQ73+BT73+BW73+BZ73</f>
        <v>0</v>
      </c>
      <c r="CD73" s="174">
        <f t="shared" ref="CD73:CD99" si="59">BC73+BF73+BI73+BL73+BO73+BR73+BU73+BX73+CA73</f>
        <v>88</v>
      </c>
      <c r="CE73" s="175">
        <f t="shared" si="33"/>
        <v>9.7777777777777786</v>
      </c>
      <c r="CF73" s="175">
        <f t="shared" si="34"/>
        <v>0</v>
      </c>
      <c r="CG73" s="175">
        <f t="shared" si="35"/>
        <v>9.7777777777777786</v>
      </c>
    </row>
    <row r="74" spans="1:168">
      <c r="A74" s="6">
        <v>67</v>
      </c>
      <c r="B74" s="678" t="s">
        <v>3036</v>
      </c>
      <c r="C74" s="6"/>
      <c r="D74" s="6" t="s">
        <v>3037</v>
      </c>
      <c r="E74" s="6" t="s">
        <v>2904</v>
      </c>
      <c r="F74" s="6"/>
      <c r="G74" s="679" t="s">
        <v>15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>
        <v>25</v>
      </c>
      <c r="AJ74" s="1"/>
      <c r="AK74" s="1">
        <f t="shared" si="10"/>
        <v>25</v>
      </c>
      <c r="AL74" s="1"/>
      <c r="AM74" s="1"/>
      <c r="AN74" s="1">
        <f t="shared" si="42"/>
        <v>0</v>
      </c>
      <c r="AO74" s="1"/>
      <c r="AP74" s="1"/>
      <c r="AQ74" s="1">
        <f t="shared" si="43"/>
        <v>0</v>
      </c>
      <c r="AR74" s="6">
        <f t="shared" si="44"/>
        <v>25</v>
      </c>
      <c r="AS74" s="6">
        <f t="shared" si="45"/>
        <v>0</v>
      </c>
      <c r="AT74" s="6">
        <f t="shared" si="46"/>
        <v>25</v>
      </c>
      <c r="AU74" s="494">
        <f t="shared" si="47"/>
        <v>2.0833333333333335</v>
      </c>
      <c r="AV74" s="494">
        <f t="shared" si="47"/>
        <v>0</v>
      </c>
      <c r="AW74" s="494">
        <f t="shared" si="16"/>
        <v>2.0833333333333335</v>
      </c>
      <c r="AX74" s="217"/>
      <c r="AY74" s="217"/>
      <c r="AZ74" s="217"/>
      <c r="BA74" s="1">
        <v>18</v>
      </c>
      <c r="BB74" s="1"/>
      <c r="BC74" s="679">
        <f t="shared" si="48"/>
        <v>18</v>
      </c>
      <c r="BD74" s="1">
        <v>46</v>
      </c>
      <c r="BE74" s="1"/>
      <c r="BF74" s="679">
        <f t="shared" si="49"/>
        <v>46</v>
      </c>
      <c r="BG74" s="1"/>
      <c r="BH74" s="1"/>
      <c r="BI74" s="679">
        <f t="shared" si="50"/>
        <v>0</v>
      </c>
      <c r="BJ74" s="1"/>
      <c r="BK74" s="1"/>
      <c r="BL74" s="679">
        <f t="shared" si="51"/>
        <v>0</v>
      </c>
      <c r="BM74" s="6">
        <v>43</v>
      </c>
      <c r="BN74" s="6"/>
      <c r="BO74" s="6">
        <f t="shared" si="52"/>
        <v>43</v>
      </c>
      <c r="BP74" s="6"/>
      <c r="BQ74" s="6"/>
      <c r="BR74" s="6">
        <f t="shared" si="53"/>
        <v>0</v>
      </c>
      <c r="BS74" s="78"/>
      <c r="BT74" s="6"/>
      <c r="BU74" s="6">
        <f t="shared" si="54"/>
        <v>0</v>
      </c>
      <c r="BV74" s="6"/>
      <c r="BW74" s="6"/>
      <c r="BX74" s="6">
        <f t="shared" si="55"/>
        <v>0</v>
      </c>
      <c r="BY74" s="6"/>
      <c r="BZ74" s="6"/>
      <c r="CA74" s="6">
        <f t="shared" si="56"/>
        <v>0</v>
      </c>
      <c r="CB74" s="174">
        <f t="shared" si="57"/>
        <v>107</v>
      </c>
      <c r="CC74" s="174">
        <f t="shared" si="58"/>
        <v>0</v>
      </c>
      <c r="CD74" s="174">
        <f t="shared" si="59"/>
        <v>107</v>
      </c>
      <c r="CE74" s="175">
        <f t="shared" ref="CE74:CE99" si="60">CB74/9</f>
        <v>11.888888888888889</v>
      </c>
      <c r="CF74" s="175">
        <f t="shared" ref="CF74:CF99" si="61">CC74/9</f>
        <v>0</v>
      </c>
      <c r="CG74" s="175">
        <f t="shared" ref="CG74:CG99" si="62">CD74/9</f>
        <v>11.888888888888889</v>
      </c>
    </row>
    <row r="75" spans="1:168">
      <c r="A75" s="6">
        <v>68</v>
      </c>
      <c r="B75" s="678" t="s">
        <v>3038</v>
      </c>
      <c r="C75" s="6"/>
      <c r="D75" s="6" t="s">
        <v>3039</v>
      </c>
      <c r="E75" s="6" t="s">
        <v>2904</v>
      </c>
      <c r="F75" s="6"/>
      <c r="G75" s="679" t="s">
        <v>18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>
        <v>10</v>
      </c>
      <c r="AJ75" s="1"/>
      <c r="AK75" s="1">
        <f t="shared" si="10"/>
        <v>10</v>
      </c>
      <c r="AL75" s="1"/>
      <c r="AM75" s="1"/>
      <c r="AN75" s="1">
        <f t="shared" si="42"/>
        <v>0</v>
      </c>
      <c r="AO75" s="1"/>
      <c r="AP75" s="1"/>
      <c r="AQ75" s="1">
        <f t="shared" si="43"/>
        <v>0</v>
      </c>
      <c r="AR75" s="6">
        <f t="shared" si="44"/>
        <v>10</v>
      </c>
      <c r="AS75" s="6">
        <f t="shared" si="45"/>
        <v>0</v>
      </c>
      <c r="AT75" s="6">
        <f t="shared" si="46"/>
        <v>10</v>
      </c>
      <c r="AU75" s="494">
        <f t="shared" si="47"/>
        <v>0.83333333333333337</v>
      </c>
      <c r="AV75" s="494">
        <f t="shared" si="47"/>
        <v>0</v>
      </c>
      <c r="AW75" s="494">
        <f t="shared" si="16"/>
        <v>0.83333333333333337</v>
      </c>
      <c r="AX75" s="217"/>
      <c r="AY75" s="217"/>
      <c r="AZ75" s="217"/>
      <c r="BA75" s="1"/>
      <c r="BB75" s="1"/>
      <c r="BC75" s="679">
        <f t="shared" si="48"/>
        <v>0</v>
      </c>
      <c r="BD75" s="1"/>
      <c r="BE75" s="1"/>
      <c r="BF75" s="679">
        <f t="shared" si="49"/>
        <v>0</v>
      </c>
      <c r="BG75" s="1"/>
      <c r="BH75" s="1"/>
      <c r="BI75" s="679">
        <f t="shared" si="50"/>
        <v>0</v>
      </c>
      <c r="BJ75" s="1"/>
      <c r="BK75" s="1"/>
      <c r="BL75" s="679">
        <f t="shared" si="51"/>
        <v>0</v>
      </c>
      <c r="BM75" s="6"/>
      <c r="BN75" s="6"/>
      <c r="BO75" s="6">
        <f t="shared" si="52"/>
        <v>0</v>
      </c>
      <c r="BP75" s="6"/>
      <c r="BQ75" s="6"/>
      <c r="BR75" s="6">
        <f t="shared" si="53"/>
        <v>0</v>
      </c>
      <c r="BS75" s="78"/>
      <c r="BT75" s="6"/>
      <c r="BU75" s="6">
        <f t="shared" si="54"/>
        <v>0</v>
      </c>
      <c r="BV75" s="6"/>
      <c r="BW75" s="6"/>
      <c r="BX75" s="6">
        <f t="shared" si="55"/>
        <v>0</v>
      </c>
      <c r="BY75" s="6"/>
      <c r="BZ75" s="6"/>
      <c r="CA75" s="6">
        <f t="shared" si="56"/>
        <v>0</v>
      </c>
      <c r="CB75" s="174">
        <f t="shared" si="57"/>
        <v>0</v>
      </c>
      <c r="CC75" s="174">
        <f t="shared" si="58"/>
        <v>0</v>
      </c>
      <c r="CD75" s="174">
        <f t="shared" si="59"/>
        <v>0</v>
      </c>
      <c r="CE75" s="175">
        <f t="shared" si="60"/>
        <v>0</v>
      </c>
      <c r="CF75" s="175">
        <f t="shared" si="61"/>
        <v>0</v>
      </c>
      <c r="CG75" s="175">
        <f t="shared" si="62"/>
        <v>0</v>
      </c>
    </row>
    <row r="76" spans="1:168">
      <c r="A76" s="6">
        <v>69</v>
      </c>
      <c r="B76" s="678" t="s">
        <v>3040</v>
      </c>
      <c r="C76" s="6"/>
      <c r="D76" s="6" t="s">
        <v>3041</v>
      </c>
      <c r="E76" s="6" t="s">
        <v>2904</v>
      </c>
      <c r="F76" s="6"/>
      <c r="G76" s="679" t="s">
        <v>15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>
        <v>33</v>
      </c>
      <c r="AJ76" s="1"/>
      <c r="AK76" s="1">
        <f t="shared" si="10"/>
        <v>33</v>
      </c>
      <c r="AL76" s="1"/>
      <c r="AM76" s="1"/>
      <c r="AN76" s="1">
        <f t="shared" si="42"/>
        <v>0</v>
      </c>
      <c r="AO76" s="1"/>
      <c r="AP76" s="1"/>
      <c r="AQ76" s="1">
        <f t="shared" si="43"/>
        <v>0</v>
      </c>
      <c r="AR76" s="6">
        <f t="shared" si="44"/>
        <v>33</v>
      </c>
      <c r="AS76" s="6">
        <f t="shared" si="45"/>
        <v>0</v>
      </c>
      <c r="AT76" s="6">
        <f t="shared" si="46"/>
        <v>33</v>
      </c>
      <c r="AU76" s="494">
        <f t="shared" si="47"/>
        <v>2.75</v>
      </c>
      <c r="AV76" s="494">
        <f t="shared" si="47"/>
        <v>0</v>
      </c>
      <c r="AW76" s="494">
        <f t="shared" si="16"/>
        <v>2.75</v>
      </c>
      <c r="AX76" s="217"/>
      <c r="AY76" s="217"/>
      <c r="AZ76" s="217"/>
      <c r="BA76" s="1">
        <v>29</v>
      </c>
      <c r="BB76" s="1"/>
      <c r="BC76" s="679">
        <f t="shared" si="48"/>
        <v>29</v>
      </c>
      <c r="BD76" s="1">
        <v>59</v>
      </c>
      <c r="BE76" s="1"/>
      <c r="BF76" s="679">
        <f t="shared" si="49"/>
        <v>59</v>
      </c>
      <c r="BG76" s="1"/>
      <c r="BH76" s="1"/>
      <c r="BI76" s="679">
        <f t="shared" si="50"/>
        <v>0</v>
      </c>
      <c r="BJ76" s="1"/>
      <c r="BK76" s="1"/>
      <c r="BL76" s="679">
        <f t="shared" si="51"/>
        <v>0</v>
      </c>
      <c r="BM76" s="6"/>
      <c r="BN76" s="6"/>
      <c r="BO76" s="6">
        <f t="shared" si="52"/>
        <v>0</v>
      </c>
      <c r="BP76" s="6"/>
      <c r="BQ76" s="6"/>
      <c r="BR76" s="6">
        <f t="shared" si="53"/>
        <v>0</v>
      </c>
      <c r="BS76" s="78"/>
      <c r="BT76" s="6"/>
      <c r="BU76" s="6">
        <f t="shared" si="54"/>
        <v>0</v>
      </c>
      <c r="BV76" s="6"/>
      <c r="BW76" s="6"/>
      <c r="BX76" s="6">
        <f t="shared" si="55"/>
        <v>0</v>
      </c>
      <c r="BY76" s="6"/>
      <c r="BZ76" s="6"/>
      <c r="CA76" s="6">
        <f t="shared" si="56"/>
        <v>0</v>
      </c>
      <c r="CB76" s="174">
        <f t="shared" si="57"/>
        <v>88</v>
      </c>
      <c r="CC76" s="174">
        <f t="shared" si="58"/>
        <v>0</v>
      </c>
      <c r="CD76" s="174">
        <f t="shared" si="59"/>
        <v>88</v>
      </c>
      <c r="CE76" s="175">
        <f t="shared" si="60"/>
        <v>9.7777777777777786</v>
      </c>
      <c r="CF76" s="175">
        <f t="shared" si="61"/>
        <v>0</v>
      </c>
      <c r="CG76" s="175">
        <f t="shared" si="62"/>
        <v>9.7777777777777786</v>
      </c>
    </row>
    <row r="77" spans="1:168">
      <c r="A77" s="6">
        <v>70</v>
      </c>
      <c r="B77" s="678" t="s">
        <v>3042</v>
      </c>
      <c r="C77" s="6"/>
      <c r="D77" s="6" t="s">
        <v>3043</v>
      </c>
      <c r="E77" s="6" t="s">
        <v>2904</v>
      </c>
      <c r="F77" s="6"/>
      <c r="G77" s="679" t="s">
        <v>15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>
        <v>10</v>
      </c>
      <c r="AJ77" s="1"/>
      <c r="AK77" s="1">
        <f t="shared" si="10"/>
        <v>10</v>
      </c>
      <c r="AL77" s="1"/>
      <c r="AM77" s="1"/>
      <c r="AN77" s="1">
        <f t="shared" si="42"/>
        <v>0</v>
      </c>
      <c r="AO77" s="1"/>
      <c r="AP77" s="1"/>
      <c r="AQ77" s="1">
        <f t="shared" si="43"/>
        <v>0</v>
      </c>
      <c r="AR77" s="6">
        <f t="shared" si="44"/>
        <v>10</v>
      </c>
      <c r="AS77" s="6">
        <f t="shared" si="45"/>
        <v>0</v>
      </c>
      <c r="AT77" s="6">
        <f t="shared" si="46"/>
        <v>10</v>
      </c>
      <c r="AU77" s="494">
        <f t="shared" si="47"/>
        <v>0.83333333333333337</v>
      </c>
      <c r="AV77" s="494">
        <f t="shared" si="47"/>
        <v>0</v>
      </c>
      <c r="AW77" s="494">
        <f t="shared" si="16"/>
        <v>0.83333333333333337</v>
      </c>
      <c r="AX77" s="217"/>
      <c r="AY77" s="217"/>
      <c r="AZ77" s="217"/>
      <c r="BA77" s="1"/>
      <c r="BB77" s="1"/>
      <c r="BC77" s="679">
        <f t="shared" si="48"/>
        <v>0</v>
      </c>
      <c r="BD77" s="1"/>
      <c r="BE77" s="1"/>
      <c r="BF77" s="679">
        <f t="shared" si="49"/>
        <v>0</v>
      </c>
      <c r="BG77" s="1">
        <v>10</v>
      </c>
      <c r="BH77" s="1"/>
      <c r="BI77" s="679">
        <f t="shared" si="50"/>
        <v>10</v>
      </c>
      <c r="BJ77" s="1"/>
      <c r="BK77" s="1"/>
      <c r="BL77" s="679">
        <f t="shared" si="51"/>
        <v>0</v>
      </c>
      <c r="BM77" s="6"/>
      <c r="BN77" s="6"/>
      <c r="BO77" s="6">
        <f t="shared" si="52"/>
        <v>0</v>
      </c>
      <c r="BP77" s="6"/>
      <c r="BQ77" s="6"/>
      <c r="BR77" s="6">
        <f t="shared" si="53"/>
        <v>0</v>
      </c>
      <c r="BS77" s="78"/>
      <c r="BT77" s="6"/>
      <c r="BU77" s="6">
        <f t="shared" si="54"/>
        <v>0</v>
      </c>
      <c r="BV77" s="6"/>
      <c r="BW77" s="6"/>
      <c r="BX77" s="6">
        <f t="shared" si="55"/>
        <v>0</v>
      </c>
      <c r="BY77" s="6"/>
      <c r="BZ77" s="6"/>
      <c r="CA77" s="6">
        <f t="shared" si="56"/>
        <v>0</v>
      </c>
      <c r="CB77" s="174">
        <f t="shared" si="57"/>
        <v>10</v>
      </c>
      <c r="CC77" s="174">
        <f t="shared" si="58"/>
        <v>0</v>
      </c>
      <c r="CD77" s="174">
        <f t="shared" si="59"/>
        <v>10</v>
      </c>
      <c r="CE77" s="175">
        <f t="shared" si="60"/>
        <v>1.1111111111111112</v>
      </c>
      <c r="CF77" s="175">
        <f t="shared" si="61"/>
        <v>0</v>
      </c>
      <c r="CG77" s="175">
        <f t="shared" si="62"/>
        <v>1.1111111111111112</v>
      </c>
    </row>
    <row r="78" spans="1:168">
      <c r="A78" s="6">
        <v>71</v>
      </c>
      <c r="B78" s="678" t="s">
        <v>3044</v>
      </c>
      <c r="C78" s="6"/>
      <c r="D78" s="6" t="s">
        <v>3045</v>
      </c>
      <c r="E78" s="6" t="s">
        <v>2904</v>
      </c>
      <c r="F78" s="6"/>
      <c r="G78" s="679" t="s">
        <v>15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>
        <v>10</v>
      </c>
      <c r="AJ78" s="1"/>
      <c r="AK78" s="1">
        <f t="shared" si="10"/>
        <v>10</v>
      </c>
      <c r="AL78" s="1"/>
      <c r="AM78" s="1"/>
      <c r="AN78" s="1">
        <f t="shared" si="42"/>
        <v>0</v>
      </c>
      <c r="AO78" s="1"/>
      <c r="AP78" s="1"/>
      <c r="AQ78" s="1">
        <f t="shared" si="43"/>
        <v>0</v>
      </c>
      <c r="AR78" s="6">
        <f t="shared" si="44"/>
        <v>10</v>
      </c>
      <c r="AS78" s="6">
        <f t="shared" si="45"/>
        <v>0</v>
      </c>
      <c r="AT78" s="6">
        <f t="shared" si="46"/>
        <v>10</v>
      </c>
      <c r="AU78" s="494">
        <f t="shared" si="47"/>
        <v>0.83333333333333337</v>
      </c>
      <c r="AV78" s="494">
        <f t="shared" si="47"/>
        <v>0</v>
      </c>
      <c r="AW78" s="494">
        <f t="shared" si="16"/>
        <v>0.83333333333333337</v>
      </c>
      <c r="AX78" s="217"/>
      <c r="AY78" s="217"/>
      <c r="AZ78" s="217"/>
      <c r="BA78" s="1">
        <v>10</v>
      </c>
      <c r="BB78" s="1"/>
      <c r="BC78" s="679">
        <f t="shared" si="48"/>
        <v>10</v>
      </c>
      <c r="BD78" s="1"/>
      <c r="BE78" s="1"/>
      <c r="BF78" s="679">
        <f t="shared" si="49"/>
        <v>0</v>
      </c>
      <c r="BG78" s="1"/>
      <c r="BH78" s="1"/>
      <c r="BI78" s="679">
        <f t="shared" si="50"/>
        <v>0</v>
      </c>
      <c r="BJ78" s="1"/>
      <c r="BK78" s="1"/>
      <c r="BL78" s="679">
        <f t="shared" si="51"/>
        <v>0</v>
      </c>
      <c r="BM78" s="6"/>
      <c r="BN78" s="6"/>
      <c r="BO78" s="6">
        <f t="shared" si="52"/>
        <v>0</v>
      </c>
      <c r="BP78" s="6"/>
      <c r="BQ78" s="6"/>
      <c r="BR78" s="6">
        <f t="shared" si="53"/>
        <v>0</v>
      </c>
      <c r="BS78" s="78"/>
      <c r="BT78" s="6"/>
      <c r="BU78" s="6">
        <f t="shared" si="54"/>
        <v>0</v>
      </c>
      <c r="BV78" s="6"/>
      <c r="BW78" s="6"/>
      <c r="BX78" s="6">
        <f t="shared" si="55"/>
        <v>0</v>
      </c>
      <c r="BY78" s="6"/>
      <c r="BZ78" s="6"/>
      <c r="CA78" s="6">
        <f t="shared" si="56"/>
        <v>0</v>
      </c>
      <c r="CB78" s="174">
        <f t="shared" si="57"/>
        <v>10</v>
      </c>
      <c r="CC78" s="174">
        <f t="shared" si="58"/>
        <v>0</v>
      </c>
      <c r="CD78" s="174">
        <f t="shared" si="59"/>
        <v>10</v>
      </c>
      <c r="CE78" s="175">
        <f t="shared" si="60"/>
        <v>1.1111111111111112</v>
      </c>
      <c r="CF78" s="175">
        <f t="shared" si="61"/>
        <v>0</v>
      </c>
      <c r="CG78" s="175">
        <f t="shared" si="62"/>
        <v>1.1111111111111112</v>
      </c>
    </row>
    <row r="79" spans="1:168">
      <c r="A79" s="6">
        <v>72</v>
      </c>
      <c r="B79" s="678" t="s">
        <v>3046</v>
      </c>
      <c r="C79" s="6"/>
      <c r="D79" s="6" t="s">
        <v>3047</v>
      </c>
      <c r="E79" s="6" t="s">
        <v>2904</v>
      </c>
      <c r="F79" s="6"/>
      <c r="G79" s="679" t="s">
        <v>15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>
        <v>10</v>
      </c>
      <c r="AJ79" s="1"/>
      <c r="AK79" s="1">
        <f t="shared" si="10"/>
        <v>10</v>
      </c>
      <c r="AL79" s="1"/>
      <c r="AM79" s="1"/>
      <c r="AN79" s="1">
        <f t="shared" si="42"/>
        <v>0</v>
      </c>
      <c r="AO79" s="1"/>
      <c r="AP79" s="1"/>
      <c r="AQ79" s="1">
        <f t="shared" si="43"/>
        <v>0</v>
      </c>
      <c r="AR79" s="6">
        <f t="shared" si="44"/>
        <v>10</v>
      </c>
      <c r="AS79" s="6">
        <f t="shared" si="45"/>
        <v>0</v>
      </c>
      <c r="AT79" s="6">
        <f t="shared" si="46"/>
        <v>10</v>
      </c>
      <c r="AU79" s="494">
        <f t="shared" si="47"/>
        <v>0.83333333333333337</v>
      </c>
      <c r="AV79" s="494">
        <f t="shared" si="47"/>
        <v>0</v>
      </c>
      <c r="AW79" s="494">
        <f t="shared" si="16"/>
        <v>0.83333333333333337</v>
      </c>
      <c r="AX79" s="217"/>
      <c r="AY79" s="217"/>
      <c r="AZ79" s="217"/>
      <c r="BA79" s="1">
        <v>10</v>
      </c>
      <c r="BB79" s="1"/>
      <c r="BC79" s="679">
        <f t="shared" si="48"/>
        <v>10</v>
      </c>
      <c r="BD79" s="1"/>
      <c r="BE79" s="1"/>
      <c r="BF79" s="679">
        <f t="shared" si="49"/>
        <v>0</v>
      </c>
      <c r="BG79" s="1"/>
      <c r="BH79" s="1"/>
      <c r="BI79" s="679">
        <f t="shared" si="50"/>
        <v>0</v>
      </c>
      <c r="BJ79" s="1"/>
      <c r="BK79" s="1"/>
      <c r="BL79" s="679">
        <f t="shared" si="51"/>
        <v>0</v>
      </c>
      <c r="BM79" s="6"/>
      <c r="BN79" s="6"/>
      <c r="BO79" s="6">
        <f t="shared" si="52"/>
        <v>0</v>
      </c>
      <c r="BP79" s="6"/>
      <c r="BQ79" s="6"/>
      <c r="BR79" s="6">
        <f t="shared" si="53"/>
        <v>0</v>
      </c>
      <c r="BS79" s="78"/>
      <c r="BT79" s="6"/>
      <c r="BU79" s="6">
        <f t="shared" si="54"/>
        <v>0</v>
      </c>
      <c r="BV79" s="6"/>
      <c r="BW79" s="6"/>
      <c r="BX79" s="6">
        <f t="shared" si="55"/>
        <v>0</v>
      </c>
      <c r="BY79" s="6"/>
      <c r="BZ79" s="6"/>
      <c r="CA79" s="6">
        <f t="shared" si="56"/>
        <v>0</v>
      </c>
      <c r="CB79" s="174">
        <f t="shared" si="57"/>
        <v>10</v>
      </c>
      <c r="CC79" s="174">
        <f t="shared" si="58"/>
        <v>0</v>
      </c>
      <c r="CD79" s="174">
        <f t="shared" si="59"/>
        <v>10</v>
      </c>
      <c r="CE79" s="175">
        <f t="shared" si="60"/>
        <v>1.1111111111111112</v>
      </c>
      <c r="CF79" s="175">
        <f t="shared" si="61"/>
        <v>0</v>
      </c>
      <c r="CG79" s="175">
        <f t="shared" si="62"/>
        <v>1.1111111111111112</v>
      </c>
    </row>
    <row r="80" spans="1:168">
      <c r="A80" s="6">
        <v>73</v>
      </c>
      <c r="B80" s="678" t="s">
        <v>3048</v>
      </c>
      <c r="C80" s="6"/>
      <c r="D80" s="6" t="s">
        <v>3049</v>
      </c>
      <c r="E80" s="6" t="s">
        <v>2904</v>
      </c>
      <c r="F80" s="6"/>
      <c r="G80" s="679" t="s">
        <v>15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>
        <v>60</v>
      </c>
      <c r="AJ80" s="1"/>
      <c r="AK80" s="1">
        <f t="shared" si="10"/>
        <v>60</v>
      </c>
      <c r="AL80" s="1"/>
      <c r="AM80" s="1"/>
      <c r="AN80" s="1">
        <f t="shared" si="42"/>
        <v>0</v>
      </c>
      <c r="AO80" s="1"/>
      <c r="AP80" s="1"/>
      <c r="AQ80" s="1">
        <f t="shared" si="43"/>
        <v>0</v>
      </c>
      <c r="AR80" s="6">
        <f t="shared" si="44"/>
        <v>60</v>
      </c>
      <c r="AS80" s="6">
        <f t="shared" si="45"/>
        <v>0</v>
      </c>
      <c r="AT80" s="6">
        <f t="shared" si="46"/>
        <v>60</v>
      </c>
      <c r="AU80" s="494">
        <f t="shared" si="47"/>
        <v>5</v>
      </c>
      <c r="AV80" s="494">
        <f t="shared" si="47"/>
        <v>0</v>
      </c>
      <c r="AW80" s="494">
        <f t="shared" si="16"/>
        <v>5</v>
      </c>
      <c r="AX80" s="217"/>
      <c r="AY80" s="217"/>
      <c r="AZ80" s="217"/>
      <c r="BA80" s="1"/>
      <c r="BB80" s="1"/>
      <c r="BC80" s="679">
        <f t="shared" si="48"/>
        <v>0</v>
      </c>
      <c r="BD80" s="1"/>
      <c r="BE80" s="1"/>
      <c r="BF80" s="679">
        <f t="shared" si="49"/>
        <v>0</v>
      </c>
      <c r="BG80" s="1"/>
      <c r="BH80" s="1"/>
      <c r="BI80" s="679">
        <f t="shared" si="50"/>
        <v>0</v>
      </c>
      <c r="BJ80" s="1"/>
      <c r="BK80" s="1"/>
      <c r="BL80" s="679">
        <f t="shared" si="51"/>
        <v>0</v>
      </c>
      <c r="BM80" s="6"/>
      <c r="BN80" s="6"/>
      <c r="BO80" s="6">
        <f t="shared" si="52"/>
        <v>0</v>
      </c>
      <c r="BP80" s="6"/>
      <c r="BQ80" s="6"/>
      <c r="BR80" s="6">
        <f t="shared" si="53"/>
        <v>0</v>
      </c>
      <c r="BS80" s="78"/>
      <c r="BT80" s="6"/>
      <c r="BU80" s="6">
        <f t="shared" si="54"/>
        <v>0</v>
      </c>
      <c r="BV80" s="6"/>
      <c r="BW80" s="6"/>
      <c r="BX80" s="6">
        <f t="shared" si="55"/>
        <v>0</v>
      </c>
      <c r="BY80" s="6"/>
      <c r="BZ80" s="6"/>
      <c r="CA80" s="6">
        <f t="shared" si="56"/>
        <v>0</v>
      </c>
      <c r="CB80" s="174">
        <f t="shared" si="57"/>
        <v>0</v>
      </c>
      <c r="CC80" s="174">
        <f t="shared" si="58"/>
        <v>0</v>
      </c>
      <c r="CD80" s="174">
        <f t="shared" si="59"/>
        <v>0</v>
      </c>
      <c r="CE80" s="175">
        <f t="shared" si="60"/>
        <v>0</v>
      </c>
      <c r="CF80" s="175">
        <f t="shared" si="61"/>
        <v>0</v>
      </c>
      <c r="CG80" s="175">
        <f t="shared" si="62"/>
        <v>0</v>
      </c>
    </row>
    <row r="81" spans="1:168">
      <c r="A81" s="6">
        <v>74</v>
      </c>
      <c r="B81" s="678" t="s">
        <v>3050</v>
      </c>
      <c r="C81" s="6"/>
      <c r="D81" s="6" t="s">
        <v>3051</v>
      </c>
      <c r="E81" s="6" t="s">
        <v>2904</v>
      </c>
      <c r="F81" s="6"/>
      <c r="G81" s="679" t="s">
        <v>15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>
        <v>60</v>
      </c>
      <c r="AJ81" s="1"/>
      <c r="AK81" s="1">
        <f t="shared" si="10"/>
        <v>60</v>
      </c>
      <c r="AL81" s="1">
        <v>100</v>
      </c>
      <c r="AM81" s="1"/>
      <c r="AN81" s="1">
        <f t="shared" si="42"/>
        <v>100</v>
      </c>
      <c r="AO81" s="1"/>
      <c r="AP81" s="1"/>
      <c r="AQ81" s="1">
        <f t="shared" si="43"/>
        <v>0</v>
      </c>
      <c r="AR81" s="6">
        <f t="shared" si="44"/>
        <v>160</v>
      </c>
      <c r="AS81" s="6">
        <f t="shared" si="45"/>
        <v>0</v>
      </c>
      <c r="AT81" s="6">
        <f t="shared" si="46"/>
        <v>160</v>
      </c>
      <c r="AU81" s="494">
        <f t="shared" si="47"/>
        <v>13.333333333333334</v>
      </c>
      <c r="AV81" s="494">
        <f t="shared" si="47"/>
        <v>0</v>
      </c>
      <c r="AW81" s="494">
        <f t="shared" si="16"/>
        <v>13.333333333333334</v>
      </c>
      <c r="AX81" s="217"/>
      <c r="AY81" s="217"/>
      <c r="AZ81" s="217"/>
      <c r="BA81" s="1">
        <v>100</v>
      </c>
      <c r="BB81" s="1"/>
      <c r="BC81" s="679">
        <f t="shared" si="48"/>
        <v>100</v>
      </c>
      <c r="BD81" s="1"/>
      <c r="BE81" s="1"/>
      <c r="BF81" s="679">
        <f t="shared" si="49"/>
        <v>0</v>
      </c>
      <c r="BG81" s="1"/>
      <c r="BH81" s="1"/>
      <c r="BI81" s="679">
        <f t="shared" si="50"/>
        <v>0</v>
      </c>
      <c r="BJ81" s="1"/>
      <c r="BK81" s="1"/>
      <c r="BL81" s="679">
        <f t="shared" si="51"/>
        <v>0</v>
      </c>
      <c r="BM81" s="6">
        <v>20</v>
      </c>
      <c r="BN81" s="6"/>
      <c r="BO81" s="6">
        <f t="shared" si="52"/>
        <v>20</v>
      </c>
      <c r="BP81" s="6"/>
      <c r="BQ81" s="6"/>
      <c r="BR81" s="6">
        <f t="shared" si="53"/>
        <v>0</v>
      </c>
      <c r="BS81" s="78"/>
      <c r="BT81" s="6"/>
      <c r="BU81" s="6">
        <f t="shared" si="54"/>
        <v>0</v>
      </c>
      <c r="BV81" s="6"/>
      <c r="BW81" s="6"/>
      <c r="BX81" s="6">
        <f t="shared" si="55"/>
        <v>0</v>
      </c>
      <c r="BY81" s="6"/>
      <c r="BZ81" s="6"/>
      <c r="CA81" s="6">
        <f t="shared" si="56"/>
        <v>0</v>
      </c>
      <c r="CB81" s="174">
        <f t="shared" si="57"/>
        <v>120</v>
      </c>
      <c r="CC81" s="174">
        <f t="shared" si="58"/>
        <v>0</v>
      </c>
      <c r="CD81" s="174">
        <f t="shared" si="59"/>
        <v>120</v>
      </c>
      <c r="CE81" s="175">
        <f t="shared" si="60"/>
        <v>13.333333333333334</v>
      </c>
      <c r="CF81" s="175">
        <f t="shared" si="61"/>
        <v>0</v>
      </c>
      <c r="CG81" s="175">
        <f t="shared" si="62"/>
        <v>13.333333333333334</v>
      </c>
    </row>
    <row r="82" spans="1:168">
      <c r="A82" s="6">
        <v>75</v>
      </c>
      <c r="B82" s="678" t="s">
        <v>3052</v>
      </c>
      <c r="C82" s="6"/>
      <c r="D82" s="6" t="s">
        <v>3053</v>
      </c>
      <c r="E82" s="6" t="s">
        <v>2904</v>
      </c>
      <c r="F82" s="6"/>
      <c r="G82" s="679" t="s">
        <v>18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>
        <v>15</v>
      </c>
      <c r="AJ82" s="1"/>
      <c r="AK82" s="1">
        <f t="shared" si="10"/>
        <v>15</v>
      </c>
      <c r="AL82" s="1"/>
      <c r="AM82" s="1"/>
      <c r="AN82" s="1">
        <f t="shared" si="42"/>
        <v>0</v>
      </c>
      <c r="AO82" s="1"/>
      <c r="AP82" s="1"/>
      <c r="AQ82" s="1">
        <f t="shared" si="43"/>
        <v>0</v>
      </c>
      <c r="AR82" s="6">
        <f t="shared" si="44"/>
        <v>15</v>
      </c>
      <c r="AS82" s="6">
        <f t="shared" si="45"/>
        <v>0</v>
      </c>
      <c r="AT82" s="6">
        <f t="shared" si="46"/>
        <v>15</v>
      </c>
      <c r="AU82" s="494">
        <f t="shared" si="47"/>
        <v>1.25</v>
      </c>
      <c r="AV82" s="494">
        <f t="shared" si="47"/>
        <v>0</v>
      </c>
      <c r="AW82" s="494">
        <f t="shared" si="16"/>
        <v>1.25</v>
      </c>
      <c r="AX82" s="217"/>
      <c r="AY82" s="217"/>
      <c r="AZ82" s="217"/>
      <c r="BA82" s="1">
        <v>15</v>
      </c>
      <c r="BB82" s="1"/>
      <c r="BC82" s="679">
        <f t="shared" si="48"/>
        <v>15</v>
      </c>
      <c r="BD82" s="1"/>
      <c r="BE82" s="1"/>
      <c r="BF82" s="679">
        <f t="shared" si="49"/>
        <v>0</v>
      </c>
      <c r="BG82" s="1"/>
      <c r="BH82" s="1"/>
      <c r="BI82" s="679">
        <f t="shared" si="50"/>
        <v>0</v>
      </c>
      <c r="BJ82" s="1"/>
      <c r="BK82" s="1"/>
      <c r="BL82" s="679">
        <f t="shared" si="51"/>
        <v>0</v>
      </c>
      <c r="BM82" s="6">
        <v>10</v>
      </c>
      <c r="BN82" s="6"/>
      <c r="BO82" s="6">
        <f t="shared" si="52"/>
        <v>10</v>
      </c>
      <c r="BP82" s="6"/>
      <c r="BQ82" s="6"/>
      <c r="BR82" s="6">
        <f t="shared" si="53"/>
        <v>0</v>
      </c>
      <c r="BS82" s="78"/>
      <c r="BT82" s="6"/>
      <c r="BU82" s="6">
        <f t="shared" si="54"/>
        <v>0</v>
      </c>
      <c r="BV82" s="6"/>
      <c r="BW82" s="6"/>
      <c r="BX82" s="6">
        <f t="shared" si="55"/>
        <v>0</v>
      </c>
      <c r="BY82" s="6"/>
      <c r="BZ82" s="6"/>
      <c r="CA82" s="6">
        <f t="shared" si="56"/>
        <v>0</v>
      </c>
      <c r="CB82" s="174">
        <f t="shared" si="57"/>
        <v>25</v>
      </c>
      <c r="CC82" s="174">
        <f t="shared" si="58"/>
        <v>0</v>
      </c>
      <c r="CD82" s="174">
        <f t="shared" si="59"/>
        <v>25</v>
      </c>
      <c r="CE82" s="175">
        <f t="shared" si="60"/>
        <v>2.7777777777777777</v>
      </c>
      <c r="CF82" s="175">
        <f t="shared" si="61"/>
        <v>0</v>
      </c>
      <c r="CG82" s="175">
        <f t="shared" si="62"/>
        <v>2.7777777777777777</v>
      </c>
    </row>
    <row r="83" spans="1:168">
      <c r="A83" s="6">
        <v>76</v>
      </c>
      <c r="B83" s="678" t="s">
        <v>3054</v>
      </c>
      <c r="C83" s="6"/>
      <c r="D83" s="6" t="s">
        <v>3055</v>
      </c>
      <c r="E83" s="6" t="s">
        <v>2904</v>
      </c>
      <c r="F83" s="6"/>
      <c r="G83" s="679" t="s">
        <v>18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>
        <v>25</v>
      </c>
      <c r="AM83" s="1"/>
      <c r="AN83" s="1">
        <f t="shared" si="42"/>
        <v>25</v>
      </c>
      <c r="AO83" s="1">
        <v>25</v>
      </c>
      <c r="AP83" s="1"/>
      <c r="AQ83" s="1">
        <f t="shared" si="43"/>
        <v>25</v>
      </c>
      <c r="AR83" s="6">
        <f t="shared" si="44"/>
        <v>50</v>
      </c>
      <c r="AS83" s="6">
        <f t="shared" si="45"/>
        <v>0</v>
      </c>
      <c r="AT83" s="6">
        <f t="shared" si="46"/>
        <v>50</v>
      </c>
      <c r="AU83" s="494">
        <f t="shared" si="47"/>
        <v>4.166666666666667</v>
      </c>
      <c r="AV83" s="494">
        <f t="shared" si="47"/>
        <v>0</v>
      </c>
      <c r="AW83" s="494">
        <f t="shared" si="16"/>
        <v>4.166666666666667</v>
      </c>
      <c r="AX83" s="217"/>
      <c r="AY83" s="217"/>
      <c r="AZ83" s="217"/>
      <c r="BA83" s="1"/>
      <c r="BB83" s="1"/>
      <c r="BC83" s="679">
        <f t="shared" si="48"/>
        <v>0</v>
      </c>
      <c r="BD83" s="1">
        <v>60</v>
      </c>
      <c r="BE83" s="1"/>
      <c r="BF83" s="679">
        <f t="shared" si="49"/>
        <v>60</v>
      </c>
      <c r="BG83" s="1"/>
      <c r="BH83" s="1"/>
      <c r="BI83" s="679">
        <f t="shared" si="50"/>
        <v>0</v>
      </c>
      <c r="BJ83" s="1"/>
      <c r="BK83" s="1"/>
      <c r="BL83" s="679">
        <f t="shared" si="51"/>
        <v>0</v>
      </c>
      <c r="BM83" s="6"/>
      <c r="BN83" s="6"/>
      <c r="BO83" s="6">
        <f t="shared" si="52"/>
        <v>0</v>
      </c>
      <c r="BP83" s="6"/>
      <c r="BQ83" s="6"/>
      <c r="BR83" s="6">
        <f t="shared" si="53"/>
        <v>0</v>
      </c>
      <c r="BS83" s="78">
        <v>55</v>
      </c>
      <c r="BT83" s="6"/>
      <c r="BU83" s="6">
        <f t="shared" si="54"/>
        <v>55</v>
      </c>
      <c r="BV83" s="6"/>
      <c r="BW83" s="6"/>
      <c r="BX83" s="6">
        <f t="shared" si="55"/>
        <v>0</v>
      </c>
      <c r="BY83" s="6"/>
      <c r="BZ83" s="6"/>
      <c r="CA83" s="6">
        <f t="shared" si="56"/>
        <v>0</v>
      </c>
      <c r="CB83" s="174">
        <f t="shared" si="57"/>
        <v>115</v>
      </c>
      <c r="CC83" s="174">
        <f t="shared" si="58"/>
        <v>0</v>
      </c>
      <c r="CD83" s="174">
        <f t="shared" si="59"/>
        <v>115</v>
      </c>
      <c r="CE83" s="175">
        <f t="shared" si="60"/>
        <v>12.777777777777779</v>
      </c>
      <c r="CF83" s="175">
        <f t="shared" si="61"/>
        <v>0</v>
      </c>
      <c r="CG83" s="175">
        <f t="shared" si="62"/>
        <v>12.777777777777779</v>
      </c>
    </row>
    <row r="84" spans="1:168">
      <c r="A84" s="6">
        <v>77</v>
      </c>
      <c r="B84" s="678" t="s">
        <v>3056</v>
      </c>
      <c r="C84" s="6"/>
      <c r="D84" s="6" t="s">
        <v>3057</v>
      </c>
      <c r="E84" s="6" t="s">
        <v>2904</v>
      </c>
      <c r="F84" s="6"/>
      <c r="G84" s="679" t="s">
        <v>15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>
        <v>50</v>
      </c>
      <c r="AM84" s="1"/>
      <c r="AN84" s="1">
        <f t="shared" si="42"/>
        <v>50</v>
      </c>
      <c r="AO84" s="1"/>
      <c r="AP84" s="1"/>
      <c r="AQ84" s="1">
        <f t="shared" si="43"/>
        <v>0</v>
      </c>
      <c r="AR84" s="6">
        <f t="shared" si="44"/>
        <v>50</v>
      </c>
      <c r="AS84" s="6">
        <f t="shared" si="45"/>
        <v>0</v>
      </c>
      <c r="AT84" s="6">
        <f t="shared" si="46"/>
        <v>50</v>
      </c>
      <c r="AU84" s="494">
        <f t="shared" si="47"/>
        <v>4.166666666666667</v>
      </c>
      <c r="AV84" s="494">
        <f t="shared" si="47"/>
        <v>0</v>
      </c>
      <c r="AW84" s="494">
        <f t="shared" si="16"/>
        <v>4.166666666666667</v>
      </c>
      <c r="AX84" s="217"/>
      <c r="AY84" s="217"/>
      <c r="AZ84" s="217"/>
      <c r="BA84" s="1"/>
      <c r="BB84" s="1"/>
      <c r="BC84" s="679">
        <f t="shared" si="48"/>
        <v>0</v>
      </c>
      <c r="BD84" s="1"/>
      <c r="BE84" s="1"/>
      <c r="BF84" s="679">
        <f t="shared" si="49"/>
        <v>0</v>
      </c>
      <c r="BG84" s="1"/>
      <c r="BH84" s="1"/>
      <c r="BI84" s="679">
        <f t="shared" si="50"/>
        <v>0</v>
      </c>
      <c r="BJ84" s="1"/>
      <c r="BK84" s="1"/>
      <c r="BL84" s="679">
        <f t="shared" si="51"/>
        <v>0</v>
      </c>
      <c r="BM84" s="6"/>
      <c r="BN84" s="6"/>
      <c r="BO84" s="6">
        <f t="shared" si="52"/>
        <v>0</v>
      </c>
      <c r="BP84" s="6"/>
      <c r="BQ84" s="6"/>
      <c r="BR84" s="6">
        <f t="shared" si="53"/>
        <v>0</v>
      </c>
      <c r="BS84" s="78">
        <v>35</v>
      </c>
      <c r="BT84" s="6"/>
      <c r="BU84" s="6">
        <f t="shared" si="54"/>
        <v>35</v>
      </c>
      <c r="BV84" s="6"/>
      <c r="BW84" s="6"/>
      <c r="BX84" s="6">
        <f t="shared" si="55"/>
        <v>0</v>
      </c>
      <c r="BY84" s="6"/>
      <c r="BZ84" s="6"/>
      <c r="CA84" s="6">
        <f t="shared" si="56"/>
        <v>0</v>
      </c>
      <c r="CB84" s="174">
        <f t="shared" si="57"/>
        <v>35</v>
      </c>
      <c r="CC84" s="174">
        <f t="shared" si="58"/>
        <v>0</v>
      </c>
      <c r="CD84" s="174">
        <f t="shared" si="59"/>
        <v>35</v>
      </c>
      <c r="CE84" s="175">
        <f t="shared" si="60"/>
        <v>3.8888888888888888</v>
      </c>
      <c r="CF84" s="175">
        <f t="shared" si="61"/>
        <v>0</v>
      </c>
      <c r="CG84" s="175">
        <f t="shared" si="62"/>
        <v>3.8888888888888888</v>
      </c>
    </row>
    <row r="85" spans="1:168">
      <c r="A85" s="6">
        <v>78</v>
      </c>
      <c r="B85" s="678" t="s">
        <v>3058</v>
      </c>
      <c r="C85" s="6"/>
      <c r="D85" s="6" t="s">
        <v>3059</v>
      </c>
      <c r="E85" s="6" t="s">
        <v>2904</v>
      </c>
      <c r="F85" s="6"/>
      <c r="G85" s="679" t="s">
        <v>15</v>
      </c>
      <c r="H85" s="1"/>
      <c r="I85" s="1"/>
      <c r="J85" s="1">
        <f t="shared" ref="J85" si="63">I85+H85</f>
        <v>0</v>
      </c>
      <c r="K85" s="1"/>
      <c r="L85" s="1"/>
      <c r="M85" s="1">
        <f t="shared" ref="M85" si="64">L85+K85</f>
        <v>0</v>
      </c>
      <c r="N85" s="1"/>
      <c r="O85" s="1"/>
      <c r="P85" s="1"/>
      <c r="Q85" s="1"/>
      <c r="R85" s="1"/>
      <c r="S85" s="1">
        <f t="shared" ref="S85:S100" si="65">SUM(Q85:R85)</f>
        <v>0</v>
      </c>
      <c r="T85" s="1"/>
      <c r="U85" s="1"/>
      <c r="V85" s="1">
        <f t="shared" ref="V85:V100" si="66">SUM(T85:U85)</f>
        <v>0</v>
      </c>
      <c r="W85" s="1"/>
      <c r="X85" s="1"/>
      <c r="Y85" s="1">
        <f t="shared" ref="Y85" si="67">X85+W85</f>
        <v>0</v>
      </c>
      <c r="Z85" s="1"/>
      <c r="AA85" s="1"/>
      <c r="AB85" s="1">
        <f t="shared" si="7"/>
        <v>0</v>
      </c>
      <c r="AC85" s="1"/>
      <c r="AD85" s="1"/>
      <c r="AE85" s="1">
        <f t="shared" si="8"/>
        <v>0</v>
      </c>
      <c r="AF85" s="1"/>
      <c r="AG85" s="1"/>
      <c r="AH85" s="1">
        <f t="shared" si="9"/>
        <v>0</v>
      </c>
      <c r="AI85" s="1">
        <v>30</v>
      </c>
      <c r="AJ85" s="1"/>
      <c r="AK85" s="1">
        <f t="shared" si="10"/>
        <v>30</v>
      </c>
      <c r="AL85" s="1">
        <v>60</v>
      </c>
      <c r="AM85" s="1"/>
      <c r="AN85" s="1">
        <f t="shared" si="42"/>
        <v>60</v>
      </c>
      <c r="AO85" s="1"/>
      <c r="AP85" s="1"/>
      <c r="AQ85" s="1">
        <f t="shared" si="43"/>
        <v>0</v>
      </c>
      <c r="AR85" s="6">
        <f t="shared" si="44"/>
        <v>90</v>
      </c>
      <c r="AS85" s="6">
        <f t="shared" si="45"/>
        <v>0</v>
      </c>
      <c r="AT85" s="6">
        <f t="shared" si="46"/>
        <v>90</v>
      </c>
      <c r="AU85" s="494">
        <f t="shared" si="47"/>
        <v>7.5</v>
      </c>
      <c r="AV85" s="494">
        <f t="shared" si="47"/>
        <v>0</v>
      </c>
      <c r="AW85" s="494">
        <f t="shared" si="16"/>
        <v>7.5</v>
      </c>
      <c r="AX85" s="217">
        <f t="shared" si="29"/>
        <v>3750</v>
      </c>
      <c r="AY85" s="217">
        <f t="shared" si="17"/>
        <v>0</v>
      </c>
      <c r="AZ85" s="217">
        <f t="shared" si="18"/>
        <v>3750</v>
      </c>
      <c r="BA85" s="1"/>
      <c r="BB85" s="1"/>
      <c r="BC85" s="679">
        <f t="shared" si="48"/>
        <v>0</v>
      </c>
      <c r="BD85" s="1"/>
      <c r="BE85" s="1"/>
      <c r="BF85" s="679">
        <f t="shared" si="49"/>
        <v>0</v>
      </c>
      <c r="BG85" s="1">
        <v>20</v>
      </c>
      <c r="BH85" s="1"/>
      <c r="BI85" s="679">
        <f t="shared" si="50"/>
        <v>20</v>
      </c>
      <c r="BJ85" s="1"/>
      <c r="BK85" s="1"/>
      <c r="BL85" s="679">
        <f t="shared" si="51"/>
        <v>0</v>
      </c>
      <c r="BM85" s="6"/>
      <c r="BN85" s="6"/>
      <c r="BO85" s="6">
        <f t="shared" si="52"/>
        <v>0</v>
      </c>
      <c r="BP85" s="6"/>
      <c r="BQ85" s="6"/>
      <c r="BR85" s="6">
        <f t="shared" si="53"/>
        <v>0</v>
      </c>
      <c r="BS85" s="78"/>
      <c r="BT85" s="6"/>
      <c r="BU85" s="6">
        <f t="shared" si="54"/>
        <v>0</v>
      </c>
      <c r="BV85" s="6"/>
      <c r="BW85" s="6"/>
      <c r="BX85" s="6">
        <f t="shared" si="55"/>
        <v>0</v>
      </c>
      <c r="BY85" s="6"/>
      <c r="BZ85" s="6"/>
      <c r="CA85" s="6">
        <f t="shared" si="56"/>
        <v>0</v>
      </c>
      <c r="CB85" s="174">
        <f t="shared" si="57"/>
        <v>20</v>
      </c>
      <c r="CC85" s="174">
        <f t="shared" si="58"/>
        <v>0</v>
      </c>
      <c r="CD85" s="174">
        <f t="shared" si="59"/>
        <v>20</v>
      </c>
      <c r="CE85" s="175">
        <f t="shared" si="60"/>
        <v>2.2222222222222223</v>
      </c>
      <c r="CF85" s="175">
        <f t="shared" si="61"/>
        <v>0</v>
      </c>
      <c r="CG85" s="175">
        <f t="shared" si="62"/>
        <v>2.2222222222222223</v>
      </c>
    </row>
    <row r="86" spans="1:168">
      <c r="A86" s="6">
        <v>79</v>
      </c>
      <c r="B86" s="678" t="s">
        <v>3060</v>
      </c>
      <c r="C86" s="6"/>
      <c r="D86" s="6" t="s">
        <v>3061</v>
      </c>
      <c r="E86" s="6" t="s">
        <v>2904</v>
      </c>
      <c r="F86" s="6"/>
      <c r="G86" s="679" t="s">
        <v>15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>
        <v>20</v>
      </c>
      <c r="AM86" s="1"/>
      <c r="AN86" s="1">
        <f t="shared" si="42"/>
        <v>20</v>
      </c>
      <c r="AO86" s="1"/>
      <c r="AP86" s="1"/>
      <c r="AQ86" s="1">
        <f t="shared" si="43"/>
        <v>0</v>
      </c>
      <c r="AR86" s="6">
        <f t="shared" si="44"/>
        <v>20</v>
      </c>
      <c r="AS86" s="6">
        <f t="shared" si="45"/>
        <v>0</v>
      </c>
      <c r="AT86" s="6">
        <f t="shared" si="46"/>
        <v>20</v>
      </c>
      <c r="AU86" s="494">
        <f t="shared" si="47"/>
        <v>1.6666666666666667</v>
      </c>
      <c r="AV86" s="494">
        <f t="shared" si="47"/>
        <v>0</v>
      </c>
      <c r="AW86" s="494">
        <f t="shared" si="16"/>
        <v>1.6666666666666667</v>
      </c>
      <c r="AX86" s="217"/>
      <c r="AY86" s="217"/>
      <c r="AZ86" s="217"/>
      <c r="BA86" s="1"/>
      <c r="BB86" s="1"/>
      <c r="BC86" s="679">
        <f t="shared" si="48"/>
        <v>0</v>
      </c>
      <c r="BD86" s="1">
        <v>20</v>
      </c>
      <c r="BE86" s="1"/>
      <c r="BF86" s="679">
        <f t="shared" si="49"/>
        <v>20</v>
      </c>
      <c r="BG86" s="1"/>
      <c r="BH86" s="1"/>
      <c r="BI86" s="679">
        <f t="shared" si="50"/>
        <v>0</v>
      </c>
      <c r="BJ86" s="1"/>
      <c r="BK86" s="1"/>
      <c r="BL86" s="679">
        <f t="shared" si="51"/>
        <v>0</v>
      </c>
      <c r="BM86" s="6"/>
      <c r="BN86" s="6"/>
      <c r="BO86" s="6">
        <f t="shared" si="52"/>
        <v>0</v>
      </c>
      <c r="BP86" s="6"/>
      <c r="BQ86" s="6"/>
      <c r="BR86" s="6">
        <f t="shared" si="53"/>
        <v>0</v>
      </c>
      <c r="BS86" s="78"/>
      <c r="BT86" s="6"/>
      <c r="BU86" s="6">
        <f t="shared" si="54"/>
        <v>0</v>
      </c>
      <c r="BV86" s="6"/>
      <c r="BW86" s="6"/>
      <c r="BX86" s="6">
        <f t="shared" si="55"/>
        <v>0</v>
      </c>
      <c r="BY86" s="6"/>
      <c r="BZ86" s="6"/>
      <c r="CA86" s="6">
        <f t="shared" si="56"/>
        <v>0</v>
      </c>
      <c r="CB86" s="174">
        <f t="shared" si="57"/>
        <v>20</v>
      </c>
      <c r="CC86" s="174">
        <f t="shared" si="58"/>
        <v>0</v>
      </c>
      <c r="CD86" s="174">
        <f t="shared" si="59"/>
        <v>20</v>
      </c>
      <c r="CE86" s="175">
        <f t="shared" si="60"/>
        <v>2.2222222222222223</v>
      </c>
      <c r="CF86" s="175">
        <f t="shared" si="61"/>
        <v>0</v>
      </c>
      <c r="CG86" s="175">
        <f t="shared" si="62"/>
        <v>2.2222222222222223</v>
      </c>
    </row>
    <row r="87" spans="1:168">
      <c r="A87" s="6">
        <v>80</v>
      </c>
      <c r="B87" s="678" t="s">
        <v>3062</v>
      </c>
      <c r="C87" s="6"/>
      <c r="D87" s="719" t="s">
        <v>3063</v>
      </c>
      <c r="E87" s="719" t="s">
        <v>2904</v>
      </c>
      <c r="F87" s="6"/>
      <c r="G87" s="679" t="s">
        <v>15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>
        <v>71</v>
      </c>
      <c r="AM87" s="1"/>
      <c r="AN87" s="1">
        <f t="shared" si="42"/>
        <v>71</v>
      </c>
      <c r="AO87" s="1"/>
      <c r="AP87" s="1"/>
      <c r="AQ87" s="1">
        <f t="shared" si="43"/>
        <v>0</v>
      </c>
      <c r="AR87" s="6">
        <f t="shared" si="44"/>
        <v>71</v>
      </c>
      <c r="AS87" s="6">
        <f t="shared" si="45"/>
        <v>0</v>
      </c>
      <c r="AT87" s="6">
        <f t="shared" si="46"/>
        <v>71</v>
      </c>
      <c r="AU87" s="494">
        <f t="shared" si="47"/>
        <v>5.916666666666667</v>
      </c>
      <c r="AV87" s="494">
        <f t="shared" si="47"/>
        <v>0</v>
      </c>
      <c r="AW87" s="494">
        <f t="shared" si="16"/>
        <v>5.916666666666667</v>
      </c>
      <c r="AX87" s="217"/>
      <c r="AY87" s="217"/>
      <c r="AZ87" s="217"/>
      <c r="BA87" s="1"/>
      <c r="BB87" s="1"/>
      <c r="BC87" s="679">
        <f t="shared" si="48"/>
        <v>0</v>
      </c>
      <c r="BD87" s="1"/>
      <c r="BE87" s="1"/>
      <c r="BF87" s="679">
        <f t="shared" si="49"/>
        <v>0</v>
      </c>
      <c r="BG87" s="1">
        <v>100</v>
      </c>
      <c r="BH87" s="1"/>
      <c r="BI87" s="679">
        <f t="shared" si="50"/>
        <v>100</v>
      </c>
      <c r="BJ87" s="1"/>
      <c r="BK87" s="1"/>
      <c r="BL87" s="679">
        <f t="shared" si="51"/>
        <v>0</v>
      </c>
      <c r="BM87" s="6"/>
      <c r="BN87" s="6"/>
      <c r="BO87" s="6">
        <f t="shared" si="52"/>
        <v>0</v>
      </c>
      <c r="BP87" s="6"/>
      <c r="BQ87" s="6"/>
      <c r="BR87" s="6">
        <f t="shared" si="53"/>
        <v>0</v>
      </c>
      <c r="BS87" s="78"/>
      <c r="BT87" s="6"/>
      <c r="BU87" s="6">
        <f t="shared" si="54"/>
        <v>0</v>
      </c>
      <c r="BV87" s="6"/>
      <c r="BW87" s="6"/>
      <c r="BX87" s="6">
        <f t="shared" si="55"/>
        <v>0</v>
      </c>
      <c r="BY87" s="6"/>
      <c r="BZ87" s="6"/>
      <c r="CA87" s="6">
        <f t="shared" si="56"/>
        <v>0</v>
      </c>
      <c r="CB87" s="174">
        <f t="shared" si="57"/>
        <v>100</v>
      </c>
      <c r="CC87" s="174">
        <f t="shared" si="58"/>
        <v>0</v>
      </c>
      <c r="CD87" s="174">
        <f t="shared" si="59"/>
        <v>100</v>
      </c>
      <c r="CE87" s="175">
        <f t="shared" si="60"/>
        <v>11.111111111111111</v>
      </c>
      <c r="CF87" s="175">
        <f t="shared" si="61"/>
        <v>0</v>
      </c>
      <c r="CG87" s="175">
        <f t="shared" si="62"/>
        <v>11.111111111111111</v>
      </c>
    </row>
    <row r="88" spans="1:168">
      <c r="A88" s="6">
        <v>81</v>
      </c>
      <c r="B88" s="678" t="s">
        <v>3064</v>
      </c>
      <c r="C88" s="6"/>
      <c r="D88" s="6" t="s">
        <v>3065</v>
      </c>
      <c r="E88" s="6" t="s">
        <v>2904</v>
      </c>
      <c r="F88" s="6"/>
      <c r="G88" s="679" t="s">
        <v>15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>
        <v>56</v>
      </c>
      <c r="AM88" s="1"/>
      <c r="AN88" s="1">
        <f t="shared" si="42"/>
        <v>56</v>
      </c>
      <c r="AO88" s="1"/>
      <c r="AP88" s="1"/>
      <c r="AQ88" s="1">
        <f t="shared" si="43"/>
        <v>0</v>
      </c>
      <c r="AR88" s="6">
        <f t="shared" si="44"/>
        <v>56</v>
      </c>
      <c r="AS88" s="6">
        <f t="shared" si="45"/>
        <v>0</v>
      </c>
      <c r="AT88" s="6">
        <f t="shared" si="46"/>
        <v>56</v>
      </c>
      <c r="AU88" s="494">
        <f t="shared" si="47"/>
        <v>4.666666666666667</v>
      </c>
      <c r="AV88" s="494">
        <f t="shared" si="47"/>
        <v>0</v>
      </c>
      <c r="AW88" s="494">
        <f t="shared" si="16"/>
        <v>4.666666666666667</v>
      </c>
      <c r="AX88" s="217"/>
      <c r="AY88" s="217"/>
      <c r="AZ88" s="217"/>
      <c r="BA88" s="1"/>
      <c r="BB88" s="1"/>
      <c r="BC88" s="679">
        <f t="shared" si="48"/>
        <v>0</v>
      </c>
      <c r="BD88" s="1"/>
      <c r="BE88" s="1"/>
      <c r="BF88" s="679">
        <f t="shared" si="49"/>
        <v>0</v>
      </c>
      <c r="BG88" s="1"/>
      <c r="BH88" s="1"/>
      <c r="BI88" s="679">
        <f t="shared" si="50"/>
        <v>0</v>
      </c>
      <c r="BJ88" s="1"/>
      <c r="BK88" s="1"/>
      <c r="BL88" s="679">
        <f t="shared" si="51"/>
        <v>0</v>
      </c>
      <c r="BM88" s="6"/>
      <c r="BN88" s="6"/>
      <c r="BO88" s="6">
        <f t="shared" si="52"/>
        <v>0</v>
      </c>
      <c r="BP88" s="6"/>
      <c r="BQ88" s="6"/>
      <c r="BR88" s="6">
        <f t="shared" si="53"/>
        <v>0</v>
      </c>
      <c r="BS88" s="78"/>
      <c r="BT88" s="6"/>
      <c r="BU88" s="6">
        <f t="shared" si="54"/>
        <v>0</v>
      </c>
      <c r="BV88" s="6"/>
      <c r="BW88" s="6"/>
      <c r="BX88" s="6">
        <f t="shared" si="55"/>
        <v>0</v>
      </c>
      <c r="BY88" s="6"/>
      <c r="BZ88" s="6"/>
      <c r="CA88" s="6">
        <f t="shared" si="56"/>
        <v>0</v>
      </c>
      <c r="CB88" s="174">
        <f t="shared" si="57"/>
        <v>0</v>
      </c>
      <c r="CC88" s="174">
        <f t="shared" si="58"/>
        <v>0</v>
      </c>
      <c r="CD88" s="174">
        <f t="shared" si="59"/>
        <v>0</v>
      </c>
      <c r="CE88" s="175">
        <f t="shared" si="60"/>
        <v>0</v>
      </c>
      <c r="CF88" s="175">
        <f t="shared" si="61"/>
        <v>0</v>
      </c>
      <c r="CG88" s="175">
        <f t="shared" si="62"/>
        <v>0</v>
      </c>
    </row>
    <row r="89" spans="1:168">
      <c r="A89" s="6">
        <v>82</v>
      </c>
      <c r="B89" s="678" t="s">
        <v>3066</v>
      </c>
      <c r="C89" s="6"/>
      <c r="D89" s="6" t="s">
        <v>3067</v>
      </c>
      <c r="E89" s="6" t="s">
        <v>2904</v>
      </c>
      <c r="F89" s="6"/>
      <c r="G89" s="679" t="s">
        <v>18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>
        <v>10</v>
      </c>
      <c r="AP89" s="1"/>
      <c r="AQ89" s="1">
        <f t="shared" si="43"/>
        <v>10</v>
      </c>
      <c r="AR89" s="6">
        <f t="shared" si="44"/>
        <v>10</v>
      </c>
      <c r="AS89" s="6"/>
      <c r="AT89" s="6"/>
      <c r="AU89" s="494">
        <f t="shared" si="47"/>
        <v>0.83333333333333337</v>
      </c>
      <c r="AV89" s="494">
        <f t="shared" si="47"/>
        <v>0</v>
      </c>
      <c r="AW89" s="494">
        <f t="shared" si="16"/>
        <v>0.83333333333333337</v>
      </c>
      <c r="AX89" s="217"/>
      <c r="AY89" s="217"/>
      <c r="AZ89" s="217"/>
      <c r="BA89" s="1"/>
      <c r="BB89" s="1"/>
      <c r="BC89" s="679">
        <f t="shared" si="48"/>
        <v>0</v>
      </c>
      <c r="BD89" s="1"/>
      <c r="BE89" s="1"/>
      <c r="BF89" s="679">
        <f t="shared" si="49"/>
        <v>0</v>
      </c>
      <c r="BG89" s="1"/>
      <c r="BH89" s="1"/>
      <c r="BI89" s="679">
        <f t="shared" si="50"/>
        <v>0</v>
      </c>
      <c r="BJ89" s="1"/>
      <c r="BK89" s="1"/>
      <c r="BL89" s="679">
        <f t="shared" si="51"/>
        <v>0</v>
      </c>
      <c r="BM89" s="6"/>
      <c r="BN89" s="6"/>
      <c r="BO89" s="6">
        <f t="shared" si="52"/>
        <v>0</v>
      </c>
      <c r="BP89" s="6"/>
      <c r="BQ89" s="6"/>
      <c r="BR89" s="6">
        <f t="shared" si="53"/>
        <v>0</v>
      </c>
      <c r="BS89" s="78"/>
      <c r="BT89" s="6"/>
      <c r="BU89" s="6">
        <f t="shared" si="54"/>
        <v>0</v>
      </c>
      <c r="BV89" s="6"/>
      <c r="BW89" s="6"/>
      <c r="BX89" s="6">
        <f t="shared" si="55"/>
        <v>0</v>
      </c>
      <c r="BY89" s="6"/>
      <c r="BZ89" s="6"/>
      <c r="CA89" s="6">
        <f t="shared" si="56"/>
        <v>0</v>
      </c>
      <c r="CB89" s="174">
        <f t="shared" si="57"/>
        <v>0</v>
      </c>
      <c r="CC89" s="174">
        <f t="shared" si="58"/>
        <v>0</v>
      </c>
      <c r="CD89" s="174">
        <f t="shared" si="59"/>
        <v>0</v>
      </c>
      <c r="CE89" s="175">
        <f t="shared" si="60"/>
        <v>0</v>
      </c>
      <c r="CF89" s="175">
        <f t="shared" si="61"/>
        <v>0</v>
      </c>
      <c r="CG89" s="175">
        <f t="shared" si="62"/>
        <v>0</v>
      </c>
    </row>
    <row r="90" spans="1:168" s="699" customFormat="1">
      <c r="A90" s="522">
        <v>83</v>
      </c>
      <c r="B90" s="698" t="s">
        <v>3068</v>
      </c>
      <c r="C90" s="522"/>
      <c r="D90" s="522" t="s">
        <v>3069</v>
      </c>
      <c r="E90" s="522" t="s">
        <v>2904</v>
      </c>
      <c r="F90" s="522"/>
      <c r="G90" s="718" t="s">
        <v>18</v>
      </c>
      <c r="H90" s="522"/>
      <c r="I90" s="522"/>
      <c r="J90" s="522"/>
      <c r="K90" s="522"/>
      <c r="L90" s="522"/>
      <c r="M90" s="522"/>
      <c r="N90" s="522"/>
      <c r="O90" s="522"/>
      <c r="P90" s="522"/>
      <c r="Q90" s="522"/>
      <c r="R90" s="522"/>
      <c r="S90" s="522"/>
      <c r="T90" s="522"/>
      <c r="U90" s="522"/>
      <c r="V90" s="522"/>
      <c r="W90" s="522"/>
      <c r="X90" s="522"/>
      <c r="Y90" s="522"/>
      <c r="Z90" s="522"/>
      <c r="AA90" s="522"/>
      <c r="AB90" s="522"/>
      <c r="AC90" s="522"/>
      <c r="AD90" s="522"/>
      <c r="AE90" s="522"/>
      <c r="AF90" s="522"/>
      <c r="AG90" s="522"/>
      <c r="AH90" s="522"/>
      <c r="AI90" s="522"/>
      <c r="AJ90" s="522"/>
      <c r="AK90" s="522"/>
      <c r="AL90" s="522"/>
      <c r="AM90" s="522"/>
      <c r="AN90" s="522"/>
      <c r="AO90" s="522">
        <v>18</v>
      </c>
      <c r="AP90" s="522">
        <v>18</v>
      </c>
      <c r="AQ90" s="522">
        <f t="shared" si="43"/>
        <v>36</v>
      </c>
      <c r="AR90" s="522">
        <f t="shared" si="44"/>
        <v>18</v>
      </c>
      <c r="AS90" s="522"/>
      <c r="AT90" s="522"/>
      <c r="AU90" s="523">
        <f t="shared" si="47"/>
        <v>1.5</v>
      </c>
      <c r="AV90" s="523">
        <f t="shared" si="47"/>
        <v>0</v>
      </c>
      <c r="AW90" s="523">
        <f t="shared" si="16"/>
        <v>1.5</v>
      </c>
      <c r="AX90" s="523"/>
      <c r="AY90" s="523"/>
      <c r="AZ90" s="523"/>
      <c r="BA90" s="522"/>
      <c r="BB90" s="522"/>
      <c r="BC90" s="718">
        <f t="shared" si="48"/>
        <v>0</v>
      </c>
      <c r="BD90" s="522">
        <v>308</v>
      </c>
      <c r="BE90" s="522">
        <v>56</v>
      </c>
      <c r="BF90" s="718">
        <f t="shared" si="49"/>
        <v>364</v>
      </c>
      <c r="BG90" s="522"/>
      <c r="BH90" s="522"/>
      <c r="BI90" s="718">
        <f t="shared" si="50"/>
        <v>0</v>
      </c>
      <c r="BJ90" s="522"/>
      <c r="BK90" s="522"/>
      <c r="BL90" s="718">
        <f t="shared" si="51"/>
        <v>0</v>
      </c>
      <c r="BM90" s="522"/>
      <c r="BN90" s="522"/>
      <c r="BO90" s="522">
        <f t="shared" si="52"/>
        <v>0</v>
      </c>
      <c r="BP90" s="522"/>
      <c r="BQ90" s="522"/>
      <c r="BR90" s="522">
        <f t="shared" si="53"/>
        <v>0</v>
      </c>
      <c r="BS90" s="920"/>
      <c r="BT90" s="522"/>
      <c r="BU90" s="522">
        <f>BS90+BT90</f>
        <v>0</v>
      </c>
      <c r="BV90" s="522"/>
      <c r="BW90" s="522"/>
      <c r="BX90" s="522">
        <f>BV90+BW90</f>
        <v>0</v>
      </c>
      <c r="BY90" s="522"/>
      <c r="BZ90" s="522"/>
      <c r="CA90" s="522">
        <f>BY90+BZ90</f>
        <v>0</v>
      </c>
      <c r="CB90" s="174">
        <f t="shared" si="57"/>
        <v>308</v>
      </c>
      <c r="CC90" s="174">
        <f t="shared" si="58"/>
        <v>56</v>
      </c>
      <c r="CD90" s="174">
        <f t="shared" si="59"/>
        <v>364</v>
      </c>
      <c r="CE90" s="175">
        <f t="shared" si="60"/>
        <v>34.222222222222221</v>
      </c>
      <c r="CF90" s="175">
        <f t="shared" si="61"/>
        <v>6.2222222222222223</v>
      </c>
      <c r="CG90" s="175">
        <f t="shared" si="62"/>
        <v>40.444444444444443</v>
      </c>
      <c r="CH90" s="361"/>
      <c r="CI90" s="361"/>
      <c r="CJ90" s="361"/>
      <c r="CK90" s="361"/>
      <c r="CL90" s="361"/>
      <c r="CM90" s="361"/>
      <c r="CN90" s="361"/>
      <c r="CO90" s="361"/>
      <c r="CP90" s="361"/>
      <c r="CQ90" s="361"/>
      <c r="CR90" s="361"/>
      <c r="CS90" s="361"/>
      <c r="CT90" s="361"/>
      <c r="CU90" s="361"/>
      <c r="CV90" s="361"/>
      <c r="CW90" s="361"/>
      <c r="CX90" s="361"/>
      <c r="CY90" s="361"/>
      <c r="CZ90" s="361"/>
      <c r="DA90" s="361"/>
      <c r="DB90" s="361"/>
      <c r="DC90" s="361"/>
      <c r="DD90" s="361"/>
      <c r="DE90" s="361"/>
      <c r="DF90" s="361"/>
      <c r="DG90" s="361"/>
      <c r="DH90" s="361"/>
      <c r="DI90" s="361"/>
      <c r="DJ90" s="361"/>
      <c r="DK90" s="361"/>
      <c r="DL90" s="361"/>
      <c r="DM90" s="361"/>
      <c r="DN90" s="361"/>
      <c r="DO90" s="361"/>
      <c r="DP90" s="361"/>
      <c r="DQ90" s="361"/>
      <c r="DR90" s="361"/>
      <c r="DS90" s="361"/>
      <c r="DT90" s="361"/>
      <c r="DU90" s="361"/>
      <c r="DV90" s="361"/>
      <c r="DW90" s="361"/>
      <c r="DX90" s="361"/>
      <c r="DY90" s="361"/>
      <c r="DZ90" s="361"/>
      <c r="EA90" s="361"/>
      <c r="EB90" s="361"/>
      <c r="EC90" s="361"/>
      <c r="ED90" s="361"/>
      <c r="EE90" s="361"/>
      <c r="EF90" s="361"/>
      <c r="EG90" s="361"/>
      <c r="EH90" s="361"/>
      <c r="EI90" s="361"/>
      <c r="EJ90" s="361"/>
      <c r="EK90" s="361"/>
      <c r="EL90" s="361"/>
      <c r="EM90" s="361"/>
      <c r="EN90" s="361"/>
      <c r="EO90" s="361"/>
      <c r="EP90" s="361"/>
      <c r="EQ90" s="361"/>
      <c r="ER90" s="361"/>
      <c r="ES90" s="361"/>
      <c r="ET90" s="361"/>
      <c r="EU90" s="361"/>
      <c r="EV90" s="361"/>
      <c r="EW90" s="361"/>
      <c r="EX90" s="361"/>
      <c r="EY90" s="361"/>
      <c r="EZ90" s="361"/>
      <c r="FA90" s="361"/>
      <c r="FB90" s="361"/>
      <c r="FC90" s="361"/>
      <c r="FD90" s="361"/>
      <c r="FE90" s="361"/>
      <c r="FF90" s="361"/>
      <c r="FG90" s="361"/>
      <c r="FH90" s="361"/>
      <c r="FI90" s="361"/>
      <c r="FJ90" s="361"/>
      <c r="FK90" s="361"/>
      <c r="FL90" s="361"/>
    </row>
    <row r="91" spans="1:168" s="699" customFormat="1">
      <c r="A91" s="522">
        <v>84</v>
      </c>
      <c r="B91" s="698" t="s">
        <v>3070</v>
      </c>
      <c r="C91" s="522"/>
      <c r="D91" s="522" t="s">
        <v>3071</v>
      </c>
      <c r="E91" s="522" t="s">
        <v>2904</v>
      </c>
      <c r="F91" s="522"/>
      <c r="G91" s="718" t="s">
        <v>15</v>
      </c>
      <c r="H91" s="522"/>
      <c r="I91" s="522"/>
      <c r="J91" s="522"/>
      <c r="K91" s="522"/>
      <c r="L91" s="522"/>
      <c r="M91" s="522"/>
      <c r="N91" s="522"/>
      <c r="O91" s="522"/>
      <c r="P91" s="522"/>
      <c r="Q91" s="522"/>
      <c r="R91" s="522"/>
      <c r="S91" s="522"/>
      <c r="T91" s="522"/>
      <c r="U91" s="522"/>
      <c r="V91" s="522"/>
      <c r="W91" s="522"/>
      <c r="X91" s="522"/>
      <c r="Y91" s="522"/>
      <c r="Z91" s="522"/>
      <c r="AA91" s="522"/>
      <c r="AB91" s="522"/>
      <c r="AC91" s="522"/>
      <c r="AD91" s="522"/>
      <c r="AE91" s="522"/>
      <c r="AF91" s="522"/>
      <c r="AG91" s="522"/>
      <c r="AH91" s="522"/>
      <c r="AI91" s="522"/>
      <c r="AJ91" s="522"/>
      <c r="AK91" s="522"/>
      <c r="AL91" s="522"/>
      <c r="AM91" s="522"/>
      <c r="AN91" s="522"/>
      <c r="AO91" s="522">
        <v>100</v>
      </c>
      <c r="AP91" s="522"/>
      <c r="AQ91" s="522">
        <f t="shared" si="43"/>
        <v>100</v>
      </c>
      <c r="AR91" s="522">
        <f t="shared" si="44"/>
        <v>100</v>
      </c>
      <c r="AS91" s="522"/>
      <c r="AT91" s="522"/>
      <c r="AU91" s="523">
        <f t="shared" si="47"/>
        <v>8.3333333333333339</v>
      </c>
      <c r="AV91" s="523">
        <f t="shared" si="47"/>
        <v>0</v>
      </c>
      <c r="AW91" s="523">
        <f t="shared" si="16"/>
        <v>8.3333333333333339</v>
      </c>
      <c r="AX91" s="523"/>
      <c r="AY91" s="523"/>
      <c r="AZ91" s="523"/>
      <c r="BA91" s="522"/>
      <c r="BB91" s="522"/>
      <c r="BC91" s="718">
        <f t="shared" si="48"/>
        <v>0</v>
      </c>
      <c r="BD91" s="522"/>
      <c r="BE91" s="522"/>
      <c r="BF91" s="718">
        <f t="shared" si="49"/>
        <v>0</v>
      </c>
      <c r="BG91" s="522"/>
      <c r="BH91" s="522"/>
      <c r="BI91" s="718">
        <f t="shared" si="50"/>
        <v>0</v>
      </c>
      <c r="BJ91" s="522"/>
      <c r="BK91" s="522"/>
      <c r="BL91" s="718">
        <f t="shared" si="51"/>
        <v>0</v>
      </c>
      <c r="BM91" s="522"/>
      <c r="BN91" s="522"/>
      <c r="BO91" s="522">
        <f t="shared" si="52"/>
        <v>0</v>
      </c>
      <c r="BP91" s="522"/>
      <c r="BQ91" s="522"/>
      <c r="BR91" s="522">
        <f t="shared" si="53"/>
        <v>0</v>
      </c>
      <c r="BS91" s="920"/>
      <c r="BT91" s="522"/>
      <c r="BU91" s="522">
        <f>BS91+BT91</f>
        <v>0</v>
      </c>
      <c r="BV91" s="522"/>
      <c r="BW91" s="522"/>
      <c r="BX91" s="522">
        <f>BV91+BW91</f>
        <v>0</v>
      </c>
      <c r="BY91" s="522"/>
      <c r="BZ91" s="522"/>
      <c r="CA91" s="522">
        <f>BY91+BZ91</f>
        <v>0</v>
      </c>
      <c r="CB91" s="174">
        <f t="shared" si="57"/>
        <v>0</v>
      </c>
      <c r="CC91" s="174">
        <f t="shared" si="58"/>
        <v>0</v>
      </c>
      <c r="CD91" s="174">
        <f t="shared" si="59"/>
        <v>0</v>
      </c>
      <c r="CE91" s="175">
        <f t="shared" si="60"/>
        <v>0</v>
      </c>
      <c r="CF91" s="175">
        <f t="shared" si="61"/>
        <v>0</v>
      </c>
      <c r="CG91" s="175">
        <f t="shared" si="62"/>
        <v>0</v>
      </c>
      <c r="CH91" s="361"/>
      <c r="CI91" s="361"/>
      <c r="CJ91" s="361"/>
      <c r="CK91" s="361"/>
      <c r="CL91" s="361"/>
      <c r="CM91" s="361"/>
      <c r="CN91" s="361"/>
      <c r="CO91" s="361"/>
      <c r="CP91" s="361"/>
      <c r="CQ91" s="361"/>
      <c r="CR91" s="361"/>
      <c r="CS91" s="361"/>
      <c r="CT91" s="361"/>
      <c r="CU91" s="361"/>
      <c r="CV91" s="361"/>
      <c r="CW91" s="361"/>
      <c r="CX91" s="361"/>
      <c r="CY91" s="361"/>
      <c r="CZ91" s="361"/>
      <c r="DA91" s="361"/>
      <c r="DB91" s="361"/>
      <c r="DC91" s="361"/>
      <c r="DD91" s="361"/>
      <c r="DE91" s="361"/>
      <c r="DF91" s="361"/>
      <c r="DG91" s="361"/>
      <c r="DH91" s="361"/>
      <c r="DI91" s="361"/>
      <c r="DJ91" s="361"/>
      <c r="DK91" s="361"/>
      <c r="DL91" s="361"/>
      <c r="DM91" s="361"/>
      <c r="DN91" s="361"/>
      <c r="DO91" s="361"/>
      <c r="DP91" s="361"/>
      <c r="DQ91" s="361"/>
      <c r="DR91" s="361"/>
      <c r="DS91" s="361"/>
      <c r="DT91" s="361"/>
      <c r="DU91" s="361"/>
      <c r="DV91" s="361"/>
      <c r="DW91" s="361"/>
      <c r="DX91" s="361"/>
      <c r="DY91" s="361"/>
      <c r="DZ91" s="361"/>
      <c r="EA91" s="361"/>
      <c r="EB91" s="361"/>
      <c r="EC91" s="361"/>
      <c r="ED91" s="361"/>
      <c r="EE91" s="361"/>
      <c r="EF91" s="361"/>
      <c r="EG91" s="361"/>
      <c r="EH91" s="361"/>
      <c r="EI91" s="361"/>
      <c r="EJ91" s="361"/>
      <c r="EK91" s="361"/>
      <c r="EL91" s="361"/>
      <c r="EM91" s="361"/>
      <c r="EN91" s="361"/>
      <c r="EO91" s="361"/>
      <c r="EP91" s="361"/>
      <c r="EQ91" s="361"/>
      <c r="ER91" s="361"/>
      <c r="ES91" s="361"/>
      <c r="ET91" s="361"/>
      <c r="EU91" s="361"/>
      <c r="EV91" s="361"/>
      <c r="EW91" s="361"/>
      <c r="EX91" s="361"/>
      <c r="EY91" s="361"/>
      <c r="EZ91" s="361"/>
      <c r="FA91" s="361"/>
      <c r="FB91" s="361"/>
      <c r="FC91" s="361"/>
      <c r="FD91" s="361"/>
      <c r="FE91" s="361"/>
      <c r="FF91" s="361"/>
      <c r="FG91" s="361"/>
      <c r="FH91" s="361"/>
      <c r="FI91" s="361"/>
      <c r="FJ91" s="361"/>
      <c r="FK91" s="361"/>
      <c r="FL91" s="361"/>
    </row>
    <row r="92" spans="1:168" s="699" customFormat="1">
      <c r="A92" s="522">
        <v>85</v>
      </c>
      <c r="B92" s="698" t="s">
        <v>3072</v>
      </c>
      <c r="C92" s="522"/>
      <c r="D92" s="522" t="s">
        <v>3073</v>
      </c>
      <c r="E92" s="522" t="s">
        <v>2904</v>
      </c>
      <c r="F92" s="522"/>
      <c r="G92" s="718" t="s">
        <v>18</v>
      </c>
      <c r="H92" s="522"/>
      <c r="I92" s="522"/>
      <c r="J92" s="522"/>
      <c r="K92" s="522"/>
      <c r="L92" s="522"/>
      <c r="M92" s="522"/>
      <c r="N92" s="522"/>
      <c r="O92" s="522"/>
      <c r="P92" s="522"/>
      <c r="Q92" s="522"/>
      <c r="R92" s="522"/>
      <c r="S92" s="522"/>
      <c r="T92" s="522"/>
      <c r="U92" s="522"/>
      <c r="V92" s="522"/>
      <c r="W92" s="522"/>
      <c r="X92" s="522"/>
      <c r="Y92" s="522"/>
      <c r="Z92" s="522"/>
      <c r="AA92" s="522"/>
      <c r="AB92" s="522"/>
      <c r="AC92" s="522"/>
      <c r="AD92" s="522"/>
      <c r="AE92" s="522"/>
      <c r="AF92" s="522"/>
      <c r="AG92" s="522"/>
      <c r="AH92" s="522"/>
      <c r="AI92" s="522"/>
      <c r="AJ92" s="522"/>
      <c r="AK92" s="522"/>
      <c r="AL92" s="522"/>
      <c r="AM92" s="522"/>
      <c r="AN92" s="522"/>
      <c r="AO92" s="522">
        <v>511</v>
      </c>
      <c r="AP92" s="522">
        <v>76</v>
      </c>
      <c r="AQ92" s="522">
        <f t="shared" si="43"/>
        <v>587</v>
      </c>
      <c r="AR92" s="522">
        <f t="shared" si="44"/>
        <v>511</v>
      </c>
      <c r="AS92" s="522"/>
      <c r="AT92" s="522"/>
      <c r="AU92" s="523">
        <f t="shared" si="47"/>
        <v>42.583333333333336</v>
      </c>
      <c r="AV92" s="523">
        <f t="shared" si="47"/>
        <v>0</v>
      </c>
      <c r="AW92" s="523">
        <f t="shared" si="16"/>
        <v>42.583333333333336</v>
      </c>
      <c r="AX92" s="523"/>
      <c r="AY92" s="523"/>
      <c r="AZ92" s="523"/>
      <c r="BA92" s="522"/>
      <c r="BB92" s="522"/>
      <c r="BC92" s="718">
        <f t="shared" si="48"/>
        <v>0</v>
      </c>
      <c r="BD92" s="522"/>
      <c r="BE92" s="522"/>
      <c r="BF92" s="718">
        <f t="shared" si="49"/>
        <v>0</v>
      </c>
      <c r="BG92" s="522">
        <v>245</v>
      </c>
      <c r="BH92" s="522">
        <v>132</v>
      </c>
      <c r="BI92" s="718">
        <f t="shared" si="50"/>
        <v>377</v>
      </c>
      <c r="BJ92" s="522">
        <v>270</v>
      </c>
      <c r="BK92" s="522">
        <v>36</v>
      </c>
      <c r="BL92" s="718">
        <f t="shared" si="51"/>
        <v>306</v>
      </c>
      <c r="BM92" s="522"/>
      <c r="BN92" s="522"/>
      <c r="BO92" s="522">
        <f t="shared" si="52"/>
        <v>0</v>
      </c>
      <c r="BP92" s="522"/>
      <c r="BQ92" s="522"/>
      <c r="BR92" s="522">
        <f t="shared" si="53"/>
        <v>0</v>
      </c>
      <c r="BS92" s="920"/>
      <c r="BT92" s="522"/>
      <c r="BU92" s="522">
        <f>BS92+BT92</f>
        <v>0</v>
      </c>
      <c r="BV92" s="522"/>
      <c r="BW92" s="522"/>
      <c r="BX92" s="522">
        <f>BV92+BW92</f>
        <v>0</v>
      </c>
      <c r="BY92" s="522"/>
      <c r="BZ92" s="522"/>
      <c r="CA92" s="522">
        <f>BY92+BZ92</f>
        <v>0</v>
      </c>
      <c r="CB92" s="174">
        <f t="shared" si="57"/>
        <v>515</v>
      </c>
      <c r="CC92" s="174">
        <f t="shared" si="58"/>
        <v>168</v>
      </c>
      <c r="CD92" s="174">
        <f t="shared" si="59"/>
        <v>683</v>
      </c>
      <c r="CE92" s="175">
        <f t="shared" si="60"/>
        <v>57.222222222222221</v>
      </c>
      <c r="CF92" s="175">
        <f t="shared" si="61"/>
        <v>18.666666666666668</v>
      </c>
      <c r="CG92" s="175">
        <f t="shared" si="62"/>
        <v>75.888888888888886</v>
      </c>
      <c r="CH92" s="361"/>
      <c r="CI92" s="361"/>
      <c r="CJ92" s="361"/>
      <c r="CK92" s="361"/>
      <c r="CL92" s="361"/>
      <c r="CM92" s="361"/>
      <c r="CN92" s="361"/>
      <c r="CO92" s="361"/>
      <c r="CP92" s="361"/>
      <c r="CQ92" s="361"/>
      <c r="CR92" s="361"/>
      <c r="CS92" s="361"/>
      <c r="CT92" s="361"/>
      <c r="CU92" s="361"/>
      <c r="CV92" s="361"/>
      <c r="CW92" s="361"/>
      <c r="CX92" s="361"/>
      <c r="CY92" s="361"/>
      <c r="CZ92" s="361"/>
      <c r="DA92" s="361"/>
      <c r="DB92" s="361"/>
      <c r="DC92" s="361"/>
      <c r="DD92" s="361"/>
      <c r="DE92" s="361"/>
      <c r="DF92" s="361"/>
      <c r="DG92" s="361"/>
      <c r="DH92" s="361"/>
      <c r="DI92" s="361"/>
      <c r="DJ92" s="361"/>
      <c r="DK92" s="361"/>
      <c r="DL92" s="361"/>
      <c r="DM92" s="361"/>
      <c r="DN92" s="361"/>
      <c r="DO92" s="361"/>
      <c r="DP92" s="361"/>
      <c r="DQ92" s="361"/>
      <c r="DR92" s="361"/>
      <c r="DS92" s="361"/>
      <c r="DT92" s="361"/>
      <c r="DU92" s="361"/>
      <c r="DV92" s="361"/>
      <c r="DW92" s="361"/>
      <c r="DX92" s="361"/>
      <c r="DY92" s="361"/>
      <c r="DZ92" s="361"/>
      <c r="EA92" s="361"/>
      <c r="EB92" s="361"/>
      <c r="EC92" s="361"/>
      <c r="ED92" s="361"/>
      <c r="EE92" s="361"/>
      <c r="EF92" s="361"/>
      <c r="EG92" s="361"/>
      <c r="EH92" s="361"/>
      <c r="EI92" s="361"/>
      <c r="EJ92" s="361"/>
      <c r="EK92" s="361"/>
      <c r="EL92" s="361"/>
      <c r="EM92" s="361"/>
      <c r="EN92" s="361"/>
      <c r="EO92" s="361"/>
      <c r="EP92" s="361"/>
      <c r="EQ92" s="361"/>
      <c r="ER92" s="361"/>
      <c r="ES92" s="361"/>
      <c r="ET92" s="361"/>
      <c r="EU92" s="361"/>
      <c r="EV92" s="361"/>
      <c r="EW92" s="361"/>
      <c r="EX92" s="361"/>
      <c r="EY92" s="361"/>
      <c r="EZ92" s="361"/>
      <c r="FA92" s="361"/>
      <c r="FB92" s="361"/>
      <c r="FC92" s="361"/>
      <c r="FD92" s="361"/>
      <c r="FE92" s="361"/>
      <c r="FF92" s="361"/>
      <c r="FG92" s="361"/>
      <c r="FH92" s="361"/>
      <c r="FI92" s="361"/>
      <c r="FJ92" s="361"/>
      <c r="FK92" s="361"/>
      <c r="FL92" s="361"/>
    </row>
    <row r="93" spans="1:168">
      <c r="A93" s="6">
        <v>86</v>
      </c>
      <c r="B93" s="678" t="s">
        <v>3074</v>
      </c>
      <c r="C93" s="6"/>
      <c r="D93" s="6" t="s">
        <v>3075</v>
      </c>
      <c r="E93" s="6" t="s">
        <v>2904</v>
      </c>
      <c r="F93" s="6"/>
      <c r="G93" s="679" t="s">
        <v>18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>
        <v>60</v>
      </c>
      <c r="AP93" s="1"/>
      <c r="AQ93" s="1">
        <f t="shared" si="43"/>
        <v>60</v>
      </c>
      <c r="AR93" s="6">
        <f>Z93+AC93+W93+T93+Q93+N93+K93+H93+AF93+AI93+AL93+AO93</f>
        <v>60</v>
      </c>
      <c r="AS93" s="6"/>
      <c r="AT93" s="6"/>
      <c r="AU93" s="494">
        <f t="shared" si="47"/>
        <v>5</v>
      </c>
      <c r="AV93" s="494">
        <f t="shared" si="47"/>
        <v>0</v>
      </c>
      <c r="AW93" s="494">
        <f t="shared" si="16"/>
        <v>5</v>
      </c>
      <c r="AX93" s="217"/>
      <c r="AY93" s="217"/>
      <c r="AZ93" s="217"/>
      <c r="BA93" s="1"/>
      <c r="BB93" s="1"/>
      <c r="BC93" s="679">
        <f t="shared" si="48"/>
        <v>0</v>
      </c>
      <c r="BD93" s="1"/>
      <c r="BE93" s="1"/>
      <c r="BF93" s="679">
        <f t="shared" si="49"/>
        <v>0</v>
      </c>
      <c r="BG93" s="1"/>
      <c r="BH93" s="1"/>
      <c r="BI93" s="679">
        <f t="shared" si="50"/>
        <v>0</v>
      </c>
      <c r="BJ93" s="1"/>
      <c r="BK93" s="1"/>
      <c r="BL93" s="679">
        <f t="shared" si="51"/>
        <v>0</v>
      </c>
      <c r="BM93" s="6"/>
      <c r="BN93" s="6"/>
      <c r="BO93" s="6">
        <f t="shared" si="52"/>
        <v>0</v>
      </c>
      <c r="BP93" s="6"/>
      <c r="BQ93" s="6"/>
      <c r="BR93" s="6">
        <f t="shared" si="53"/>
        <v>0</v>
      </c>
      <c r="BS93" s="78"/>
      <c r="BT93" s="6"/>
      <c r="BU93" s="6">
        <f t="shared" ref="BU93:BU99" si="68">BS93+BT93</f>
        <v>0</v>
      </c>
      <c r="BV93" s="6"/>
      <c r="BW93" s="6"/>
      <c r="BX93" s="6">
        <f t="shared" ref="BX93:BX99" si="69">BV93+BW93</f>
        <v>0</v>
      </c>
      <c r="BY93" s="6"/>
      <c r="BZ93" s="6"/>
      <c r="CA93" s="6">
        <f t="shared" ref="CA93:CA99" si="70">BY93+BZ93</f>
        <v>0</v>
      </c>
      <c r="CB93" s="174">
        <f t="shared" si="57"/>
        <v>0</v>
      </c>
      <c r="CC93" s="174">
        <f t="shared" si="58"/>
        <v>0</v>
      </c>
      <c r="CD93" s="174">
        <f t="shared" si="59"/>
        <v>0</v>
      </c>
      <c r="CE93" s="175">
        <f t="shared" si="60"/>
        <v>0</v>
      </c>
      <c r="CF93" s="175">
        <f t="shared" si="61"/>
        <v>0</v>
      </c>
      <c r="CG93" s="175">
        <f t="shared" si="62"/>
        <v>0</v>
      </c>
    </row>
    <row r="94" spans="1:168">
      <c r="A94" s="6">
        <v>87</v>
      </c>
      <c r="B94" s="678" t="s">
        <v>3076</v>
      </c>
      <c r="C94" s="6"/>
      <c r="D94" s="6" t="s">
        <v>3077</v>
      </c>
      <c r="E94" s="6" t="s">
        <v>2904</v>
      </c>
      <c r="F94" s="6"/>
      <c r="G94" s="679" t="s">
        <v>15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>
        <v>100</v>
      </c>
      <c r="AP94" s="1"/>
      <c r="AQ94" s="1">
        <f t="shared" si="43"/>
        <v>100</v>
      </c>
      <c r="AR94" s="6">
        <f t="shared" si="44"/>
        <v>100</v>
      </c>
      <c r="AS94" s="6"/>
      <c r="AT94" s="6"/>
      <c r="AU94" s="494">
        <f t="shared" si="47"/>
        <v>8.3333333333333339</v>
      </c>
      <c r="AV94" s="494">
        <f t="shared" si="47"/>
        <v>0</v>
      </c>
      <c r="AW94" s="494">
        <f t="shared" si="16"/>
        <v>8.3333333333333339</v>
      </c>
      <c r="AX94" s="217"/>
      <c r="AY94" s="217"/>
      <c r="AZ94" s="217"/>
      <c r="BA94" s="1"/>
      <c r="BB94" s="1"/>
      <c r="BC94" s="679">
        <f t="shared" si="48"/>
        <v>0</v>
      </c>
      <c r="BD94" s="1"/>
      <c r="BE94" s="1"/>
      <c r="BF94" s="679">
        <f t="shared" si="49"/>
        <v>0</v>
      </c>
      <c r="BG94" s="1"/>
      <c r="BH94" s="1"/>
      <c r="BI94" s="679">
        <f t="shared" si="50"/>
        <v>0</v>
      </c>
      <c r="BJ94" s="1"/>
      <c r="BK94" s="1"/>
      <c r="BL94" s="679">
        <f t="shared" si="51"/>
        <v>0</v>
      </c>
      <c r="BM94" s="6"/>
      <c r="BN94" s="6"/>
      <c r="BO94" s="6">
        <f t="shared" si="52"/>
        <v>0</v>
      </c>
      <c r="BP94" s="6"/>
      <c r="BQ94" s="6"/>
      <c r="BR94" s="6">
        <f t="shared" si="53"/>
        <v>0</v>
      </c>
      <c r="BS94" s="78"/>
      <c r="BT94" s="6"/>
      <c r="BU94" s="6">
        <f t="shared" si="68"/>
        <v>0</v>
      </c>
      <c r="BV94" s="6"/>
      <c r="BW94" s="6"/>
      <c r="BX94" s="6">
        <f t="shared" si="69"/>
        <v>0</v>
      </c>
      <c r="BY94" s="6"/>
      <c r="BZ94" s="6"/>
      <c r="CA94" s="6">
        <f t="shared" si="70"/>
        <v>0</v>
      </c>
      <c r="CB94" s="174">
        <f t="shared" si="57"/>
        <v>0</v>
      </c>
      <c r="CC94" s="174">
        <f t="shared" si="58"/>
        <v>0</v>
      </c>
      <c r="CD94" s="174">
        <f t="shared" si="59"/>
        <v>0</v>
      </c>
      <c r="CE94" s="175">
        <f t="shared" si="60"/>
        <v>0</v>
      </c>
      <c r="CF94" s="175">
        <f t="shared" si="61"/>
        <v>0</v>
      </c>
      <c r="CG94" s="175">
        <f t="shared" si="62"/>
        <v>0</v>
      </c>
    </row>
    <row r="95" spans="1:168">
      <c r="A95" s="6">
        <v>88</v>
      </c>
      <c r="B95" s="678" t="s">
        <v>3078</v>
      </c>
      <c r="C95" s="6"/>
      <c r="D95" s="6"/>
      <c r="E95" s="6"/>
      <c r="F95" s="6"/>
      <c r="G95" s="67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6"/>
      <c r="AS95" s="6"/>
      <c r="AT95" s="6"/>
      <c r="AU95" s="494"/>
      <c r="AV95" s="494"/>
      <c r="AW95" s="494"/>
      <c r="AX95" s="217"/>
      <c r="AY95" s="217"/>
      <c r="AZ95" s="217"/>
      <c r="BA95" s="1"/>
      <c r="BB95" s="1"/>
      <c r="BC95" s="679"/>
      <c r="BD95" s="1">
        <v>60</v>
      </c>
      <c r="BE95" s="1"/>
      <c r="BF95" s="679">
        <f t="shared" si="49"/>
        <v>60</v>
      </c>
      <c r="BG95" s="1"/>
      <c r="BH95" s="1"/>
      <c r="BI95" s="679">
        <f t="shared" si="50"/>
        <v>0</v>
      </c>
      <c r="BJ95" s="1"/>
      <c r="BK95" s="1"/>
      <c r="BL95" s="679">
        <f t="shared" si="51"/>
        <v>0</v>
      </c>
      <c r="BM95" s="6"/>
      <c r="BN95" s="6"/>
      <c r="BO95" s="6">
        <f t="shared" si="52"/>
        <v>0</v>
      </c>
      <c r="BP95" s="6"/>
      <c r="BQ95" s="6"/>
      <c r="BR95" s="6">
        <f t="shared" si="53"/>
        <v>0</v>
      </c>
      <c r="BS95" s="78"/>
      <c r="BT95" s="6"/>
      <c r="BU95" s="6">
        <f t="shared" si="68"/>
        <v>0</v>
      </c>
      <c r="BV95" s="6"/>
      <c r="BW95" s="6"/>
      <c r="BX95" s="6">
        <f t="shared" si="69"/>
        <v>0</v>
      </c>
      <c r="BY95" s="6"/>
      <c r="BZ95" s="6"/>
      <c r="CA95" s="6">
        <f t="shared" si="70"/>
        <v>0</v>
      </c>
      <c r="CB95" s="174">
        <f t="shared" si="57"/>
        <v>60</v>
      </c>
      <c r="CC95" s="174">
        <f t="shared" si="58"/>
        <v>0</v>
      </c>
      <c r="CD95" s="174">
        <f t="shared" si="59"/>
        <v>60</v>
      </c>
      <c r="CE95" s="175">
        <f t="shared" si="60"/>
        <v>6.666666666666667</v>
      </c>
      <c r="CF95" s="175">
        <f t="shared" si="61"/>
        <v>0</v>
      </c>
      <c r="CG95" s="175">
        <f t="shared" si="62"/>
        <v>6.666666666666667</v>
      </c>
    </row>
    <row r="96" spans="1:168">
      <c r="A96" s="6">
        <v>89</v>
      </c>
      <c r="B96" s="678" t="s">
        <v>3079</v>
      </c>
      <c r="C96" s="6"/>
      <c r="D96" s="6"/>
      <c r="E96" s="6"/>
      <c r="F96" s="6"/>
      <c r="G96" s="67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6"/>
      <c r="AS96" s="6"/>
      <c r="AT96" s="6"/>
      <c r="AU96" s="494"/>
      <c r="AV96" s="494"/>
      <c r="AW96" s="494"/>
      <c r="AX96" s="217"/>
      <c r="AY96" s="217"/>
      <c r="AZ96" s="217"/>
      <c r="BA96" s="1"/>
      <c r="BB96" s="1"/>
      <c r="BC96" s="679"/>
      <c r="BD96" s="1">
        <v>200</v>
      </c>
      <c r="BE96" s="1"/>
      <c r="BF96" s="679">
        <f t="shared" si="49"/>
        <v>200</v>
      </c>
      <c r="BG96" s="1">
        <v>400</v>
      </c>
      <c r="BH96" s="1"/>
      <c r="BI96" s="679">
        <f t="shared" si="50"/>
        <v>400</v>
      </c>
      <c r="BJ96" s="1"/>
      <c r="BK96" s="1"/>
      <c r="BL96" s="679">
        <f t="shared" si="51"/>
        <v>0</v>
      </c>
      <c r="BM96" s="6">
        <v>500</v>
      </c>
      <c r="BN96" s="6"/>
      <c r="BO96" s="6">
        <f t="shared" si="52"/>
        <v>500</v>
      </c>
      <c r="BP96" s="6"/>
      <c r="BQ96" s="6"/>
      <c r="BR96" s="6">
        <f t="shared" si="53"/>
        <v>0</v>
      </c>
      <c r="BS96" s="78"/>
      <c r="BT96" s="6"/>
      <c r="BU96" s="6">
        <f t="shared" si="68"/>
        <v>0</v>
      </c>
      <c r="BV96" s="6"/>
      <c r="BW96" s="6"/>
      <c r="BX96" s="6">
        <f t="shared" si="69"/>
        <v>0</v>
      </c>
      <c r="BY96" s="6"/>
      <c r="BZ96" s="6"/>
      <c r="CA96" s="6">
        <f t="shared" si="70"/>
        <v>0</v>
      </c>
      <c r="CB96" s="174">
        <f t="shared" si="57"/>
        <v>1100</v>
      </c>
      <c r="CC96" s="174">
        <f t="shared" si="58"/>
        <v>0</v>
      </c>
      <c r="CD96" s="174">
        <f t="shared" si="59"/>
        <v>1100</v>
      </c>
      <c r="CE96" s="175">
        <f t="shared" si="60"/>
        <v>122.22222222222223</v>
      </c>
      <c r="CF96" s="175">
        <f t="shared" si="61"/>
        <v>0</v>
      </c>
      <c r="CG96" s="175">
        <f t="shared" si="62"/>
        <v>122.22222222222223</v>
      </c>
    </row>
    <row r="97" spans="1:85">
      <c r="A97" s="6">
        <v>90</v>
      </c>
      <c r="B97" s="678" t="s">
        <v>3080</v>
      </c>
      <c r="C97" s="6"/>
      <c r="D97" s="6"/>
      <c r="E97" s="6"/>
      <c r="F97" s="6"/>
      <c r="G97" s="67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6"/>
      <c r="AS97" s="6"/>
      <c r="AT97" s="6"/>
      <c r="AU97" s="494"/>
      <c r="AV97" s="494"/>
      <c r="AW97" s="494"/>
      <c r="AX97" s="217"/>
      <c r="AY97" s="217"/>
      <c r="AZ97" s="217"/>
      <c r="BA97" s="1"/>
      <c r="BB97" s="1"/>
      <c r="BC97" s="679"/>
      <c r="BD97" s="1">
        <v>50</v>
      </c>
      <c r="BE97" s="1"/>
      <c r="BF97" s="679">
        <f t="shared" si="49"/>
        <v>50</v>
      </c>
      <c r="BG97" s="1">
        <v>100</v>
      </c>
      <c r="BH97" s="1"/>
      <c r="BI97" s="679">
        <f t="shared" si="50"/>
        <v>100</v>
      </c>
      <c r="BJ97" s="1"/>
      <c r="BK97" s="1"/>
      <c r="BL97" s="679">
        <f t="shared" si="51"/>
        <v>0</v>
      </c>
      <c r="BM97" s="6"/>
      <c r="BN97" s="6"/>
      <c r="BO97" s="6">
        <f t="shared" si="52"/>
        <v>0</v>
      </c>
      <c r="BP97" s="6"/>
      <c r="BQ97" s="6"/>
      <c r="BR97" s="6">
        <f t="shared" si="53"/>
        <v>0</v>
      </c>
      <c r="BS97" s="78"/>
      <c r="BT97" s="6"/>
      <c r="BU97" s="6">
        <f t="shared" si="68"/>
        <v>0</v>
      </c>
      <c r="BV97" s="6"/>
      <c r="BW97" s="6"/>
      <c r="BX97" s="6">
        <f t="shared" si="69"/>
        <v>0</v>
      </c>
      <c r="BY97" s="6"/>
      <c r="BZ97" s="6"/>
      <c r="CA97" s="6">
        <f t="shared" si="70"/>
        <v>0</v>
      </c>
      <c r="CB97" s="174">
        <f t="shared" si="57"/>
        <v>150</v>
      </c>
      <c r="CC97" s="174">
        <f t="shared" si="58"/>
        <v>0</v>
      </c>
      <c r="CD97" s="174">
        <f t="shared" si="59"/>
        <v>150</v>
      </c>
      <c r="CE97" s="175">
        <f t="shared" si="60"/>
        <v>16.666666666666668</v>
      </c>
      <c r="CF97" s="175">
        <f t="shared" si="61"/>
        <v>0</v>
      </c>
      <c r="CG97" s="175">
        <f t="shared" si="62"/>
        <v>16.666666666666668</v>
      </c>
    </row>
    <row r="98" spans="1:85">
      <c r="A98" s="6">
        <v>91</v>
      </c>
      <c r="B98" s="678" t="s">
        <v>3081</v>
      </c>
      <c r="C98" s="6"/>
      <c r="D98" s="6"/>
      <c r="E98" s="6"/>
      <c r="F98" s="6"/>
      <c r="G98" s="67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6"/>
      <c r="AS98" s="6"/>
      <c r="AT98" s="6"/>
      <c r="AU98" s="494"/>
      <c r="AV98" s="494"/>
      <c r="AW98" s="494"/>
      <c r="AX98" s="217"/>
      <c r="AY98" s="217"/>
      <c r="AZ98" s="217"/>
      <c r="BA98" s="1"/>
      <c r="BB98" s="1"/>
      <c r="BC98" s="679"/>
      <c r="BD98" s="1">
        <v>76</v>
      </c>
      <c r="BE98" s="1"/>
      <c r="BF98" s="679">
        <f t="shared" si="49"/>
        <v>76</v>
      </c>
      <c r="BG98" s="1"/>
      <c r="BH98" s="1"/>
      <c r="BI98" s="679">
        <f t="shared" si="50"/>
        <v>0</v>
      </c>
      <c r="BJ98" s="1"/>
      <c r="BK98" s="1"/>
      <c r="BL98" s="679">
        <f t="shared" si="51"/>
        <v>0</v>
      </c>
      <c r="BM98" s="6">
        <v>36</v>
      </c>
      <c r="BN98" s="6"/>
      <c r="BO98" s="6">
        <f t="shared" si="52"/>
        <v>36</v>
      </c>
      <c r="BP98" s="6"/>
      <c r="BQ98" s="6"/>
      <c r="BR98" s="6">
        <f t="shared" si="53"/>
        <v>0</v>
      </c>
      <c r="BS98" s="78"/>
      <c r="BT98" s="6"/>
      <c r="BU98" s="6">
        <f t="shared" si="68"/>
        <v>0</v>
      </c>
      <c r="BV98" s="6"/>
      <c r="BW98" s="6"/>
      <c r="BX98" s="6">
        <f t="shared" si="69"/>
        <v>0</v>
      </c>
      <c r="BY98" s="6"/>
      <c r="BZ98" s="6"/>
      <c r="CA98" s="6">
        <f t="shared" si="70"/>
        <v>0</v>
      </c>
      <c r="CB98" s="174">
        <f t="shared" si="57"/>
        <v>112</v>
      </c>
      <c r="CC98" s="174">
        <f t="shared" si="58"/>
        <v>0</v>
      </c>
      <c r="CD98" s="174">
        <f t="shared" si="59"/>
        <v>112</v>
      </c>
      <c r="CE98" s="175">
        <f t="shared" si="60"/>
        <v>12.444444444444445</v>
      </c>
      <c r="CF98" s="175">
        <f t="shared" si="61"/>
        <v>0</v>
      </c>
      <c r="CG98" s="175">
        <f t="shared" si="62"/>
        <v>12.444444444444445</v>
      </c>
    </row>
    <row r="99" spans="1:85" ht="14.65" thickBot="1">
      <c r="A99" s="715">
        <v>92</v>
      </c>
      <c r="B99" s="705" t="s">
        <v>3082</v>
      </c>
      <c r="C99" s="715"/>
      <c r="D99" s="715" t="s">
        <v>3083</v>
      </c>
      <c r="E99" s="715" t="s">
        <v>2904</v>
      </c>
      <c r="F99" s="715"/>
      <c r="G99" s="587" t="s">
        <v>18</v>
      </c>
      <c r="H99" s="404"/>
      <c r="I99" s="404"/>
      <c r="J99" s="404"/>
      <c r="K99" s="404"/>
      <c r="L99" s="404"/>
      <c r="M99" s="404"/>
      <c r="N99" s="404"/>
      <c r="O99" s="404"/>
      <c r="P99" s="404"/>
      <c r="Q99" s="404"/>
      <c r="R99" s="404"/>
      <c r="S99" s="404"/>
      <c r="T99" s="404"/>
      <c r="U99" s="404"/>
      <c r="V99" s="404"/>
      <c r="W99" s="404"/>
      <c r="X99" s="404"/>
      <c r="Y99" s="404"/>
      <c r="Z99" s="404"/>
      <c r="AA99" s="404"/>
      <c r="AB99" s="404"/>
      <c r="AC99" s="404"/>
      <c r="AD99" s="404"/>
      <c r="AE99" s="404"/>
      <c r="AF99" s="404"/>
      <c r="AG99" s="404"/>
      <c r="AH99" s="404"/>
      <c r="AI99" s="404"/>
      <c r="AJ99" s="404"/>
      <c r="AK99" s="404"/>
      <c r="AL99" s="404">
        <v>100</v>
      </c>
      <c r="AM99" s="404"/>
      <c r="AN99" s="404">
        <f t="shared" si="42"/>
        <v>100</v>
      </c>
      <c r="AO99" s="404"/>
      <c r="AP99" s="404"/>
      <c r="AQ99" s="404">
        <f t="shared" si="43"/>
        <v>0</v>
      </c>
      <c r="AR99" s="715">
        <f t="shared" si="44"/>
        <v>100</v>
      </c>
      <c r="AS99" s="715">
        <f t="shared" si="45"/>
        <v>0</v>
      </c>
      <c r="AT99" s="715">
        <f t="shared" si="46"/>
        <v>100</v>
      </c>
      <c r="AU99" s="589">
        <f t="shared" si="47"/>
        <v>8.3333333333333339</v>
      </c>
      <c r="AV99" s="589">
        <f>AS99/12</f>
        <v>0</v>
      </c>
      <c r="AW99" s="589">
        <f t="shared" si="16"/>
        <v>8.3333333333333339</v>
      </c>
      <c r="AX99" s="709"/>
      <c r="AY99" s="709"/>
      <c r="AZ99" s="709"/>
      <c r="BA99" s="404">
        <v>20</v>
      </c>
      <c r="BB99" s="404"/>
      <c r="BC99" s="587">
        <f t="shared" si="48"/>
        <v>20</v>
      </c>
      <c r="BD99" s="404">
        <v>100</v>
      </c>
      <c r="BE99" s="404"/>
      <c r="BF99" s="587">
        <f t="shared" si="49"/>
        <v>100</v>
      </c>
      <c r="BG99" s="404"/>
      <c r="BH99" s="404"/>
      <c r="BI99" s="587">
        <f t="shared" si="50"/>
        <v>0</v>
      </c>
      <c r="BJ99" s="404"/>
      <c r="BK99" s="404"/>
      <c r="BL99" s="587">
        <f t="shared" si="51"/>
        <v>0</v>
      </c>
      <c r="BM99" s="715"/>
      <c r="BN99" s="715"/>
      <c r="BO99" s="715">
        <f t="shared" si="52"/>
        <v>0</v>
      </c>
      <c r="BP99" s="715"/>
      <c r="BQ99" s="715"/>
      <c r="BR99" s="715">
        <f t="shared" si="53"/>
        <v>0</v>
      </c>
      <c r="BS99" s="714"/>
      <c r="BT99" s="715"/>
      <c r="BU99" s="6">
        <f t="shared" si="68"/>
        <v>0</v>
      </c>
      <c r="BV99" s="715"/>
      <c r="BW99" s="715"/>
      <c r="BX99" s="6">
        <f t="shared" si="69"/>
        <v>0</v>
      </c>
      <c r="BY99" s="715"/>
      <c r="BZ99" s="715"/>
      <c r="CA99" s="6">
        <f t="shared" si="70"/>
        <v>0</v>
      </c>
      <c r="CB99" s="174">
        <f t="shared" si="57"/>
        <v>120</v>
      </c>
      <c r="CC99" s="174">
        <f t="shared" si="58"/>
        <v>0</v>
      </c>
      <c r="CD99" s="174">
        <f t="shared" si="59"/>
        <v>120</v>
      </c>
      <c r="CE99" s="175">
        <f t="shared" si="60"/>
        <v>13.333333333333334</v>
      </c>
      <c r="CF99" s="175">
        <f t="shared" si="61"/>
        <v>0</v>
      </c>
      <c r="CG99" s="175">
        <f t="shared" si="62"/>
        <v>13.333333333333334</v>
      </c>
    </row>
    <row r="100" spans="1:85" ht="14.65" thickBot="1">
      <c r="A100" s="1030" t="s">
        <v>2780</v>
      </c>
      <c r="B100" s="1031"/>
      <c r="C100" s="882"/>
      <c r="D100" s="882"/>
      <c r="E100" s="882"/>
      <c r="F100" s="883">
        <f>SUM(F8:F85)</f>
        <v>3286.2799999999997</v>
      </c>
      <c r="G100" s="882"/>
      <c r="H100" s="644">
        <f t="shared" ref="H100:R100" si="71">SUM(H8:H85)</f>
        <v>3999</v>
      </c>
      <c r="I100" s="644">
        <f t="shared" si="71"/>
        <v>496</v>
      </c>
      <c r="J100" s="644">
        <f t="shared" si="71"/>
        <v>4495</v>
      </c>
      <c r="K100" s="644">
        <f t="shared" si="71"/>
        <v>4139</v>
      </c>
      <c r="L100" s="644">
        <f t="shared" si="71"/>
        <v>382</v>
      </c>
      <c r="M100" s="644">
        <f t="shared" si="71"/>
        <v>4521</v>
      </c>
      <c r="N100" s="644">
        <f t="shared" si="71"/>
        <v>7604</v>
      </c>
      <c r="O100" s="644">
        <f t="shared" si="71"/>
        <v>934</v>
      </c>
      <c r="P100" s="644">
        <f t="shared" si="71"/>
        <v>8538</v>
      </c>
      <c r="Q100" s="644">
        <f t="shared" si="71"/>
        <v>2184</v>
      </c>
      <c r="R100" s="644">
        <f t="shared" si="71"/>
        <v>532</v>
      </c>
      <c r="S100" s="644">
        <f t="shared" si="65"/>
        <v>2716</v>
      </c>
      <c r="T100" s="644">
        <f>SUM(T8:T85)</f>
        <v>2707</v>
      </c>
      <c r="U100" s="644">
        <f>SUM(U8:U85)</f>
        <v>781</v>
      </c>
      <c r="V100" s="644">
        <f t="shared" si="66"/>
        <v>3488</v>
      </c>
      <c r="W100" s="882">
        <f t="shared" ref="W100:AD100" si="72">SUM(W8:W85)</f>
        <v>2092.5</v>
      </c>
      <c r="X100" s="882">
        <f t="shared" si="72"/>
        <v>208</v>
      </c>
      <c r="Y100" s="882">
        <f t="shared" si="72"/>
        <v>2300.5</v>
      </c>
      <c r="Z100" s="882">
        <f t="shared" si="72"/>
        <v>4715</v>
      </c>
      <c r="AA100" s="882">
        <f t="shared" si="72"/>
        <v>384.5</v>
      </c>
      <c r="AB100" s="882">
        <f t="shared" si="72"/>
        <v>5099.5</v>
      </c>
      <c r="AC100" s="882">
        <f t="shared" si="72"/>
        <v>2060</v>
      </c>
      <c r="AD100" s="882">
        <f t="shared" si="72"/>
        <v>393</v>
      </c>
      <c r="AE100" s="882">
        <f t="shared" si="8"/>
        <v>2453</v>
      </c>
      <c r="AF100" s="882">
        <f>SUM(AF21:AF85)</f>
        <v>1456</v>
      </c>
      <c r="AG100" s="882">
        <f>SUM(AG21:AG85)</f>
        <v>754</v>
      </c>
      <c r="AH100" s="882">
        <f>SUM(AH8:AH85)</f>
        <v>3293</v>
      </c>
      <c r="AI100" s="882">
        <f>SUM(AI8:AI85)</f>
        <v>3757</v>
      </c>
      <c r="AJ100" s="882">
        <f>SUM(AJ8:AJ85)</f>
        <v>254</v>
      </c>
      <c r="AK100" s="882">
        <f t="shared" si="10"/>
        <v>4011</v>
      </c>
      <c r="AL100" s="882">
        <f t="shared" ref="AL100:AQ100" si="73">SUM(AL8:AL99)</f>
        <v>4598</v>
      </c>
      <c r="AM100" s="882">
        <f t="shared" si="73"/>
        <v>1478</v>
      </c>
      <c r="AN100" s="882">
        <f t="shared" si="73"/>
        <v>6076</v>
      </c>
      <c r="AO100" s="882">
        <f t="shared" si="73"/>
        <v>3507</v>
      </c>
      <c r="AP100" s="882">
        <f t="shared" si="73"/>
        <v>479</v>
      </c>
      <c r="AQ100" s="882">
        <f t="shared" si="73"/>
        <v>3986</v>
      </c>
      <c r="AR100" s="882">
        <f t="shared" ref="AR100" si="74">Z100+W100+T100+Q100+N100+K100+H100+AF100+AI100+AL100+AO100</f>
        <v>40758.5</v>
      </c>
      <c r="AS100" s="882">
        <f t="shared" si="45"/>
        <v>6682.5</v>
      </c>
      <c r="AT100" s="882">
        <f t="shared" si="46"/>
        <v>47441</v>
      </c>
      <c r="AU100" s="884">
        <f t="shared" si="47"/>
        <v>3396.5416666666665</v>
      </c>
      <c r="AV100" s="884">
        <f>AS100/12</f>
        <v>556.875</v>
      </c>
      <c r="AW100" s="884">
        <f t="shared" si="16"/>
        <v>3953.4166666666665</v>
      </c>
      <c r="AX100" s="884">
        <f t="shared" si="29"/>
        <v>1698270.8333333333</v>
      </c>
      <c r="AY100" s="884">
        <f t="shared" si="17"/>
        <v>334125</v>
      </c>
      <c r="AZ100" s="884">
        <f t="shared" si="18"/>
        <v>2032395.8333333333</v>
      </c>
      <c r="BA100" s="882">
        <f t="shared" ref="BA100:BU100" si="75">SUM(BA8:BA99)</f>
        <v>6300</v>
      </c>
      <c r="BB100" s="882">
        <f t="shared" si="75"/>
        <v>600</v>
      </c>
      <c r="BC100" s="644">
        <f t="shared" si="75"/>
        <v>6900</v>
      </c>
      <c r="BD100" s="882">
        <f t="shared" si="75"/>
        <v>5703</v>
      </c>
      <c r="BE100" s="882">
        <f t="shared" si="75"/>
        <v>914</v>
      </c>
      <c r="BF100" s="644">
        <f t="shared" si="75"/>
        <v>6617</v>
      </c>
      <c r="BG100" s="882">
        <f t="shared" si="75"/>
        <v>6381</v>
      </c>
      <c r="BH100" s="882">
        <f t="shared" si="75"/>
        <v>494</v>
      </c>
      <c r="BI100" s="644">
        <f t="shared" si="75"/>
        <v>6875</v>
      </c>
      <c r="BJ100" s="882">
        <f t="shared" si="75"/>
        <v>2688</v>
      </c>
      <c r="BK100" s="882">
        <f t="shared" si="75"/>
        <v>1064</v>
      </c>
      <c r="BL100" s="644">
        <f t="shared" si="75"/>
        <v>3752</v>
      </c>
      <c r="BM100" s="882">
        <f t="shared" si="75"/>
        <v>4079</v>
      </c>
      <c r="BN100" s="882">
        <f t="shared" si="75"/>
        <v>259</v>
      </c>
      <c r="BO100" s="882">
        <f t="shared" si="75"/>
        <v>4338</v>
      </c>
      <c r="BP100" s="882">
        <f t="shared" si="75"/>
        <v>4039</v>
      </c>
      <c r="BQ100" s="882">
        <f t="shared" si="75"/>
        <v>270</v>
      </c>
      <c r="BR100" s="882">
        <f t="shared" si="75"/>
        <v>4309</v>
      </c>
      <c r="BS100" s="882">
        <f t="shared" si="75"/>
        <v>1492</v>
      </c>
      <c r="BT100" s="882">
        <f t="shared" si="75"/>
        <v>727</v>
      </c>
      <c r="BU100" s="882">
        <f t="shared" si="75"/>
        <v>2219</v>
      </c>
      <c r="BV100" s="882">
        <f t="shared" ref="BV100:CA100" si="76">SUM(BV8:BV99)</f>
        <v>0</v>
      </c>
      <c r="BW100" s="882">
        <f t="shared" si="76"/>
        <v>0</v>
      </c>
      <c r="BX100" s="882">
        <f t="shared" si="76"/>
        <v>0</v>
      </c>
      <c r="BY100" s="882">
        <f t="shared" si="76"/>
        <v>0</v>
      </c>
      <c r="BZ100" s="882">
        <f t="shared" si="76"/>
        <v>0</v>
      </c>
      <c r="CA100" s="882">
        <f t="shared" si="76"/>
        <v>0</v>
      </c>
      <c r="CB100" s="885">
        <f t="shared" ref="CB100" si="77">BA100+BD100+BG100+BJ100+BM100+BP100</f>
        <v>29190</v>
      </c>
      <c r="CC100" s="885">
        <f t="shared" ref="CC100" si="78">BB100+BE100+BH100+BK100+BN100+BQ100</f>
        <v>3601</v>
      </c>
      <c r="CD100" s="885">
        <f t="shared" ref="CD100" si="79">BC100+BF100+BI100+BL100+BO100+BR100</f>
        <v>32791</v>
      </c>
      <c r="CE100" s="886">
        <f t="shared" ref="CE100" si="80">CB100/6</f>
        <v>4865</v>
      </c>
      <c r="CF100" s="886">
        <f t="shared" ref="CF100" si="81">CC100/6</f>
        <v>600.16666666666663</v>
      </c>
      <c r="CG100" s="887">
        <f t="shared" ref="CG100" si="82">CD100/6</f>
        <v>5465.166666666667</v>
      </c>
    </row>
    <row r="101" spans="1:85" ht="14.65" thickBot="1"/>
    <row r="102" spans="1:85" ht="15.75">
      <c r="A102" s="104"/>
      <c r="B102" s="202" t="s">
        <v>338</v>
      </c>
      <c r="C102" s="203"/>
      <c r="D102" s="203"/>
      <c r="E102" s="771"/>
      <c r="F102" s="771"/>
      <c r="G102" s="771"/>
      <c r="H102" s="771"/>
      <c r="I102" s="771"/>
      <c r="J102" s="771"/>
      <c r="K102" s="771"/>
      <c r="L102" s="771"/>
      <c r="M102" s="771"/>
      <c r="N102" s="771"/>
      <c r="O102" s="771"/>
      <c r="P102" s="771"/>
      <c r="Q102" s="771"/>
      <c r="R102" s="771"/>
      <c r="S102" s="771"/>
      <c r="T102" s="771"/>
      <c r="U102" s="771"/>
      <c r="V102" s="771"/>
      <c r="W102" s="771"/>
      <c r="X102" s="771"/>
      <c r="Y102" s="771"/>
      <c r="Z102" s="771"/>
      <c r="AA102" s="771"/>
      <c r="AB102" s="771"/>
      <c r="AC102" s="771"/>
      <c r="AD102" s="771"/>
      <c r="AE102" s="771"/>
      <c r="AF102" s="771"/>
      <c r="AG102" s="771"/>
      <c r="AH102" s="771"/>
      <c r="AI102" s="771"/>
      <c r="AJ102" s="771"/>
      <c r="AK102" s="771"/>
      <c r="AL102" s="771"/>
      <c r="AM102" s="771"/>
      <c r="AN102" s="771"/>
      <c r="AO102" s="771"/>
      <c r="AP102" s="771"/>
      <c r="AQ102" s="771"/>
      <c r="AR102" s="771"/>
      <c r="AS102" s="771"/>
      <c r="AT102" s="771"/>
      <c r="AU102" s="771"/>
      <c r="AV102" s="771"/>
      <c r="AW102" s="206">
        <v>3077</v>
      </c>
      <c r="AX102" s="206">
        <v>1770</v>
      </c>
      <c r="AY102" s="206">
        <v>159</v>
      </c>
      <c r="AZ102" s="206">
        <f>AX102+AY102</f>
        <v>1929</v>
      </c>
      <c r="BA102" s="206">
        <v>4328</v>
      </c>
      <c r="BB102" s="206">
        <v>248</v>
      </c>
      <c r="BC102" s="206">
        <f>BA102+BB102</f>
        <v>4576</v>
      </c>
      <c r="BD102" s="206">
        <v>3892</v>
      </c>
      <c r="BE102" s="206">
        <v>816</v>
      </c>
      <c r="BF102" s="206">
        <f>BD102+BE102</f>
        <v>4708</v>
      </c>
      <c r="BG102" s="206">
        <v>3255</v>
      </c>
      <c r="BH102" s="206">
        <v>268</v>
      </c>
      <c r="BI102" s="206">
        <f>BG102+BH102</f>
        <v>3523</v>
      </c>
      <c r="BJ102" s="206">
        <v>1882</v>
      </c>
      <c r="BK102" s="206">
        <v>986</v>
      </c>
      <c r="BL102" s="206">
        <f>BJ102+BK102</f>
        <v>2868</v>
      </c>
      <c r="BM102" s="206">
        <v>2480</v>
      </c>
      <c r="BN102" s="206">
        <v>0</v>
      </c>
      <c r="BO102" s="206">
        <f>BM102+BN102</f>
        <v>2480</v>
      </c>
      <c r="BP102" s="206">
        <f>BP9+BP20+BP21+BP24+BP25+BP26+BP27+BP28+BP30+BP32+BP33+BP35+BP36+BP71+BP72+BP90+BP91+BP92</f>
        <v>3246</v>
      </c>
      <c r="BQ102" s="206">
        <f>BQ9+BQ20+BQ21+BQ24+BQ25+BQ26+BQ27+BQ28+BQ30+BQ32+BQ33+BQ35+BQ36+BQ71+BQ72+BQ90+BQ91+BQ92</f>
        <v>194</v>
      </c>
      <c r="BR102" s="206">
        <f>BP102+BQ102</f>
        <v>3440</v>
      </c>
      <c r="BS102" s="206">
        <f>BS9+BS20+BS21+BS24+BS25+BS26+BS27+BS28+BS30+BS32+BS33+BS35+BS36+BS71+BS72+BS90+BS91+BS92</f>
        <v>1180</v>
      </c>
      <c r="BT102" s="206">
        <f>BT9+BT20+BT21+BT24+BT25+BT26+BT27+BT28+BT30+BT32+BT33+BT35+BT36+BT71+BT72+BT90+BT91+BT92</f>
        <v>700</v>
      </c>
      <c r="BU102" s="206">
        <f>BS102+BT102</f>
        <v>1880</v>
      </c>
      <c r="BV102" s="206">
        <f>BV9+BV20+BV21+BV24+BV25+BV26+BV27+BV28+BV30+BV32+BV33+BV35+BV36+BV71+BV72+BV90+BV91+BV92</f>
        <v>0</v>
      </c>
      <c r="BW102" s="206">
        <f>BW9+BW20+BW21+BW24+BW25+BW26+BW27+BW28+BW30+BW32+BW33+BW35+BW36+BW71+BW72+BW90+BW91+BW92</f>
        <v>0</v>
      </c>
      <c r="BX102" s="206">
        <f>BV102+BW102</f>
        <v>0</v>
      </c>
      <c r="BY102" s="206">
        <f>BY9+BY20+BY21+BY24+BY25+BY26+BY27+BY28+BY30+BY32+BY33+BY35+BY36+BY71+BY72+BY90+BY91+BY92</f>
        <v>0</v>
      </c>
      <c r="BZ102" s="206">
        <f>BZ9+BZ20+BZ21+BZ24+BZ25+BZ26+BZ27+BZ28+BZ30+BZ32+BZ33+BZ35+BZ36+BZ71+BZ72+BZ90+BZ91+BZ92</f>
        <v>0</v>
      </c>
      <c r="CA102" s="206">
        <f>BY102+BZ102</f>
        <v>0</v>
      </c>
      <c r="CB102" s="916">
        <f t="shared" ref="CB102:CB103" si="83">BA102+BD102+BG102+BJ102+BM102+BP102+BS102+BV102+BY102</f>
        <v>20263</v>
      </c>
      <c r="CC102" s="916">
        <f t="shared" ref="CC102:CC103" si="84">BB102+BE102+BH102+BK102+BN102+BQ102+BT102+BW102+BZ102</f>
        <v>3212</v>
      </c>
      <c r="CD102" s="916">
        <f t="shared" ref="CD102:CD103" si="85">BC102+BF102+BI102+BL102+BO102+BR102+BU102+BX102+CA102</f>
        <v>23475</v>
      </c>
      <c r="CE102" s="732">
        <f t="shared" ref="CE102:CG103" si="86">CB102/9</f>
        <v>2251.4444444444443</v>
      </c>
      <c r="CF102" s="732">
        <f t="shared" si="86"/>
        <v>356.88888888888891</v>
      </c>
      <c r="CG102" s="733">
        <f t="shared" si="86"/>
        <v>2608.3333333333335</v>
      </c>
    </row>
    <row r="103" spans="1:85">
      <c r="A103" s="78"/>
      <c r="B103" s="7" t="s">
        <v>339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919">
        <f>AW100-AW102</f>
        <v>876.41666666666652</v>
      </c>
      <c r="AX103" s="9">
        <f>AX100-AX102</f>
        <v>1696500.8333333333</v>
      </c>
      <c r="AY103" s="9">
        <f>AY100-AY102</f>
        <v>333966</v>
      </c>
      <c r="AZ103" s="9">
        <f t="shared" ref="AZ103:BR103" si="87">AZ100-AZ102</f>
        <v>2030466.8333333333</v>
      </c>
      <c r="BA103" s="9">
        <f t="shared" si="87"/>
        <v>1972</v>
      </c>
      <c r="BB103" s="9">
        <f t="shared" si="87"/>
        <v>352</v>
      </c>
      <c r="BC103" s="9">
        <f t="shared" si="87"/>
        <v>2324</v>
      </c>
      <c r="BD103" s="9">
        <f t="shared" si="87"/>
        <v>1811</v>
      </c>
      <c r="BE103" s="9">
        <f t="shared" si="87"/>
        <v>98</v>
      </c>
      <c r="BF103" s="9">
        <f t="shared" si="87"/>
        <v>1909</v>
      </c>
      <c r="BG103" s="9">
        <f t="shared" si="87"/>
        <v>3126</v>
      </c>
      <c r="BH103" s="9">
        <f t="shared" si="87"/>
        <v>226</v>
      </c>
      <c r="BI103" s="9">
        <f t="shared" si="87"/>
        <v>3352</v>
      </c>
      <c r="BJ103" s="9">
        <f t="shared" si="87"/>
        <v>806</v>
      </c>
      <c r="BK103" s="9">
        <f t="shared" si="87"/>
        <v>78</v>
      </c>
      <c r="BL103" s="9">
        <f t="shared" si="87"/>
        <v>884</v>
      </c>
      <c r="BM103" s="9">
        <f t="shared" si="87"/>
        <v>1599</v>
      </c>
      <c r="BN103" s="9">
        <f t="shared" si="87"/>
        <v>259</v>
      </c>
      <c r="BO103" s="9">
        <f t="shared" si="87"/>
        <v>1858</v>
      </c>
      <c r="BP103" s="9">
        <f t="shared" si="87"/>
        <v>793</v>
      </c>
      <c r="BQ103" s="9">
        <f t="shared" si="87"/>
        <v>76</v>
      </c>
      <c r="BR103" s="9">
        <f t="shared" si="87"/>
        <v>869</v>
      </c>
      <c r="BS103" s="9">
        <f t="shared" ref="BS103:CA103" si="88">BS100-BS102</f>
        <v>312</v>
      </c>
      <c r="BT103" s="9">
        <f t="shared" si="88"/>
        <v>27</v>
      </c>
      <c r="BU103" s="9">
        <f t="shared" si="88"/>
        <v>339</v>
      </c>
      <c r="BV103" s="9">
        <f t="shared" si="88"/>
        <v>0</v>
      </c>
      <c r="BW103" s="9">
        <f t="shared" si="88"/>
        <v>0</v>
      </c>
      <c r="BX103" s="9">
        <f t="shared" si="88"/>
        <v>0</v>
      </c>
      <c r="BY103" s="9">
        <f t="shared" si="88"/>
        <v>0</v>
      </c>
      <c r="BZ103" s="9">
        <f t="shared" si="88"/>
        <v>0</v>
      </c>
      <c r="CA103" s="9">
        <f t="shared" si="88"/>
        <v>0</v>
      </c>
      <c r="CB103" s="174">
        <f t="shared" si="83"/>
        <v>10419</v>
      </c>
      <c r="CC103" s="174">
        <f t="shared" si="84"/>
        <v>1116</v>
      </c>
      <c r="CD103" s="174">
        <f t="shared" si="85"/>
        <v>11535</v>
      </c>
      <c r="CE103" s="914">
        <f t="shared" si="86"/>
        <v>1157.6666666666667</v>
      </c>
      <c r="CF103" s="914">
        <f t="shared" si="86"/>
        <v>124</v>
      </c>
      <c r="CG103" s="918">
        <f t="shared" si="86"/>
        <v>1281.6666666666667</v>
      </c>
    </row>
    <row r="104" spans="1:85">
      <c r="A104" s="78"/>
      <c r="B104" s="7" t="s">
        <v>340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217">
        <f>AW103/AW100%</f>
        <v>22.168588351847557</v>
      </c>
      <c r="AX104" s="217">
        <f t="shared" ref="AX104:CD104" si="89">AX103/AX100%</f>
        <v>99.895776341131295</v>
      </c>
      <c r="AY104" s="217">
        <f t="shared" si="89"/>
        <v>99.952413019079685</v>
      </c>
      <c r="AZ104" s="217">
        <f t="shared" si="89"/>
        <v>99.905087386602432</v>
      </c>
      <c r="BA104" s="217">
        <f t="shared" si="89"/>
        <v>31.301587301587301</v>
      </c>
      <c r="BB104" s="217">
        <f t="shared" si="89"/>
        <v>58.666666666666664</v>
      </c>
      <c r="BC104" s="217">
        <f t="shared" si="89"/>
        <v>33.681159420289852</v>
      </c>
      <c r="BD104" s="217">
        <f t="shared" si="89"/>
        <v>31.755216552691564</v>
      </c>
      <c r="BE104" s="217">
        <f t="shared" si="89"/>
        <v>10.722100656455142</v>
      </c>
      <c r="BF104" s="217">
        <f t="shared" si="89"/>
        <v>28.849931993350459</v>
      </c>
      <c r="BG104" s="217">
        <f t="shared" si="89"/>
        <v>48.989186647860834</v>
      </c>
      <c r="BH104" s="217">
        <f t="shared" si="89"/>
        <v>45.748987854251006</v>
      </c>
      <c r="BI104" s="217">
        <f t="shared" si="89"/>
        <v>48.756363636363638</v>
      </c>
      <c r="BJ104" s="217">
        <f t="shared" si="89"/>
        <v>29.985119047619047</v>
      </c>
      <c r="BK104" s="217">
        <f t="shared" si="89"/>
        <v>7.3308270676691727</v>
      </c>
      <c r="BL104" s="217">
        <f t="shared" si="89"/>
        <v>23.560767590618337</v>
      </c>
      <c r="BM104" s="217">
        <f t="shared" si="89"/>
        <v>39.200784506006372</v>
      </c>
      <c r="BN104" s="217">
        <f t="shared" si="89"/>
        <v>100</v>
      </c>
      <c r="BO104" s="217">
        <f t="shared" si="89"/>
        <v>42.830797602581832</v>
      </c>
      <c r="BP104" s="217">
        <f t="shared" si="89"/>
        <v>19.63357266650161</v>
      </c>
      <c r="BQ104" s="217">
        <f t="shared" si="89"/>
        <v>28.148148148148145</v>
      </c>
      <c r="BR104" s="217">
        <f t="shared" si="89"/>
        <v>20.167092132745417</v>
      </c>
      <c r="BS104" s="217">
        <f t="shared" ref="BS104:CA104" si="90">BS103/BS100%</f>
        <v>20.91152815013405</v>
      </c>
      <c r="BT104" s="217">
        <f t="shared" si="90"/>
        <v>3.7138927097661627</v>
      </c>
      <c r="BU104" s="217">
        <f t="shared" si="90"/>
        <v>15.277151870211807</v>
      </c>
      <c r="BV104" s="217" t="e">
        <f t="shared" si="90"/>
        <v>#DIV/0!</v>
      </c>
      <c r="BW104" s="217" t="e">
        <f t="shared" si="90"/>
        <v>#DIV/0!</v>
      </c>
      <c r="BX104" s="217" t="e">
        <f t="shared" si="90"/>
        <v>#DIV/0!</v>
      </c>
      <c r="BY104" s="217" t="e">
        <f t="shared" si="90"/>
        <v>#DIV/0!</v>
      </c>
      <c r="BZ104" s="217" t="e">
        <f t="shared" si="90"/>
        <v>#DIV/0!</v>
      </c>
      <c r="CA104" s="217" t="e">
        <f t="shared" si="90"/>
        <v>#DIV/0!</v>
      </c>
      <c r="CB104" s="217">
        <f t="shared" si="89"/>
        <v>35.693730729701954</v>
      </c>
      <c r="CC104" s="217">
        <f t="shared" si="89"/>
        <v>30.991391280199945</v>
      </c>
      <c r="CD104" s="217">
        <f t="shared" si="89"/>
        <v>35.177335244426821</v>
      </c>
      <c r="CE104" s="217">
        <f t="shared" ref="CE104:CG104" si="91">CE103/CE100%</f>
        <v>23.795820486467971</v>
      </c>
      <c r="CF104" s="217">
        <f t="shared" si="91"/>
        <v>20.660927520133299</v>
      </c>
      <c r="CG104" s="218">
        <f t="shared" si="91"/>
        <v>23.451556829617882</v>
      </c>
    </row>
    <row r="105" spans="1:85" ht="14.65" thickBot="1">
      <c r="A105" s="80"/>
      <c r="B105" s="81" t="s">
        <v>341</v>
      </c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  <c r="AT105" s="82"/>
      <c r="AU105" s="82"/>
      <c r="AV105" s="82"/>
      <c r="AW105" s="227">
        <f>AW102/AW100%</f>
        <v>77.831411648152454</v>
      </c>
      <c r="AX105" s="227">
        <f t="shared" ref="AX105:CD105" si="92">AX102/AX100%</f>
        <v>0.10422365886870225</v>
      </c>
      <c r="AY105" s="227">
        <f t="shared" si="92"/>
        <v>4.7586980920314256E-2</v>
      </c>
      <c r="AZ105" s="227">
        <f t="shared" si="92"/>
        <v>9.4912613397570608E-2</v>
      </c>
      <c r="BA105" s="227">
        <f t="shared" si="92"/>
        <v>68.698412698412696</v>
      </c>
      <c r="BB105" s="227">
        <f t="shared" si="92"/>
        <v>41.333333333333336</v>
      </c>
      <c r="BC105" s="227">
        <f t="shared" si="92"/>
        <v>66.318840579710141</v>
      </c>
      <c r="BD105" s="227">
        <f t="shared" si="92"/>
        <v>68.244783447308436</v>
      </c>
      <c r="BE105" s="227">
        <f t="shared" si="92"/>
        <v>89.277899343544846</v>
      </c>
      <c r="BF105" s="227">
        <f t="shared" si="92"/>
        <v>71.150068006649533</v>
      </c>
      <c r="BG105" s="227">
        <f t="shared" si="92"/>
        <v>51.010813352139159</v>
      </c>
      <c r="BH105" s="227">
        <f t="shared" si="92"/>
        <v>54.25101214574898</v>
      </c>
      <c r="BI105" s="227">
        <f t="shared" si="92"/>
        <v>51.243636363636362</v>
      </c>
      <c r="BJ105" s="227">
        <f t="shared" si="92"/>
        <v>70.014880952380949</v>
      </c>
      <c r="BK105" s="227">
        <f t="shared" si="92"/>
        <v>92.669172932330824</v>
      </c>
      <c r="BL105" s="227">
        <f t="shared" si="92"/>
        <v>76.43923240938166</v>
      </c>
      <c r="BM105" s="227">
        <f t="shared" si="92"/>
        <v>60.799215493993628</v>
      </c>
      <c r="BN105" s="227">
        <f t="shared" si="92"/>
        <v>0</v>
      </c>
      <c r="BO105" s="227">
        <f t="shared" si="92"/>
        <v>57.169202397418161</v>
      </c>
      <c r="BP105" s="227">
        <f t="shared" si="92"/>
        <v>80.366427333498393</v>
      </c>
      <c r="BQ105" s="227">
        <f t="shared" si="92"/>
        <v>71.851851851851848</v>
      </c>
      <c r="BR105" s="227">
        <f t="shared" si="92"/>
        <v>79.832907867254576</v>
      </c>
      <c r="BS105" s="227">
        <f t="shared" ref="BS105:CA105" si="93">BS102/BS100%</f>
        <v>79.088471849865954</v>
      </c>
      <c r="BT105" s="227">
        <f t="shared" si="93"/>
        <v>96.286107290233844</v>
      </c>
      <c r="BU105" s="227">
        <f t="shared" si="93"/>
        <v>84.72284812978819</v>
      </c>
      <c r="BV105" s="227" t="e">
        <f t="shared" si="93"/>
        <v>#DIV/0!</v>
      </c>
      <c r="BW105" s="227" t="e">
        <f t="shared" si="93"/>
        <v>#DIV/0!</v>
      </c>
      <c r="BX105" s="227" t="e">
        <f t="shared" si="93"/>
        <v>#DIV/0!</v>
      </c>
      <c r="BY105" s="227" t="e">
        <f t="shared" si="93"/>
        <v>#DIV/0!</v>
      </c>
      <c r="BZ105" s="227" t="e">
        <f t="shared" si="93"/>
        <v>#DIV/0!</v>
      </c>
      <c r="CA105" s="227" t="e">
        <f t="shared" si="93"/>
        <v>#DIV/0!</v>
      </c>
      <c r="CB105" s="227">
        <f t="shared" si="92"/>
        <v>69.417608770126762</v>
      </c>
      <c r="CC105" s="227">
        <f t="shared" si="92"/>
        <v>89.197445154123855</v>
      </c>
      <c r="CD105" s="227">
        <f t="shared" si="92"/>
        <v>71.589765484431695</v>
      </c>
      <c r="CE105" s="227">
        <f t="shared" ref="CE105:CG105" si="94">CE102/CE100%</f>
        <v>46.27840584675117</v>
      </c>
      <c r="CF105" s="227">
        <f t="shared" si="94"/>
        <v>59.464963436082577</v>
      </c>
      <c r="CG105" s="228">
        <f t="shared" si="94"/>
        <v>47.726510322954468</v>
      </c>
    </row>
    <row r="109" spans="1:85">
      <c r="H109" s="717"/>
      <c r="I109" s="717"/>
    </row>
    <row r="110" spans="1:85">
      <c r="H110" s="717"/>
      <c r="I110" s="717"/>
    </row>
  </sheetData>
  <autoFilter ref="A7:FL7"/>
  <mergeCells count="28">
    <mergeCell ref="AU6:AW6"/>
    <mergeCell ref="BS6:BU6"/>
    <mergeCell ref="A1:AZ1"/>
    <mergeCell ref="AX5:AZ5"/>
    <mergeCell ref="H6:J6"/>
    <mergeCell ref="K6:M6"/>
    <mergeCell ref="N6:P6"/>
    <mergeCell ref="Q6:S6"/>
    <mergeCell ref="T6:V6"/>
    <mergeCell ref="W6:Y6"/>
    <mergeCell ref="Z6:AB6"/>
    <mergeCell ref="AC6:AE6"/>
    <mergeCell ref="BV6:BX6"/>
    <mergeCell ref="BY6:CA6"/>
    <mergeCell ref="CB6:CD6"/>
    <mergeCell ref="A100:B100"/>
    <mergeCell ref="CE6:CG6"/>
    <mergeCell ref="BA6:BC6"/>
    <mergeCell ref="BD6:BF6"/>
    <mergeCell ref="BG6:BI6"/>
    <mergeCell ref="BJ6:BL6"/>
    <mergeCell ref="BM6:BO6"/>
    <mergeCell ref="BP6:BR6"/>
    <mergeCell ref="AF6:AH6"/>
    <mergeCell ref="AI6:AK6"/>
    <mergeCell ref="AL6:AN6"/>
    <mergeCell ref="AO6:AQ6"/>
    <mergeCell ref="AR6:AT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HE119"/>
  <sheetViews>
    <sheetView zoomScale="80" zoomScaleNormal="80" workbookViewId="0">
      <pane xSplit="52" ySplit="7" topLeftCell="BP102" activePane="bottomRight" state="frozen"/>
      <selection pane="topRight" activeCell="BA1" sqref="BA1"/>
      <selection pane="bottomLeft" activeCell="A8" sqref="A8"/>
      <selection pane="bottomRight" activeCell="CD116" sqref="CD116"/>
    </sheetView>
  </sheetViews>
  <sheetFormatPr defaultRowHeight="14.25"/>
  <cols>
    <col min="1" max="1" width="5.86328125" customWidth="1"/>
    <col min="2" max="2" width="40.265625" bestFit="1" customWidth="1"/>
    <col min="3" max="3" width="17.1328125" customWidth="1"/>
    <col min="4" max="4" width="9.86328125" customWidth="1"/>
    <col min="5" max="5" width="12.86328125" hidden="1" customWidth="1"/>
    <col min="6" max="6" width="10.1328125" hidden="1" customWidth="1"/>
    <col min="7" max="7" width="8.86328125" hidden="1" customWidth="1"/>
    <col min="8" max="8" width="12.265625" hidden="1" customWidth="1"/>
    <col min="9" max="9" width="12.1328125" hidden="1" customWidth="1"/>
    <col min="10" max="10" width="8.86328125" hidden="1" customWidth="1"/>
    <col min="11" max="11" width="10.59765625" hidden="1" customWidth="1"/>
    <col min="12" max="12" width="8" hidden="1" customWidth="1"/>
    <col min="13" max="13" width="12.265625" hidden="1" customWidth="1"/>
    <col min="14" max="14" width="10.59765625" hidden="1" customWidth="1"/>
    <col min="15" max="15" width="8" hidden="1" customWidth="1"/>
    <col min="16" max="16" width="11.3984375" hidden="1" customWidth="1"/>
    <col min="17" max="17" width="10.59765625" hidden="1" customWidth="1"/>
    <col min="18" max="18" width="10" hidden="1" customWidth="1"/>
    <col min="19" max="19" width="12.3984375" hidden="1" customWidth="1"/>
    <col min="20" max="20" width="10.59765625" hidden="1" customWidth="1"/>
    <col min="21" max="21" width="8" hidden="1" customWidth="1"/>
    <col min="22" max="22" width="8.86328125" hidden="1" customWidth="1"/>
    <col min="23" max="23" width="9.86328125" hidden="1" customWidth="1"/>
    <col min="24" max="24" width="8" hidden="1" customWidth="1"/>
    <col min="25" max="25" width="8.86328125" hidden="1" customWidth="1"/>
    <col min="26" max="26" width="10.59765625" hidden="1" customWidth="1"/>
    <col min="27" max="27" width="8" hidden="1" customWidth="1"/>
    <col min="28" max="37" width="8.86328125" hidden="1" customWidth="1"/>
    <col min="38" max="38" width="12" hidden="1" customWidth="1"/>
    <col min="39" max="39" width="10.59765625" hidden="1" customWidth="1"/>
    <col min="40" max="43" width="11.1328125" hidden="1" customWidth="1"/>
    <col min="44" max="44" width="12.59765625" hidden="1" customWidth="1"/>
    <col min="45" max="45" width="15" hidden="1" customWidth="1"/>
    <col min="46" max="46" width="0" hidden="1" customWidth="1"/>
    <col min="47" max="47" width="12" hidden="1" customWidth="1"/>
    <col min="48" max="48" width="0" hidden="1" customWidth="1"/>
    <col min="49" max="49" width="11" customWidth="1"/>
    <col min="50" max="50" width="12.59765625" hidden="1" customWidth="1"/>
    <col min="51" max="51" width="12.3984375" hidden="1" customWidth="1"/>
    <col min="52" max="52" width="10.59765625" hidden="1" customWidth="1"/>
    <col min="53" max="53" width="9.3984375" customWidth="1"/>
    <col min="54" max="54" width="8.59765625" customWidth="1"/>
    <col min="55" max="55" width="9.59765625" customWidth="1"/>
    <col min="56" max="56" width="10.265625" customWidth="1"/>
    <col min="57" max="57" width="9" customWidth="1"/>
    <col min="58" max="58" width="10.265625" customWidth="1"/>
    <col min="59" max="59" width="11.1328125" customWidth="1"/>
    <col min="60" max="60" width="9.59765625" customWidth="1"/>
    <col min="61" max="61" width="9.73046875" customWidth="1"/>
    <col min="62" max="62" width="10.1328125" customWidth="1"/>
    <col min="63" max="63" width="9.3984375" customWidth="1"/>
    <col min="64" max="65" width="9.86328125" customWidth="1"/>
    <col min="66" max="66" width="9.1328125" customWidth="1"/>
    <col min="67" max="67" width="9.59765625" customWidth="1"/>
    <col min="68" max="68" width="10.1328125" customWidth="1"/>
    <col min="69" max="69" width="9.1328125" customWidth="1"/>
    <col min="70" max="79" width="9.86328125" customWidth="1"/>
    <col min="80" max="80" width="9.59765625" customWidth="1"/>
    <col min="81" max="81" width="9" customWidth="1"/>
    <col min="82" max="82" width="9.3984375" customWidth="1"/>
    <col min="86" max="213" width="9.1328125" style="361"/>
  </cols>
  <sheetData>
    <row r="1" spans="1:213" ht="25.5" customHeight="1">
      <c r="A1" s="973" t="s">
        <v>3088</v>
      </c>
      <c r="B1" s="974"/>
      <c r="C1" s="974"/>
      <c r="D1" s="974"/>
      <c r="E1" s="974"/>
      <c r="F1" s="974"/>
      <c r="G1" s="974"/>
      <c r="H1" s="974"/>
      <c r="I1" s="974"/>
      <c r="J1" s="974"/>
      <c r="K1" s="974"/>
      <c r="L1" s="974"/>
      <c r="M1" s="974"/>
      <c r="N1" s="974"/>
      <c r="O1" s="974"/>
      <c r="P1" s="974"/>
      <c r="Q1" s="974"/>
      <c r="R1" s="974"/>
      <c r="S1" s="974"/>
      <c r="T1" s="974"/>
      <c r="U1" s="974"/>
      <c r="V1" s="974"/>
      <c r="W1" s="974"/>
      <c r="X1" s="974"/>
      <c r="Y1" s="974"/>
      <c r="Z1" s="974"/>
      <c r="AA1" s="974"/>
      <c r="AB1" s="974"/>
      <c r="AC1" s="974"/>
      <c r="AD1" s="974"/>
      <c r="AE1" s="974"/>
      <c r="AF1" s="974"/>
      <c r="AG1" s="974"/>
      <c r="AH1" s="974"/>
      <c r="AI1" s="974"/>
      <c r="AJ1" s="974"/>
      <c r="AK1" s="974"/>
      <c r="AL1" s="974"/>
      <c r="AM1" s="974"/>
      <c r="AN1" s="974"/>
      <c r="AO1" s="974"/>
      <c r="AP1" s="974"/>
      <c r="AQ1" s="974"/>
      <c r="AR1" s="974"/>
      <c r="AS1" s="974"/>
      <c r="AT1" s="974"/>
      <c r="AU1" s="974"/>
      <c r="AV1" s="974"/>
      <c r="AW1" s="974"/>
      <c r="AX1" s="974"/>
      <c r="AY1" s="974"/>
      <c r="AZ1" s="974"/>
    </row>
    <row r="3" spans="1:213" ht="18.75" customHeight="1">
      <c r="A3" t="s">
        <v>2880</v>
      </c>
    </row>
    <row r="5" spans="1:213" ht="14.65" thickBot="1">
      <c r="A5" t="s">
        <v>3089</v>
      </c>
      <c r="AU5" s="1057"/>
      <c r="AV5" s="1057"/>
      <c r="AW5" s="1057"/>
    </row>
    <row r="6" spans="1:213" ht="33.75" customHeight="1" thickBot="1">
      <c r="A6" s="362"/>
      <c r="B6" s="363"/>
      <c r="C6" s="364"/>
      <c r="D6" s="364"/>
      <c r="E6" s="734" t="s">
        <v>2883</v>
      </c>
      <c r="F6" s="688" t="s">
        <v>2884</v>
      </c>
      <c r="G6" s="687" t="s">
        <v>2885</v>
      </c>
      <c r="H6" s="1058" t="s">
        <v>3090</v>
      </c>
      <c r="I6" s="1059"/>
      <c r="J6" s="1060"/>
      <c r="K6" s="1058" t="s">
        <v>3091</v>
      </c>
      <c r="L6" s="1059"/>
      <c r="M6" s="1060"/>
      <c r="N6" s="1058" t="s">
        <v>2888</v>
      </c>
      <c r="O6" s="1059"/>
      <c r="P6" s="1060"/>
      <c r="Q6" s="1058" t="s">
        <v>2889</v>
      </c>
      <c r="R6" s="1059"/>
      <c r="S6" s="1060"/>
      <c r="T6" s="1058" t="s">
        <v>2890</v>
      </c>
      <c r="U6" s="1059"/>
      <c r="V6" s="1060"/>
      <c r="W6" s="1058" t="s">
        <v>2891</v>
      </c>
      <c r="X6" s="1059"/>
      <c r="Y6" s="1059"/>
      <c r="Z6" s="1058" t="s">
        <v>2892</v>
      </c>
      <c r="AA6" s="1059"/>
      <c r="AB6" s="1060"/>
      <c r="AC6" s="1058" t="s">
        <v>3092</v>
      </c>
      <c r="AD6" s="1059"/>
      <c r="AE6" s="1059"/>
      <c r="AF6" s="1046" t="s">
        <v>3093</v>
      </c>
      <c r="AG6" s="1047"/>
      <c r="AH6" s="1047"/>
      <c r="AI6" s="1046" t="s">
        <v>3094</v>
      </c>
      <c r="AJ6" s="1047"/>
      <c r="AK6" s="1047"/>
      <c r="AL6" s="1046" t="s">
        <v>3095</v>
      </c>
      <c r="AM6" s="1047"/>
      <c r="AN6" s="1048"/>
      <c r="AO6" s="1049" t="s">
        <v>3096</v>
      </c>
      <c r="AP6" s="1050"/>
      <c r="AQ6" s="1051"/>
      <c r="AR6" s="1052" t="s">
        <v>3097</v>
      </c>
      <c r="AS6" s="1052"/>
      <c r="AT6" s="1053"/>
      <c r="AU6" s="1054" t="s">
        <v>3310</v>
      </c>
      <c r="AV6" s="1055"/>
      <c r="AW6" s="1056"/>
      <c r="AX6" s="735" t="s">
        <v>2896</v>
      </c>
      <c r="AY6" s="736" t="s">
        <v>2897</v>
      </c>
      <c r="AZ6" s="737" t="s">
        <v>2898</v>
      </c>
      <c r="BA6" s="1043" t="s">
        <v>1307</v>
      </c>
      <c r="BB6" s="1044"/>
      <c r="BC6" s="1045"/>
      <c r="BD6" s="1043" t="s">
        <v>2899</v>
      </c>
      <c r="BE6" s="1044"/>
      <c r="BF6" s="1045"/>
      <c r="BG6" s="1043" t="s">
        <v>2900</v>
      </c>
      <c r="BH6" s="1044"/>
      <c r="BI6" s="1045"/>
      <c r="BJ6" s="1043" t="s">
        <v>1634</v>
      </c>
      <c r="BK6" s="1044"/>
      <c r="BL6" s="1044"/>
      <c r="BM6" s="1037" t="s">
        <v>1635</v>
      </c>
      <c r="BN6" s="1038"/>
      <c r="BO6" s="1039"/>
      <c r="BP6" s="1037" t="s">
        <v>1636</v>
      </c>
      <c r="BQ6" s="1038"/>
      <c r="BR6" s="1039"/>
      <c r="BS6" s="1037" t="s">
        <v>3327</v>
      </c>
      <c r="BT6" s="1038"/>
      <c r="BU6" s="1039"/>
      <c r="BV6" s="1037" t="s">
        <v>3328</v>
      </c>
      <c r="BW6" s="1038"/>
      <c r="BX6" s="1039"/>
      <c r="BY6" s="1037" t="s">
        <v>3329</v>
      </c>
      <c r="BZ6" s="1038"/>
      <c r="CA6" s="1039"/>
      <c r="CB6" s="1040" t="s">
        <v>3330</v>
      </c>
      <c r="CC6" s="1040"/>
      <c r="CD6" s="1040"/>
      <c r="CE6" s="1040" t="s">
        <v>3331</v>
      </c>
      <c r="CF6" s="1040"/>
      <c r="CG6" s="1040"/>
    </row>
    <row r="7" spans="1:213" ht="18.75" customHeight="1" thickBot="1">
      <c r="A7" s="362" t="s">
        <v>5</v>
      </c>
      <c r="B7" s="682" t="s">
        <v>6</v>
      </c>
      <c r="C7" s="366" t="s">
        <v>7</v>
      </c>
      <c r="D7" s="366" t="s">
        <v>8</v>
      </c>
      <c r="E7" s="738"/>
      <c r="F7" s="738"/>
      <c r="G7" s="738"/>
      <c r="H7" s="739" t="s">
        <v>3098</v>
      </c>
      <c r="I7" s="740" t="s">
        <v>10</v>
      </c>
      <c r="J7" s="741" t="s">
        <v>11</v>
      </c>
      <c r="K7" s="739" t="s">
        <v>3098</v>
      </c>
      <c r="L7" s="742" t="s">
        <v>10</v>
      </c>
      <c r="M7" s="743" t="s">
        <v>11</v>
      </c>
      <c r="N7" s="744" t="s">
        <v>3098</v>
      </c>
      <c r="O7" s="745" t="s">
        <v>10</v>
      </c>
      <c r="P7" s="746" t="s">
        <v>11</v>
      </c>
      <c r="Q7" s="747" t="s">
        <v>3098</v>
      </c>
      <c r="R7" s="745" t="s">
        <v>10</v>
      </c>
      <c r="S7" s="746" t="s">
        <v>11</v>
      </c>
      <c r="T7" s="747" t="s">
        <v>3098</v>
      </c>
      <c r="U7" s="745" t="s">
        <v>10</v>
      </c>
      <c r="V7" s="746" t="s">
        <v>11</v>
      </c>
      <c r="W7" s="747" t="s">
        <v>3098</v>
      </c>
      <c r="X7" s="745" t="s">
        <v>10</v>
      </c>
      <c r="Y7" s="748" t="s">
        <v>11</v>
      </c>
      <c r="Z7" s="749" t="s">
        <v>3098</v>
      </c>
      <c r="AA7" s="750" t="s">
        <v>10</v>
      </c>
      <c r="AB7" s="751" t="s">
        <v>11</v>
      </c>
      <c r="AC7" s="749" t="s">
        <v>3098</v>
      </c>
      <c r="AD7" s="750" t="s">
        <v>10</v>
      </c>
      <c r="AE7" s="751" t="s">
        <v>11</v>
      </c>
      <c r="AF7" s="749" t="s">
        <v>3098</v>
      </c>
      <c r="AG7" s="750" t="s">
        <v>10</v>
      </c>
      <c r="AH7" s="751" t="s">
        <v>11</v>
      </c>
      <c r="AI7" s="749" t="s">
        <v>3098</v>
      </c>
      <c r="AJ7" s="750" t="s">
        <v>10</v>
      </c>
      <c r="AK7" s="751" t="s">
        <v>11</v>
      </c>
      <c r="AL7" s="752" t="s">
        <v>3098</v>
      </c>
      <c r="AM7" s="753" t="s">
        <v>10</v>
      </c>
      <c r="AN7" s="754" t="s">
        <v>11</v>
      </c>
      <c r="AO7" s="752" t="s">
        <v>3098</v>
      </c>
      <c r="AP7" s="753" t="s">
        <v>10</v>
      </c>
      <c r="AQ7" s="755" t="s">
        <v>11</v>
      </c>
      <c r="AR7" s="690" t="s">
        <v>2901</v>
      </c>
      <c r="AS7" s="689" t="s">
        <v>10</v>
      </c>
      <c r="AT7" s="689" t="s">
        <v>11</v>
      </c>
      <c r="AU7" s="689" t="s">
        <v>2901</v>
      </c>
      <c r="AV7" s="689" t="s">
        <v>10</v>
      </c>
      <c r="AW7" s="689" t="s">
        <v>11</v>
      </c>
      <c r="AX7" s="689" t="s">
        <v>2901</v>
      </c>
      <c r="AY7" s="691" t="s">
        <v>10</v>
      </c>
      <c r="AZ7" s="681" t="s">
        <v>11</v>
      </c>
      <c r="BA7" s="752" t="s">
        <v>3098</v>
      </c>
      <c r="BB7" s="753" t="s">
        <v>10</v>
      </c>
      <c r="BC7" s="755" t="s">
        <v>11</v>
      </c>
      <c r="BD7" s="752" t="s">
        <v>3098</v>
      </c>
      <c r="BE7" s="753" t="s">
        <v>10</v>
      </c>
      <c r="BF7" s="755" t="s">
        <v>11</v>
      </c>
      <c r="BG7" s="752" t="s">
        <v>3098</v>
      </c>
      <c r="BH7" s="753" t="s">
        <v>10</v>
      </c>
      <c r="BI7" s="755" t="s">
        <v>11</v>
      </c>
      <c r="BJ7" s="752" t="s">
        <v>3098</v>
      </c>
      <c r="BK7" s="753" t="s">
        <v>10</v>
      </c>
      <c r="BL7" s="755" t="s">
        <v>11</v>
      </c>
      <c r="BM7" s="756" t="s">
        <v>3098</v>
      </c>
      <c r="BN7" s="757" t="s">
        <v>10</v>
      </c>
      <c r="BO7" s="758" t="s">
        <v>11</v>
      </c>
      <c r="BP7" s="752" t="s">
        <v>3098</v>
      </c>
      <c r="BQ7" s="753" t="s">
        <v>10</v>
      </c>
      <c r="BR7" s="755" t="s">
        <v>11</v>
      </c>
      <c r="BS7" s="752" t="s">
        <v>3098</v>
      </c>
      <c r="BT7" s="753" t="s">
        <v>10</v>
      </c>
      <c r="BU7" s="755" t="s">
        <v>11</v>
      </c>
      <c r="BV7" s="752" t="s">
        <v>3098</v>
      </c>
      <c r="BW7" s="753" t="s">
        <v>10</v>
      </c>
      <c r="BX7" s="755" t="s">
        <v>11</v>
      </c>
      <c r="BY7" s="752" t="s">
        <v>3098</v>
      </c>
      <c r="BZ7" s="753" t="s">
        <v>10</v>
      </c>
      <c r="CA7" s="755" t="s">
        <v>11</v>
      </c>
      <c r="CB7" s="756" t="s">
        <v>3098</v>
      </c>
      <c r="CC7" s="757" t="s">
        <v>10</v>
      </c>
      <c r="CD7" s="759" t="s">
        <v>11</v>
      </c>
      <c r="CE7" s="756" t="s">
        <v>3098</v>
      </c>
      <c r="CF7" s="757" t="s">
        <v>10</v>
      </c>
      <c r="CG7" s="759" t="s">
        <v>11</v>
      </c>
    </row>
    <row r="8" spans="1:213" ht="17.25" thickBot="1">
      <c r="A8" s="760">
        <v>1</v>
      </c>
      <c r="B8" s="761" t="s">
        <v>3099</v>
      </c>
      <c r="C8" s="693"/>
      <c r="D8" s="693" t="s">
        <v>3100</v>
      </c>
      <c r="E8" s="762" t="s">
        <v>3101</v>
      </c>
      <c r="F8" s="763">
        <v>22</v>
      </c>
      <c r="G8" s="764" t="s">
        <v>18</v>
      </c>
      <c r="H8" s="510"/>
      <c r="I8" s="510"/>
      <c r="J8" s="372">
        <f>I8+H8</f>
        <v>0</v>
      </c>
      <c r="K8" s="375">
        <v>58</v>
      </c>
      <c r="L8" s="510"/>
      <c r="M8" s="694">
        <f>L8+K8</f>
        <v>58</v>
      </c>
      <c r="N8" s="376"/>
      <c r="O8" s="510"/>
      <c r="P8" s="694"/>
      <c r="Q8" s="375">
        <v>76</v>
      </c>
      <c r="R8" s="510">
        <v>18</v>
      </c>
      <c r="S8" s="694">
        <f>SUM(Q8:R8)</f>
        <v>94</v>
      </c>
      <c r="T8" s="375">
        <v>0</v>
      </c>
      <c r="U8" s="510">
        <v>0</v>
      </c>
      <c r="V8" s="694">
        <f>SUM(T8:U8)</f>
        <v>0</v>
      </c>
      <c r="W8" s="375"/>
      <c r="X8" s="510"/>
      <c r="Y8" s="372">
        <f>X8+W8</f>
        <v>0</v>
      </c>
      <c r="Z8" s="375">
        <v>178</v>
      </c>
      <c r="AA8" s="510"/>
      <c r="AB8" s="372">
        <f>AA8+Z8</f>
        <v>178</v>
      </c>
      <c r="AC8" s="372"/>
      <c r="AD8" s="372"/>
      <c r="AE8" s="372">
        <f>AD8+AC8</f>
        <v>0</v>
      </c>
      <c r="AF8" s="372"/>
      <c r="AG8" s="372"/>
      <c r="AH8" s="372">
        <f>AG8+AF8</f>
        <v>0</v>
      </c>
      <c r="AI8" s="765">
        <v>94</v>
      </c>
      <c r="AJ8" s="372">
        <v>18</v>
      </c>
      <c r="AK8" s="372">
        <f>AJ8+AI8</f>
        <v>112</v>
      </c>
      <c r="AL8" s="375"/>
      <c r="AM8" s="510"/>
      <c r="AN8" s="372">
        <f>AM8+AL8</f>
        <v>0</v>
      </c>
      <c r="AO8" s="696">
        <v>1</v>
      </c>
      <c r="AP8" s="692">
        <v>1</v>
      </c>
      <c r="AQ8" s="697">
        <f>AP8+AO8</f>
        <v>2</v>
      </c>
      <c r="AR8" s="766">
        <f>Z8+AC8+W8+T8+Q8+N8+K8+H8+AC8+AF8+AI8+AL8</f>
        <v>406</v>
      </c>
      <c r="AS8" s="692">
        <f t="shared" ref="AS8:AS71" si="0">AA8+X8+U8+R8+O8+L8+I8+AD8+AG8+AJ8+AM8</f>
        <v>36</v>
      </c>
      <c r="AT8" s="692">
        <f>AS8+AR8</f>
        <v>442</v>
      </c>
      <c r="AU8" s="585">
        <f>AR8/12</f>
        <v>33.833333333333336</v>
      </c>
      <c r="AV8" s="585">
        <f>AS8/12</f>
        <v>3</v>
      </c>
      <c r="AW8" s="585">
        <f>SUM(AU8:AV8)</f>
        <v>36.833333333333336</v>
      </c>
      <c r="AX8" s="767">
        <f>AU8*500</f>
        <v>16916.666666666668</v>
      </c>
      <c r="AY8" s="767">
        <f>AV8*600</f>
        <v>1800</v>
      </c>
      <c r="AZ8" s="768">
        <f>SUM(AX8:AY8)</f>
        <v>18716.666666666668</v>
      </c>
      <c r="BA8" s="510">
        <v>38</v>
      </c>
      <c r="BB8" s="510">
        <v>36</v>
      </c>
      <c r="BC8" s="769">
        <f>BB8+BA8</f>
        <v>74</v>
      </c>
      <c r="BD8" s="510">
        <v>20</v>
      </c>
      <c r="BE8" s="510"/>
      <c r="BF8" s="769">
        <f>BE8+BD8</f>
        <v>20</v>
      </c>
      <c r="BG8" s="510">
        <v>116</v>
      </c>
      <c r="BH8" s="510"/>
      <c r="BI8" s="769">
        <f>BH8+BG8</f>
        <v>116</v>
      </c>
      <c r="BJ8" s="510"/>
      <c r="BK8" s="510"/>
      <c r="BL8" s="770">
        <f>BK8+BJ8</f>
        <v>0</v>
      </c>
      <c r="BM8" s="104">
        <v>114</v>
      </c>
      <c r="BN8" s="771">
        <v>18</v>
      </c>
      <c r="BO8" s="772">
        <f>BN8+BM8</f>
        <v>132</v>
      </c>
      <c r="BP8" s="696"/>
      <c r="BQ8" s="692"/>
      <c r="BR8" s="693">
        <f>BQ8+BP8</f>
        <v>0</v>
      </c>
      <c r="BS8" s="104">
        <v>98</v>
      </c>
      <c r="BT8" s="771">
        <v>27</v>
      </c>
      <c r="BU8" s="693">
        <f>BS8+BT8</f>
        <v>125</v>
      </c>
      <c r="BV8" s="693"/>
      <c r="BW8" s="693"/>
      <c r="BX8" s="693">
        <f>BV8+BW8</f>
        <v>0</v>
      </c>
      <c r="BY8" s="693"/>
      <c r="BZ8" s="693"/>
      <c r="CA8" s="693">
        <f>BY8+BZ8</f>
        <v>0</v>
      </c>
      <c r="CB8" s="174">
        <f>BA8+BD8+BG8+BJ8+BM8+BP8+BS8+BV8+BY8</f>
        <v>386</v>
      </c>
      <c r="CC8" s="174">
        <f>BB8+BE8+BH8+BK8+BN8+BQ8+BT8+BW8+BZ8</f>
        <v>81</v>
      </c>
      <c r="CD8" s="174">
        <f t="shared" ref="CD8" si="1">BC8+BF8+BI8+BL8+BO8+BR8</f>
        <v>342</v>
      </c>
      <c r="CE8" s="175">
        <f>CB8/9</f>
        <v>42.888888888888886</v>
      </c>
      <c r="CF8" s="175">
        <f>CC8/9</f>
        <v>9</v>
      </c>
      <c r="CG8" s="175">
        <f>CD8/9</f>
        <v>38</v>
      </c>
    </row>
    <row r="9" spans="1:213" s="798" customFormat="1" ht="17.25" thickBot="1">
      <c r="A9" s="773">
        <v>2</v>
      </c>
      <c r="B9" s="774" t="s">
        <v>3102</v>
      </c>
      <c r="C9" s="775"/>
      <c r="D9" s="775" t="s">
        <v>3103</v>
      </c>
      <c r="E9" s="776" t="s">
        <v>3101</v>
      </c>
      <c r="F9" s="777">
        <v>0</v>
      </c>
      <c r="G9" s="778" t="s">
        <v>15</v>
      </c>
      <c r="H9" s="779"/>
      <c r="I9" s="779"/>
      <c r="J9" s="780">
        <f t="shared" ref="J9:J72" si="2">I9+H9</f>
        <v>0</v>
      </c>
      <c r="K9" s="781"/>
      <c r="L9" s="779"/>
      <c r="M9" s="782">
        <f t="shared" ref="M9:M72" si="3">L9+K9</f>
        <v>0</v>
      </c>
      <c r="N9" s="783"/>
      <c r="O9" s="779"/>
      <c r="P9" s="784"/>
      <c r="Q9" s="781"/>
      <c r="R9" s="779"/>
      <c r="S9" s="784">
        <f t="shared" ref="S9:S72" si="4">SUM(Q9:R9)</f>
        <v>0</v>
      </c>
      <c r="T9" s="781"/>
      <c r="U9" s="779"/>
      <c r="V9" s="784">
        <f t="shared" ref="V9:V72" si="5">SUM(T9:U9)</f>
        <v>0</v>
      </c>
      <c r="W9" s="781">
        <v>50</v>
      </c>
      <c r="X9" s="779"/>
      <c r="Y9" s="780">
        <f t="shared" ref="Y9:Y72" si="6">X9+W9</f>
        <v>50</v>
      </c>
      <c r="Z9" s="781"/>
      <c r="AA9" s="779"/>
      <c r="AB9" s="785">
        <f t="shared" ref="AB9:AB72" si="7">AA9+Z9</f>
        <v>0</v>
      </c>
      <c r="AC9" s="785"/>
      <c r="AD9" s="785"/>
      <c r="AE9" s="780">
        <f t="shared" ref="AE9:AE72" si="8">AD9+AC9</f>
        <v>0</v>
      </c>
      <c r="AF9" s="780"/>
      <c r="AG9" s="780"/>
      <c r="AH9" s="780">
        <f t="shared" ref="AH9:AH72" si="9">AG9+AF9</f>
        <v>0</v>
      </c>
      <c r="AI9" s="786"/>
      <c r="AJ9" s="780"/>
      <c r="AK9" s="780">
        <f t="shared" ref="AK9:AK72" si="10">AJ9+AI9</f>
        <v>0</v>
      </c>
      <c r="AL9" s="781"/>
      <c r="AM9" s="779"/>
      <c r="AN9" s="780">
        <f t="shared" ref="AN9:AN72" si="11">AM9+AL9</f>
        <v>0</v>
      </c>
      <c r="AO9" s="787"/>
      <c r="AP9" s="788"/>
      <c r="AQ9" s="789">
        <f t="shared" ref="AQ9:AQ72" si="12">AP9+AO9</f>
        <v>0</v>
      </c>
      <c r="AR9" s="790">
        <f t="shared" ref="AR9:AS72" si="13">Z9+W9+T9+Q9+N9+K9+H9+AC9+AF9+AI9+AL9</f>
        <v>50</v>
      </c>
      <c r="AS9" s="791">
        <f t="shared" si="0"/>
        <v>0</v>
      </c>
      <c r="AT9" s="788">
        <f t="shared" ref="AT9:AT72" si="14">AS9+AR9</f>
        <v>50</v>
      </c>
      <c r="AU9" s="792">
        <f t="shared" ref="AU9:AU20" si="15">AR9/12</f>
        <v>4.166666666666667</v>
      </c>
      <c r="AV9" s="792">
        <f t="shared" ref="AU9:AV72" si="16">AS9/12</f>
        <v>0</v>
      </c>
      <c r="AW9" s="793">
        <f t="shared" ref="AW9:AW72" si="17">SUM(AU9:AV9)</f>
        <v>4.166666666666667</v>
      </c>
      <c r="AX9" s="794">
        <f t="shared" ref="AX9:AX72" si="18">AU9*500</f>
        <v>2083.3333333333335</v>
      </c>
      <c r="AY9" s="794">
        <f t="shared" ref="AY9:AY72" si="19">AV9*600</f>
        <v>0</v>
      </c>
      <c r="AZ9" s="795">
        <f t="shared" ref="AZ9:AZ72" si="20">SUM(AX9:AY9)</f>
        <v>2083.3333333333335</v>
      </c>
      <c r="BA9" s="779"/>
      <c r="BB9" s="779"/>
      <c r="BC9" s="796">
        <f t="shared" ref="BC9:BC72" si="21">BB9+BA9</f>
        <v>0</v>
      </c>
      <c r="BD9" s="779"/>
      <c r="BE9" s="779"/>
      <c r="BF9" s="796">
        <f t="shared" ref="BF9:BF72" si="22">BE9+BD9</f>
        <v>0</v>
      </c>
      <c r="BG9" s="779"/>
      <c r="BH9" s="779"/>
      <c r="BI9" s="796">
        <f t="shared" ref="BI9:BI72" si="23">BH9+BG9</f>
        <v>0</v>
      </c>
      <c r="BJ9" s="779"/>
      <c r="BK9" s="779"/>
      <c r="BL9" s="797">
        <f t="shared" ref="BL9:BL72" si="24">BK9+BJ9</f>
        <v>0</v>
      </c>
      <c r="BM9" s="787"/>
      <c r="BN9" s="788"/>
      <c r="BO9" s="772">
        <f t="shared" ref="BO9:BO72" si="25">BN9+BM9</f>
        <v>0</v>
      </c>
      <c r="BP9" s="787"/>
      <c r="BQ9" s="788"/>
      <c r="BR9" s="693">
        <f t="shared" ref="BR9:BR72" si="26">BQ9+BP9</f>
        <v>0</v>
      </c>
      <c r="BS9" s="787"/>
      <c r="BT9" s="788"/>
      <c r="BU9" s="693">
        <f t="shared" ref="BU9:BU13" si="27">BS9+BT9</f>
        <v>0</v>
      </c>
      <c r="BV9" s="693"/>
      <c r="BW9" s="693"/>
      <c r="BX9" s="693">
        <f t="shared" ref="BX9:BX13" si="28">BV9+BW9</f>
        <v>0</v>
      </c>
      <c r="BY9" s="693"/>
      <c r="BZ9" s="693"/>
      <c r="CA9" s="693">
        <f t="shared" ref="CA9:CA13" si="29">BY9+BZ9</f>
        <v>0</v>
      </c>
      <c r="CB9" s="174">
        <f t="shared" ref="CB9:CB72" si="30">BA9+BD9+BG9+BJ9+BM9+BP9+BS9+BV9+BY9</f>
        <v>0</v>
      </c>
      <c r="CC9" s="174">
        <f t="shared" ref="CC9:CC72" si="31">BB9+BE9+BH9+BK9+BN9+BQ9+BT9+BW9+BZ9</f>
        <v>0</v>
      </c>
      <c r="CD9" s="174">
        <f t="shared" ref="CD9:CD72" si="32">BC9+BF9+BI9+BL9+BO9+BR9+BU9+BX9+CA9</f>
        <v>0</v>
      </c>
      <c r="CE9" s="175">
        <f t="shared" ref="CE9:CE72" si="33">CB9/9</f>
        <v>0</v>
      </c>
      <c r="CF9" s="175">
        <f t="shared" ref="CF9:CF72" si="34">CC9/9</f>
        <v>0</v>
      </c>
      <c r="CG9" s="175">
        <f t="shared" ref="CG9:CG72" si="35">CD9/9</f>
        <v>0</v>
      </c>
      <c r="CH9" s="823"/>
      <c r="CI9" s="823"/>
      <c r="CJ9" s="823"/>
      <c r="CK9" s="823"/>
      <c r="CL9" s="823"/>
      <c r="CM9" s="823"/>
      <c r="CN9" s="823"/>
      <c r="CO9" s="823"/>
      <c r="CP9" s="823"/>
      <c r="CQ9" s="823"/>
      <c r="CR9" s="823"/>
      <c r="CS9" s="823"/>
      <c r="CT9" s="823"/>
      <c r="CU9" s="823"/>
      <c r="CV9" s="823"/>
      <c r="CW9" s="823"/>
      <c r="CX9" s="823"/>
      <c r="CY9" s="823"/>
      <c r="CZ9" s="823"/>
      <c r="DA9" s="823"/>
      <c r="DB9" s="823"/>
      <c r="DC9" s="823"/>
      <c r="DD9" s="823"/>
      <c r="DE9" s="823"/>
      <c r="DF9" s="823"/>
      <c r="DG9" s="823"/>
      <c r="DH9" s="823"/>
      <c r="DI9" s="823"/>
      <c r="DJ9" s="823"/>
      <c r="DK9" s="823"/>
      <c r="DL9" s="823"/>
      <c r="DM9" s="823"/>
      <c r="DN9" s="823"/>
      <c r="DO9" s="823"/>
      <c r="DP9" s="823"/>
      <c r="DQ9" s="823"/>
      <c r="DR9" s="823"/>
      <c r="DS9" s="823"/>
      <c r="DT9" s="823"/>
      <c r="DU9" s="823"/>
      <c r="DV9" s="823"/>
      <c r="DW9" s="823"/>
      <c r="DX9" s="823"/>
      <c r="DY9" s="823"/>
      <c r="DZ9" s="823"/>
      <c r="EA9" s="823"/>
      <c r="EB9" s="823"/>
      <c r="EC9" s="823"/>
      <c r="ED9" s="823"/>
      <c r="EE9" s="823"/>
      <c r="EF9" s="823"/>
      <c r="EG9" s="823"/>
      <c r="EH9" s="823"/>
      <c r="EI9" s="823"/>
      <c r="EJ9" s="823"/>
      <c r="EK9" s="823"/>
      <c r="EL9" s="823"/>
      <c r="EM9" s="823"/>
      <c r="EN9" s="823"/>
      <c r="EO9" s="823"/>
      <c r="EP9" s="823"/>
      <c r="EQ9" s="823"/>
      <c r="ER9" s="823"/>
      <c r="ES9" s="823"/>
      <c r="ET9" s="823"/>
      <c r="EU9" s="823"/>
      <c r="EV9" s="823"/>
      <c r="EW9" s="823"/>
      <c r="EX9" s="823"/>
      <c r="EY9" s="823"/>
      <c r="EZ9" s="823"/>
      <c r="FA9" s="823"/>
      <c r="FB9" s="823"/>
      <c r="FC9" s="823"/>
      <c r="FD9" s="823"/>
      <c r="FE9" s="823"/>
      <c r="FF9" s="823"/>
      <c r="FG9" s="823"/>
      <c r="FH9" s="823"/>
      <c r="FI9" s="823"/>
      <c r="FJ9" s="823"/>
      <c r="FK9" s="823"/>
      <c r="FL9" s="823"/>
      <c r="FM9" s="823"/>
      <c r="FN9" s="823"/>
      <c r="FO9" s="823"/>
      <c r="FP9" s="823"/>
      <c r="FQ9" s="823"/>
      <c r="FR9" s="823"/>
      <c r="FS9" s="823"/>
      <c r="FT9" s="823"/>
      <c r="FU9" s="823"/>
      <c r="FV9" s="823"/>
      <c r="FW9" s="823"/>
      <c r="FX9" s="823"/>
      <c r="FY9" s="823"/>
      <c r="FZ9" s="823"/>
      <c r="GA9" s="823"/>
      <c r="GB9" s="823"/>
      <c r="GC9" s="823"/>
      <c r="GD9" s="823"/>
      <c r="GE9" s="823"/>
      <c r="GF9" s="823"/>
      <c r="GG9" s="823"/>
      <c r="GH9" s="823"/>
      <c r="GI9" s="823"/>
      <c r="GJ9" s="823"/>
      <c r="GK9" s="823"/>
      <c r="GL9" s="823"/>
      <c r="GM9" s="823"/>
      <c r="GN9" s="823"/>
      <c r="GO9" s="823"/>
      <c r="GP9" s="823"/>
      <c r="GQ9" s="823"/>
      <c r="GR9" s="823"/>
      <c r="GS9" s="823"/>
      <c r="GT9" s="823"/>
      <c r="GU9" s="823"/>
      <c r="GV9" s="823"/>
      <c r="GW9" s="823"/>
      <c r="GX9" s="823"/>
      <c r="GY9" s="823"/>
      <c r="GZ9" s="823"/>
      <c r="HA9" s="823"/>
      <c r="HB9" s="823"/>
      <c r="HC9" s="823"/>
      <c r="HD9" s="823"/>
      <c r="HE9" s="823"/>
    </row>
    <row r="10" spans="1:213" ht="17.25" thickBot="1">
      <c r="A10" s="760">
        <v>3</v>
      </c>
      <c r="B10" s="799" t="s">
        <v>3104</v>
      </c>
      <c r="C10" s="15"/>
      <c r="D10" s="15" t="s">
        <v>3105</v>
      </c>
      <c r="E10" s="762" t="s">
        <v>3101</v>
      </c>
      <c r="F10" s="800">
        <v>81.33</v>
      </c>
      <c r="G10" s="801" t="s">
        <v>18</v>
      </c>
      <c r="H10" s="1"/>
      <c r="I10" s="1"/>
      <c r="J10" s="372">
        <f t="shared" si="2"/>
        <v>0</v>
      </c>
      <c r="K10" s="382"/>
      <c r="L10" s="1"/>
      <c r="M10" s="694">
        <f t="shared" si="3"/>
        <v>0</v>
      </c>
      <c r="N10" s="103"/>
      <c r="O10" s="1"/>
      <c r="P10" s="105"/>
      <c r="Q10" s="382"/>
      <c r="R10" s="1"/>
      <c r="S10" s="105">
        <f t="shared" si="4"/>
        <v>0</v>
      </c>
      <c r="T10" s="382"/>
      <c r="U10" s="1"/>
      <c r="V10" s="105">
        <f t="shared" si="5"/>
        <v>0</v>
      </c>
      <c r="W10" s="382"/>
      <c r="X10" s="1"/>
      <c r="Y10" s="372">
        <f t="shared" si="6"/>
        <v>0</v>
      </c>
      <c r="Z10" s="382"/>
      <c r="AA10" s="1"/>
      <c r="AB10" s="379">
        <f t="shared" si="7"/>
        <v>0</v>
      </c>
      <c r="AC10" s="379">
        <v>90</v>
      </c>
      <c r="AD10" s="379"/>
      <c r="AE10" s="372">
        <f t="shared" si="8"/>
        <v>90</v>
      </c>
      <c r="AF10" s="372"/>
      <c r="AG10" s="372"/>
      <c r="AH10" s="372">
        <f t="shared" si="9"/>
        <v>0</v>
      </c>
      <c r="AI10" s="765"/>
      <c r="AJ10" s="372"/>
      <c r="AK10" s="372">
        <f t="shared" si="10"/>
        <v>0</v>
      </c>
      <c r="AL10" s="382"/>
      <c r="AM10" s="1"/>
      <c r="AN10" s="372">
        <f t="shared" si="11"/>
        <v>0</v>
      </c>
      <c r="AO10" s="78"/>
      <c r="AP10" s="6"/>
      <c r="AQ10" s="697">
        <f t="shared" si="12"/>
        <v>0</v>
      </c>
      <c r="AR10" s="766">
        <f t="shared" si="13"/>
        <v>90</v>
      </c>
      <c r="AS10" s="692">
        <f t="shared" si="0"/>
        <v>0</v>
      </c>
      <c r="AT10" s="6">
        <f t="shared" si="14"/>
        <v>90</v>
      </c>
      <c r="AU10" s="585">
        <f t="shared" si="15"/>
        <v>7.5</v>
      </c>
      <c r="AV10" s="585">
        <f t="shared" si="16"/>
        <v>0</v>
      </c>
      <c r="AW10" s="494">
        <f t="shared" si="17"/>
        <v>7.5</v>
      </c>
      <c r="AX10" s="217">
        <f t="shared" si="18"/>
        <v>3750</v>
      </c>
      <c r="AY10" s="217">
        <f t="shared" si="19"/>
        <v>0</v>
      </c>
      <c r="AZ10" s="695">
        <f t="shared" si="20"/>
        <v>3750</v>
      </c>
      <c r="BA10" s="1"/>
      <c r="BB10" s="1"/>
      <c r="BC10" s="769">
        <f t="shared" si="21"/>
        <v>0</v>
      </c>
      <c r="BD10" s="1"/>
      <c r="BE10" s="1"/>
      <c r="BF10" s="769">
        <f t="shared" si="22"/>
        <v>0</v>
      </c>
      <c r="BG10" s="1"/>
      <c r="BH10" s="1"/>
      <c r="BI10" s="769">
        <f t="shared" si="23"/>
        <v>0</v>
      </c>
      <c r="BJ10" s="1"/>
      <c r="BK10" s="1"/>
      <c r="BL10" s="770">
        <f t="shared" si="24"/>
        <v>0</v>
      </c>
      <c r="BM10" s="78"/>
      <c r="BN10" s="6"/>
      <c r="BO10" s="772">
        <f t="shared" si="25"/>
        <v>0</v>
      </c>
      <c r="BP10" s="78"/>
      <c r="BQ10" s="6"/>
      <c r="BR10" s="693">
        <f t="shared" si="26"/>
        <v>0</v>
      </c>
      <c r="BS10" s="78"/>
      <c r="BT10" s="6"/>
      <c r="BU10" s="693">
        <f t="shared" si="27"/>
        <v>0</v>
      </c>
      <c r="BV10" s="693"/>
      <c r="BW10" s="693"/>
      <c r="BX10" s="693">
        <f t="shared" si="28"/>
        <v>0</v>
      </c>
      <c r="BY10" s="693"/>
      <c r="BZ10" s="693"/>
      <c r="CA10" s="693">
        <f t="shared" si="29"/>
        <v>0</v>
      </c>
      <c r="CB10" s="174">
        <f t="shared" si="30"/>
        <v>0</v>
      </c>
      <c r="CC10" s="174">
        <f t="shared" si="31"/>
        <v>0</v>
      </c>
      <c r="CD10" s="174">
        <f t="shared" si="32"/>
        <v>0</v>
      </c>
      <c r="CE10" s="175">
        <f t="shared" si="33"/>
        <v>0</v>
      </c>
      <c r="CF10" s="175">
        <f t="shared" si="34"/>
        <v>0</v>
      </c>
      <c r="CG10" s="175">
        <f t="shared" si="35"/>
        <v>0</v>
      </c>
    </row>
    <row r="11" spans="1:213" ht="17.25" thickBot="1">
      <c r="A11" s="802">
        <v>4</v>
      </c>
      <c r="B11" s="799" t="s">
        <v>3106</v>
      </c>
      <c r="C11" s="15"/>
      <c r="D11" s="15" t="s">
        <v>3107</v>
      </c>
      <c r="E11" s="803" t="s">
        <v>3101</v>
      </c>
      <c r="F11" s="800">
        <v>38.67</v>
      </c>
      <c r="G11" s="801" t="s">
        <v>18</v>
      </c>
      <c r="H11" s="1">
        <v>78</v>
      </c>
      <c r="I11" s="1"/>
      <c r="J11" s="372">
        <f t="shared" si="2"/>
        <v>78</v>
      </c>
      <c r="K11" s="382">
        <v>98</v>
      </c>
      <c r="L11" s="1"/>
      <c r="M11" s="694">
        <f t="shared" si="3"/>
        <v>98</v>
      </c>
      <c r="N11" s="103">
        <v>80</v>
      </c>
      <c r="O11" s="1"/>
      <c r="P11" s="105">
        <f>O11+N11</f>
        <v>80</v>
      </c>
      <c r="Q11" s="382">
        <v>200</v>
      </c>
      <c r="R11" s="1"/>
      <c r="S11" s="105">
        <f t="shared" si="4"/>
        <v>200</v>
      </c>
      <c r="T11" s="382">
        <v>251</v>
      </c>
      <c r="U11" s="1"/>
      <c r="V11" s="105">
        <f t="shared" si="5"/>
        <v>251</v>
      </c>
      <c r="W11" s="382">
        <v>20</v>
      </c>
      <c r="X11" s="1"/>
      <c r="Y11" s="372">
        <f t="shared" si="6"/>
        <v>20</v>
      </c>
      <c r="Z11" s="382"/>
      <c r="AA11" s="1"/>
      <c r="AB11" s="379">
        <f t="shared" si="7"/>
        <v>0</v>
      </c>
      <c r="AC11" s="379">
        <v>100</v>
      </c>
      <c r="AD11" s="379"/>
      <c r="AE11" s="372">
        <f t="shared" si="8"/>
        <v>100</v>
      </c>
      <c r="AF11" s="372">
        <v>300</v>
      </c>
      <c r="AG11" s="372"/>
      <c r="AH11" s="372">
        <f t="shared" si="9"/>
        <v>300</v>
      </c>
      <c r="AI11" s="765">
        <v>20</v>
      </c>
      <c r="AJ11" s="372"/>
      <c r="AK11" s="372">
        <f t="shared" si="10"/>
        <v>20</v>
      </c>
      <c r="AL11" s="382"/>
      <c r="AM11" s="1"/>
      <c r="AN11" s="372">
        <f t="shared" si="11"/>
        <v>0</v>
      </c>
      <c r="AO11" s="78">
        <v>98</v>
      </c>
      <c r="AP11" s="6"/>
      <c r="AQ11" s="697">
        <f t="shared" si="12"/>
        <v>98</v>
      </c>
      <c r="AR11" s="766">
        <f t="shared" si="13"/>
        <v>1147</v>
      </c>
      <c r="AS11" s="692">
        <f t="shared" si="0"/>
        <v>0</v>
      </c>
      <c r="AT11" s="6">
        <f t="shared" si="14"/>
        <v>1147</v>
      </c>
      <c r="AU11" s="585">
        <f t="shared" si="15"/>
        <v>95.583333333333329</v>
      </c>
      <c r="AV11" s="585">
        <f t="shared" si="16"/>
        <v>0</v>
      </c>
      <c r="AW11" s="494">
        <f t="shared" si="17"/>
        <v>95.583333333333329</v>
      </c>
      <c r="AX11" s="217">
        <f t="shared" si="18"/>
        <v>47791.666666666664</v>
      </c>
      <c r="AY11" s="217">
        <f t="shared" si="19"/>
        <v>0</v>
      </c>
      <c r="AZ11" s="695">
        <f t="shared" si="20"/>
        <v>47791.666666666664</v>
      </c>
      <c r="BA11" s="1">
        <v>40</v>
      </c>
      <c r="BB11" s="1"/>
      <c r="BC11" s="769">
        <f t="shared" si="21"/>
        <v>40</v>
      </c>
      <c r="BD11" s="1"/>
      <c r="BE11" s="1"/>
      <c r="BF11" s="769">
        <f t="shared" si="22"/>
        <v>0</v>
      </c>
      <c r="BG11" s="1">
        <v>206</v>
      </c>
      <c r="BH11" s="1"/>
      <c r="BI11" s="769">
        <f t="shared" si="23"/>
        <v>206</v>
      </c>
      <c r="BJ11" s="1"/>
      <c r="BK11" s="1"/>
      <c r="BL11" s="770">
        <f t="shared" si="24"/>
        <v>0</v>
      </c>
      <c r="BM11" s="78"/>
      <c r="BN11" s="6"/>
      <c r="BO11" s="772">
        <f t="shared" si="25"/>
        <v>0</v>
      </c>
      <c r="BP11" s="78">
        <v>136</v>
      </c>
      <c r="BQ11" s="6"/>
      <c r="BR11" s="693">
        <f t="shared" si="26"/>
        <v>136</v>
      </c>
      <c r="BS11" s="78">
        <v>140</v>
      </c>
      <c r="BT11" s="6"/>
      <c r="BU11" s="693">
        <f t="shared" si="27"/>
        <v>140</v>
      </c>
      <c r="BV11" s="693"/>
      <c r="BW11" s="693"/>
      <c r="BX11" s="693">
        <f t="shared" si="28"/>
        <v>0</v>
      </c>
      <c r="BY11" s="693"/>
      <c r="BZ11" s="693"/>
      <c r="CA11" s="693">
        <f t="shared" si="29"/>
        <v>0</v>
      </c>
      <c r="CB11" s="174">
        <f t="shared" si="30"/>
        <v>522</v>
      </c>
      <c r="CC11" s="174">
        <f t="shared" si="31"/>
        <v>0</v>
      </c>
      <c r="CD11" s="174">
        <f t="shared" si="32"/>
        <v>522</v>
      </c>
      <c r="CE11" s="175">
        <f t="shared" si="33"/>
        <v>58</v>
      </c>
      <c r="CF11" s="175">
        <f t="shared" si="34"/>
        <v>0</v>
      </c>
      <c r="CG11" s="175">
        <f t="shared" si="35"/>
        <v>58</v>
      </c>
    </row>
    <row r="12" spans="1:213" ht="17.25" thickBot="1">
      <c r="A12" s="760">
        <v>5</v>
      </c>
      <c r="B12" s="799" t="s">
        <v>3108</v>
      </c>
      <c r="C12" s="15"/>
      <c r="D12" s="15" t="s">
        <v>3109</v>
      </c>
      <c r="E12" s="762" t="s">
        <v>3101</v>
      </c>
      <c r="F12" s="800">
        <v>13.33</v>
      </c>
      <c r="G12" s="801" t="s">
        <v>18</v>
      </c>
      <c r="H12" s="1"/>
      <c r="I12" s="1"/>
      <c r="J12" s="372">
        <f t="shared" si="2"/>
        <v>0</v>
      </c>
      <c r="K12" s="382"/>
      <c r="L12" s="1"/>
      <c r="M12" s="694">
        <f t="shared" si="3"/>
        <v>0</v>
      </c>
      <c r="N12" s="103">
        <v>40</v>
      </c>
      <c r="O12" s="1"/>
      <c r="P12" s="105">
        <f t="shared" ref="P12:P75" si="36">O12+N12</f>
        <v>40</v>
      </c>
      <c r="Q12" s="382">
        <v>60</v>
      </c>
      <c r="R12" s="1"/>
      <c r="S12" s="105">
        <f t="shared" si="4"/>
        <v>60</v>
      </c>
      <c r="T12" s="382">
        <v>30</v>
      </c>
      <c r="U12" s="1"/>
      <c r="V12" s="105">
        <f t="shared" si="5"/>
        <v>30</v>
      </c>
      <c r="W12" s="382">
        <v>100</v>
      </c>
      <c r="X12" s="1"/>
      <c r="Y12" s="372">
        <f t="shared" si="6"/>
        <v>100</v>
      </c>
      <c r="Z12" s="382"/>
      <c r="AA12" s="1"/>
      <c r="AB12" s="379">
        <f t="shared" si="7"/>
        <v>0</v>
      </c>
      <c r="AC12" s="379"/>
      <c r="AD12" s="379"/>
      <c r="AE12" s="372">
        <f t="shared" si="8"/>
        <v>0</v>
      </c>
      <c r="AF12" s="372"/>
      <c r="AG12" s="372"/>
      <c r="AH12" s="372">
        <f t="shared" si="9"/>
        <v>0</v>
      </c>
      <c r="AI12" s="765">
        <v>40</v>
      </c>
      <c r="AJ12" s="372"/>
      <c r="AK12" s="372">
        <f t="shared" si="10"/>
        <v>40</v>
      </c>
      <c r="AL12" s="382"/>
      <c r="AM12" s="1"/>
      <c r="AN12" s="372">
        <f t="shared" si="11"/>
        <v>0</v>
      </c>
      <c r="AO12" s="78">
        <v>60</v>
      </c>
      <c r="AP12" s="6"/>
      <c r="AQ12" s="697">
        <f t="shared" si="12"/>
        <v>60</v>
      </c>
      <c r="AR12" s="766">
        <f t="shared" si="13"/>
        <v>270</v>
      </c>
      <c r="AS12" s="692">
        <f t="shared" si="0"/>
        <v>0</v>
      </c>
      <c r="AT12" s="6">
        <f t="shared" si="14"/>
        <v>270</v>
      </c>
      <c r="AU12" s="585">
        <f t="shared" si="15"/>
        <v>22.5</v>
      </c>
      <c r="AV12" s="585">
        <f t="shared" si="16"/>
        <v>0</v>
      </c>
      <c r="AW12" s="494">
        <f t="shared" si="17"/>
        <v>22.5</v>
      </c>
      <c r="AX12" s="217">
        <f t="shared" si="18"/>
        <v>11250</v>
      </c>
      <c r="AY12" s="217">
        <f t="shared" si="19"/>
        <v>0</v>
      </c>
      <c r="AZ12" s="695">
        <f t="shared" si="20"/>
        <v>11250</v>
      </c>
      <c r="BA12" s="1"/>
      <c r="BB12" s="1"/>
      <c r="BC12" s="769">
        <f t="shared" si="21"/>
        <v>0</v>
      </c>
      <c r="BD12" s="1">
        <v>50</v>
      </c>
      <c r="BE12" s="1"/>
      <c r="BF12" s="769">
        <f t="shared" si="22"/>
        <v>50</v>
      </c>
      <c r="BG12" s="1"/>
      <c r="BH12" s="1"/>
      <c r="BI12" s="769">
        <f t="shared" si="23"/>
        <v>0</v>
      </c>
      <c r="BJ12" s="1"/>
      <c r="BK12" s="1"/>
      <c r="BL12" s="770">
        <f t="shared" si="24"/>
        <v>0</v>
      </c>
      <c r="BM12" s="78"/>
      <c r="BN12" s="6"/>
      <c r="BO12" s="772">
        <f t="shared" si="25"/>
        <v>0</v>
      </c>
      <c r="BP12" s="78">
        <v>20</v>
      </c>
      <c r="BQ12" s="6"/>
      <c r="BR12" s="693">
        <f t="shared" si="26"/>
        <v>20</v>
      </c>
      <c r="BS12" s="78">
        <v>60</v>
      </c>
      <c r="BT12" s="6"/>
      <c r="BU12" s="693">
        <f t="shared" si="27"/>
        <v>60</v>
      </c>
      <c r="BV12" s="693"/>
      <c r="BW12" s="693"/>
      <c r="BX12" s="693">
        <f t="shared" si="28"/>
        <v>0</v>
      </c>
      <c r="BY12" s="693"/>
      <c r="BZ12" s="693"/>
      <c r="CA12" s="693">
        <f t="shared" si="29"/>
        <v>0</v>
      </c>
      <c r="CB12" s="174">
        <f t="shared" si="30"/>
        <v>130</v>
      </c>
      <c r="CC12" s="174">
        <f t="shared" si="31"/>
        <v>0</v>
      </c>
      <c r="CD12" s="174">
        <f t="shared" si="32"/>
        <v>130</v>
      </c>
      <c r="CE12" s="175">
        <f t="shared" si="33"/>
        <v>14.444444444444445</v>
      </c>
      <c r="CF12" s="175">
        <f t="shared" si="34"/>
        <v>0</v>
      </c>
      <c r="CG12" s="175">
        <f t="shared" si="35"/>
        <v>14.444444444444445</v>
      </c>
    </row>
    <row r="13" spans="1:213" s="361" customFormat="1" ht="17.25" thickBot="1">
      <c r="A13" s="802">
        <v>6</v>
      </c>
      <c r="B13" s="804" t="s">
        <v>3110</v>
      </c>
      <c r="C13" s="379"/>
      <c r="D13" s="379" t="s">
        <v>3111</v>
      </c>
      <c r="E13" s="803" t="s">
        <v>3101</v>
      </c>
      <c r="F13" s="805">
        <v>3</v>
      </c>
      <c r="G13" s="806" t="s">
        <v>18</v>
      </c>
      <c r="H13" s="1">
        <v>196</v>
      </c>
      <c r="I13" s="1">
        <v>24</v>
      </c>
      <c r="J13" s="372">
        <f t="shared" si="2"/>
        <v>220</v>
      </c>
      <c r="K13" s="382">
        <v>200</v>
      </c>
      <c r="L13" s="1"/>
      <c r="M13" s="694">
        <f t="shared" si="3"/>
        <v>200</v>
      </c>
      <c r="N13" s="103">
        <v>118</v>
      </c>
      <c r="O13" s="1">
        <v>36</v>
      </c>
      <c r="P13" s="105">
        <f t="shared" si="36"/>
        <v>154</v>
      </c>
      <c r="Q13" s="382"/>
      <c r="R13" s="1"/>
      <c r="S13" s="105">
        <f t="shared" si="4"/>
        <v>0</v>
      </c>
      <c r="T13" s="382"/>
      <c r="U13" s="1"/>
      <c r="V13" s="105">
        <f t="shared" si="5"/>
        <v>0</v>
      </c>
      <c r="W13" s="382">
        <v>20</v>
      </c>
      <c r="X13" s="1"/>
      <c r="Y13" s="372">
        <f t="shared" si="6"/>
        <v>20</v>
      </c>
      <c r="Z13" s="382">
        <v>78</v>
      </c>
      <c r="AA13" s="1">
        <v>58</v>
      </c>
      <c r="AB13" s="379">
        <f t="shared" si="7"/>
        <v>136</v>
      </c>
      <c r="AC13" s="379"/>
      <c r="AD13" s="379"/>
      <c r="AE13" s="372">
        <f t="shared" si="8"/>
        <v>0</v>
      </c>
      <c r="AF13" s="372"/>
      <c r="AG13" s="372"/>
      <c r="AH13" s="372">
        <f t="shared" si="9"/>
        <v>0</v>
      </c>
      <c r="AI13" s="765">
        <v>100</v>
      </c>
      <c r="AJ13" s="372"/>
      <c r="AK13" s="372">
        <f t="shared" si="10"/>
        <v>100</v>
      </c>
      <c r="AL13" s="382">
        <v>20</v>
      </c>
      <c r="AM13" s="1">
        <v>36</v>
      </c>
      <c r="AN13" s="372">
        <f t="shared" si="11"/>
        <v>56</v>
      </c>
      <c r="AO13" s="78"/>
      <c r="AP13" s="6"/>
      <c r="AQ13" s="697">
        <f t="shared" si="12"/>
        <v>0</v>
      </c>
      <c r="AR13" s="766">
        <f t="shared" si="13"/>
        <v>732</v>
      </c>
      <c r="AS13" s="692">
        <f t="shared" si="0"/>
        <v>154</v>
      </c>
      <c r="AT13" s="6">
        <f t="shared" si="14"/>
        <v>886</v>
      </c>
      <c r="AU13" s="585">
        <f t="shared" si="15"/>
        <v>61</v>
      </c>
      <c r="AV13" s="585">
        <f t="shared" si="16"/>
        <v>12.833333333333334</v>
      </c>
      <c r="AW13" s="494">
        <f t="shared" si="17"/>
        <v>73.833333333333329</v>
      </c>
      <c r="AX13" s="217">
        <f t="shared" si="18"/>
        <v>30500</v>
      </c>
      <c r="AY13" s="217">
        <f t="shared" si="19"/>
        <v>7700</v>
      </c>
      <c r="AZ13" s="695">
        <f t="shared" si="20"/>
        <v>38200</v>
      </c>
      <c r="BA13" s="1"/>
      <c r="BB13" s="1"/>
      <c r="BC13" s="769">
        <f t="shared" si="21"/>
        <v>0</v>
      </c>
      <c r="BD13" s="1"/>
      <c r="BE13" s="1"/>
      <c r="BF13" s="769">
        <f t="shared" si="22"/>
        <v>0</v>
      </c>
      <c r="BG13" s="1">
        <v>100</v>
      </c>
      <c r="BH13" s="1">
        <v>36</v>
      </c>
      <c r="BI13" s="769">
        <f t="shared" si="23"/>
        <v>136</v>
      </c>
      <c r="BJ13" s="1"/>
      <c r="BK13" s="1"/>
      <c r="BL13" s="770">
        <f t="shared" si="24"/>
        <v>0</v>
      </c>
      <c r="BM13" s="382"/>
      <c r="BN13" s="1"/>
      <c r="BO13" s="772">
        <f t="shared" si="25"/>
        <v>0</v>
      </c>
      <c r="BP13" s="382">
        <v>236</v>
      </c>
      <c r="BQ13" s="1">
        <v>72</v>
      </c>
      <c r="BR13" s="693">
        <f t="shared" si="26"/>
        <v>308</v>
      </c>
      <c r="BS13" s="382"/>
      <c r="BT13" s="1"/>
      <c r="BU13" s="693">
        <f t="shared" si="27"/>
        <v>0</v>
      </c>
      <c r="BV13" s="693"/>
      <c r="BW13" s="693"/>
      <c r="BX13" s="693">
        <f t="shared" si="28"/>
        <v>0</v>
      </c>
      <c r="BY13" s="693"/>
      <c r="BZ13" s="693"/>
      <c r="CA13" s="693">
        <f t="shared" si="29"/>
        <v>0</v>
      </c>
      <c r="CB13" s="174">
        <f t="shared" si="30"/>
        <v>336</v>
      </c>
      <c r="CC13" s="174">
        <f t="shared" si="31"/>
        <v>108</v>
      </c>
      <c r="CD13" s="174">
        <f t="shared" si="32"/>
        <v>444</v>
      </c>
      <c r="CE13" s="175">
        <f t="shared" si="33"/>
        <v>37.333333333333336</v>
      </c>
      <c r="CF13" s="175">
        <f t="shared" si="34"/>
        <v>12</v>
      </c>
      <c r="CG13" s="175">
        <f t="shared" si="35"/>
        <v>49.333333333333336</v>
      </c>
    </row>
    <row r="14" spans="1:213" s="61" customFormat="1" ht="17.25" thickBot="1">
      <c r="A14" s="807">
        <v>7</v>
      </c>
      <c r="B14" s="808" t="s">
        <v>3112</v>
      </c>
      <c r="C14" s="111"/>
      <c r="D14" s="111" t="s">
        <v>3113</v>
      </c>
      <c r="E14" s="809" t="s">
        <v>3101</v>
      </c>
      <c r="F14" s="810">
        <v>333.33</v>
      </c>
      <c r="G14" s="811" t="s">
        <v>18</v>
      </c>
      <c r="H14" s="19">
        <v>500</v>
      </c>
      <c r="I14" s="19"/>
      <c r="J14" s="701">
        <f t="shared" si="2"/>
        <v>500</v>
      </c>
      <c r="K14" s="319">
        <v>1000</v>
      </c>
      <c r="L14" s="19"/>
      <c r="M14" s="389">
        <f t="shared" si="3"/>
        <v>1000</v>
      </c>
      <c r="N14" s="100"/>
      <c r="O14" s="19"/>
      <c r="P14" s="320">
        <f t="shared" si="36"/>
        <v>0</v>
      </c>
      <c r="Q14" s="319"/>
      <c r="R14" s="19"/>
      <c r="S14" s="320">
        <f t="shared" si="4"/>
        <v>0</v>
      </c>
      <c r="T14" s="319">
        <v>1000</v>
      </c>
      <c r="U14" s="19"/>
      <c r="V14" s="320">
        <f t="shared" si="5"/>
        <v>1000</v>
      </c>
      <c r="W14" s="319"/>
      <c r="X14" s="19"/>
      <c r="Y14" s="701">
        <f t="shared" si="6"/>
        <v>0</v>
      </c>
      <c r="Z14" s="319">
        <v>1000</v>
      </c>
      <c r="AA14" s="19"/>
      <c r="AB14" s="111">
        <f t="shared" si="7"/>
        <v>1000</v>
      </c>
      <c r="AC14" s="111">
        <v>1000</v>
      </c>
      <c r="AD14" s="111"/>
      <c r="AE14" s="701">
        <f t="shared" si="8"/>
        <v>1000</v>
      </c>
      <c r="AF14" s="701"/>
      <c r="AG14" s="701"/>
      <c r="AH14" s="701">
        <f t="shared" si="9"/>
        <v>0</v>
      </c>
      <c r="AI14" s="812"/>
      <c r="AJ14" s="701"/>
      <c r="AK14" s="701">
        <f t="shared" si="10"/>
        <v>0</v>
      </c>
      <c r="AL14" s="319"/>
      <c r="AM14" s="19"/>
      <c r="AN14" s="701">
        <f t="shared" si="11"/>
        <v>0</v>
      </c>
      <c r="AO14" s="319">
        <v>1000</v>
      </c>
      <c r="AP14" s="19"/>
      <c r="AQ14" s="389">
        <f t="shared" si="12"/>
        <v>1000</v>
      </c>
      <c r="AR14" s="387">
        <f t="shared" si="13"/>
        <v>4500</v>
      </c>
      <c r="AS14" s="388">
        <f t="shared" si="0"/>
        <v>0</v>
      </c>
      <c r="AT14" s="19">
        <f t="shared" si="14"/>
        <v>4500</v>
      </c>
      <c r="AU14" s="702">
        <f t="shared" si="15"/>
        <v>375</v>
      </c>
      <c r="AV14" s="702">
        <f t="shared" si="16"/>
        <v>0</v>
      </c>
      <c r="AW14" s="703">
        <f t="shared" si="17"/>
        <v>375</v>
      </c>
      <c r="AX14" s="703">
        <f t="shared" si="18"/>
        <v>187500</v>
      </c>
      <c r="AY14" s="703">
        <f t="shared" si="19"/>
        <v>0</v>
      </c>
      <c r="AZ14" s="704">
        <f t="shared" si="20"/>
        <v>187500</v>
      </c>
      <c r="BA14" s="19"/>
      <c r="BB14" s="19"/>
      <c r="BC14" s="813">
        <f t="shared" si="21"/>
        <v>0</v>
      </c>
      <c r="BD14" s="19">
        <v>1000</v>
      </c>
      <c r="BE14" s="19"/>
      <c r="BF14" s="813">
        <f t="shared" si="22"/>
        <v>1000</v>
      </c>
      <c r="BG14" s="19"/>
      <c r="BH14" s="19"/>
      <c r="BI14" s="813">
        <f t="shared" si="23"/>
        <v>0</v>
      </c>
      <c r="BJ14" s="19">
        <v>1000</v>
      </c>
      <c r="BK14" s="19"/>
      <c r="BL14" s="814">
        <f t="shared" si="24"/>
        <v>1000</v>
      </c>
      <c r="BM14" s="319">
        <v>1000</v>
      </c>
      <c r="BN14" s="19"/>
      <c r="BO14" s="868">
        <f t="shared" si="25"/>
        <v>1000</v>
      </c>
      <c r="BP14" s="319"/>
      <c r="BQ14" s="19"/>
      <c r="BR14" s="701">
        <f t="shared" si="26"/>
        <v>0</v>
      </c>
      <c r="BS14" s="319">
        <v>1000</v>
      </c>
      <c r="BT14" s="19"/>
      <c r="BU14" s="701">
        <f>BS14+BT14</f>
        <v>1000</v>
      </c>
      <c r="BV14" s="701"/>
      <c r="BW14" s="701"/>
      <c r="BX14" s="701">
        <f>BV14+BW14</f>
        <v>0</v>
      </c>
      <c r="BY14" s="701"/>
      <c r="BZ14" s="701"/>
      <c r="CA14" s="701">
        <f>BY14+BZ14</f>
        <v>0</v>
      </c>
      <c r="CB14" s="174">
        <f t="shared" si="30"/>
        <v>4000</v>
      </c>
      <c r="CC14" s="174">
        <f t="shared" si="31"/>
        <v>0</v>
      </c>
      <c r="CD14" s="174">
        <f t="shared" si="32"/>
        <v>4000</v>
      </c>
      <c r="CE14" s="175">
        <f t="shared" si="33"/>
        <v>444.44444444444446</v>
      </c>
      <c r="CF14" s="175">
        <f t="shared" si="34"/>
        <v>0</v>
      </c>
      <c r="CG14" s="175">
        <f t="shared" si="35"/>
        <v>444.44444444444446</v>
      </c>
      <c r="CH14" s="361"/>
      <c r="CI14" s="361"/>
      <c r="CJ14" s="361"/>
      <c r="CK14" s="361"/>
      <c r="CL14" s="361"/>
      <c r="CM14" s="361"/>
      <c r="CN14" s="361"/>
      <c r="CO14" s="361"/>
      <c r="CP14" s="361"/>
      <c r="CQ14" s="361"/>
      <c r="CR14" s="361"/>
      <c r="CS14" s="361"/>
      <c r="CT14" s="361"/>
      <c r="CU14" s="361"/>
      <c r="CV14" s="361"/>
      <c r="CW14" s="361"/>
      <c r="CX14" s="361"/>
      <c r="CY14" s="361"/>
      <c r="CZ14" s="361"/>
      <c r="DA14" s="361"/>
      <c r="DB14" s="361"/>
      <c r="DC14" s="361"/>
      <c r="DD14" s="361"/>
      <c r="DE14" s="361"/>
      <c r="DF14" s="361"/>
      <c r="DG14" s="361"/>
      <c r="DH14" s="361"/>
      <c r="DI14" s="361"/>
      <c r="DJ14" s="361"/>
      <c r="DK14" s="361"/>
      <c r="DL14" s="361"/>
      <c r="DM14" s="361"/>
      <c r="DN14" s="361"/>
      <c r="DO14" s="361"/>
      <c r="DP14" s="361"/>
      <c r="DQ14" s="361"/>
      <c r="DR14" s="361"/>
      <c r="DS14" s="361"/>
      <c r="DT14" s="361"/>
      <c r="DU14" s="361"/>
      <c r="DV14" s="361"/>
      <c r="DW14" s="361"/>
      <c r="DX14" s="361"/>
      <c r="DY14" s="361"/>
      <c r="DZ14" s="361"/>
      <c r="EA14" s="361"/>
      <c r="EB14" s="361"/>
      <c r="EC14" s="361"/>
      <c r="ED14" s="361"/>
      <c r="EE14" s="361"/>
      <c r="EF14" s="361"/>
      <c r="EG14" s="361"/>
      <c r="EH14" s="361"/>
      <c r="EI14" s="361"/>
      <c r="EJ14" s="361"/>
      <c r="EK14" s="361"/>
      <c r="EL14" s="361"/>
      <c r="EM14" s="361"/>
      <c r="EN14" s="361"/>
      <c r="EO14" s="361"/>
      <c r="EP14" s="361"/>
      <c r="EQ14" s="361"/>
      <c r="ER14" s="361"/>
      <c r="ES14" s="361"/>
      <c r="ET14" s="361"/>
      <c r="EU14" s="361"/>
      <c r="EV14" s="361"/>
      <c r="EW14" s="361"/>
      <c r="EX14" s="361"/>
      <c r="EY14" s="361"/>
      <c r="EZ14" s="361"/>
      <c r="FA14" s="361"/>
      <c r="FB14" s="361"/>
      <c r="FC14" s="361"/>
      <c r="FD14" s="361"/>
      <c r="FE14" s="361"/>
      <c r="FF14" s="361"/>
      <c r="FG14" s="361"/>
      <c r="FH14" s="361"/>
      <c r="FI14" s="361"/>
      <c r="FJ14" s="361"/>
      <c r="FK14" s="361"/>
      <c r="FL14" s="361"/>
      <c r="FM14" s="361"/>
      <c r="FN14" s="361"/>
      <c r="FO14" s="361"/>
      <c r="FP14" s="361"/>
      <c r="FQ14" s="361"/>
      <c r="FR14" s="361"/>
      <c r="FS14" s="361"/>
      <c r="FT14" s="361"/>
      <c r="FU14" s="361"/>
      <c r="FV14" s="361"/>
      <c r="FW14" s="361"/>
      <c r="FX14" s="361"/>
      <c r="FY14" s="361"/>
      <c r="FZ14" s="361"/>
      <c r="GA14" s="361"/>
      <c r="GB14" s="361"/>
      <c r="GC14" s="361"/>
      <c r="GD14" s="361"/>
      <c r="GE14" s="361"/>
      <c r="GF14" s="361"/>
      <c r="GG14" s="361"/>
      <c r="GH14" s="361"/>
      <c r="GI14" s="361"/>
      <c r="GJ14" s="361"/>
      <c r="GK14" s="361"/>
      <c r="GL14" s="361"/>
      <c r="GM14" s="361"/>
      <c r="GN14" s="361"/>
      <c r="GO14" s="361"/>
      <c r="GP14" s="361"/>
      <c r="GQ14" s="361"/>
      <c r="GR14" s="361"/>
      <c r="GS14" s="361"/>
      <c r="GT14" s="361"/>
      <c r="GU14" s="361"/>
      <c r="GV14" s="361"/>
      <c r="GW14" s="361"/>
      <c r="GX14" s="361"/>
      <c r="GY14" s="361"/>
      <c r="GZ14" s="361"/>
      <c r="HA14" s="361"/>
      <c r="HB14" s="361"/>
      <c r="HC14" s="361"/>
      <c r="HD14" s="361"/>
      <c r="HE14" s="361"/>
    </row>
    <row r="15" spans="1:213" s="823" customFormat="1" ht="17.25" thickBot="1">
      <c r="A15" s="815">
        <v>8</v>
      </c>
      <c r="B15" s="816" t="s">
        <v>3114</v>
      </c>
      <c r="C15" s="785"/>
      <c r="D15" s="785" t="s">
        <v>3115</v>
      </c>
      <c r="E15" s="776" t="s">
        <v>3101</v>
      </c>
      <c r="F15" s="817">
        <v>0</v>
      </c>
      <c r="G15" s="818" t="s">
        <v>15</v>
      </c>
      <c r="H15" s="779">
        <v>150</v>
      </c>
      <c r="I15" s="779"/>
      <c r="J15" s="780">
        <f t="shared" si="2"/>
        <v>150</v>
      </c>
      <c r="K15" s="781"/>
      <c r="L15" s="779"/>
      <c r="M15" s="782">
        <f t="shared" si="3"/>
        <v>0</v>
      </c>
      <c r="N15" s="783"/>
      <c r="O15" s="779"/>
      <c r="P15" s="784">
        <f t="shared" si="36"/>
        <v>0</v>
      </c>
      <c r="Q15" s="781"/>
      <c r="R15" s="779"/>
      <c r="S15" s="784">
        <f t="shared" si="4"/>
        <v>0</v>
      </c>
      <c r="T15" s="781"/>
      <c r="U15" s="779"/>
      <c r="V15" s="784">
        <f t="shared" si="5"/>
        <v>0</v>
      </c>
      <c r="W15" s="781">
        <v>40</v>
      </c>
      <c r="X15" s="779"/>
      <c r="Y15" s="780">
        <f t="shared" si="6"/>
        <v>40</v>
      </c>
      <c r="Z15" s="781"/>
      <c r="AA15" s="779"/>
      <c r="AB15" s="785">
        <f t="shared" si="7"/>
        <v>0</v>
      </c>
      <c r="AC15" s="785"/>
      <c r="AD15" s="785"/>
      <c r="AE15" s="780">
        <f t="shared" si="8"/>
        <v>0</v>
      </c>
      <c r="AF15" s="780"/>
      <c r="AG15" s="780"/>
      <c r="AH15" s="780">
        <f t="shared" si="9"/>
        <v>0</v>
      </c>
      <c r="AI15" s="786"/>
      <c r="AJ15" s="780"/>
      <c r="AK15" s="780">
        <f t="shared" si="10"/>
        <v>0</v>
      </c>
      <c r="AL15" s="781"/>
      <c r="AM15" s="779"/>
      <c r="AN15" s="780">
        <f t="shared" si="11"/>
        <v>0</v>
      </c>
      <c r="AO15" s="781"/>
      <c r="AP15" s="779"/>
      <c r="AQ15" s="789">
        <f t="shared" si="12"/>
        <v>0</v>
      </c>
      <c r="AR15" s="819">
        <f t="shared" si="13"/>
        <v>190</v>
      </c>
      <c r="AS15" s="820">
        <f t="shared" si="0"/>
        <v>0</v>
      </c>
      <c r="AT15" s="779">
        <f t="shared" si="14"/>
        <v>190</v>
      </c>
      <c r="AU15" s="792">
        <f t="shared" si="15"/>
        <v>15.833333333333334</v>
      </c>
      <c r="AV15" s="792">
        <f t="shared" si="16"/>
        <v>0</v>
      </c>
      <c r="AW15" s="821">
        <f t="shared" si="17"/>
        <v>15.833333333333334</v>
      </c>
      <c r="AX15" s="821">
        <f t="shared" si="18"/>
        <v>7916.666666666667</v>
      </c>
      <c r="AY15" s="821">
        <f t="shared" si="19"/>
        <v>0</v>
      </c>
      <c r="AZ15" s="822">
        <f t="shared" si="20"/>
        <v>7916.666666666667</v>
      </c>
      <c r="BA15" s="779"/>
      <c r="BB15" s="779"/>
      <c r="BC15" s="796">
        <f t="shared" si="21"/>
        <v>0</v>
      </c>
      <c r="BD15" s="779"/>
      <c r="BE15" s="779"/>
      <c r="BF15" s="796">
        <f t="shared" si="22"/>
        <v>0</v>
      </c>
      <c r="BG15" s="779"/>
      <c r="BH15" s="779"/>
      <c r="BI15" s="796">
        <f t="shared" si="23"/>
        <v>0</v>
      </c>
      <c r="BJ15" s="779"/>
      <c r="BK15" s="779"/>
      <c r="BL15" s="797">
        <f t="shared" si="24"/>
        <v>0</v>
      </c>
      <c r="BM15" s="781"/>
      <c r="BN15" s="779"/>
      <c r="BO15" s="772">
        <f t="shared" si="25"/>
        <v>0</v>
      </c>
      <c r="BP15" s="781"/>
      <c r="BQ15" s="779"/>
      <c r="BR15" s="693">
        <f t="shared" si="26"/>
        <v>0</v>
      </c>
      <c r="BS15" s="781"/>
      <c r="BT15" s="779"/>
      <c r="BU15" s="693">
        <f t="shared" ref="BU15:BU27" si="37">BS15+BT15</f>
        <v>0</v>
      </c>
      <c r="BV15" s="693"/>
      <c r="BW15" s="693"/>
      <c r="BX15" s="693">
        <f t="shared" ref="BX15:BX27" si="38">BV15+BW15</f>
        <v>0</v>
      </c>
      <c r="BY15" s="693"/>
      <c r="BZ15" s="693"/>
      <c r="CA15" s="693">
        <f t="shared" ref="CA15:CA27" si="39">BY15+BZ15</f>
        <v>0</v>
      </c>
      <c r="CB15" s="174">
        <f t="shared" si="30"/>
        <v>0</v>
      </c>
      <c r="CC15" s="174">
        <f t="shared" si="31"/>
        <v>0</v>
      </c>
      <c r="CD15" s="174">
        <f t="shared" si="32"/>
        <v>0</v>
      </c>
      <c r="CE15" s="175">
        <f t="shared" si="33"/>
        <v>0</v>
      </c>
      <c r="CF15" s="175">
        <f t="shared" si="34"/>
        <v>0</v>
      </c>
      <c r="CG15" s="175">
        <f t="shared" si="35"/>
        <v>0</v>
      </c>
    </row>
    <row r="16" spans="1:213" ht="17.25" thickBot="1">
      <c r="A16" s="760">
        <v>9</v>
      </c>
      <c r="B16" s="799" t="s">
        <v>3116</v>
      </c>
      <c r="C16" s="15"/>
      <c r="D16" s="15" t="s">
        <v>3117</v>
      </c>
      <c r="E16" s="762" t="s">
        <v>3101</v>
      </c>
      <c r="F16" s="800">
        <v>13.33</v>
      </c>
      <c r="G16" s="801" t="s">
        <v>18</v>
      </c>
      <c r="H16" s="1">
        <v>50</v>
      </c>
      <c r="I16" s="1"/>
      <c r="J16" s="372">
        <f t="shared" si="2"/>
        <v>50</v>
      </c>
      <c r="K16" s="382"/>
      <c r="L16" s="1"/>
      <c r="M16" s="694">
        <f t="shared" si="3"/>
        <v>0</v>
      </c>
      <c r="N16" s="103"/>
      <c r="O16" s="1"/>
      <c r="P16" s="105">
        <f t="shared" si="36"/>
        <v>0</v>
      </c>
      <c r="Q16" s="382"/>
      <c r="R16" s="1"/>
      <c r="S16" s="105">
        <f t="shared" si="4"/>
        <v>0</v>
      </c>
      <c r="T16" s="382"/>
      <c r="U16" s="1"/>
      <c r="V16" s="105">
        <f t="shared" si="5"/>
        <v>0</v>
      </c>
      <c r="W16" s="382">
        <v>60</v>
      </c>
      <c r="X16" s="1"/>
      <c r="Y16" s="372">
        <f t="shared" si="6"/>
        <v>60</v>
      </c>
      <c r="Z16" s="382"/>
      <c r="AA16" s="1"/>
      <c r="AB16" s="379">
        <f t="shared" si="7"/>
        <v>0</v>
      </c>
      <c r="AC16" s="379"/>
      <c r="AD16" s="379"/>
      <c r="AE16" s="372">
        <f t="shared" si="8"/>
        <v>0</v>
      </c>
      <c r="AF16" s="372"/>
      <c r="AG16" s="372"/>
      <c r="AH16" s="372">
        <f t="shared" si="9"/>
        <v>0</v>
      </c>
      <c r="AI16" s="765"/>
      <c r="AJ16" s="372"/>
      <c r="AK16" s="372">
        <f t="shared" si="10"/>
        <v>0</v>
      </c>
      <c r="AL16" s="382"/>
      <c r="AM16" s="1"/>
      <c r="AN16" s="372">
        <f t="shared" si="11"/>
        <v>0</v>
      </c>
      <c r="AO16" s="78"/>
      <c r="AP16" s="6"/>
      <c r="AQ16" s="697">
        <f t="shared" si="12"/>
        <v>0</v>
      </c>
      <c r="AR16" s="766">
        <f t="shared" si="13"/>
        <v>110</v>
      </c>
      <c r="AS16" s="692">
        <f t="shared" si="0"/>
        <v>0</v>
      </c>
      <c r="AT16" s="6">
        <f t="shared" si="14"/>
        <v>110</v>
      </c>
      <c r="AU16" s="585">
        <f t="shared" si="15"/>
        <v>9.1666666666666661</v>
      </c>
      <c r="AV16" s="585">
        <f t="shared" si="16"/>
        <v>0</v>
      </c>
      <c r="AW16" s="494">
        <f t="shared" si="17"/>
        <v>9.1666666666666661</v>
      </c>
      <c r="AX16" s="217">
        <f t="shared" si="18"/>
        <v>4583.333333333333</v>
      </c>
      <c r="AY16" s="217">
        <f t="shared" si="19"/>
        <v>0</v>
      </c>
      <c r="AZ16" s="695">
        <f t="shared" si="20"/>
        <v>4583.333333333333</v>
      </c>
      <c r="BA16" s="1">
        <v>98</v>
      </c>
      <c r="BB16" s="1"/>
      <c r="BC16" s="769">
        <f t="shared" si="21"/>
        <v>98</v>
      </c>
      <c r="BD16" s="1"/>
      <c r="BE16" s="1"/>
      <c r="BF16" s="769">
        <f t="shared" si="22"/>
        <v>0</v>
      </c>
      <c r="BG16" s="1">
        <v>98</v>
      </c>
      <c r="BH16" s="1"/>
      <c r="BI16" s="769">
        <f t="shared" si="23"/>
        <v>98</v>
      </c>
      <c r="BJ16" s="1"/>
      <c r="BK16" s="1"/>
      <c r="BL16" s="770">
        <f t="shared" si="24"/>
        <v>0</v>
      </c>
      <c r="BM16" s="78"/>
      <c r="BN16" s="6"/>
      <c r="BO16" s="772">
        <f t="shared" si="25"/>
        <v>0</v>
      </c>
      <c r="BP16" s="78"/>
      <c r="BQ16" s="6"/>
      <c r="BR16" s="693">
        <f t="shared" si="26"/>
        <v>0</v>
      </c>
      <c r="BS16" s="78"/>
      <c r="BT16" s="6"/>
      <c r="BU16" s="693">
        <f t="shared" si="37"/>
        <v>0</v>
      </c>
      <c r="BV16" s="693"/>
      <c r="BW16" s="693"/>
      <c r="BX16" s="693">
        <f t="shared" si="38"/>
        <v>0</v>
      </c>
      <c r="BY16" s="693"/>
      <c r="BZ16" s="693"/>
      <c r="CA16" s="693">
        <f t="shared" si="39"/>
        <v>0</v>
      </c>
      <c r="CB16" s="174">
        <f t="shared" si="30"/>
        <v>196</v>
      </c>
      <c r="CC16" s="174">
        <f t="shared" si="31"/>
        <v>0</v>
      </c>
      <c r="CD16" s="174">
        <f t="shared" si="32"/>
        <v>196</v>
      </c>
      <c r="CE16" s="175">
        <f t="shared" si="33"/>
        <v>21.777777777777779</v>
      </c>
      <c r="CF16" s="175">
        <f t="shared" si="34"/>
        <v>0</v>
      </c>
      <c r="CG16" s="175">
        <f t="shared" si="35"/>
        <v>21.777777777777779</v>
      </c>
    </row>
    <row r="17" spans="1:213" ht="17.25" thickBot="1">
      <c r="A17" s="802">
        <v>10</v>
      </c>
      <c r="B17" s="804" t="s">
        <v>3118</v>
      </c>
      <c r="C17" s="15"/>
      <c r="D17" s="713" t="s">
        <v>3119</v>
      </c>
      <c r="E17" s="824" t="s">
        <v>3101</v>
      </c>
      <c r="F17" s="800">
        <v>53.33</v>
      </c>
      <c r="G17" s="801" t="s">
        <v>18</v>
      </c>
      <c r="H17" s="1">
        <v>40</v>
      </c>
      <c r="I17" s="1"/>
      <c r="J17" s="372">
        <f t="shared" si="2"/>
        <v>40</v>
      </c>
      <c r="K17" s="382"/>
      <c r="L17" s="1"/>
      <c r="M17" s="694">
        <f t="shared" si="3"/>
        <v>0</v>
      </c>
      <c r="N17" s="103">
        <v>150</v>
      </c>
      <c r="O17" s="1"/>
      <c r="P17" s="105">
        <f t="shared" si="36"/>
        <v>150</v>
      </c>
      <c r="Q17" s="382"/>
      <c r="R17" s="1"/>
      <c r="S17" s="105">
        <f t="shared" si="4"/>
        <v>0</v>
      </c>
      <c r="T17" s="382"/>
      <c r="U17" s="1"/>
      <c r="V17" s="105">
        <f t="shared" si="5"/>
        <v>0</v>
      </c>
      <c r="W17" s="382"/>
      <c r="X17" s="1"/>
      <c r="Y17" s="372">
        <f t="shared" si="6"/>
        <v>0</v>
      </c>
      <c r="Z17" s="382"/>
      <c r="AA17" s="1"/>
      <c r="AB17" s="379">
        <f t="shared" si="7"/>
        <v>0</v>
      </c>
      <c r="AC17" s="379"/>
      <c r="AD17" s="379"/>
      <c r="AE17" s="372">
        <f t="shared" si="8"/>
        <v>0</v>
      </c>
      <c r="AF17" s="372"/>
      <c r="AG17" s="372"/>
      <c r="AH17" s="372">
        <f t="shared" si="9"/>
        <v>0</v>
      </c>
      <c r="AI17" s="765"/>
      <c r="AJ17" s="372"/>
      <c r="AK17" s="372">
        <f t="shared" si="10"/>
        <v>0</v>
      </c>
      <c r="AL17" s="382"/>
      <c r="AM17" s="1"/>
      <c r="AN17" s="372">
        <f t="shared" si="11"/>
        <v>0</v>
      </c>
      <c r="AO17" s="78">
        <v>158</v>
      </c>
      <c r="AP17" s="6"/>
      <c r="AQ17" s="697">
        <f t="shared" si="12"/>
        <v>158</v>
      </c>
      <c r="AR17" s="766">
        <f t="shared" si="13"/>
        <v>190</v>
      </c>
      <c r="AS17" s="692">
        <f t="shared" si="0"/>
        <v>0</v>
      </c>
      <c r="AT17" s="6">
        <f t="shared" si="14"/>
        <v>190</v>
      </c>
      <c r="AU17" s="585">
        <f t="shared" si="15"/>
        <v>15.833333333333334</v>
      </c>
      <c r="AV17" s="585">
        <f t="shared" si="16"/>
        <v>0</v>
      </c>
      <c r="AW17" s="494">
        <f t="shared" si="17"/>
        <v>15.833333333333334</v>
      </c>
      <c r="AX17" s="217">
        <f t="shared" si="18"/>
        <v>7916.666666666667</v>
      </c>
      <c r="AY17" s="217">
        <f t="shared" si="19"/>
        <v>0</v>
      </c>
      <c r="AZ17" s="695">
        <f t="shared" si="20"/>
        <v>7916.666666666667</v>
      </c>
      <c r="BA17" s="1">
        <v>304</v>
      </c>
      <c r="BB17" s="1"/>
      <c r="BC17" s="769">
        <f t="shared" si="21"/>
        <v>304</v>
      </c>
      <c r="BD17" s="1"/>
      <c r="BE17" s="1"/>
      <c r="BF17" s="769">
        <f t="shared" si="22"/>
        <v>0</v>
      </c>
      <c r="BG17" s="1">
        <v>300</v>
      </c>
      <c r="BH17" s="1"/>
      <c r="BI17" s="769">
        <f t="shared" si="23"/>
        <v>300</v>
      </c>
      <c r="BJ17" s="1"/>
      <c r="BK17" s="1"/>
      <c r="BL17" s="770">
        <f t="shared" si="24"/>
        <v>0</v>
      </c>
      <c r="BM17" s="78">
        <v>300</v>
      </c>
      <c r="BN17" s="6"/>
      <c r="BO17" s="772">
        <f t="shared" si="25"/>
        <v>300</v>
      </c>
      <c r="BP17" s="78"/>
      <c r="BQ17" s="6"/>
      <c r="BR17" s="693">
        <f t="shared" si="26"/>
        <v>0</v>
      </c>
      <c r="BS17" s="78"/>
      <c r="BT17" s="6"/>
      <c r="BU17" s="693">
        <f t="shared" si="37"/>
        <v>0</v>
      </c>
      <c r="BV17" s="693"/>
      <c r="BW17" s="693"/>
      <c r="BX17" s="693">
        <f t="shared" si="38"/>
        <v>0</v>
      </c>
      <c r="BY17" s="693"/>
      <c r="BZ17" s="693"/>
      <c r="CA17" s="693">
        <f t="shared" si="39"/>
        <v>0</v>
      </c>
      <c r="CB17" s="174">
        <f t="shared" si="30"/>
        <v>904</v>
      </c>
      <c r="CC17" s="174">
        <f t="shared" si="31"/>
        <v>0</v>
      </c>
      <c r="CD17" s="174">
        <f t="shared" si="32"/>
        <v>904</v>
      </c>
      <c r="CE17" s="175">
        <f t="shared" si="33"/>
        <v>100.44444444444444</v>
      </c>
      <c r="CF17" s="175">
        <f t="shared" si="34"/>
        <v>0</v>
      </c>
      <c r="CG17" s="175">
        <f t="shared" si="35"/>
        <v>100.44444444444444</v>
      </c>
    </row>
    <row r="18" spans="1:213" s="798" customFormat="1" ht="17.25" thickBot="1">
      <c r="A18" s="825">
        <v>11</v>
      </c>
      <c r="B18" s="816" t="s">
        <v>3120</v>
      </c>
      <c r="C18" s="785"/>
      <c r="D18" s="785" t="s">
        <v>3121</v>
      </c>
      <c r="E18" s="826" t="s">
        <v>3101</v>
      </c>
      <c r="F18" s="817">
        <v>6.67</v>
      </c>
      <c r="G18" s="818" t="s">
        <v>18</v>
      </c>
      <c r="H18" s="779"/>
      <c r="I18" s="779"/>
      <c r="J18" s="780">
        <f t="shared" si="2"/>
        <v>0</v>
      </c>
      <c r="K18" s="781"/>
      <c r="L18" s="779"/>
      <c r="M18" s="782">
        <f t="shared" si="3"/>
        <v>0</v>
      </c>
      <c r="N18" s="783"/>
      <c r="O18" s="779"/>
      <c r="P18" s="784">
        <f t="shared" si="36"/>
        <v>0</v>
      </c>
      <c r="Q18" s="781"/>
      <c r="R18" s="779"/>
      <c r="S18" s="784">
        <f t="shared" si="4"/>
        <v>0</v>
      </c>
      <c r="T18" s="781"/>
      <c r="U18" s="779"/>
      <c r="V18" s="784">
        <f t="shared" si="5"/>
        <v>0</v>
      </c>
      <c r="W18" s="781">
        <v>55</v>
      </c>
      <c r="X18" s="779"/>
      <c r="Y18" s="780">
        <f t="shared" si="6"/>
        <v>55</v>
      </c>
      <c r="Z18" s="781"/>
      <c r="AA18" s="779"/>
      <c r="AB18" s="785">
        <f t="shared" si="7"/>
        <v>0</v>
      </c>
      <c r="AC18" s="785"/>
      <c r="AD18" s="785"/>
      <c r="AE18" s="780">
        <f t="shared" si="8"/>
        <v>0</v>
      </c>
      <c r="AF18" s="780"/>
      <c r="AG18" s="780"/>
      <c r="AH18" s="780">
        <f t="shared" si="9"/>
        <v>0</v>
      </c>
      <c r="AI18" s="786"/>
      <c r="AJ18" s="780"/>
      <c r="AK18" s="780">
        <f t="shared" si="10"/>
        <v>0</v>
      </c>
      <c r="AL18" s="781"/>
      <c r="AM18" s="779"/>
      <c r="AN18" s="780">
        <f t="shared" si="11"/>
        <v>0</v>
      </c>
      <c r="AO18" s="787"/>
      <c r="AP18" s="788"/>
      <c r="AQ18" s="789">
        <f t="shared" si="12"/>
        <v>0</v>
      </c>
      <c r="AR18" s="790">
        <f t="shared" si="13"/>
        <v>55</v>
      </c>
      <c r="AS18" s="791">
        <f t="shared" si="0"/>
        <v>0</v>
      </c>
      <c r="AT18" s="788">
        <f t="shared" si="14"/>
        <v>55</v>
      </c>
      <c r="AU18" s="792">
        <f t="shared" si="15"/>
        <v>4.583333333333333</v>
      </c>
      <c r="AV18" s="792">
        <f t="shared" si="16"/>
        <v>0</v>
      </c>
      <c r="AW18" s="793">
        <f t="shared" si="17"/>
        <v>4.583333333333333</v>
      </c>
      <c r="AX18" s="794">
        <f t="shared" si="18"/>
        <v>2291.6666666666665</v>
      </c>
      <c r="AY18" s="794">
        <f t="shared" si="19"/>
        <v>0</v>
      </c>
      <c r="AZ18" s="795">
        <f t="shared" si="20"/>
        <v>2291.6666666666665</v>
      </c>
      <c r="BA18" s="779">
        <v>26</v>
      </c>
      <c r="BB18" s="779"/>
      <c r="BC18" s="796">
        <f t="shared" si="21"/>
        <v>26</v>
      </c>
      <c r="BD18" s="779">
        <v>67</v>
      </c>
      <c r="BE18" s="779"/>
      <c r="BF18" s="796">
        <f t="shared" si="22"/>
        <v>67</v>
      </c>
      <c r="BG18" s="779"/>
      <c r="BH18" s="779"/>
      <c r="BI18" s="796">
        <f t="shared" si="23"/>
        <v>0</v>
      </c>
      <c r="BJ18" s="779"/>
      <c r="BK18" s="779"/>
      <c r="BL18" s="797">
        <f t="shared" si="24"/>
        <v>0</v>
      </c>
      <c r="BM18" s="787"/>
      <c r="BN18" s="788"/>
      <c r="BO18" s="772">
        <f t="shared" si="25"/>
        <v>0</v>
      </c>
      <c r="BP18" s="787"/>
      <c r="BQ18" s="788"/>
      <c r="BR18" s="693">
        <f t="shared" si="26"/>
        <v>0</v>
      </c>
      <c r="BS18" s="787"/>
      <c r="BT18" s="788"/>
      <c r="BU18" s="693">
        <f t="shared" si="37"/>
        <v>0</v>
      </c>
      <c r="BV18" s="693"/>
      <c r="BW18" s="693"/>
      <c r="BX18" s="693">
        <f t="shared" si="38"/>
        <v>0</v>
      </c>
      <c r="BY18" s="693"/>
      <c r="BZ18" s="693"/>
      <c r="CA18" s="693">
        <f t="shared" si="39"/>
        <v>0</v>
      </c>
      <c r="CB18" s="174">
        <f t="shared" si="30"/>
        <v>93</v>
      </c>
      <c r="CC18" s="174">
        <f t="shared" si="31"/>
        <v>0</v>
      </c>
      <c r="CD18" s="174">
        <f t="shared" si="32"/>
        <v>93</v>
      </c>
      <c r="CE18" s="175">
        <f t="shared" si="33"/>
        <v>10.333333333333334</v>
      </c>
      <c r="CF18" s="175">
        <f t="shared" si="34"/>
        <v>0</v>
      </c>
      <c r="CG18" s="175">
        <f t="shared" si="35"/>
        <v>10.333333333333334</v>
      </c>
      <c r="CH18" s="823"/>
      <c r="CI18" s="823"/>
      <c r="CJ18" s="823"/>
      <c r="CK18" s="823"/>
      <c r="CL18" s="823"/>
      <c r="CM18" s="823"/>
      <c r="CN18" s="823"/>
      <c r="CO18" s="823"/>
      <c r="CP18" s="823"/>
      <c r="CQ18" s="823"/>
      <c r="CR18" s="823"/>
      <c r="CS18" s="823"/>
      <c r="CT18" s="823"/>
      <c r="CU18" s="823"/>
      <c r="CV18" s="823"/>
      <c r="CW18" s="823"/>
      <c r="CX18" s="823"/>
      <c r="CY18" s="823"/>
      <c r="CZ18" s="823"/>
      <c r="DA18" s="823"/>
      <c r="DB18" s="823"/>
      <c r="DC18" s="823"/>
      <c r="DD18" s="823"/>
      <c r="DE18" s="823"/>
      <c r="DF18" s="823"/>
      <c r="DG18" s="823"/>
      <c r="DH18" s="823"/>
      <c r="DI18" s="823"/>
      <c r="DJ18" s="823"/>
      <c r="DK18" s="823"/>
      <c r="DL18" s="823"/>
      <c r="DM18" s="823"/>
      <c r="DN18" s="823"/>
      <c r="DO18" s="823"/>
      <c r="DP18" s="823"/>
      <c r="DQ18" s="823"/>
      <c r="DR18" s="823"/>
      <c r="DS18" s="823"/>
      <c r="DT18" s="823"/>
      <c r="DU18" s="823"/>
      <c r="DV18" s="823"/>
      <c r="DW18" s="823"/>
      <c r="DX18" s="823"/>
      <c r="DY18" s="823"/>
      <c r="DZ18" s="823"/>
      <c r="EA18" s="823"/>
      <c r="EB18" s="823"/>
      <c r="EC18" s="823"/>
      <c r="ED18" s="823"/>
      <c r="EE18" s="823"/>
      <c r="EF18" s="823"/>
      <c r="EG18" s="823"/>
      <c r="EH18" s="823"/>
      <c r="EI18" s="823"/>
      <c r="EJ18" s="823"/>
      <c r="EK18" s="823"/>
      <c r="EL18" s="823"/>
      <c r="EM18" s="823"/>
      <c r="EN18" s="823"/>
      <c r="EO18" s="823"/>
      <c r="EP18" s="823"/>
      <c r="EQ18" s="823"/>
      <c r="ER18" s="823"/>
      <c r="ES18" s="823"/>
      <c r="ET18" s="823"/>
      <c r="EU18" s="823"/>
      <c r="EV18" s="823"/>
      <c r="EW18" s="823"/>
      <c r="EX18" s="823"/>
      <c r="EY18" s="823"/>
      <c r="EZ18" s="823"/>
      <c r="FA18" s="823"/>
      <c r="FB18" s="823"/>
      <c r="FC18" s="823"/>
      <c r="FD18" s="823"/>
      <c r="FE18" s="823"/>
      <c r="FF18" s="823"/>
      <c r="FG18" s="823"/>
      <c r="FH18" s="823"/>
      <c r="FI18" s="823"/>
      <c r="FJ18" s="823"/>
      <c r="FK18" s="823"/>
      <c r="FL18" s="823"/>
      <c r="FM18" s="823"/>
      <c r="FN18" s="823"/>
      <c r="FO18" s="823"/>
      <c r="FP18" s="823"/>
      <c r="FQ18" s="823"/>
      <c r="FR18" s="823"/>
      <c r="FS18" s="823"/>
      <c r="FT18" s="823"/>
      <c r="FU18" s="823"/>
      <c r="FV18" s="823"/>
      <c r="FW18" s="823"/>
      <c r="FX18" s="823"/>
      <c r="FY18" s="823"/>
      <c r="FZ18" s="823"/>
      <c r="GA18" s="823"/>
      <c r="GB18" s="823"/>
      <c r="GC18" s="823"/>
      <c r="GD18" s="823"/>
      <c r="GE18" s="823"/>
      <c r="GF18" s="823"/>
      <c r="GG18" s="823"/>
      <c r="GH18" s="823"/>
      <c r="GI18" s="823"/>
      <c r="GJ18" s="823"/>
      <c r="GK18" s="823"/>
      <c r="GL18" s="823"/>
      <c r="GM18" s="823"/>
      <c r="GN18" s="823"/>
      <c r="GO18" s="823"/>
      <c r="GP18" s="823"/>
      <c r="GQ18" s="823"/>
      <c r="GR18" s="823"/>
      <c r="GS18" s="823"/>
      <c r="GT18" s="823"/>
      <c r="GU18" s="823"/>
      <c r="GV18" s="823"/>
      <c r="GW18" s="823"/>
      <c r="GX18" s="823"/>
      <c r="GY18" s="823"/>
      <c r="GZ18" s="823"/>
      <c r="HA18" s="823"/>
      <c r="HB18" s="823"/>
      <c r="HC18" s="823"/>
      <c r="HD18" s="823"/>
      <c r="HE18" s="823"/>
    </row>
    <row r="19" spans="1:213" ht="17.25" thickBot="1">
      <c r="A19" s="802">
        <v>12</v>
      </c>
      <c r="B19" s="804" t="s">
        <v>3122</v>
      </c>
      <c r="C19" s="15"/>
      <c r="D19" s="15" t="s">
        <v>3123</v>
      </c>
      <c r="E19" s="803" t="s">
        <v>3101</v>
      </c>
      <c r="F19" s="800">
        <v>0</v>
      </c>
      <c r="G19" s="801" t="s">
        <v>18</v>
      </c>
      <c r="H19" s="1">
        <v>0</v>
      </c>
      <c r="I19" s="1"/>
      <c r="J19" s="372">
        <f t="shared" si="2"/>
        <v>0</v>
      </c>
      <c r="K19" s="382">
        <v>10</v>
      </c>
      <c r="L19" s="1"/>
      <c r="M19" s="694">
        <f t="shared" si="3"/>
        <v>10</v>
      </c>
      <c r="N19" s="103">
        <v>25</v>
      </c>
      <c r="O19" s="1"/>
      <c r="P19" s="105">
        <f t="shared" si="36"/>
        <v>25</v>
      </c>
      <c r="Q19" s="382"/>
      <c r="R19" s="1"/>
      <c r="S19" s="105">
        <f t="shared" si="4"/>
        <v>0</v>
      </c>
      <c r="T19" s="382"/>
      <c r="U19" s="1"/>
      <c r="V19" s="105">
        <f t="shared" si="5"/>
        <v>0</v>
      </c>
      <c r="W19" s="382"/>
      <c r="X19" s="1"/>
      <c r="Y19" s="372">
        <f t="shared" si="6"/>
        <v>0</v>
      </c>
      <c r="Z19" s="382"/>
      <c r="AA19" s="1"/>
      <c r="AB19" s="379">
        <f t="shared" si="7"/>
        <v>0</v>
      </c>
      <c r="AC19" s="379"/>
      <c r="AD19" s="379"/>
      <c r="AE19" s="372">
        <f t="shared" si="8"/>
        <v>0</v>
      </c>
      <c r="AF19" s="372">
        <v>20</v>
      </c>
      <c r="AG19" s="372"/>
      <c r="AH19" s="372">
        <f t="shared" si="9"/>
        <v>20</v>
      </c>
      <c r="AI19" s="765"/>
      <c r="AJ19" s="372"/>
      <c r="AK19" s="372">
        <f t="shared" si="10"/>
        <v>0</v>
      </c>
      <c r="AL19" s="382"/>
      <c r="AM19" s="1"/>
      <c r="AN19" s="372">
        <f t="shared" si="11"/>
        <v>0</v>
      </c>
      <c r="AO19" s="78"/>
      <c r="AP19" s="6"/>
      <c r="AQ19" s="697">
        <f t="shared" si="12"/>
        <v>0</v>
      </c>
      <c r="AR19" s="766">
        <f t="shared" si="13"/>
        <v>55</v>
      </c>
      <c r="AS19" s="692">
        <f t="shared" si="0"/>
        <v>0</v>
      </c>
      <c r="AT19" s="6">
        <f t="shared" si="14"/>
        <v>55</v>
      </c>
      <c r="AU19" s="585">
        <f t="shared" si="15"/>
        <v>4.583333333333333</v>
      </c>
      <c r="AV19" s="585">
        <f t="shared" si="16"/>
        <v>0</v>
      </c>
      <c r="AW19" s="494">
        <f t="shared" si="17"/>
        <v>4.583333333333333</v>
      </c>
      <c r="AX19" s="217">
        <f t="shared" si="18"/>
        <v>2291.6666666666665</v>
      </c>
      <c r="AY19" s="217">
        <f t="shared" si="19"/>
        <v>0</v>
      </c>
      <c r="AZ19" s="695">
        <f t="shared" si="20"/>
        <v>2291.6666666666665</v>
      </c>
      <c r="BA19" s="1"/>
      <c r="BB19" s="1"/>
      <c r="BC19" s="769">
        <f t="shared" si="21"/>
        <v>0</v>
      </c>
      <c r="BD19" s="1"/>
      <c r="BE19" s="1"/>
      <c r="BF19" s="769">
        <f t="shared" si="22"/>
        <v>0</v>
      </c>
      <c r="BG19" s="1">
        <v>10</v>
      </c>
      <c r="BH19" s="1"/>
      <c r="BI19" s="769">
        <f t="shared" si="23"/>
        <v>10</v>
      </c>
      <c r="BJ19" s="1"/>
      <c r="BK19" s="1"/>
      <c r="BL19" s="770">
        <f t="shared" si="24"/>
        <v>0</v>
      </c>
      <c r="BM19" s="78"/>
      <c r="BN19" s="6"/>
      <c r="BO19" s="772">
        <f t="shared" si="25"/>
        <v>0</v>
      </c>
      <c r="BP19" s="78"/>
      <c r="BQ19" s="6"/>
      <c r="BR19" s="693">
        <f t="shared" si="26"/>
        <v>0</v>
      </c>
      <c r="BS19" s="78"/>
      <c r="BT19" s="6"/>
      <c r="BU19" s="693">
        <f t="shared" si="37"/>
        <v>0</v>
      </c>
      <c r="BV19" s="693"/>
      <c r="BW19" s="693"/>
      <c r="BX19" s="693">
        <f t="shared" si="38"/>
        <v>0</v>
      </c>
      <c r="BY19" s="693"/>
      <c r="BZ19" s="693"/>
      <c r="CA19" s="693">
        <f t="shared" si="39"/>
        <v>0</v>
      </c>
      <c r="CB19" s="174">
        <f t="shared" si="30"/>
        <v>10</v>
      </c>
      <c r="CC19" s="174">
        <f t="shared" si="31"/>
        <v>0</v>
      </c>
      <c r="CD19" s="174">
        <f t="shared" si="32"/>
        <v>10</v>
      </c>
      <c r="CE19" s="175">
        <f t="shared" si="33"/>
        <v>1.1111111111111112</v>
      </c>
      <c r="CF19" s="175">
        <f t="shared" si="34"/>
        <v>0</v>
      </c>
      <c r="CG19" s="175">
        <f t="shared" si="35"/>
        <v>1.1111111111111112</v>
      </c>
    </row>
    <row r="20" spans="1:213" ht="17.25" thickBot="1">
      <c r="A20" s="760">
        <v>13</v>
      </c>
      <c r="B20" s="827" t="s">
        <v>3124</v>
      </c>
      <c r="C20" s="15"/>
      <c r="D20" s="15" t="s">
        <v>3125</v>
      </c>
      <c r="E20" s="762" t="s">
        <v>3101</v>
      </c>
      <c r="F20" s="800">
        <v>0</v>
      </c>
      <c r="G20" s="801" t="s">
        <v>18</v>
      </c>
      <c r="H20" s="1">
        <v>0</v>
      </c>
      <c r="I20" s="1"/>
      <c r="J20" s="372">
        <f t="shared" si="2"/>
        <v>0</v>
      </c>
      <c r="K20" s="382">
        <v>10</v>
      </c>
      <c r="L20" s="1"/>
      <c r="M20" s="694">
        <f t="shared" si="3"/>
        <v>10</v>
      </c>
      <c r="N20" s="103">
        <v>20</v>
      </c>
      <c r="O20" s="1"/>
      <c r="P20" s="105">
        <f t="shared" si="36"/>
        <v>20</v>
      </c>
      <c r="Q20" s="382"/>
      <c r="R20" s="1"/>
      <c r="S20" s="105">
        <f t="shared" si="4"/>
        <v>0</v>
      </c>
      <c r="T20" s="382"/>
      <c r="U20" s="1"/>
      <c r="V20" s="105">
        <f t="shared" si="5"/>
        <v>0</v>
      </c>
      <c r="W20" s="382"/>
      <c r="X20" s="1"/>
      <c r="Y20" s="372">
        <f t="shared" si="6"/>
        <v>0</v>
      </c>
      <c r="Z20" s="382"/>
      <c r="AA20" s="1"/>
      <c r="AB20" s="379">
        <f t="shared" si="7"/>
        <v>0</v>
      </c>
      <c r="AC20" s="379"/>
      <c r="AD20" s="379"/>
      <c r="AE20" s="372">
        <f t="shared" si="8"/>
        <v>0</v>
      </c>
      <c r="AF20" s="372">
        <v>20</v>
      </c>
      <c r="AG20" s="372"/>
      <c r="AH20" s="372">
        <f t="shared" si="9"/>
        <v>20</v>
      </c>
      <c r="AI20" s="765"/>
      <c r="AJ20" s="372"/>
      <c r="AK20" s="372">
        <f t="shared" si="10"/>
        <v>0</v>
      </c>
      <c r="AL20" s="382"/>
      <c r="AM20" s="1"/>
      <c r="AN20" s="372">
        <f t="shared" si="11"/>
        <v>0</v>
      </c>
      <c r="AO20" s="78"/>
      <c r="AP20" s="6"/>
      <c r="AQ20" s="697">
        <f t="shared" si="12"/>
        <v>0</v>
      </c>
      <c r="AR20" s="766">
        <f t="shared" si="13"/>
        <v>50</v>
      </c>
      <c r="AS20" s="692">
        <f t="shared" si="0"/>
        <v>0</v>
      </c>
      <c r="AT20" s="6">
        <f t="shared" si="14"/>
        <v>50</v>
      </c>
      <c r="AU20" s="585">
        <f t="shared" si="15"/>
        <v>4.166666666666667</v>
      </c>
      <c r="AV20" s="585">
        <f t="shared" si="16"/>
        <v>0</v>
      </c>
      <c r="AW20" s="494">
        <f t="shared" si="17"/>
        <v>4.166666666666667</v>
      </c>
      <c r="AX20" s="217">
        <f t="shared" si="18"/>
        <v>2083.3333333333335</v>
      </c>
      <c r="AY20" s="217">
        <f t="shared" si="19"/>
        <v>0</v>
      </c>
      <c r="AZ20" s="695">
        <f t="shared" si="20"/>
        <v>2083.3333333333335</v>
      </c>
      <c r="BA20" s="1"/>
      <c r="BB20" s="1"/>
      <c r="BC20" s="769">
        <f t="shared" si="21"/>
        <v>0</v>
      </c>
      <c r="BD20" s="1"/>
      <c r="BE20" s="1"/>
      <c r="BF20" s="769">
        <f t="shared" si="22"/>
        <v>0</v>
      </c>
      <c r="BG20" s="1">
        <v>20</v>
      </c>
      <c r="BH20" s="1"/>
      <c r="BI20" s="769">
        <f t="shared" si="23"/>
        <v>20</v>
      </c>
      <c r="BJ20" s="1"/>
      <c r="BK20" s="1"/>
      <c r="BL20" s="770">
        <f t="shared" si="24"/>
        <v>0</v>
      </c>
      <c r="BM20" s="78">
        <v>20</v>
      </c>
      <c r="BN20" s="6"/>
      <c r="BO20" s="772">
        <f t="shared" si="25"/>
        <v>20</v>
      </c>
      <c r="BP20" s="78"/>
      <c r="BQ20" s="6"/>
      <c r="BR20" s="693">
        <f t="shared" si="26"/>
        <v>0</v>
      </c>
      <c r="BS20" s="78"/>
      <c r="BT20" s="6"/>
      <c r="BU20" s="693">
        <f t="shared" si="37"/>
        <v>0</v>
      </c>
      <c r="BV20" s="693"/>
      <c r="BW20" s="693"/>
      <c r="BX20" s="693">
        <f t="shared" si="38"/>
        <v>0</v>
      </c>
      <c r="BY20" s="693"/>
      <c r="BZ20" s="693"/>
      <c r="CA20" s="693">
        <f t="shared" si="39"/>
        <v>0</v>
      </c>
      <c r="CB20" s="174">
        <f t="shared" si="30"/>
        <v>40</v>
      </c>
      <c r="CC20" s="174">
        <f t="shared" si="31"/>
        <v>0</v>
      </c>
      <c r="CD20" s="174">
        <f t="shared" si="32"/>
        <v>40</v>
      </c>
      <c r="CE20" s="175">
        <f t="shared" si="33"/>
        <v>4.4444444444444446</v>
      </c>
      <c r="CF20" s="175">
        <f t="shared" si="34"/>
        <v>0</v>
      </c>
      <c r="CG20" s="175">
        <f t="shared" si="35"/>
        <v>4.4444444444444446</v>
      </c>
    </row>
    <row r="21" spans="1:213" ht="17.25" thickBot="1">
      <c r="A21" s="802">
        <v>14</v>
      </c>
      <c r="B21" s="804" t="s">
        <v>3126</v>
      </c>
      <c r="C21" s="15"/>
      <c r="D21" s="15" t="s">
        <v>3127</v>
      </c>
      <c r="E21" s="803" t="s">
        <v>3101</v>
      </c>
      <c r="F21" s="800">
        <v>0</v>
      </c>
      <c r="G21" s="801" t="s">
        <v>15</v>
      </c>
      <c r="H21" s="1">
        <v>0</v>
      </c>
      <c r="I21" s="1"/>
      <c r="J21" s="372">
        <f t="shared" si="2"/>
        <v>0</v>
      </c>
      <c r="K21" s="382">
        <v>10</v>
      </c>
      <c r="L21" s="1"/>
      <c r="M21" s="694">
        <f t="shared" si="3"/>
        <v>10</v>
      </c>
      <c r="N21" s="103">
        <v>25</v>
      </c>
      <c r="O21" s="1"/>
      <c r="P21" s="105">
        <f t="shared" si="36"/>
        <v>25</v>
      </c>
      <c r="Q21" s="382"/>
      <c r="R21" s="1"/>
      <c r="S21" s="105">
        <f t="shared" si="4"/>
        <v>0</v>
      </c>
      <c r="T21" s="382">
        <v>10</v>
      </c>
      <c r="U21" s="1"/>
      <c r="V21" s="105">
        <f t="shared" si="5"/>
        <v>10</v>
      </c>
      <c r="W21" s="382"/>
      <c r="X21" s="1"/>
      <c r="Y21" s="372">
        <f t="shared" si="6"/>
        <v>0</v>
      </c>
      <c r="Z21" s="382"/>
      <c r="AA21" s="1"/>
      <c r="AB21" s="379">
        <f t="shared" si="7"/>
        <v>0</v>
      </c>
      <c r="AC21" s="379"/>
      <c r="AD21" s="379"/>
      <c r="AE21" s="372">
        <f t="shared" si="8"/>
        <v>0</v>
      </c>
      <c r="AF21" s="372">
        <v>10</v>
      </c>
      <c r="AG21" s="372"/>
      <c r="AH21" s="372">
        <f t="shared" si="9"/>
        <v>10</v>
      </c>
      <c r="AI21" s="765"/>
      <c r="AJ21" s="372"/>
      <c r="AK21" s="372">
        <f t="shared" si="10"/>
        <v>0</v>
      </c>
      <c r="AL21" s="382"/>
      <c r="AM21" s="1"/>
      <c r="AN21" s="372">
        <f t="shared" si="11"/>
        <v>0</v>
      </c>
      <c r="AO21" s="78"/>
      <c r="AP21" s="6"/>
      <c r="AQ21" s="697">
        <f t="shared" si="12"/>
        <v>0</v>
      </c>
      <c r="AR21" s="766">
        <f t="shared" si="13"/>
        <v>55</v>
      </c>
      <c r="AS21" s="692">
        <f t="shared" si="0"/>
        <v>0</v>
      </c>
      <c r="AT21" s="6">
        <f t="shared" si="14"/>
        <v>55</v>
      </c>
      <c r="AU21" s="585">
        <f t="shared" si="16"/>
        <v>4.583333333333333</v>
      </c>
      <c r="AV21" s="585">
        <f t="shared" si="16"/>
        <v>0</v>
      </c>
      <c r="AW21" s="494">
        <f t="shared" si="17"/>
        <v>4.583333333333333</v>
      </c>
      <c r="AX21" s="217">
        <f t="shared" si="18"/>
        <v>2291.6666666666665</v>
      </c>
      <c r="AY21" s="217">
        <f t="shared" si="19"/>
        <v>0</v>
      </c>
      <c r="AZ21" s="695">
        <f t="shared" si="20"/>
        <v>2291.6666666666665</v>
      </c>
      <c r="BA21" s="1"/>
      <c r="BB21" s="1"/>
      <c r="BC21" s="769">
        <f t="shared" si="21"/>
        <v>0</v>
      </c>
      <c r="BD21" s="1">
        <v>60</v>
      </c>
      <c r="BE21" s="1"/>
      <c r="BF21" s="769">
        <f t="shared" si="22"/>
        <v>60</v>
      </c>
      <c r="BG21" s="1">
        <v>10</v>
      </c>
      <c r="BH21" s="1"/>
      <c r="BI21" s="769">
        <f t="shared" si="23"/>
        <v>10</v>
      </c>
      <c r="BJ21" s="1"/>
      <c r="BK21" s="1"/>
      <c r="BL21" s="770">
        <f t="shared" si="24"/>
        <v>0</v>
      </c>
      <c r="BM21" s="78"/>
      <c r="BN21" s="6"/>
      <c r="BO21" s="772">
        <f t="shared" si="25"/>
        <v>0</v>
      </c>
      <c r="BP21" s="78"/>
      <c r="BQ21" s="6"/>
      <c r="BR21" s="693">
        <f t="shared" si="26"/>
        <v>0</v>
      </c>
      <c r="BS21" s="78"/>
      <c r="BT21" s="6"/>
      <c r="BU21" s="693">
        <f t="shared" si="37"/>
        <v>0</v>
      </c>
      <c r="BV21" s="693"/>
      <c r="BW21" s="693"/>
      <c r="BX21" s="693">
        <f t="shared" si="38"/>
        <v>0</v>
      </c>
      <c r="BY21" s="693"/>
      <c r="BZ21" s="693"/>
      <c r="CA21" s="693">
        <f t="shared" si="39"/>
        <v>0</v>
      </c>
      <c r="CB21" s="174">
        <f t="shared" si="30"/>
        <v>70</v>
      </c>
      <c r="CC21" s="174">
        <f t="shared" si="31"/>
        <v>0</v>
      </c>
      <c r="CD21" s="174">
        <f t="shared" si="32"/>
        <v>70</v>
      </c>
      <c r="CE21" s="175">
        <f t="shared" si="33"/>
        <v>7.7777777777777777</v>
      </c>
      <c r="CF21" s="175">
        <f t="shared" si="34"/>
        <v>0</v>
      </c>
      <c r="CG21" s="175">
        <f t="shared" si="35"/>
        <v>7.7777777777777777</v>
      </c>
    </row>
    <row r="22" spans="1:213" ht="17.25" thickBot="1">
      <c r="A22" s="760">
        <v>15</v>
      </c>
      <c r="B22" s="804" t="s">
        <v>3128</v>
      </c>
      <c r="C22" s="15"/>
      <c r="D22" s="15" t="s">
        <v>3129</v>
      </c>
      <c r="E22" s="762" t="s">
        <v>3101</v>
      </c>
      <c r="F22" s="800">
        <v>0</v>
      </c>
      <c r="G22" s="801" t="s">
        <v>15</v>
      </c>
      <c r="H22" s="1">
        <v>0</v>
      </c>
      <c r="I22" s="1"/>
      <c r="J22" s="372">
        <f t="shared" si="2"/>
        <v>0</v>
      </c>
      <c r="K22" s="382">
        <v>25</v>
      </c>
      <c r="L22" s="1"/>
      <c r="M22" s="694">
        <f t="shared" si="3"/>
        <v>25</v>
      </c>
      <c r="N22" s="103">
        <v>25</v>
      </c>
      <c r="O22" s="1"/>
      <c r="P22" s="105">
        <f t="shared" si="36"/>
        <v>25</v>
      </c>
      <c r="Q22" s="382"/>
      <c r="R22" s="1"/>
      <c r="S22" s="105">
        <f t="shared" si="4"/>
        <v>0</v>
      </c>
      <c r="T22" s="382"/>
      <c r="U22" s="1"/>
      <c r="V22" s="105">
        <f t="shared" si="5"/>
        <v>0</v>
      </c>
      <c r="W22" s="382">
        <v>20</v>
      </c>
      <c r="X22" s="1"/>
      <c r="Y22" s="372">
        <f t="shared" si="6"/>
        <v>20</v>
      </c>
      <c r="Z22" s="382"/>
      <c r="AA22" s="1"/>
      <c r="AB22" s="379">
        <f t="shared" si="7"/>
        <v>0</v>
      </c>
      <c r="AC22" s="379"/>
      <c r="AD22" s="379"/>
      <c r="AE22" s="372">
        <f t="shared" si="8"/>
        <v>0</v>
      </c>
      <c r="AF22" s="372"/>
      <c r="AG22" s="372"/>
      <c r="AH22" s="372">
        <f t="shared" si="9"/>
        <v>0</v>
      </c>
      <c r="AI22" s="765">
        <v>10</v>
      </c>
      <c r="AJ22" s="372"/>
      <c r="AK22" s="372">
        <f t="shared" si="10"/>
        <v>10</v>
      </c>
      <c r="AL22" s="382">
        <v>25</v>
      </c>
      <c r="AM22" s="1"/>
      <c r="AN22" s="372">
        <f t="shared" si="11"/>
        <v>25</v>
      </c>
      <c r="AO22" s="78"/>
      <c r="AP22" s="6"/>
      <c r="AQ22" s="697">
        <f t="shared" si="12"/>
        <v>0</v>
      </c>
      <c r="AR22" s="766">
        <f t="shared" si="13"/>
        <v>105</v>
      </c>
      <c r="AS22" s="692">
        <f t="shared" si="0"/>
        <v>0</v>
      </c>
      <c r="AT22" s="6">
        <f t="shared" si="14"/>
        <v>105</v>
      </c>
      <c r="AU22" s="585">
        <f t="shared" si="16"/>
        <v>8.75</v>
      </c>
      <c r="AV22" s="585">
        <f t="shared" si="16"/>
        <v>0</v>
      </c>
      <c r="AW22" s="494">
        <f t="shared" si="17"/>
        <v>8.75</v>
      </c>
      <c r="AX22" s="217">
        <f t="shared" si="18"/>
        <v>4375</v>
      </c>
      <c r="AY22" s="217">
        <f t="shared" si="19"/>
        <v>0</v>
      </c>
      <c r="AZ22" s="695">
        <f t="shared" si="20"/>
        <v>4375</v>
      </c>
      <c r="BA22" s="1"/>
      <c r="BB22" s="1"/>
      <c r="BC22" s="769">
        <f t="shared" si="21"/>
        <v>0</v>
      </c>
      <c r="BD22" s="1">
        <v>50</v>
      </c>
      <c r="BE22" s="1"/>
      <c r="BF22" s="769">
        <f t="shared" si="22"/>
        <v>50</v>
      </c>
      <c r="BG22" s="1"/>
      <c r="BH22" s="1"/>
      <c r="BI22" s="769">
        <f t="shared" si="23"/>
        <v>0</v>
      </c>
      <c r="BJ22" s="1"/>
      <c r="BK22" s="1"/>
      <c r="BL22" s="770">
        <f t="shared" si="24"/>
        <v>0</v>
      </c>
      <c r="BM22" s="78">
        <v>20</v>
      </c>
      <c r="BN22" s="6"/>
      <c r="BO22" s="772">
        <f t="shared" si="25"/>
        <v>20</v>
      </c>
      <c r="BP22" s="78"/>
      <c r="BQ22" s="6"/>
      <c r="BR22" s="693">
        <f t="shared" si="26"/>
        <v>0</v>
      </c>
      <c r="BS22" s="78">
        <v>10</v>
      </c>
      <c r="BT22" s="6"/>
      <c r="BU22" s="693">
        <f t="shared" si="37"/>
        <v>10</v>
      </c>
      <c r="BV22" s="693"/>
      <c r="BW22" s="693"/>
      <c r="BX22" s="693">
        <f t="shared" si="38"/>
        <v>0</v>
      </c>
      <c r="BY22" s="693"/>
      <c r="BZ22" s="693"/>
      <c r="CA22" s="693">
        <f t="shared" si="39"/>
        <v>0</v>
      </c>
      <c r="CB22" s="174">
        <f t="shared" si="30"/>
        <v>80</v>
      </c>
      <c r="CC22" s="174">
        <f t="shared" si="31"/>
        <v>0</v>
      </c>
      <c r="CD22" s="174">
        <f t="shared" si="32"/>
        <v>80</v>
      </c>
      <c r="CE22" s="175">
        <f t="shared" si="33"/>
        <v>8.8888888888888893</v>
      </c>
      <c r="CF22" s="175">
        <f t="shared" si="34"/>
        <v>0</v>
      </c>
      <c r="CG22" s="175">
        <f t="shared" si="35"/>
        <v>8.8888888888888893</v>
      </c>
    </row>
    <row r="23" spans="1:213" ht="17.25" thickBot="1">
      <c r="A23" s="802">
        <v>16</v>
      </c>
      <c r="B23" s="804" t="s">
        <v>3130</v>
      </c>
      <c r="C23" s="15"/>
      <c r="D23" s="15" t="s">
        <v>3131</v>
      </c>
      <c r="E23" s="803" t="s">
        <v>3101</v>
      </c>
      <c r="F23" s="800">
        <v>0</v>
      </c>
      <c r="G23" s="801" t="s">
        <v>18</v>
      </c>
      <c r="H23" s="1">
        <v>0</v>
      </c>
      <c r="I23" s="1"/>
      <c r="J23" s="372">
        <f t="shared" si="2"/>
        <v>0</v>
      </c>
      <c r="K23" s="382">
        <v>10</v>
      </c>
      <c r="L23" s="1"/>
      <c r="M23" s="694">
        <f t="shared" si="3"/>
        <v>10</v>
      </c>
      <c r="N23" s="103"/>
      <c r="O23" s="1"/>
      <c r="P23" s="105">
        <f t="shared" si="36"/>
        <v>0</v>
      </c>
      <c r="Q23" s="382"/>
      <c r="R23" s="1"/>
      <c r="S23" s="105">
        <f t="shared" si="4"/>
        <v>0</v>
      </c>
      <c r="T23" s="382">
        <v>100</v>
      </c>
      <c r="U23" s="1"/>
      <c r="V23" s="105">
        <f t="shared" si="5"/>
        <v>100</v>
      </c>
      <c r="W23" s="382"/>
      <c r="X23" s="1"/>
      <c r="Y23" s="372">
        <f t="shared" si="6"/>
        <v>0</v>
      </c>
      <c r="Z23" s="382"/>
      <c r="AA23" s="1"/>
      <c r="AB23" s="379">
        <f t="shared" si="7"/>
        <v>0</v>
      </c>
      <c r="AC23" s="379"/>
      <c r="AD23" s="379"/>
      <c r="AE23" s="372">
        <f t="shared" si="8"/>
        <v>0</v>
      </c>
      <c r="AF23" s="372"/>
      <c r="AG23" s="372"/>
      <c r="AH23" s="372">
        <f t="shared" si="9"/>
        <v>0</v>
      </c>
      <c r="AI23" s="765">
        <v>90</v>
      </c>
      <c r="AJ23" s="372"/>
      <c r="AK23" s="372">
        <f t="shared" si="10"/>
        <v>90</v>
      </c>
      <c r="AL23" s="382">
        <v>50</v>
      </c>
      <c r="AM23" s="1"/>
      <c r="AN23" s="372">
        <f t="shared" si="11"/>
        <v>50</v>
      </c>
      <c r="AO23" s="78">
        <v>100</v>
      </c>
      <c r="AP23" s="6"/>
      <c r="AQ23" s="697">
        <f t="shared" si="12"/>
        <v>100</v>
      </c>
      <c r="AR23" s="766">
        <f t="shared" si="13"/>
        <v>250</v>
      </c>
      <c r="AS23" s="692">
        <f t="shared" si="0"/>
        <v>0</v>
      </c>
      <c r="AT23" s="6">
        <f t="shared" si="14"/>
        <v>250</v>
      </c>
      <c r="AU23" s="585">
        <f t="shared" si="16"/>
        <v>20.833333333333332</v>
      </c>
      <c r="AV23" s="585">
        <f t="shared" si="16"/>
        <v>0</v>
      </c>
      <c r="AW23" s="494">
        <f t="shared" si="17"/>
        <v>20.833333333333332</v>
      </c>
      <c r="AX23" s="217">
        <f t="shared" si="18"/>
        <v>10416.666666666666</v>
      </c>
      <c r="AY23" s="217">
        <f t="shared" si="19"/>
        <v>0</v>
      </c>
      <c r="AZ23" s="695">
        <f t="shared" si="20"/>
        <v>10416.666666666666</v>
      </c>
      <c r="BA23" s="1">
        <v>300</v>
      </c>
      <c r="BB23" s="1"/>
      <c r="BC23" s="769">
        <f t="shared" si="21"/>
        <v>300</v>
      </c>
      <c r="BD23" s="1"/>
      <c r="BE23" s="1"/>
      <c r="BF23" s="769">
        <f t="shared" si="22"/>
        <v>0</v>
      </c>
      <c r="BG23" s="1"/>
      <c r="BH23" s="1"/>
      <c r="BI23" s="769">
        <f t="shared" si="23"/>
        <v>0</v>
      </c>
      <c r="BJ23" s="1"/>
      <c r="BK23" s="1"/>
      <c r="BL23" s="770">
        <f t="shared" si="24"/>
        <v>0</v>
      </c>
      <c r="BM23" s="78"/>
      <c r="BN23" s="6"/>
      <c r="BO23" s="772">
        <f t="shared" si="25"/>
        <v>0</v>
      </c>
      <c r="BP23" s="78"/>
      <c r="BQ23" s="6"/>
      <c r="BR23" s="693">
        <f t="shared" si="26"/>
        <v>0</v>
      </c>
      <c r="BS23" s="78">
        <v>100</v>
      </c>
      <c r="BT23" s="6"/>
      <c r="BU23" s="693">
        <f t="shared" si="37"/>
        <v>100</v>
      </c>
      <c r="BV23" s="693"/>
      <c r="BW23" s="693"/>
      <c r="BX23" s="693">
        <f t="shared" si="38"/>
        <v>0</v>
      </c>
      <c r="BY23" s="693"/>
      <c r="BZ23" s="693"/>
      <c r="CA23" s="693">
        <f t="shared" si="39"/>
        <v>0</v>
      </c>
      <c r="CB23" s="174">
        <f t="shared" si="30"/>
        <v>400</v>
      </c>
      <c r="CC23" s="174">
        <f t="shared" si="31"/>
        <v>0</v>
      </c>
      <c r="CD23" s="174">
        <f t="shared" si="32"/>
        <v>400</v>
      </c>
      <c r="CE23" s="175">
        <f t="shared" si="33"/>
        <v>44.444444444444443</v>
      </c>
      <c r="CF23" s="175">
        <f t="shared" si="34"/>
        <v>0</v>
      </c>
      <c r="CG23" s="175">
        <f t="shared" si="35"/>
        <v>44.444444444444443</v>
      </c>
    </row>
    <row r="24" spans="1:213" ht="17.25" thickBot="1">
      <c r="A24" s="760">
        <v>17</v>
      </c>
      <c r="B24" s="828" t="s">
        <v>3132</v>
      </c>
      <c r="C24" s="15"/>
      <c r="D24" s="15" t="s">
        <v>3133</v>
      </c>
      <c r="E24" s="762" t="s">
        <v>3101</v>
      </c>
      <c r="F24" s="800">
        <v>32</v>
      </c>
      <c r="G24" s="801" t="s">
        <v>18</v>
      </c>
      <c r="H24" s="1">
        <v>87</v>
      </c>
      <c r="I24" s="1"/>
      <c r="J24" s="372">
        <f t="shared" si="2"/>
        <v>87</v>
      </c>
      <c r="K24" s="382"/>
      <c r="L24" s="1"/>
      <c r="M24" s="694">
        <f t="shared" si="3"/>
        <v>0</v>
      </c>
      <c r="N24" s="103"/>
      <c r="O24" s="1"/>
      <c r="P24" s="105">
        <f t="shared" si="36"/>
        <v>0</v>
      </c>
      <c r="Q24" s="382"/>
      <c r="R24" s="1"/>
      <c r="S24" s="105">
        <f t="shared" si="4"/>
        <v>0</v>
      </c>
      <c r="T24" s="382"/>
      <c r="U24" s="1"/>
      <c r="V24" s="105">
        <f t="shared" si="5"/>
        <v>0</v>
      </c>
      <c r="W24" s="382">
        <v>55</v>
      </c>
      <c r="X24" s="1"/>
      <c r="Y24" s="372">
        <f t="shared" si="6"/>
        <v>55</v>
      </c>
      <c r="Z24" s="382"/>
      <c r="AA24" s="1"/>
      <c r="AB24" s="379">
        <f t="shared" si="7"/>
        <v>0</v>
      </c>
      <c r="AC24" s="379"/>
      <c r="AD24" s="379"/>
      <c r="AE24" s="372">
        <f t="shared" si="8"/>
        <v>0</v>
      </c>
      <c r="AF24" s="372"/>
      <c r="AG24" s="372"/>
      <c r="AH24" s="372">
        <f t="shared" si="9"/>
        <v>0</v>
      </c>
      <c r="AI24" s="765"/>
      <c r="AJ24" s="372"/>
      <c r="AK24" s="372">
        <f t="shared" si="10"/>
        <v>0</v>
      </c>
      <c r="AL24" s="382"/>
      <c r="AM24" s="1"/>
      <c r="AN24" s="372">
        <f t="shared" si="11"/>
        <v>0</v>
      </c>
      <c r="AO24" s="78"/>
      <c r="AP24" s="6"/>
      <c r="AQ24" s="697">
        <f t="shared" si="12"/>
        <v>0</v>
      </c>
      <c r="AR24" s="766">
        <f t="shared" si="13"/>
        <v>142</v>
      </c>
      <c r="AS24" s="692">
        <f t="shared" si="0"/>
        <v>0</v>
      </c>
      <c r="AT24" s="6">
        <f t="shared" si="14"/>
        <v>142</v>
      </c>
      <c r="AU24" s="585">
        <f t="shared" si="16"/>
        <v>11.833333333333334</v>
      </c>
      <c r="AV24" s="585">
        <f t="shared" si="16"/>
        <v>0</v>
      </c>
      <c r="AW24" s="494">
        <f t="shared" si="17"/>
        <v>11.833333333333334</v>
      </c>
      <c r="AX24" s="217">
        <f t="shared" si="18"/>
        <v>5916.666666666667</v>
      </c>
      <c r="AY24" s="217">
        <f t="shared" si="19"/>
        <v>0</v>
      </c>
      <c r="AZ24" s="695">
        <f t="shared" si="20"/>
        <v>5916.666666666667</v>
      </c>
      <c r="BA24" s="1"/>
      <c r="BB24" s="1"/>
      <c r="BC24" s="769">
        <f t="shared" si="21"/>
        <v>0</v>
      </c>
      <c r="BD24" s="1"/>
      <c r="BE24" s="1"/>
      <c r="BF24" s="769">
        <f t="shared" si="22"/>
        <v>0</v>
      </c>
      <c r="BG24" s="1"/>
      <c r="BH24" s="1"/>
      <c r="BI24" s="769">
        <f t="shared" si="23"/>
        <v>0</v>
      </c>
      <c r="BJ24" s="1"/>
      <c r="BK24" s="1"/>
      <c r="BL24" s="770">
        <f t="shared" si="24"/>
        <v>0</v>
      </c>
      <c r="BM24" s="78">
        <v>46</v>
      </c>
      <c r="BN24" s="6"/>
      <c r="BO24" s="772">
        <f t="shared" si="25"/>
        <v>46</v>
      </c>
      <c r="BP24" s="78"/>
      <c r="BQ24" s="6"/>
      <c r="BR24" s="693">
        <f t="shared" si="26"/>
        <v>0</v>
      </c>
      <c r="BS24" s="78"/>
      <c r="BT24" s="6"/>
      <c r="BU24" s="693">
        <f t="shared" si="37"/>
        <v>0</v>
      </c>
      <c r="BV24" s="693"/>
      <c r="BW24" s="693"/>
      <c r="BX24" s="693">
        <f t="shared" si="38"/>
        <v>0</v>
      </c>
      <c r="BY24" s="693"/>
      <c r="BZ24" s="693"/>
      <c r="CA24" s="693">
        <f t="shared" si="39"/>
        <v>0</v>
      </c>
      <c r="CB24" s="174">
        <f t="shared" si="30"/>
        <v>46</v>
      </c>
      <c r="CC24" s="174">
        <f t="shared" si="31"/>
        <v>0</v>
      </c>
      <c r="CD24" s="174">
        <f t="shared" si="32"/>
        <v>46</v>
      </c>
      <c r="CE24" s="175">
        <f t="shared" si="33"/>
        <v>5.1111111111111107</v>
      </c>
      <c r="CF24" s="175">
        <f t="shared" si="34"/>
        <v>0</v>
      </c>
      <c r="CG24" s="175">
        <f t="shared" si="35"/>
        <v>5.1111111111111107</v>
      </c>
    </row>
    <row r="25" spans="1:213" ht="17.25" thickBot="1">
      <c r="A25" s="802">
        <v>18</v>
      </c>
      <c r="B25" s="804" t="s">
        <v>3134</v>
      </c>
      <c r="C25" s="15"/>
      <c r="D25" s="15" t="s">
        <v>3135</v>
      </c>
      <c r="E25" s="803" t="s">
        <v>3101</v>
      </c>
      <c r="F25" s="800">
        <v>7</v>
      </c>
      <c r="G25" s="801" t="s">
        <v>18</v>
      </c>
      <c r="H25" s="1"/>
      <c r="I25" s="1"/>
      <c r="J25" s="372">
        <f t="shared" si="2"/>
        <v>0</v>
      </c>
      <c r="K25" s="382"/>
      <c r="L25" s="1"/>
      <c r="M25" s="694">
        <f t="shared" si="3"/>
        <v>0</v>
      </c>
      <c r="N25" s="103"/>
      <c r="O25" s="1"/>
      <c r="P25" s="105">
        <f t="shared" si="36"/>
        <v>0</v>
      </c>
      <c r="Q25" s="382"/>
      <c r="R25" s="1"/>
      <c r="S25" s="105">
        <f t="shared" si="4"/>
        <v>0</v>
      </c>
      <c r="T25" s="382"/>
      <c r="U25" s="1"/>
      <c r="V25" s="105">
        <f t="shared" si="5"/>
        <v>0</v>
      </c>
      <c r="W25" s="382"/>
      <c r="X25" s="1"/>
      <c r="Y25" s="372">
        <f t="shared" si="6"/>
        <v>0</v>
      </c>
      <c r="Z25" s="382"/>
      <c r="AA25" s="1"/>
      <c r="AB25" s="379">
        <f t="shared" si="7"/>
        <v>0</v>
      </c>
      <c r="AC25" s="379"/>
      <c r="AD25" s="379"/>
      <c r="AE25" s="372">
        <f t="shared" si="8"/>
        <v>0</v>
      </c>
      <c r="AF25" s="372">
        <v>20</v>
      </c>
      <c r="AG25" s="372"/>
      <c r="AH25" s="372">
        <f t="shared" si="9"/>
        <v>20</v>
      </c>
      <c r="AI25" s="765">
        <v>60</v>
      </c>
      <c r="AJ25" s="372"/>
      <c r="AK25" s="372">
        <f t="shared" si="10"/>
        <v>60</v>
      </c>
      <c r="AL25" s="382"/>
      <c r="AM25" s="1"/>
      <c r="AN25" s="372">
        <f t="shared" si="11"/>
        <v>0</v>
      </c>
      <c r="AO25" s="78"/>
      <c r="AP25" s="6"/>
      <c r="AQ25" s="697">
        <f t="shared" si="12"/>
        <v>0</v>
      </c>
      <c r="AR25" s="766">
        <f t="shared" si="13"/>
        <v>80</v>
      </c>
      <c r="AS25" s="692">
        <f t="shared" si="0"/>
        <v>0</v>
      </c>
      <c r="AT25" s="6">
        <f t="shared" si="14"/>
        <v>80</v>
      </c>
      <c r="AU25" s="585">
        <f t="shared" si="16"/>
        <v>6.666666666666667</v>
      </c>
      <c r="AV25" s="585">
        <f t="shared" si="16"/>
        <v>0</v>
      </c>
      <c r="AW25" s="494">
        <f t="shared" si="17"/>
        <v>6.666666666666667</v>
      </c>
      <c r="AX25" s="217">
        <f t="shared" si="18"/>
        <v>3333.3333333333335</v>
      </c>
      <c r="AY25" s="217">
        <f t="shared" si="19"/>
        <v>0</v>
      </c>
      <c r="AZ25" s="695">
        <f t="shared" si="20"/>
        <v>3333.3333333333335</v>
      </c>
      <c r="BA25" s="1">
        <v>10</v>
      </c>
      <c r="BB25" s="1"/>
      <c r="BC25" s="769">
        <f t="shared" si="21"/>
        <v>10</v>
      </c>
      <c r="BD25" s="1">
        <v>40</v>
      </c>
      <c r="BE25" s="1"/>
      <c r="BF25" s="769">
        <f t="shared" si="22"/>
        <v>40</v>
      </c>
      <c r="BG25" s="1"/>
      <c r="BH25" s="1"/>
      <c r="BI25" s="769">
        <f t="shared" si="23"/>
        <v>0</v>
      </c>
      <c r="BJ25" s="1"/>
      <c r="BK25" s="1"/>
      <c r="BL25" s="770">
        <f t="shared" si="24"/>
        <v>0</v>
      </c>
      <c r="BM25" s="78">
        <v>40</v>
      </c>
      <c r="BN25" s="6"/>
      <c r="BO25" s="772">
        <f t="shared" si="25"/>
        <v>40</v>
      </c>
      <c r="BP25" s="78"/>
      <c r="BQ25" s="6"/>
      <c r="BR25" s="693">
        <f t="shared" si="26"/>
        <v>0</v>
      </c>
      <c r="BS25" s="78">
        <v>20</v>
      </c>
      <c r="BT25" s="6"/>
      <c r="BU25" s="693">
        <f t="shared" si="37"/>
        <v>20</v>
      </c>
      <c r="BV25" s="693"/>
      <c r="BW25" s="693"/>
      <c r="BX25" s="693">
        <f t="shared" si="38"/>
        <v>0</v>
      </c>
      <c r="BY25" s="693"/>
      <c r="BZ25" s="693"/>
      <c r="CA25" s="693">
        <f t="shared" si="39"/>
        <v>0</v>
      </c>
      <c r="CB25" s="174">
        <f t="shared" si="30"/>
        <v>110</v>
      </c>
      <c r="CC25" s="174">
        <f t="shared" si="31"/>
        <v>0</v>
      </c>
      <c r="CD25" s="174">
        <f t="shared" si="32"/>
        <v>110</v>
      </c>
      <c r="CE25" s="175">
        <f t="shared" si="33"/>
        <v>12.222222222222221</v>
      </c>
      <c r="CF25" s="175">
        <f t="shared" si="34"/>
        <v>0</v>
      </c>
      <c r="CG25" s="175">
        <f t="shared" si="35"/>
        <v>12.222222222222221</v>
      </c>
    </row>
    <row r="26" spans="1:213" ht="17.25" thickBot="1">
      <c r="A26" s="760">
        <v>19</v>
      </c>
      <c r="B26" s="804" t="s">
        <v>3136</v>
      </c>
      <c r="C26" s="15"/>
      <c r="D26" s="15" t="s">
        <v>3137</v>
      </c>
      <c r="E26" s="762" t="s">
        <v>3101</v>
      </c>
      <c r="F26" s="800">
        <v>6.67</v>
      </c>
      <c r="G26" s="801" t="s">
        <v>15</v>
      </c>
      <c r="H26" s="1"/>
      <c r="I26" s="1"/>
      <c r="J26" s="372">
        <f t="shared" si="2"/>
        <v>0</v>
      </c>
      <c r="K26" s="382"/>
      <c r="L26" s="1"/>
      <c r="M26" s="694">
        <f t="shared" si="3"/>
        <v>0</v>
      </c>
      <c r="N26" s="103">
        <v>20</v>
      </c>
      <c r="O26" s="1"/>
      <c r="P26" s="105">
        <f t="shared" si="36"/>
        <v>20</v>
      </c>
      <c r="Q26" s="382">
        <v>25</v>
      </c>
      <c r="R26" s="1"/>
      <c r="S26" s="105">
        <f t="shared" si="4"/>
        <v>25</v>
      </c>
      <c r="T26" s="382"/>
      <c r="U26" s="1"/>
      <c r="V26" s="105">
        <f t="shared" si="5"/>
        <v>0</v>
      </c>
      <c r="W26" s="382"/>
      <c r="X26" s="1"/>
      <c r="Y26" s="372">
        <f t="shared" si="6"/>
        <v>0</v>
      </c>
      <c r="Z26" s="382">
        <v>20</v>
      </c>
      <c r="AA26" s="1"/>
      <c r="AB26" s="379">
        <f t="shared" si="7"/>
        <v>20</v>
      </c>
      <c r="AC26" s="379"/>
      <c r="AD26" s="379"/>
      <c r="AE26" s="372">
        <f t="shared" si="8"/>
        <v>0</v>
      </c>
      <c r="AF26" s="372"/>
      <c r="AG26" s="372"/>
      <c r="AH26" s="372">
        <f t="shared" si="9"/>
        <v>0</v>
      </c>
      <c r="AI26" s="765">
        <v>10</v>
      </c>
      <c r="AJ26" s="372"/>
      <c r="AK26" s="372">
        <f t="shared" si="10"/>
        <v>10</v>
      </c>
      <c r="AL26" s="382">
        <v>20</v>
      </c>
      <c r="AM26" s="1"/>
      <c r="AN26" s="372">
        <f t="shared" si="11"/>
        <v>20</v>
      </c>
      <c r="AO26" s="78">
        <v>10</v>
      </c>
      <c r="AP26" s="6"/>
      <c r="AQ26" s="697">
        <f t="shared" si="12"/>
        <v>10</v>
      </c>
      <c r="AR26" s="766">
        <f t="shared" si="13"/>
        <v>95</v>
      </c>
      <c r="AS26" s="692">
        <f t="shared" si="0"/>
        <v>0</v>
      </c>
      <c r="AT26" s="6">
        <f t="shared" si="14"/>
        <v>95</v>
      </c>
      <c r="AU26" s="585">
        <f t="shared" si="16"/>
        <v>7.916666666666667</v>
      </c>
      <c r="AV26" s="585">
        <f t="shared" si="16"/>
        <v>0</v>
      </c>
      <c r="AW26" s="494">
        <f t="shared" si="17"/>
        <v>7.916666666666667</v>
      </c>
      <c r="AX26" s="217">
        <f t="shared" si="18"/>
        <v>3958.3333333333335</v>
      </c>
      <c r="AY26" s="217">
        <f t="shared" si="19"/>
        <v>0</v>
      </c>
      <c r="AZ26" s="695">
        <f t="shared" si="20"/>
        <v>3958.3333333333335</v>
      </c>
      <c r="BA26" s="1">
        <v>63</v>
      </c>
      <c r="BB26" s="1"/>
      <c r="BC26" s="769">
        <f t="shared" si="21"/>
        <v>63</v>
      </c>
      <c r="BD26" s="1"/>
      <c r="BE26" s="1"/>
      <c r="BF26" s="769">
        <f t="shared" si="22"/>
        <v>0</v>
      </c>
      <c r="BG26" s="1"/>
      <c r="BH26" s="1"/>
      <c r="BI26" s="769">
        <f t="shared" si="23"/>
        <v>0</v>
      </c>
      <c r="BJ26" s="1">
        <v>10</v>
      </c>
      <c r="BK26" s="1"/>
      <c r="BL26" s="770">
        <f t="shared" si="24"/>
        <v>10</v>
      </c>
      <c r="BM26" s="78"/>
      <c r="BN26" s="6"/>
      <c r="BO26" s="772">
        <f t="shared" si="25"/>
        <v>0</v>
      </c>
      <c r="BP26" s="78"/>
      <c r="BQ26" s="6"/>
      <c r="BR26" s="693">
        <f t="shared" si="26"/>
        <v>0</v>
      </c>
      <c r="BS26" s="78">
        <v>15</v>
      </c>
      <c r="BT26" s="6"/>
      <c r="BU26" s="693">
        <f t="shared" si="37"/>
        <v>15</v>
      </c>
      <c r="BV26" s="693"/>
      <c r="BW26" s="693"/>
      <c r="BX26" s="693">
        <f t="shared" si="38"/>
        <v>0</v>
      </c>
      <c r="BY26" s="693"/>
      <c r="BZ26" s="693"/>
      <c r="CA26" s="693">
        <f t="shared" si="39"/>
        <v>0</v>
      </c>
      <c r="CB26" s="174">
        <f t="shared" si="30"/>
        <v>88</v>
      </c>
      <c r="CC26" s="174">
        <f t="shared" si="31"/>
        <v>0</v>
      </c>
      <c r="CD26" s="174">
        <f t="shared" si="32"/>
        <v>88</v>
      </c>
      <c r="CE26" s="175">
        <f t="shared" si="33"/>
        <v>9.7777777777777786</v>
      </c>
      <c r="CF26" s="175">
        <f t="shared" si="34"/>
        <v>0</v>
      </c>
      <c r="CG26" s="175">
        <f t="shared" si="35"/>
        <v>9.7777777777777786</v>
      </c>
    </row>
    <row r="27" spans="1:213" ht="17.25" thickBot="1">
      <c r="A27" s="802">
        <v>20</v>
      </c>
      <c r="B27" s="804" t="s">
        <v>3138</v>
      </c>
      <c r="C27" s="15"/>
      <c r="D27" s="713" t="s">
        <v>3139</v>
      </c>
      <c r="E27" s="824" t="s">
        <v>3101</v>
      </c>
      <c r="F27" s="800">
        <v>41.67</v>
      </c>
      <c r="G27" s="801" t="s">
        <v>18</v>
      </c>
      <c r="H27" s="1"/>
      <c r="I27" s="1"/>
      <c r="J27" s="372">
        <f t="shared" si="2"/>
        <v>0</v>
      </c>
      <c r="K27" s="382">
        <v>200</v>
      </c>
      <c r="L27" s="1"/>
      <c r="M27" s="694">
        <f t="shared" si="3"/>
        <v>200</v>
      </c>
      <c r="N27" s="103"/>
      <c r="O27" s="1"/>
      <c r="P27" s="105">
        <f t="shared" si="36"/>
        <v>0</v>
      </c>
      <c r="Q27" s="382"/>
      <c r="R27" s="1"/>
      <c r="S27" s="105">
        <f t="shared" si="4"/>
        <v>0</v>
      </c>
      <c r="T27" s="382">
        <v>60</v>
      </c>
      <c r="U27" s="1"/>
      <c r="V27" s="105">
        <f t="shared" si="5"/>
        <v>60</v>
      </c>
      <c r="W27" s="382"/>
      <c r="X27" s="1"/>
      <c r="Y27" s="372">
        <f t="shared" si="6"/>
        <v>0</v>
      </c>
      <c r="Z27" s="382">
        <v>100</v>
      </c>
      <c r="AA27" s="1"/>
      <c r="AB27" s="379">
        <f t="shared" si="7"/>
        <v>100</v>
      </c>
      <c r="AC27" s="379"/>
      <c r="AD27" s="379"/>
      <c r="AE27" s="372">
        <f t="shared" si="8"/>
        <v>0</v>
      </c>
      <c r="AF27" s="372"/>
      <c r="AG27" s="372"/>
      <c r="AH27" s="372">
        <f t="shared" si="9"/>
        <v>0</v>
      </c>
      <c r="AI27" s="765"/>
      <c r="AJ27" s="372"/>
      <c r="AK27" s="372">
        <f t="shared" si="10"/>
        <v>0</v>
      </c>
      <c r="AL27" s="382">
        <v>100</v>
      </c>
      <c r="AM27" s="1"/>
      <c r="AN27" s="372">
        <f t="shared" si="11"/>
        <v>100</v>
      </c>
      <c r="AO27" s="78">
        <v>60</v>
      </c>
      <c r="AP27" s="6"/>
      <c r="AQ27" s="697">
        <f t="shared" si="12"/>
        <v>60</v>
      </c>
      <c r="AR27" s="766">
        <f t="shared" si="13"/>
        <v>460</v>
      </c>
      <c r="AS27" s="692">
        <f t="shared" si="0"/>
        <v>0</v>
      </c>
      <c r="AT27" s="6">
        <f t="shared" si="14"/>
        <v>460</v>
      </c>
      <c r="AU27" s="585">
        <f t="shared" si="16"/>
        <v>38.333333333333336</v>
      </c>
      <c r="AV27" s="585">
        <f t="shared" si="16"/>
        <v>0</v>
      </c>
      <c r="AW27" s="494">
        <f t="shared" si="17"/>
        <v>38.333333333333336</v>
      </c>
      <c r="AX27" s="217">
        <f t="shared" si="18"/>
        <v>19166.666666666668</v>
      </c>
      <c r="AY27" s="217">
        <f t="shared" si="19"/>
        <v>0</v>
      </c>
      <c r="AZ27" s="695">
        <f t="shared" si="20"/>
        <v>19166.666666666668</v>
      </c>
      <c r="BA27" s="1">
        <v>60</v>
      </c>
      <c r="BB27" s="1"/>
      <c r="BC27" s="769">
        <f t="shared" si="21"/>
        <v>60</v>
      </c>
      <c r="BD27" s="1"/>
      <c r="BE27" s="1"/>
      <c r="BF27" s="769">
        <f t="shared" si="22"/>
        <v>0</v>
      </c>
      <c r="BG27" s="1">
        <v>150</v>
      </c>
      <c r="BH27" s="1"/>
      <c r="BI27" s="769">
        <f t="shared" si="23"/>
        <v>150</v>
      </c>
      <c r="BJ27" s="1"/>
      <c r="BK27" s="1"/>
      <c r="BL27" s="770">
        <f t="shared" si="24"/>
        <v>0</v>
      </c>
      <c r="BM27" s="78">
        <v>50</v>
      </c>
      <c r="BN27" s="6"/>
      <c r="BO27" s="772">
        <f t="shared" si="25"/>
        <v>50</v>
      </c>
      <c r="BP27" s="78">
        <v>100</v>
      </c>
      <c r="BQ27" s="6"/>
      <c r="BR27" s="693">
        <f t="shared" si="26"/>
        <v>100</v>
      </c>
      <c r="BS27" s="78">
        <v>100</v>
      </c>
      <c r="BT27" s="6"/>
      <c r="BU27" s="693">
        <f t="shared" si="37"/>
        <v>100</v>
      </c>
      <c r="BV27" s="693"/>
      <c r="BW27" s="693"/>
      <c r="BX27" s="693">
        <f t="shared" si="38"/>
        <v>0</v>
      </c>
      <c r="BY27" s="693"/>
      <c r="BZ27" s="693"/>
      <c r="CA27" s="693">
        <f t="shared" si="39"/>
        <v>0</v>
      </c>
      <c r="CB27" s="174">
        <f t="shared" si="30"/>
        <v>460</v>
      </c>
      <c r="CC27" s="174">
        <f t="shared" si="31"/>
        <v>0</v>
      </c>
      <c r="CD27" s="174">
        <f t="shared" si="32"/>
        <v>460</v>
      </c>
      <c r="CE27" s="175">
        <f t="shared" si="33"/>
        <v>51.111111111111114</v>
      </c>
      <c r="CF27" s="175">
        <f t="shared" si="34"/>
        <v>0</v>
      </c>
      <c r="CG27" s="175">
        <f t="shared" si="35"/>
        <v>51.111111111111114</v>
      </c>
    </row>
    <row r="28" spans="1:213" s="361" customFormat="1" ht="17.25" thickBot="1">
      <c r="A28" s="807">
        <v>21</v>
      </c>
      <c r="B28" s="808" t="s">
        <v>3140</v>
      </c>
      <c r="C28" s="111"/>
      <c r="D28" s="111" t="s">
        <v>3141</v>
      </c>
      <c r="E28" s="809" t="s">
        <v>3101</v>
      </c>
      <c r="F28" s="810">
        <v>393.33</v>
      </c>
      <c r="G28" s="811" t="s">
        <v>18</v>
      </c>
      <c r="H28" s="19">
        <v>20</v>
      </c>
      <c r="I28" s="19"/>
      <c r="J28" s="701">
        <f t="shared" si="2"/>
        <v>20</v>
      </c>
      <c r="K28" s="319">
        <v>300</v>
      </c>
      <c r="L28" s="19"/>
      <c r="M28" s="389">
        <f t="shared" si="3"/>
        <v>300</v>
      </c>
      <c r="N28" s="100">
        <v>620</v>
      </c>
      <c r="O28" s="19"/>
      <c r="P28" s="320">
        <f t="shared" si="36"/>
        <v>620</v>
      </c>
      <c r="Q28" s="319">
        <v>160</v>
      </c>
      <c r="R28" s="19"/>
      <c r="S28" s="320">
        <f t="shared" si="4"/>
        <v>160</v>
      </c>
      <c r="T28" s="319">
        <v>500</v>
      </c>
      <c r="U28" s="19"/>
      <c r="V28" s="320">
        <f t="shared" si="5"/>
        <v>500</v>
      </c>
      <c r="W28" s="319">
        <v>260</v>
      </c>
      <c r="X28" s="19"/>
      <c r="Y28" s="701">
        <f t="shared" si="6"/>
        <v>260</v>
      </c>
      <c r="Z28" s="319">
        <v>200</v>
      </c>
      <c r="AA28" s="19"/>
      <c r="AB28" s="111">
        <f t="shared" si="7"/>
        <v>200</v>
      </c>
      <c r="AC28" s="111">
        <v>260</v>
      </c>
      <c r="AD28" s="111"/>
      <c r="AE28" s="701">
        <f t="shared" si="8"/>
        <v>260</v>
      </c>
      <c r="AF28" s="701">
        <v>280</v>
      </c>
      <c r="AG28" s="701"/>
      <c r="AH28" s="701">
        <f t="shared" si="9"/>
        <v>280</v>
      </c>
      <c r="AI28" s="812">
        <v>260</v>
      </c>
      <c r="AJ28" s="701"/>
      <c r="AK28" s="701">
        <f t="shared" si="10"/>
        <v>260</v>
      </c>
      <c r="AL28" s="319">
        <v>260</v>
      </c>
      <c r="AM28" s="19"/>
      <c r="AN28" s="701">
        <f t="shared" si="11"/>
        <v>260</v>
      </c>
      <c r="AO28" s="319">
        <v>340</v>
      </c>
      <c r="AP28" s="19"/>
      <c r="AQ28" s="389">
        <f t="shared" si="12"/>
        <v>340</v>
      </c>
      <c r="AR28" s="387">
        <f t="shared" si="13"/>
        <v>3120</v>
      </c>
      <c r="AS28" s="388">
        <f t="shared" si="0"/>
        <v>0</v>
      </c>
      <c r="AT28" s="19">
        <f t="shared" si="14"/>
        <v>3120</v>
      </c>
      <c r="AU28" s="702">
        <f t="shared" si="16"/>
        <v>260</v>
      </c>
      <c r="AV28" s="702">
        <f t="shared" si="16"/>
        <v>0</v>
      </c>
      <c r="AW28" s="703">
        <f t="shared" si="17"/>
        <v>260</v>
      </c>
      <c r="AX28" s="703">
        <f t="shared" si="18"/>
        <v>130000</v>
      </c>
      <c r="AY28" s="703">
        <f t="shared" si="19"/>
        <v>0</v>
      </c>
      <c r="AZ28" s="704">
        <f t="shared" si="20"/>
        <v>130000</v>
      </c>
      <c r="BA28" s="19">
        <v>490</v>
      </c>
      <c r="BB28" s="19"/>
      <c r="BC28" s="813">
        <f t="shared" si="21"/>
        <v>490</v>
      </c>
      <c r="BD28" s="19">
        <v>340</v>
      </c>
      <c r="BE28" s="19"/>
      <c r="BF28" s="813">
        <f t="shared" si="22"/>
        <v>340</v>
      </c>
      <c r="BG28" s="19">
        <v>260</v>
      </c>
      <c r="BH28" s="19"/>
      <c r="BI28" s="813">
        <f t="shared" si="23"/>
        <v>260</v>
      </c>
      <c r="BJ28" s="19">
        <v>600</v>
      </c>
      <c r="BK28" s="19"/>
      <c r="BL28" s="814">
        <f t="shared" si="24"/>
        <v>600</v>
      </c>
      <c r="BM28" s="319">
        <v>300</v>
      </c>
      <c r="BN28" s="19"/>
      <c r="BO28" s="868">
        <f t="shared" si="25"/>
        <v>300</v>
      </c>
      <c r="BP28" s="319">
        <v>300</v>
      </c>
      <c r="BQ28" s="19"/>
      <c r="BR28" s="701">
        <f t="shared" si="26"/>
        <v>300</v>
      </c>
      <c r="BS28" s="319">
        <v>300</v>
      </c>
      <c r="BT28" s="19"/>
      <c r="BU28" s="701">
        <f>BS28+BT28</f>
        <v>300</v>
      </c>
      <c r="BV28" s="701"/>
      <c r="BW28" s="701"/>
      <c r="BX28" s="701">
        <f>BV28+BW28</f>
        <v>0</v>
      </c>
      <c r="BY28" s="701"/>
      <c r="BZ28" s="701"/>
      <c r="CA28" s="701">
        <f>BY28+BZ28</f>
        <v>0</v>
      </c>
      <c r="CB28" s="174">
        <f t="shared" si="30"/>
        <v>2590</v>
      </c>
      <c r="CC28" s="174">
        <f t="shared" si="31"/>
        <v>0</v>
      </c>
      <c r="CD28" s="174">
        <f t="shared" si="32"/>
        <v>2590</v>
      </c>
      <c r="CE28" s="175">
        <f t="shared" si="33"/>
        <v>287.77777777777777</v>
      </c>
      <c r="CF28" s="175">
        <f t="shared" si="34"/>
        <v>0</v>
      </c>
      <c r="CG28" s="175">
        <f t="shared" si="35"/>
        <v>287.77777777777777</v>
      </c>
    </row>
    <row r="29" spans="1:213" ht="17.25" thickBot="1">
      <c r="A29" s="802">
        <v>22</v>
      </c>
      <c r="B29" s="804" t="s">
        <v>3142</v>
      </c>
      <c r="C29" s="15"/>
      <c r="D29" s="15" t="s">
        <v>3143</v>
      </c>
      <c r="E29" s="803" t="s">
        <v>3101</v>
      </c>
      <c r="F29" s="800">
        <v>6.66</v>
      </c>
      <c r="G29" s="801" t="s">
        <v>15</v>
      </c>
      <c r="H29" s="1"/>
      <c r="I29" s="1"/>
      <c r="J29" s="372">
        <f t="shared" si="2"/>
        <v>0</v>
      </c>
      <c r="K29" s="382"/>
      <c r="L29" s="1"/>
      <c r="M29" s="694">
        <f t="shared" si="3"/>
        <v>0</v>
      </c>
      <c r="N29" s="103"/>
      <c r="O29" s="1"/>
      <c r="P29" s="105">
        <f t="shared" si="36"/>
        <v>0</v>
      </c>
      <c r="Q29" s="382"/>
      <c r="R29" s="1"/>
      <c r="S29" s="105">
        <f t="shared" si="4"/>
        <v>0</v>
      </c>
      <c r="T29" s="382"/>
      <c r="U29" s="1"/>
      <c r="V29" s="105">
        <f t="shared" si="5"/>
        <v>0</v>
      </c>
      <c r="W29" s="382"/>
      <c r="X29" s="1"/>
      <c r="Y29" s="372">
        <f t="shared" si="6"/>
        <v>0</v>
      </c>
      <c r="Z29" s="382"/>
      <c r="AA29" s="1"/>
      <c r="AB29" s="379">
        <f t="shared" si="7"/>
        <v>0</v>
      </c>
      <c r="AC29" s="379"/>
      <c r="AD29" s="379"/>
      <c r="AE29" s="372">
        <f t="shared" si="8"/>
        <v>0</v>
      </c>
      <c r="AF29" s="372"/>
      <c r="AG29" s="372"/>
      <c r="AH29" s="372">
        <f t="shared" si="9"/>
        <v>0</v>
      </c>
      <c r="AI29" s="765"/>
      <c r="AJ29" s="372"/>
      <c r="AK29" s="372">
        <f t="shared" si="10"/>
        <v>0</v>
      </c>
      <c r="AL29" s="382"/>
      <c r="AM29" s="1"/>
      <c r="AN29" s="372">
        <f t="shared" si="11"/>
        <v>0</v>
      </c>
      <c r="AO29" s="78"/>
      <c r="AP29" s="6"/>
      <c r="AQ29" s="697">
        <f t="shared" si="12"/>
        <v>0</v>
      </c>
      <c r="AR29" s="766">
        <f t="shared" si="13"/>
        <v>0</v>
      </c>
      <c r="AS29" s="692">
        <f t="shared" si="0"/>
        <v>0</v>
      </c>
      <c r="AT29" s="6">
        <f t="shared" si="14"/>
        <v>0</v>
      </c>
      <c r="AU29" s="585">
        <f t="shared" si="16"/>
        <v>0</v>
      </c>
      <c r="AV29" s="585">
        <f t="shared" si="16"/>
        <v>0</v>
      </c>
      <c r="AW29" s="494">
        <f t="shared" si="17"/>
        <v>0</v>
      </c>
      <c r="AX29" s="217">
        <f t="shared" si="18"/>
        <v>0</v>
      </c>
      <c r="AY29" s="217">
        <f t="shared" si="19"/>
        <v>0</v>
      </c>
      <c r="AZ29" s="695">
        <f t="shared" si="20"/>
        <v>0</v>
      </c>
      <c r="BA29" s="1"/>
      <c r="BB29" s="1"/>
      <c r="BC29" s="769">
        <f t="shared" si="21"/>
        <v>0</v>
      </c>
      <c r="BD29" s="1"/>
      <c r="BE29" s="1"/>
      <c r="BF29" s="769">
        <f t="shared" si="22"/>
        <v>0</v>
      </c>
      <c r="BG29" s="1"/>
      <c r="BH29" s="1"/>
      <c r="BI29" s="769">
        <f t="shared" si="23"/>
        <v>0</v>
      </c>
      <c r="BJ29" s="1"/>
      <c r="BK29" s="1"/>
      <c r="BL29" s="770">
        <f t="shared" si="24"/>
        <v>0</v>
      </c>
      <c r="BM29" s="78"/>
      <c r="BN29" s="6"/>
      <c r="BO29" s="772">
        <f t="shared" si="25"/>
        <v>0</v>
      </c>
      <c r="BP29" s="78"/>
      <c r="BQ29" s="6"/>
      <c r="BR29" s="693">
        <f t="shared" si="26"/>
        <v>0</v>
      </c>
      <c r="BS29" s="78"/>
      <c r="BT29" s="6"/>
      <c r="BU29" s="693">
        <f t="shared" ref="BU29:BU36" si="40">BS29+BT29</f>
        <v>0</v>
      </c>
      <c r="BV29" s="693"/>
      <c r="BW29" s="693"/>
      <c r="BX29" s="693">
        <f t="shared" ref="BX29:BX36" si="41">BV29+BW29</f>
        <v>0</v>
      </c>
      <c r="BY29" s="693"/>
      <c r="BZ29" s="693"/>
      <c r="CA29" s="693">
        <f t="shared" ref="CA29:CA36" si="42">BY29+BZ29</f>
        <v>0</v>
      </c>
      <c r="CB29" s="174">
        <f t="shared" si="30"/>
        <v>0</v>
      </c>
      <c r="CC29" s="174">
        <f t="shared" si="31"/>
        <v>0</v>
      </c>
      <c r="CD29" s="174">
        <f t="shared" si="32"/>
        <v>0</v>
      </c>
      <c r="CE29" s="175">
        <f t="shared" si="33"/>
        <v>0</v>
      </c>
      <c r="CF29" s="175">
        <f t="shared" si="34"/>
        <v>0</v>
      </c>
      <c r="CG29" s="175">
        <f t="shared" si="35"/>
        <v>0</v>
      </c>
    </row>
    <row r="30" spans="1:213" s="361" customFormat="1" ht="17.25" thickBot="1">
      <c r="A30" s="760">
        <v>23</v>
      </c>
      <c r="B30" s="804" t="s">
        <v>3144</v>
      </c>
      <c r="C30" s="379"/>
      <c r="D30" s="379" t="s">
        <v>3145</v>
      </c>
      <c r="E30" s="762" t="s">
        <v>3101</v>
      </c>
      <c r="F30" s="805">
        <v>23.33</v>
      </c>
      <c r="G30" s="806" t="s">
        <v>18</v>
      </c>
      <c r="H30" s="1"/>
      <c r="I30" s="1"/>
      <c r="J30" s="372">
        <f t="shared" si="2"/>
        <v>0</v>
      </c>
      <c r="K30" s="382"/>
      <c r="L30" s="1"/>
      <c r="M30" s="694">
        <f t="shared" si="3"/>
        <v>0</v>
      </c>
      <c r="N30" s="103">
        <v>40</v>
      </c>
      <c r="O30" s="1"/>
      <c r="P30" s="105">
        <f t="shared" si="36"/>
        <v>40</v>
      </c>
      <c r="Q30" s="382">
        <v>60</v>
      </c>
      <c r="R30" s="1"/>
      <c r="S30" s="105">
        <f t="shared" si="4"/>
        <v>60</v>
      </c>
      <c r="T30" s="382"/>
      <c r="U30" s="1"/>
      <c r="V30" s="105">
        <f t="shared" si="5"/>
        <v>0</v>
      </c>
      <c r="W30" s="382"/>
      <c r="X30" s="1"/>
      <c r="Y30" s="372">
        <f t="shared" si="6"/>
        <v>0</v>
      </c>
      <c r="Z30" s="382"/>
      <c r="AA30" s="1"/>
      <c r="AB30" s="379">
        <f t="shared" si="7"/>
        <v>0</v>
      </c>
      <c r="AC30" s="379"/>
      <c r="AD30" s="379"/>
      <c r="AE30" s="372">
        <f t="shared" si="8"/>
        <v>0</v>
      </c>
      <c r="AF30" s="372"/>
      <c r="AG30" s="372"/>
      <c r="AH30" s="372">
        <f t="shared" si="9"/>
        <v>0</v>
      </c>
      <c r="AI30" s="765"/>
      <c r="AJ30" s="372"/>
      <c r="AK30" s="372">
        <f t="shared" si="10"/>
        <v>0</v>
      </c>
      <c r="AL30" s="382">
        <v>60</v>
      </c>
      <c r="AM30" s="1"/>
      <c r="AN30" s="372">
        <f t="shared" si="11"/>
        <v>60</v>
      </c>
      <c r="AO30" s="78">
        <v>60</v>
      </c>
      <c r="AP30" s="6"/>
      <c r="AQ30" s="697">
        <f t="shared" si="12"/>
        <v>60</v>
      </c>
      <c r="AR30" s="766">
        <f t="shared" si="13"/>
        <v>160</v>
      </c>
      <c r="AS30" s="692">
        <f t="shared" si="0"/>
        <v>0</v>
      </c>
      <c r="AT30" s="6">
        <f t="shared" si="14"/>
        <v>160</v>
      </c>
      <c r="AU30" s="585">
        <f t="shared" si="16"/>
        <v>13.333333333333334</v>
      </c>
      <c r="AV30" s="585">
        <f t="shared" si="16"/>
        <v>0</v>
      </c>
      <c r="AW30" s="494">
        <f t="shared" si="17"/>
        <v>13.333333333333334</v>
      </c>
      <c r="AX30" s="217">
        <f t="shared" si="18"/>
        <v>6666.666666666667</v>
      </c>
      <c r="AY30" s="217">
        <f t="shared" si="19"/>
        <v>0</v>
      </c>
      <c r="AZ30" s="695">
        <f t="shared" si="20"/>
        <v>6666.666666666667</v>
      </c>
      <c r="BA30" s="1">
        <v>80</v>
      </c>
      <c r="BB30" s="1"/>
      <c r="BC30" s="769">
        <f t="shared" si="21"/>
        <v>80</v>
      </c>
      <c r="BD30" s="1"/>
      <c r="BE30" s="1"/>
      <c r="BF30" s="769">
        <f t="shared" si="22"/>
        <v>0</v>
      </c>
      <c r="BG30" s="1"/>
      <c r="BH30" s="1"/>
      <c r="BI30" s="769">
        <f t="shared" si="23"/>
        <v>0</v>
      </c>
      <c r="BJ30" s="1"/>
      <c r="BK30" s="1"/>
      <c r="BL30" s="770">
        <f t="shared" si="24"/>
        <v>0</v>
      </c>
      <c r="BM30" s="382">
        <v>120</v>
      </c>
      <c r="BN30" s="1"/>
      <c r="BO30" s="772">
        <f t="shared" si="25"/>
        <v>120</v>
      </c>
      <c r="BP30" s="382"/>
      <c r="BQ30" s="1"/>
      <c r="BR30" s="693">
        <f t="shared" si="26"/>
        <v>0</v>
      </c>
      <c r="BS30" s="382"/>
      <c r="BT30" s="1"/>
      <c r="BU30" s="693">
        <f t="shared" si="40"/>
        <v>0</v>
      </c>
      <c r="BV30" s="693"/>
      <c r="BW30" s="693"/>
      <c r="BX30" s="693">
        <f t="shared" si="41"/>
        <v>0</v>
      </c>
      <c r="BY30" s="693"/>
      <c r="BZ30" s="693"/>
      <c r="CA30" s="693">
        <f t="shared" si="42"/>
        <v>0</v>
      </c>
      <c r="CB30" s="174">
        <f t="shared" si="30"/>
        <v>200</v>
      </c>
      <c r="CC30" s="174">
        <f t="shared" si="31"/>
        <v>0</v>
      </c>
      <c r="CD30" s="174">
        <f t="shared" si="32"/>
        <v>200</v>
      </c>
      <c r="CE30" s="175">
        <f t="shared" si="33"/>
        <v>22.222222222222221</v>
      </c>
      <c r="CF30" s="175">
        <f t="shared" si="34"/>
        <v>0</v>
      </c>
      <c r="CG30" s="175">
        <f t="shared" si="35"/>
        <v>22.222222222222221</v>
      </c>
    </row>
    <row r="31" spans="1:213" ht="17.25" thickBot="1">
      <c r="A31" s="802">
        <v>24</v>
      </c>
      <c r="B31" s="804" t="s">
        <v>3146</v>
      </c>
      <c r="C31" s="15"/>
      <c r="D31" s="15" t="s">
        <v>3147</v>
      </c>
      <c r="E31" s="803" t="s">
        <v>3101</v>
      </c>
      <c r="F31" s="800">
        <v>0</v>
      </c>
      <c r="G31" s="801" t="s">
        <v>15</v>
      </c>
      <c r="H31" s="1"/>
      <c r="I31" s="1"/>
      <c r="J31" s="372">
        <f t="shared" si="2"/>
        <v>0</v>
      </c>
      <c r="K31" s="382">
        <v>15</v>
      </c>
      <c r="L31" s="1"/>
      <c r="M31" s="694">
        <f t="shared" si="3"/>
        <v>15</v>
      </c>
      <c r="N31" s="103"/>
      <c r="O31" s="1"/>
      <c r="P31" s="105">
        <f t="shared" si="36"/>
        <v>0</v>
      </c>
      <c r="Q31" s="382"/>
      <c r="R31" s="1"/>
      <c r="S31" s="105">
        <f t="shared" si="4"/>
        <v>0</v>
      </c>
      <c r="T31" s="382"/>
      <c r="U31" s="1"/>
      <c r="V31" s="105">
        <f t="shared" si="5"/>
        <v>0</v>
      </c>
      <c r="W31" s="382"/>
      <c r="X31" s="1"/>
      <c r="Y31" s="372">
        <f t="shared" si="6"/>
        <v>0</v>
      </c>
      <c r="Z31" s="382"/>
      <c r="AA31" s="1"/>
      <c r="AB31" s="379">
        <f t="shared" si="7"/>
        <v>0</v>
      </c>
      <c r="AC31" s="379"/>
      <c r="AD31" s="379"/>
      <c r="AE31" s="372">
        <f t="shared" si="8"/>
        <v>0</v>
      </c>
      <c r="AF31" s="372">
        <v>10</v>
      </c>
      <c r="AG31" s="372"/>
      <c r="AH31" s="372">
        <f t="shared" si="9"/>
        <v>10</v>
      </c>
      <c r="AI31" s="765">
        <v>20</v>
      </c>
      <c r="AJ31" s="372"/>
      <c r="AK31" s="372">
        <f t="shared" si="10"/>
        <v>20</v>
      </c>
      <c r="AL31" s="382">
        <v>23</v>
      </c>
      <c r="AM31" s="1"/>
      <c r="AN31" s="372">
        <f t="shared" si="11"/>
        <v>23</v>
      </c>
      <c r="AO31" s="78">
        <v>30</v>
      </c>
      <c r="AP31" s="6"/>
      <c r="AQ31" s="697">
        <f t="shared" si="12"/>
        <v>30</v>
      </c>
      <c r="AR31" s="766">
        <f t="shared" si="13"/>
        <v>68</v>
      </c>
      <c r="AS31" s="692">
        <f t="shared" si="0"/>
        <v>0</v>
      </c>
      <c r="AT31" s="6">
        <f t="shared" si="14"/>
        <v>68</v>
      </c>
      <c r="AU31" s="585">
        <f t="shared" si="16"/>
        <v>5.666666666666667</v>
      </c>
      <c r="AV31" s="585">
        <f t="shared" si="16"/>
        <v>0</v>
      </c>
      <c r="AW31" s="494">
        <f t="shared" si="17"/>
        <v>5.666666666666667</v>
      </c>
      <c r="AX31" s="217">
        <f t="shared" si="18"/>
        <v>2833.3333333333335</v>
      </c>
      <c r="AY31" s="217">
        <f t="shared" si="19"/>
        <v>0</v>
      </c>
      <c r="AZ31" s="695">
        <f t="shared" si="20"/>
        <v>2833.3333333333335</v>
      </c>
      <c r="BA31" s="1"/>
      <c r="BB31" s="1"/>
      <c r="BC31" s="769">
        <f t="shared" si="21"/>
        <v>0</v>
      </c>
      <c r="BD31" s="1">
        <v>40</v>
      </c>
      <c r="BE31" s="1"/>
      <c r="BF31" s="769">
        <f t="shared" si="22"/>
        <v>40</v>
      </c>
      <c r="BG31" s="1">
        <v>25</v>
      </c>
      <c r="BH31" s="1"/>
      <c r="BI31" s="769">
        <f t="shared" si="23"/>
        <v>25</v>
      </c>
      <c r="BJ31" s="1">
        <v>50</v>
      </c>
      <c r="BK31" s="1"/>
      <c r="BL31" s="770">
        <f t="shared" si="24"/>
        <v>50</v>
      </c>
      <c r="BM31" s="78"/>
      <c r="BN31" s="6"/>
      <c r="BO31" s="772">
        <f t="shared" si="25"/>
        <v>0</v>
      </c>
      <c r="BP31" s="78"/>
      <c r="BQ31" s="6"/>
      <c r="BR31" s="693">
        <f t="shared" si="26"/>
        <v>0</v>
      </c>
      <c r="BS31" s="78">
        <v>60</v>
      </c>
      <c r="BT31" s="6"/>
      <c r="BU31" s="693">
        <f t="shared" si="40"/>
        <v>60</v>
      </c>
      <c r="BV31" s="693"/>
      <c r="BW31" s="693"/>
      <c r="BX31" s="693">
        <f t="shared" si="41"/>
        <v>0</v>
      </c>
      <c r="BY31" s="693"/>
      <c r="BZ31" s="693"/>
      <c r="CA31" s="693">
        <f t="shared" si="42"/>
        <v>0</v>
      </c>
      <c r="CB31" s="174">
        <f t="shared" si="30"/>
        <v>175</v>
      </c>
      <c r="CC31" s="174">
        <f t="shared" si="31"/>
        <v>0</v>
      </c>
      <c r="CD31" s="174">
        <f t="shared" si="32"/>
        <v>175</v>
      </c>
      <c r="CE31" s="175">
        <f t="shared" si="33"/>
        <v>19.444444444444443</v>
      </c>
      <c r="CF31" s="175">
        <f t="shared" si="34"/>
        <v>0</v>
      </c>
      <c r="CG31" s="175">
        <f t="shared" si="35"/>
        <v>19.444444444444443</v>
      </c>
    </row>
    <row r="32" spans="1:213" ht="17.25" thickBot="1">
      <c r="A32" s="760">
        <v>25</v>
      </c>
      <c r="B32" s="804" t="s">
        <v>3148</v>
      </c>
      <c r="C32" s="15"/>
      <c r="D32" s="15" t="s">
        <v>3149</v>
      </c>
      <c r="E32" s="762" t="s">
        <v>3101</v>
      </c>
      <c r="F32" s="800">
        <v>0</v>
      </c>
      <c r="G32" s="801" t="s">
        <v>18</v>
      </c>
      <c r="H32" s="1"/>
      <c r="I32" s="1"/>
      <c r="J32" s="372">
        <f t="shared" si="2"/>
        <v>0</v>
      </c>
      <c r="K32" s="382">
        <v>15</v>
      </c>
      <c r="L32" s="1"/>
      <c r="M32" s="694">
        <f t="shared" si="3"/>
        <v>15</v>
      </c>
      <c r="N32" s="103"/>
      <c r="O32" s="1"/>
      <c r="P32" s="105">
        <f t="shared" si="36"/>
        <v>0</v>
      </c>
      <c r="Q32" s="382"/>
      <c r="R32" s="1"/>
      <c r="S32" s="105">
        <f t="shared" si="4"/>
        <v>0</v>
      </c>
      <c r="T32" s="382"/>
      <c r="U32" s="1"/>
      <c r="V32" s="105">
        <f t="shared" si="5"/>
        <v>0</v>
      </c>
      <c r="W32" s="382"/>
      <c r="X32" s="1"/>
      <c r="Y32" s="372">
        <f t="shared" si="6"/>
        <v>0</v>
      </c>
      <c r="Z32" s="382"/>
      <c r="AA32" s="1"/>
      <c r="AB32" s="379">
        <f t="shared" si="7"/>
        <v>0</v>
      </c>
      <c r="AC32" s="379"/>
      <c r="AD32" s="379"/>
      <c r="AE32" s="372">
        <f t="shared" si="8"/>
        <v>0</v>
      </c>
      <c r="AF32" s="372">
        <v>10</v>
      </c>
      <c r="AG32" s="372"/>
      <c r="AH32" s="372">
        <f t="shared" si="9"/>
        <v>10</v>
      </c>
      <c r="AI32" s="765"/>
      <c r="AJ32" s="372"/>
      <c r="AK32" s="372">
        <f t="shared" si="10"/>
        <v>0</v>
      </c>
      <c r="AL32" s="382"/>
      <c r="AM32" s="1"/>
      <c r="AN32" s="372">
        <f t="shared" si="11"/>
        <v>0</v>
      </c>
      <c r="AO32" s="78"/>
      <c r="AP32" s="6"/>
      <c r="AQ32" s="697">
        <f t="shared" si="12"/>
        <v>0</v>
      </c>
      <c r="AR32" s="766">
        <f t="shared" si="13"/>
        <v>25</v>
      </c>
      <c r="AS32" s="692">
        <f t="shared" si="0"/>
        <v>0</v>
      </c>
      <c r="AT32" s="6">
        <f t="shared" si="14"/>
        <v>25</v>
      </c>
      <c r="AU32" s="585">
        <f t="shared" si="16"/>
        <v>2.0833333333333335</v>
      </c>
      <c r="AV32" s="585">
        <f t="shared" si="16"/>
        <v>0</v>
      </c>
      <c r="AW32" s="494">
        <f t="shared" si="17"/>
        <v>2.0833333333333335</v>
      </c>
      <c r="AX32" s="217">
        <f t="shared" si="18"/>
        <v>1041.6666666666667</v>
      </c>
      <c r="AY32" s="217">
        <f t="shared" si="19"/>
        <v>0</v>
      </c>
      <c r="AZ32" s="695">
        <f t="shared" si="20"/>
        <v>1041.6666666666667</v>
      </c>
      <c r="BA32" s="1"/>
      <c r="BB32" s="1"/>
      <c r="BC32" s="769">
        <f t="shared" si="21"/>
        <v>0</v>
      </c>
      <c r="BD32" s="1"/>
      <c r="BE32" s="1"/>
      <c r="BF32" s="769">
        <f t="shared" si="22"/>
        <v>0</v>
      </c>
      <c r="BG32" s="1">
        <v>20</v>
      </c>
      <c r="BH32" s="1"/>
      <c r="BI32" s="769">
        <f t="shared" si="23"/>
        <v>20</v>
      </c>
      <c r="BJ32" s="1"/>
      <c r="BK32" s="1"/>
      <c r="BL32" s="770">
        <f t="shared" si="24"/>
        <v>0</v>
      </c>
      <c r="BM32" s="78">
        <v>26</v>
      </c>
      <c r="BN32" s="6"/>
      <c r="BO32" s="772">
        <f t="shared" si="25"/>
        <v>26</v>
      </c>
      <c r="BP32" s="78"/>
      <c r="BQ32" s="6"/>
      <c r="BR32" s="693">
        <f t="shared" si="26"/>
        <v>0</v>
      </c>
      <c r="BS32" s="78">
        <v>10</v>
      </c>
      <c r="BT32" s="6"/>
      <c r="BU32" s="693">
        <f t="shared" si="40"/>
        <v>10</v>
      </c>
      <c r="BV32" s="693"/>
      <c r="BW32" s="693"/>
      <c r="BX32" s="693">
        <f t="shared" si="41"/>
        <v>0</v>
      </c>
      <c r="BY32" s="693"/>
      <c r="BZ32" s="693"/>
      <c r="CA32" s="693">
        <f t="shared" si="42"/>
        <v>0</v>
      </c>
      <c r="CB32" s="174">
        <f t="shared" si="30"/>
        <v>56</v>
      </c>
      <c r="CC32" s="174">
        <f t="shared" si="31"/>
        <v>0</v>
      </c>
      <c r="CD32" s="174">
        <f t="shared" si="32"/>
        <v>56</v>
      </c>
      <c r="CE32" s="175">
        <f t="shared" si="33"/>
        <v>6.2222222222222223</v>
      </c>
      <c r="CF32" s="175">
        <f t="shared" si="34"/>
        <v>0</v>
      </c>
      <c r="CG32" s="175">
        <f t="shared" si="35"/>
        <v>6.2222222222222223</v>
      </c>
    </row>
    <row r="33" spans="1:213" s="798" customFormat="1" ht="17.25" thickBot="1">
      <c r="A33" s="773">
        <v>26</v>
      </c>
      <c r="B33" s="830" t="s">
        <v>3150</v>
      </c>
      <c r="C33" s="775"/>
      <c r="D33" s="775" t="s">
        <v>3151</v>
      </c>
      <c r="E33" s="776" t="s">
        <v>3101</v>
      </c>
      <c r="F33" s="831">
        <v>0</v>
      </c>
      <c r="G33" s="832" t="s">
        <v>15</v>
      </c>
      <c r="H33" s="779"/>
      <c r="I33" s="779"/>
      <c r="J33" s="780">
        <f t="shared" si="2"/>
        <v>0</v>
      </c>
      <c r="K33" s="781"/>
      <c r="L33" s="779"/>
      <c r="M33" s="782">
        <f t="shared" si="3"/>
        <v>0</v>
      </c>
      <c r="N33" s="783">
        <v>20</v>
      </c>
      <c r="O33" s="779"/>
      <c r="P33" s="784">
        <f t="shared" si="36"/>
        <v>20</v>
      </c>
      <c r="Q33" s="781"/>
      <c r="R33" s="779"/>
      <c r="S33" s="784">
        <f t="shared" si="4"/>
        <v>0</v>
      </c>
      <c r="T33" s="781"/>
      <c r="U33" s="779"/>
      <c r="V33" s="784">
        <f t="shared" si="5"/>
        <v>0</v>
      </c>
      <c r="W33" s="781"/>
      <c r="X33" s="779"/>
      <c r="Y33" s="780">
        <f t="shared" si="6"/>
        <v>0</v>
      </c>
      <c r="Z33" s="781"/>
      <c r="AA33" s="779"/>
      <c r="AB33" s="785">
        <f t="shared" si="7"/>
        <v>0</v>
      </c>
      <c r="AC33" s="785"/>
      <c r="AD33" s="785"/>
      <c r="AE33" s="780">
        <f t="shared" si="8"/>
        <v>0</v>
      </c>
      <c r="AF33" s="780"/>
      <c r="AG33" s="780"/>
      <c r="AH33" s="780">
        <f t="shared" si="9"/>
        <v>0</v>
      </c>
      <c r="AI33" s="786"/>
      <c r="AJ33" s="780"/>
      <c r="AK33" s="780">
        <f t="shared" si="10"/>
        <v>0</v>
      </c>
      <c r="AL33" s="781"/>
      <c r="AM33" s="779"/>
      <c r="AN33" s="780">
        <f t="shared" si="11"/>
        <v>0</v>
      </c>
      <c r="AO33" s="787"/>
      <c r="AP33" s="788"/>
      <c r="AQ33" s="789">
        <f t="shared" si="12"/>
        <v>0</v>
      </c>
      <c r="AR33" s="790">
        <f t="shared" si="13"/>
        <v>20</v>
      </c>
      <c r="AS33" s="791">
        <f t="shared" si="0"/>
        <v>0</v>
      </c>
      <c r="AT33" s="788">
        <f t="shared" si="14"/>
        <v>20</v>
      </c>
      <c r="AU33" s="792">
        <f t="shared" si="16"/>
        <v>1.6666666666666667</v>
      </c>
      <c r="AV33" s="792">
        <f t="shared" si="16"/>
        <v>0</v>
      </c>
      <c r="AW33" s="793">
        <f t="shared" si="17"/>
        <v>1.6666666666666667</v>
      </c>
      <c r="AX33" s="794">
        <f t="shared" si="18"/>
        <v>833.33333333333337</v>
      </c>
      <c r="AY33" s="794">
        <f t="shared" si="19"/>
        <v>0</v>
      </c>
      <c r="AZ33" s="795">
        <f t="shared" si="20"/>
        <v>833.33333333333337</v>
      </c>
      <c r="BA33" s="779"/>
      <c r="BB33" s="779"/>
      <c r="BC33" s="796">
        <f t="shared" si="21"/>
        <v>0</v>
      </c>
      <c r="BD33" s="779"/>
      <c r="BE33" s="779"/>
      <c r="BF33" s="796">
        <f t="shared" si="22"/>
        <v>0</v>
      </c>
      <c r="BG33" s="779"/>
      <c r="BH33" s="779"/>
      <c r="BI33" s="796">
        <f t="shared" si="23"/>
        <v>0</v>
      </c>
      <c r="BJ33" s="779"/>
      <c r="BK33" s="779"/>
      <c r="BL33" s="797">
        <f t="shared" si="24"/>
        <v>0</v>
      </c>
      <c r="BM33" s="787"/>
      <c r="BN33" s="788"/>
      <c r="BO33" s="772">
        <f t="shared" si="25"/>
        <v>0</v>
      </c>
      <c r="BP33" s="787"/>
      <c r="BQ33" s="788"/>
      <c r="BR33" s="693">
        <f t="shared" si="26"/>
        <v>0</v>
      </c>
      <c r="BS33" s="787"/>
      <c r="BT33" s="788"/>
      <c r="BU33" s="693">
        <f t="shared" si="40"/>
        <v>0</v>
      </c>
      <c r="BV33" s="693"/>
      <c r="BW33" s="693"/>
      <c r="BX33" s="693">
        <f t="shared" si="41"/>
        <v>0</v>
      </c>
      <c r="BY33" s="693"/>
      <c r="BZ33" s="693"/>
      <c r="CA33" s="693">
        <f t="shared" si="42"/>
        <v>0</v>
      </c>
      <c r="CB33" s="174">
        <f t="shared" si="30"/>
        <v>0</v>
      </c>
      <c r="CC33" s="174">
        <f t="shared" si="31"/>
        <v>0</v>
      </c>
      <c r="CD33" s="174">
        <f t="shared" si="32"/>
        <v>0</v>
      </c>
      <c r="CE33" s="175">
        <f t="shared" si="33"/>
        <v>0</v>
      </c>
      <c r="CF33" s="175">
        <f t="shared" si="34"/>
        <v>0</v>
      </c>
      <c r="CG33" s="175">
        <f t="shared" si="35"/>
        <v>0</v>
      </c>
      <c r="CH33" s="823"/>
      <c r="CI33" s="823"/>
      <c r="CJ33" s="823"/>
      <c r="CK33" s="823"/>
      <c r="CL33" s="823"/>
      <c r="CM33" s="823"/>
      <c r="CN33" s="823"/>
      <c r="CO33" s="823"/>
      <c r="CP33" s="823"/>
      <c r="CQ33" s="823"/>
      <c r="CR33" s="823"/>
      <c r="CS33" s="823"/>
      <c r="CT33" s="823"/>
      <c r="CU33" s="823"/>
      <c r="CV33" s="823"/>
      <c r="CW33" s="823"/>
      <c r="CX33" s="823"/>
      <c r="CY33" s="823"/>
      <c r="CZ33" s="823"/>
      <c r="DA33" s="823"/>
      <c r="DB33" s="823"/>
      <c r="DC33" s="823"/>
      <c r="DD33" s="823"/>
      <c r="DE33" s="823"/>
      <c r="DF33" s="823"/>
      <c r="DG33" s="823"/>
      <c r="DH33" s="823"/>
      <c r="DI33" s="823"/>
      <c r="DJ33" s="823"/>
      <c r="DK33" s="823"/>
      <c r="DL33" s="823"/>
      <c r="DM33" s="823"/>
      <c r="DN33" s="823"/>
      <c r="DO33" s="823"/>
      <c r="DP33" s="823"/>
      <c r="DQ33" s="823"/>
      <c r="DR33" s="823"/>
      <c r="DS33" s="823"/>
      <c r="DT33" s="823"/>
      <c r="DU33" s="823"/>
      <c r="DV33" s="823"/>
      <c r="DW33" s="823"/>
      <c r="DX33" s="823"/>
      <c r="DY33" s="823"/>
      <c r="DZ33" s="823"/>
      <c r="EA33" s="823"/>
      <c r="EB33" s="823"/>
      <c r="EC33" s="823"/>
      <c r="ED33" s="823"/>
      <c r="EE33" s="823"/>
      <c r="EF33" s="823"/>
      <c r="EG33" s="823"/>
      <c r="EH33" s="823"/>
      <c r="EI33" s="823"/>
      <c r="EJ33" s="823"/>
      <c r="EK33" s="823"/>
      <c r="EL33" s="823"/>
      <c r="EM33" s="823"/>
      <c r="EN33" s="823"/>
      <c r="EO33" s="823"/>
      <c r="EP33" s="823"/>
      <c r="EQ33" s="823"/>
      <c r="ER33" s="823"/>
      <c r="ES33" s="823"/>
      <c r="ET33" s="823"/>
      <c r="EU33" s="823"/>
      <c r="EV33" s="823"/>
      <c r="EW33" s="823"/>
      <c r="EX33" s="823"/>
      <c r="EY33" s="823"/>
      <c r="EZ33" s="823"/>
      <c r="FA33" s="823"/>
      <c r="FB33" s="823"/>
      <c r="FC33" s="823"/>
      <c r="FD33" s="823"/>
      <c r="FE33" s="823"/>
      <c r="FF33" s="823"/>
      <c r="FG33" s="823"/>
      <c r="FH33" s="823"/>
      <c r="FI33" s="823"/>
      <c r="FJ33" s="823"/>
      <c r="FK33" s="823"/>
      <c r="FL33" s="823"/>
      <c r="FM33" s="823"/>
      <c r="FN33" s="823"/>
      <c r="FO33" s="823"/>
      <c r="FP33" s="823"/>
      <c r="FQ33" s="823"/>
      <c r="FR33" s="823"/>
      <c r="FS33" s="823"/>
      <c r="FT33" s="823"/>
      <c r="FU33" s="823"/>
      <c r="FV33" s="823"/>
      <c r="FW33" s="823"/>
      <c r="FX33" s="823"/>
      <c r="FY33" s="823"/>
      <c r="FZ33" s="823"/>
      <c r="GA33" s="823"/>
      <c r="GB33" s="823"/>
      <c r="GC33" s="823"/>
      <c r="GD33" s="823"/>
      <c r="GE33" s="823"/>
      <c r="GF33" s="823"/>
      <c r="GG33" s="823"/>
      <c r="GH33" s="823"/>
      <c r="GI33" s="823"/>
      <c r="GJ33" s="823"/>
      <c r="GK33" s="823"/>
      <c r="GL33" s="823"/>
      <c r="GM33" s="823"/>
      <c r="GN33" s="823"/>
      <c r="GO33" s="823"/>
      <c r="GP33" s="823"/>
      <c r="GQ33" s="823"/>
      <c r="GR33" s="823"/>
      <c r="GS33" s="823"/>
      <c r="GT33" s="823"/>
      <c r="GU33" s="823"/>
      <c r="GV33" s="823"/>
      <c r="GW33" s="823"/>
      <c r="GX33" s="823"/>
      <c r="GY33" s="823"/>
      <c r="GZ33" s="823"/>
      <c r="HA33" s="823"/>
      <c r="HB33" s="823"/>
      <c r="HC33" s="823"/>
      <c r="HD33" s="823"/>
      <c r="HE33" s="823"/>
    </row>
    <row r="34" spans="1:213" ht="17.25" thickBot="1">
      <c r="A34" s="760">
        <v>27</v>
      </c>
      <c r="B34" s="804" t="s">
        <v>3152</v>
      </c>
      <c r="C34" s="15"/>
      <c r="D34" s="15" t="s">
        <v>3153</v>
      </c>
      <c r="E34" s="762" t="s">
        <v>3101</v>
      </c>
      <c r="F34" s="800">
        <v>126</v>
      </c>
      <c r="G34" s="801" t="s">
        <v>18</v>
      </c>
      <c r="H34" s="1">
        <v>268</v>
      </c>
      <c r="I34" s="1"/>
      <c r="J34" s="372">
        <f t="shared" si="2"/>
        <v>268</v>
      </c>
      <c r="K34" s="382">
        <v>100</v>
      </c>
      <c r="L34" s="1"/>
      <c r="M34" s="694">
        <f t="shared" si="3"/>
        <v>100</v>
      </c>
      <c r="N34" s="103">
        <v>139</v>
      </c>
      <c r="O34" s="1"/>
      <c r="P34" s="105">
        <f t="shared" si="36"/>
        <v>139</v>
      </c>
      <c r="Q34" s="382"/>
      <c r="R34" s="1">
        <v>18</v>
      </c>
      <c r="S34" s="105">
        <f t="shared" si="4"/>
        <v>18</v>
      </c>
      <c r="T34" s="382">
        <v>94</v>
      </c>
      <c r="U34" s="1">
        <v>36</v>
      </c>
      <c r="V34" s="105">
        <f t="shared" si="5"/>
        <v>130</v>
      </c>
      <c r="W34" s="382">
        <v>157</v>
      </c>
      <c r="X34" s="1">
        <v>18</v>
      </c>
      <c r="Y34" s="372">
        <f t="shared" si="6"/>
        <v>175</v>
      </c>
      <c r="Z34" s="382"/>
      <c r="AA34" s="1"/>
      <c r="AB34" s="379">
        <f t="shared" si="7"/>
        <v>0</v>
      </c>
      <c r="AC34" s="379">
        <v>110</v>
      </c>
      <c r="AD34" s="379">
        <v>36</v>
      </c>
      <c r="AE34" s="372">
        <f t="shared" si="8"/>
        <v>146</v>
      </c>
      <c r="AF34" s="372">
        <v>89</v>
      </c>
      <c r="AG34" s="372">
        <v>36</v>
      </c>
      <c r="AH34" s="372">
        <f t="shared" si="9"/>
        <v>125</v>
      </c>
      <c r="AI34" s="765">
        <v>263</v>
      </c>
      <c r="AJ34" s="372">
        <v>56</v>
      </c>
      <c r="AK34" s="372">
        <f t="shared" si="10"/>
        <v>319</v>
      </c>
      <c r="AL34" s="382">
        <v>65</v>
      </c>
      <c r="AM34" s="1"/>
      <c r="AN34" s="372">
        <f t="shared" si="11"/>
        <v>65</v>
      </c>
      <c r="AO34" s="78"/>
      <c r="AP34" s="6">
        <v>36</v>
      </c>
      <c r="AQ34" s="697">
        <f t="shared" si="12"/>
        <v>36</v>
      </c>
      <c r="AR34" s="766">
        <f t="shared" si="13"/>
        <v>1285</v>
      </c>
      <c r="AS34" s="692">
        <f t="shared" si="0"/>
        <v>200</v>
      </c>
      <c r="AT34" s="6">
        <f t="shared" si="14"/>
        <v>1485</v>
      </c>
      <c r="AU34" s="585">
        <f t="shared" si="16"/>
        <v>107.08333333333333</v>
      </c>
      <c r="AV34" s="585">
        <f t="shared" si="16"/>
        <v>16.666666666666668</v>
      </c>
      <c r="AW34" s="494">
        <f t="shared" si="17"/>
        <v>123.75</v>
      </c>
      <c r="AX34" s="217">
        <f t="shared" si="18"/>
        <v>53541.666666666664</v>
      </c>
      <c r="AY34" s="217">
        <f t="shared" si="19"/>
        <v>10000</v>
      </c>
      <c r="AZ34" s="695">
        <f t="shared" si="20"/>
        <v>63541.666666666664</v>
      </c>
      <c r="BA34" s="1">
        <v>38</v>
      </c>
      <c r="BB34" s="1">
        <v>38</v>
      </c>
      <c r="BC34" s="769">
        <f t="shared" si="21"/>
        <v>76</v>
      </c>
      <c r="BD34" s="1">
        <v>280</v>
      </c>
      <c r="BE34" s="1">
        <v>65</v>
      </c>
      <c r="BF34" s="769">
        <f t="shared" si="22"/>
        <v>345</v>
      </c>
      <c r="BG34" s="1"/>
      <c r="BH34" s="1"/>
      <c r="BI34" s="769">
        <f t="shared" si="23"/>
        <v>0</v>
      </c>
      <c r="BJ34" s="1">
        <v>63</v>
      </c>
      <c r="BK34" s="1">
        <v>18</v>
      </c>
      <c r="BL34" s="770">
        <f t="shared" si="24"/>
        <v>81</v>
      </c>
      <c r="BM34" s="78">
        <v>256</v>
      </c>
      <c r="BN34" s="6">
        <v>56</v>
      </c>
      <c r="BO34" s="772">
        <f t="shared" si="25"/>
        <v>312</v>
      </c>
      <c r="BP34" s="78"/>
      <c r="BQ34" s="6"/>
      <c r="BR34" s="693">
        <f t="shared" si="26"/>
        <v>0</v>
      </c>
      <c r="BS34" s="78">
        <v>266</v>
      </c>
      <c r="BT34" s="6">
        <v>74</v>
      </c>
      <c r="BU34" s="693">
        <f t="shared" si="40"/>
        <v>340</v>
      </c>
      <c r="BV34" s="693"/>
      <c r="BW34" s="693"/>
      <c r="BX34" s="693">
        <f t="shared" si="41"/>
        <v>0</v>
      </c>
      <c r="BY34" s="693"/>
      <c r="BZ34" s="693"/>
      <c r="CA34" s="693">
        <f t="shared" si="42"/>
        <v>0</v>
      </c>
      <c r="CB34" s="174">
        <f t="shared" si="30"/>
        <v>903</v>
      </c>
      <c r="CC34" s="174">
        <f t="shared" si="31"/>
        <v>251</v>
      </c>
      <c r="CD34" s="174">
        <f t="shared" si="32"/>
        <v>1154</v>
      </c>
      <c r="CE34" s="175">
        <f t="shared" si="33"/>
        <v>100.33333333333333</v>
      </c>
      <c r="CF34" s="175">
        <f t="shared" si="34"/>
        <v>27.888888888888889</v>
      </c>
      <c r="CG34" s="175">
        <f t="shared" si="35"/>
        <v>128.22222222222223</v>
      </c>
    </row>
    <row r="35" spans="1:213" ht="17.25" thickBot="1">
      <c r="A35" s="802">
        <v>28</v>
      </c>
      <c r="B35" s="804" t="s">
        <v>3154</v>
      </c>
      <c r="C35" s="15"/>
      <c r="D35" s="15" t="s">
        <v>3155</v>
      </c>
      <c r="E35" s="803" t="s">
        <v>3101</v>
      </c>
      <c r="F35" s="800">
        <v>19.329999999999998</v>
      </c>
      <c r="G35" s="801" t="s">
        <v>18</v>
      </c>
      <c r="H35" s="1">
        <v>18</v>
      </c>
      <c r="I35" s="1"/>
      <c r="J35" s="372">
        <f t="shared" si="2"/>
        <v>18</v>
      </c>
      <c r="K35" s="382">
        <v>61</v>
      </c>
      <c r="L35" s="1"/>
      <c r="M35" s="694">
        <f t="shared" si="3"/>
        <v>61</v>
      </c>
      <c r="N35" s="103">
        <v>74</v>
      </c>
      <c r="O35" s="1"/>
      <c r="P35" s="105">
        <f t="shared" si="36"/>
        <v>74</v>
      </c>
      <c r="Q35" s="382">
        <v>80</v>
      </c>
      <c r="R35" s="1">
        <v>18</v>
      </c>
      <c r="S35" s="105">
        <f t="shared" si="4"/>
        <v>98</v>
      </c>
      <c r="T35" s="382">
        <v>20</v>
      </c>
      <c r="U35" s="1">
        <v>9</v>
      </c>
      <c r="V35" s="105">
        <f t="shared" si="5"/>
        <v>29</v>
      </c>
      <c r="W35" s="382">
        <v>76</v>
      </c>
      <c r="X35" s="1">
        <v>54</v>
      </c>
      <c r="Y35" s="372">
        <f t="shared" si="6"/>
        <v>130</v>
      </c>
      <c r="Z35" s="382">
        <v>78</v>
      </c>
      <c r="AA35" s="1">
        <v>18</v>
      </c>
      <c r="AB35" s="379">
        <f t="shared" si="7"/>
        <v>96</v>
      </c>
      <c r="AC35" s="379"/>
      <c r="AD35" s="379"/>
      <c r="AE35" s="833">
        <f t="shared" si="8"/>
        <v>0</v>
      </c>
      <c r="AF35" s="372">
        <v>40</v>
      </c>
      <c r="AG35" s="372"/>
      <c r="AH35" s="372">
        <f t="shared" si="9"/>
        <v>40</v>
      </c>
      <c r="AI35" s="765">
        <v>109</v>
      </c>
      <c r="AJ35" s="372">
        <v>72</v>
      </c>
      <c r="AK35" s="372">
        <f t="shared" si="10"/>
        <v>181</v>
      </c>
      <c r="AL35" s="382">
        <v>80</v>
      </c>
      <c r="AM35" s="1"/>
      <c r="AN35" s="372">
        <f t="shared" si="11"/>
        <v>80</v>
      </c>
      <c r="AO35" s="78"/>
      <c r="AP35" s="6"/>
      <c r="AQ35" s="697">
        <f t="shared" si="12"/>
        <v>0</v>
      </c>
      <c r="AR35" s="766">
        <f t="shared" si="13"/>
        <v>636</v>
      </c>
      <c r="AS35" s="692">
        <f t="shared" si="0"/>
        <v>171</v>
      </c>
      <c r="AT35" s="6">
        <f t="shared" si="14"/>
        <v>807</v>
      </c>
      <c r="AU35" s="585">
        <f t="shared" si="16"/>
        <v>53</v>
      </c>
      <c r="AV35" s="585">
        <f t="shared" si="16"/>
        <v>14.25</v>
      </c>
      <c r="AW35" s="494">
        <f t="shared" si="17"/>
        <v>67.25</v>
      </c>
      <c r="AX35" s="217">
        <f t="shared" si="18"/>
        <v>26500</v>
      </c>
      <c r="AY35" s="217">
        <f t="shared" si="19"/>
        <v>8550</v>
      </c>
      <c r="AZ35" s="695">
        <f t="shared" si="20"/>
        <v>35050</v>
      </c>
      <c r="BA35" s="1">
        <v>74</v>
      </c>
      <c r="BB35" s="1">
        <v>18</v>
      </c>
      <c r="BC35" s="769">
        <f t="shared" si="21"/>
        <v>92</v>
      </c>
      <c r="BD35" s="1">
        <v>30</v>
      </c>
      <c r="BE35" s="1">
        <v>18</v>
      </c>
      <c r="BF35" s="769">
        <f t="shared" si="22"/>
        <v>48</v>
      </c>
      <c r="BG35" s="1">
        <v>58</v>
      </c>
      <c r="BH35" s="1"/>
      <c r="BI35" s="769">
        <f t="shared" si="23"/>
        <v>58</v>
      </c>
      <c r="BJ35" s="1"/>
      <c r="BK35" s="1"/>
      <c r="BL35" s="770">
        <f t="shared" si="24"/>
        <v>0</v>
      </c>
      <c r="BM35" s="78"/>
      <c r="BN35" s="6"/>
      <c r="BO35" s="772">
        <f t="shared" si="25"/>
        <v>0</v>
      </c>
      <c r="BP35" s="78">
        <v>40</v>
      </c>
      <c r="BQ35" s="6"/>
      <c r="BR35" s="693">
        <f t="shared" si="26"/>
        <v>40</v>
      </c>
      <c r="BS35" s="78">
        <v>96</v>
      </c>
      <c r="BT35" s="6">
        <v>46</v>
      </c>
      <c r="BU35" s="693">
        <f t="shared" si="40"/>
        <v>142</v>
      </c>
      <c r="BV35" s="693"/>
      <c r="BW35" s="693"/>
      <c r="BX35" s="693">
        <f t="shared" si="41"/>
        <v>0</v>
      </c>
      <c r="BY35" s="693"/>
      <c r="BZ35" s="693"/>
      <c r="CA35" s="693">
        <f t="shared" si="42"/>
        <v>0</v>
      </c>
      <c r="CB35" s="174">
        <f t="shared" si="30"/>
        <v>298</v>
      </c>
      <c r="CC35" s="174">
        <f t="shared" si="31"/>
        <v>82</v>
      </c>
      <c r="CD35" s="174">
        <f t="shared" si="32"/>
        <v>380</v>
      </c>
      <c r="CE35" s="175">
        <f t="shared" si="33"/>
        <v>33.111111111111114</v>
      </c>
      <c r="CF35" s="175">
        <f t="shared" si="34"/>
        <v>9.1111111111111107</v>
      </c>
      <c r="CG35" s="175">
        <f t="shared" si="35"/>
        <v>42.222222222222221</v>
      </c>
    </row>
    <row r="36" spans="1:213" ht="17.25" thickBot="1">
      <c r="A36" s="760">
        <v>29</v>
      </c>
      <c r="B36" s="804" t="s">
        <v>3156</v>
      </c>
      <c r="C36" s="15"/>
      <c r="D36" s="15" t="s">
        <v>3157</v>
      </c>
      <c r="E36" s="762" t="s">
        <v>3101</v>
      </c>
      <c r="F36" s="800">
        <v>65.33</v>
      </c>
      <c r="G36" s="801" t="s">
        <v>18</v>
      </c>
      <c r="H36" s="1">
        <v>80</v>
      </c>
      <c r="I36" s="1"/>
      <c r="J36" s="372">
        <f t="shared" si="2"/>
        <v>80</v>
      </c>
      <c r="K36" s="382">
        <v>20</v>
      </c>
      <c r="L36" s="1"/>
      <c r="M36" s="694">
        <f t="shared" si="3"/>
        <v>20</v>
      </c>
      <c r="N36" s="103">
        <v>18</v>
      </c>
      <c r="O36" s="1"/>
      <c r="P36" s="105">
        <f t="shared" si="36"/>
        <v>18</v>
      </c>
      <c r="Q36" s="382"/>
      <c r="R36" s="1">
        <v>18</v>
      </c>
      <c r="S36" s="105">
        <f t="shared" si="4"/>
        <v>18</v>
      </c>
      <c r="T36" s="382">
        <v>20</v>
      </c>
      <c r="U36" s="1"/>
      <c r="V36" s="105">
        <f t="shared" si="5"/>
        <v>20</v>
      </c>
      <c r="W36" s="382"/>
      <c r="X36" s="1"/>
      <c r="Y36" s="372">
        <f t="shared" si="6"/>
        <v>0</v>
      </c>
      <c r="Z36" s="382">
        <v>20</v>
      </c>
      <c r="AA36" s="1">
        <v>18</v>
      </c>
      <c r="AB36" s="379">
        <f t="shared" si="7"/>
        <v>38</v>
      </c>
      <c r="AC36" s="379"/>
      <c r="AD36" s="379">
        <v>18</v>
      </c>
      <c r="AE36" s="372">
        <f t="shared" si="8"/>
        <v>18</v>
      </c>
      <c r="AF36" s="372">
        <v>20</v>
      </c>
      <c r="AG36" s="372"/>
      <c r="AH36" s="372">
        <f t="shared" si="9"/>
        <v>20</v>
      </c>
      <c r="AI36" s="765">
        <v>10</v>
      </c>
      <c r="AJ36" s="372"/>
      <c r="AK36" s="372">
        <f t="shared" si="10"/>
        <v>10</v>
      </c>
      <c r="AL36" s="382">
        <v>98</v>
      </c>
      <c r="AM36" s="1"/>
      <c r="AN36" s="372">
        <f t="shared" si="11"/>
        <v>98</v>
      </c>
      <c r="AO36" s="78"/>
      <c r="AP36" s="6"/>
      <c r="AQ36" s="697">
        <f t="shared" si="12"/>
        <v>0</v>
      </c>
      <c r="AR36" s="766">
        <f t="shared" si="13"/>
        <v>286</v>
      </c>
      <c r="AS36" s="692">
        <f t="shared" si="0"/>
        <v>54</v>
      </c>
      <c r="AT36" s="6">
        <f t="shared" si="14"/>
        <v>340</v>
      </c>
      <c r="AU36" s="585">
        <f t="shared" si="16"/>
        <v>23.833333333333332</v>
      </c>
      <c r="AV36" s="585">
        <f t="shared" si="16"/>
        <v>4.5</v>
      </c>
      <c r="AW36" s="494">
        <f t="shared" si="17"/>
        <v>28.333333333333332</v>
      </c>
      <c r="AX36" s="217">
        <f t="shared" si="18"/>
        <v>11916.666666666666</v>
      </c>
      <c r="AY36" s="217">
        <f t="shared" si="19"/>
        <v>2700</v>
      </c>
      <c r="AZ36" s="695">
        <f t="shared" si="20"/>
        <v>14616.666666666666</v>
      </c>
      <c r="BA36" s="1">
        <v>40</v>
      </c>
      <c r="BB36" s="1">
        <v>18</v>
      </c>
      <c r="BC36" s="769">
        <f t="shared" si="21"/>
        <v>58</v>
      </c>
      <c r="BD36" s="1">
        <v>130</v>
      </c>
      <c r="BE36" s="1">
        <v>9</v>
      </c>
      <c r="BF36" s="769">
        <f t="shared" si="22"/>
        <v>139</v>
      </c>
      <c r="BG36" s="1">
        <v>86</v>
      </c>
      <c r="BH36" s="1">
        <v>9</v>
      </c>
      <c r="BI36" s="769">
        <f t="shared" si="23"/>
        <v>95</v>
      </c>
      <c r="BJ36" s="1">
        <v>129</v>
      </c>
      <c r="BK36" s="1"/>
      <c r="BL36" s="770">
        <f t="shared" si="24"/>
        <v>129</v>
      </c>
      <c r="BM36" s="78">
        <v>40</v>
      </c>
      <c r="BN36" s="6">
        <v>9</v>
      </c>
      <c r="BO36" s="772">
        <f t="shared" si="25"/>
        <v>49</v>
      </c>
      <c r="BP36" s="78">
        <v>60</v>
      </c>
      <c r="BQ36" s="6">
        <v>18</v>
      </c>
      <c r="BR36" s="693">
        <f t="shared" si="26"/>
        <v>78</v>
      </c>
      <c r="BS36" s="78">
        <v>18</v>
      </c>
      <c r="BT36" s="6"/>
      <c r="BU36" s="693">
        <f t="shared" si="40"/>
        <v>18</v>
      </c>
      <c r="BV36" s="693"/>
      <c r="BW36" s="693"/>
      <c r="BX36" s="693">
        <f t="shared" si="41"/>
        <v>0</v>
      </c>
      <c r="BY36" s="693"/>
      <c r="BZ36" s="693"/>
      <c r="CA36" s="693">
        <f t="shared" si="42"/>
        <v>0</v>
      </c>
      <c r="CB36" s="174">
        <f t="shared" si="30"/>
        <v>503</v>
      </c>
      <c r="CC36" s="174">
        <f t="shared" si="31"/>
        <v>63</v>
      </c>
      <c r="CD36" s="174">
        <f t="shared" si="32"/>
        <v>566</v>
      </c>
      <c r="CE36" s="175">
        <f t="shared" si="33"/>
        <v>55.888888888888886</v>
      </c>
      <c r="CF36" s="175">
        <f t="shared" si="34"/>
        <v>7</v>
      </c>
      <c r="CG36" s="175">
        <f t="shared" si="35"/>
        <v>62.888888888888886</v>
      </c>
    </row>
    <row r="37" spans="1:213" s="61" customFormat="1" ht="17.25" thickBot="1">
      <c r="A37" s="834">
        <v>30</v>
      </c>
      <c r="B37" s="808" t="s">
        <v>3158</v>
      </c>
      <c r="C37" s="111"/>
      <c r="D37" s="111" t="s">
        <v>3159</v>
      </c>
      <c r="E37" s="835" t="s">
        <v>3101</v>
      </c>
      <c r="F37" s="810">
        <v>220.67</v>
      </c>
      <c r="G37" s="811" t="s">
        <v>18</v>
      </c>
      <c r="H37" s="19"/>
      <c r="I37" s="19"/>
      <c r="J37" s="701">
        <f t="shared" si="2"/>
        <v>0</v>
      </c>
      <c r="K37" s="319">
        <v>500</v>
      </c>
      <c r="L37" s="19"/>
      <c r="M37" s="389">
        <f t="shared" si="3"/>
        <v>500</v>
      </c>
      <c r="N37" s="100">
        <v>100</v>
      </c>
      <c r="O37" s="19"/>
      <c r="P37" s="320">
        <f t="shared" si="36"/>
        <v>100</v>
      </c>
      <c r="Q37" s="319">
        <v>80</v>
      </c>
      <c r="R37" s="19"/>
      <c r="S37" s="320">
        <f t="shared" si="4"/>
        <v>80</v>
      </c>
      <c r="T37" s="319">
        <v>300</v>
      </c>
      <c r="U37" s="19"/>
      <c r="V37" s="320">
        <f t="shared" si="5"/>
        <v>300</v>
      </c>
      <c r="W37" s="319">
        <v>440</v>
      </c>
      <c r="X37" s="19"/>
      <c r="Y37" s="701">
        <f t="shared" si="6"/>
        <v>440</v>
      </c>
      <c r="Z37" s="319"/>
      <c r="AA37" s="19"/>
      <c r="AB37" s="111">
        <f t="shared" si="7"/>
        <v>0</v>
      </c>
      <c r="AC37" s="111">
        <v>400</v>
      </c>
      <c r="AD37" s="111"/>
      <c r="AE37" s="701">
        <f t="shared" si="8"/>
        <v>400</v>
      </c>
      <c r="AF37" s="701"/>
      <c r="AG37" s="701"/>
      <c r="AH37" s="701">
        <f t="shared" si="9"/>
        <v>0</v>
      </c>
      <c r="AI37" s="812"/>
      <c r="AJ37" s="701"/>
      <c r="AK37" s="701">
        <f t="shared" si="10"/>
        <v>0</v>
      </c>
      <c r="AL37" s="319"/>
      <c r="AM37" s="19"/>
      <c r="AN37" s="701">
        <f t="shared" si="11"/>
        <v>0</v>
      </c>
      <c r="AO37" s="319"/>
      <c r="AP37" s="19"/>
      <c r="AQ37" s="389">
        <f t="shared" si="12"/>
        <v>0</v>
      </c>
      <c r="AR37" s="387">
        <f t="shared" si="13"/>
        <v>1820</v>
      </c>
      <c r="AS37" s="388">
        <f t="shared" si="0"/>
        <v>0</v>
      </c>
      <c r="AT37" s="19">
        <f t="shared" si="14"/>
        <v>1820</v>
      </c>
      <c r="AU37" s="702">
        <f t="shared" si="16"/>
        <v>151.66666666666666</v>
      </c>
      <c r="AV37" s="702">
        <f t="shared" si="16"/>
        <v>0</v>
      </c>
      <c r="AW37" s="703">
        <f t="shared" si="17"/>
        <v>151.66666666666666</v>
      </c>
      <c r="AX37" s="703">
        <f t="shared" si="18"/>
        <v>75833.333333333328</v>
      </c>
      <c r="AY37" s="703">
        <f t="shared" si="19"/>
        <v>0</v>
      </c>
      <c r="AZ37" s="704">
        <f t="shared" si="20"/>
        <v>75833.333333333328</v>
      </c>
      <c r="BA37" s="19">
        <v>130</v>
      </c>
      <c r="BB37" s="19"/>
      <c r="BC37" s="813">
        <f t="shared" si="21"/>
        <v>130</v>
      </c>
      <c r="BD37" s="19">
        <v>500</v>
      </c>
      <c r="BE37" s="19"/>
      <c r="BF37" s="813">
        <f t="shared" si="22"/>
        <v>500</v>
      </c>
      <c r="BG37" s="19">
        <v>25</v>
      </c>
      <c r="BH37" s="19"/>
      <c r="BI37" s="813">
        <f t="shared" si="23"/>
        <v>25</v>
      </c>
      <c r="BJ37" s="19">
        <v>500</v>
      </c>
      <c r="BK37" s="19"/>
      <c r="BL37" s="814">
        <f t="shared" si="24"/>
        <v>500</v>
      </c>
      <c r="BM37" s="319"/>
      <c r="BN37" s="19"/>
      <c r="BO37" s="868">
        <f t="shared" si="25"/>
        <v>0</v>
      </c>
      <c r="BP37" s="319"/>
      <c r="BQ37" s="19"/>
      <c r="BR37" s="701">
        <f t="shared" si="26"/>
        <v>0</v>
      </c>
      <c r="BS37" s="319">
        <v>620</v>
      </c>
      <c r="BT37" s="19"/>
      <c r="BU37" s="701">
        <f t="shared" ref="BU37:BU42" si="43">BS37+BT37</f>
        <v>620</v>
      </c>
      <c r="BV37" s="701"/>
      <c r="BW37" s="701"/>
      <c r="BX37" s="701">
        <f t="shared" ref="BX37:BX42" si="44">BV37+BW37</f>
        <v>0</v>
      </c>
      <c r="BY37" s="701"/>
      <c r="BZ37" s="701"/>
      <c r="CA37" s="701">
        <f t="shared" ref="CA37:CA42" si="45">BY37+BZ37</f>
        <v>0</v>
      </c>
      <c r="CB37" s="174">
        <f t="shared" si="30"/>
        <v>1775</v>
      </c>
      <c r="CC37" s="174">
        <f t="shared" si="31"/>
        <v>0</v>
      </c>
      <c r="CD37" s="174">
        <f t="shared" si="32"/>
        <v>1775</v>
      </c>
      <c r="CE37" s="175">
        <f t="shared" si="33"/>
        <v>197.22222222222223</v>
      </c>
      <c r="CF37" s="175">
        <f t="shared" si="34"/>
        <v>0</v>
      </c>
      <c r="CG37" s="175">
        <f t="shared" si="35"/>
        <v>197.22222222222223</v>
      </c>
      <c r="CH37" s="361"/>
      <c r="CI37" s="361"/>
      <c r="CJ37" s="361"/>
      <c r="CK37" s="361"/>
      <c r="CL37" s="361"/>
      <c r="CM37" s="361"/>
      <c r="CN37" s="361"/>
      <c r="CO37" s="361"/>
      <c r="CP37" s="361"/>
      <c r="CQ37" s="361"/>
      <c r="CR37" s="361"/>
      <c r="CS37" s="361"/>
      <c r="CT37" s="361"/>
      <c r="CU37" s="361"/>
      <c r="CV37" s="361"/>
      <c r="CW37" s="361"/>
      <c r="CX37" s="361"/>
      <c r="CY37" s="361"/>
      <c r="CZ37" s="361"/>
      <c r="DA37" s="361"/>
      <c r="DB37" s="361"/>
      <c r="DC37" s="361"/>
      <c r="DD37" s="361"/>
      <c r="DE37" s="361"/>
      <c r="DF37" s="361"/>
      <c r="DG37" s="361"/>
      <c r="DH37" s="361"/>
      <c r="DI37" s="361"/>
      <c r="DJ37" s="361"/>
      <c r="DK37" s="361"/>
      <c r="DL37" s="361"/>
      <c r="DM37" s="361"/>
      <c r="DN37" s="361"/>
      <c r="DO37" s="361"/>
      <c r="DP37" s="361"/>
      <c r="DQ37" s="361"/>
      <c r="DR37" s="361"/>
      <c r="DS37" s="361"/>
      <c r="DT37" s="361"/>
      <c r="DU37" s="361"/>
      <c r="DV37" s="361"/>
      <c r="DW37" s="361"/>
      <c r="DX37" s="361"/>
      <c r="DY37" s="361"/>
      <c r="DZ37" s="361"/>
      <c r="EA37" s="361"/>
      <c r="EB37" s="361"/>
      <c r="EC37" s="361"/>
      <c r="ED37" s="361"/>
      <c r="EE37" s="361"/>
      <c r="EF37" s="361"/>
      <c r="EG37" s="361"/>
      <c r="EH37" s="361"/>
      <c r="EI37" s="361"/>
      <c r="EJ37" s="361"/>
      <c r="EK37" s="361"/>
      <c r="EL37" s="361"/>
      <c r="EM37" s="361"/>
      <c r="EN37" s="361"/>
      <c r="EO37" s="361"/>
      <c r="EP37" s="361"/>
      <c r="EQ37" s="361"/>
      <c r="ER37" s="361"/>
      <c r="ES37" s="361"/>
      <c r="ET37" s="361"/>
      <c r="EU37" s="361"/>
      <c r="EV37" s="361"/>
      <c r="EW37" s="361"/>
      <c r="EX37" s="361"/>
      <c r="EY37" s="361"/>
      <c r="EZ37" s="361"/>
      <c r="FA37" s="361"/>
      <c r="FB37" s="361"/>
      <c r="FC37" s="361"/>
      <c r="FD37" s="361"/>
      <c r="FE37" s="361"/>
      <c r="FF37" s="361"/>
      <c r="FG37" s="361"/>
      <c r="FH37" s="361"/>
      <c r="FI37" s="361"/>
      <c r="FJ37" s="361"/>
      <c r="FK37" s="361"/>
      <c r="FL37" s="361"/>
      <c r="FM37" s="361"/>
      <c r="FN37" s="361"/>
      <c r="FO37" s="361"/>
      <c r="FP37" s="361"/>
      <c r="FQ37" s="361"/>
      <c r="FR37" s="361"/>
      <c r="FS37" s="361"/>
      <c r="FT37" s="361"/>
      <c r="FU37" s="361"/>
      <c r="FV37" s="361"/>
      <c r="FW37" s="361"/>
      <c r="FX37" s="361"/>
      <c r="FY37" s="361"/>
      <c r="FZ37" s="361"/>
      <c r="GA37" s="361"/>
      <c r="GB37" s="361"/>
      <c r="GC37" s="361"/>
      <c r="GD37" s="361"/>
      <c r="GE37" s="361"/>
      <c r="GF37" s="361"/>
      <c r="GG37" s="361"/>
      <c r="GH37" s="361"/>
      <c r="GI37" s="361"/>
      <c r="GJ37" s="361"/>
      <c r="GK37" s="361"/>
      <c r="GL37" s="361"/>
      <c r="GM37" s="361"/>
      <c r="GN37" s="361"/>
      <c r="GO37" s="361"/>
      <c r="GP37" s="361"/>
      <c r="GQ37" s="361"/>
      <c r="GR37" s="361"/>
      <c r="GS37" s="361"/>
      <c r="GT37" s="361"/>
      <c r="GU37" s="361"/>
      <c r="GV37" s="361"/>
      <c r="GW37" s="361"/>
      <c r="GX37" s="361"/>
      <c r="GY37" s="361"/>
      <c r="GZ37" s="361"/>
      <c r="HA37" s="361"/>
      <c r="HB37" s="361"/>
      <c r="HC37" s="361"/>
      <c r="HD37" s="361"/>
      <c r="HE37" s="361"/>
    </row>
    <row r="38" spans="1:213" ht="17.25" thickBot="1">
      <c r="A38" s="760">
        <v>31</v>
      </c>
      <c r="B38" s="804" t="s">
        <v>3160</v>
      </c>
      <c r="C38" s="15"/>
      <c r="D38" s="15" t="s">
        <v>3161</v>
      </c>
      <c r="E38" s="762" t="s">
        <v>3101</v>
      </c>
      <c r="F38" s="800">
        <v>11.33</v>
      </c>
      <c r="G38" s="801" t="s">
        <v>15</v>
      </c>
      <c r="H38" s="1"/>
      <c r="I38" s="1"/>
      <c r="J38" s="372">
        <f t="shared" si="2"/>
        <v>0</v>
      </c>
      <c r="K38" s="382">
        <v>10</v>
      </c>
      <c r="L38" s="1"/>
      <c r="M38" s="694">
        <f t="shared" si="3"/>
        <v>10</v>
      </c>
      <c r="N38" s="103">
        <v>20</v>
      </c>
      <c r="O38" s="1"/>
      <c r="P38" s="105">
        <f t="shared" si="36"/>
        <v>20</v>
      </c>
      <c r="Q38" s="382">
        <v>20</v>
      </c>
      <c r="R38" s="1"/>
      <c r="S38" s="105">
        <f t="shared" si="4"/>
        <v>20</v>
      </c>
      <c r="T38" s="382">
        <v>20</v>
      </c>
      <c r="U38" s="1"/>
      <c r="V38" s="105">
        <f t="shared" si="5"/>
        <v>20</v>
      </c>
      <c r="W38" s="382">
        <v>20</v>
      </c>
      <c r="X38" s="1"/>
      <c r="Y38" s="372">
        <f t="shared" si="6"/>
        <v>20</v>
      </c>
      <c r="Z38" s="382">
        <v>20</v>
      </c>
      <c r="AA38" s="1"/>
      <c r="AB38" s="379">
        <f t="shared" si="7"/>
        <v>20</v>
      </c>
      <c r="AC38" s="379"/>
      <c r="AD38" s="379"/>
      <c r="AE38" s="372">
        <f t="shared" si="8"/>
        <v>0</v>
      </c>
      <c r="AF38" s="372">
        <v>20</v>
      </c>
      <c r="AG38" s="372"/>
      <c r="AH38" s="372">
        <f t="shared" si="9"/>
        <v>20</v>
      </c>
      <c r="AI38" s="765">
        <v>25</v>
      </c>
      <c r="AJ38" s="372"/>
      <c r="AK38" s="372">
        <f t="shared" si="10"/>
        <v>25</v>
      </c>
      <c r="AL38" s="382"/>
      <c r="AM38" s="1"/>
      <c r="AN38" s="372">
        <f t="shared" si="11"/>
        <v>0</v>
      </c>
      <c r="AO38" s="78">
        <v>10</v>
      </c>
      <c r="AP38" s="6"/>
      <c r="AQ38" s="697">
        <f t="shared" si="12"/>
        <v>10</v>
      </c>
      <c r="AR38" s="766">
        <f t="shared" si="13"/>
        <v>155</v>
      </c>
      <c r="AS38" s="692">
        <f t="shared" si="0"/>
        <v>0</v>
      </c>
      <c r="AT38" s="6">
        <f t="shared" si="14"/>
        <v>155</v>
      </c>
      <c r="AU38" s="585">
        <f t="shared" si="16"/>
        <v>12.916666666666666</v>
      </c>
      <c r="AV38" s="585">
        <f t="shared" si="16"/>
        <v>0</v>
      </c>
      <c r="AW38" s="494">
        <f t="shared" si="17"/>
        <v>12.916666666666666</v>
      </c>
      <c r="AX38" s="217">
        <f t="shared" si="18"/>
        <v>6458.333333333333</v>
      </c>
      <c r="AY38" s="217">
        <f t="shared" si="19"/>
        <v>0</v>
      </c>
      <c r="AZ38" s="695">
        <f t="shared" si="20"/>
        <v>6458.333333333333</v>
      </c>
      <c r="BA38" s="1"/>
      <c r="BB38" s="1"/>
      <c r="BC38" s="769">
        <f t="shared" si="21"/>
        <v>0</v>
      </c>
      <c r="BD38" s="1">
        <v>30</v>
      </c>
      <c r="BE38" s="1"/>
      <c r="BF38" s="769">
        <f t="shared" si="22"/>
        <v>30</v>
      </c>
      <c r="BG38" s="1">
        <v>35</v>
      </c>
      <c r="BH38" s="1"/>
      <c r="BI38" s="769">
        <f t="shared" si="23"/>
        <v>35</v>
      </c>
      <c r="BJ38" s="1"/>
      <c r="BK38" s="1"/>
      <c r="BL38" s="770">
        <f t="shared" si="24"/>
        <v>0</v>
      </c>
      <c r="BM38" s="78">
        <v>30</v>
      </c>
      <c r="BN38" s="6"/>
      <c r="BO38" s="772">
        <f t="shared" si="25"/>
        <v>30</v>
      </c>
      <c r="BP38" s="78"/>
      <c r="BQ38" s="6"/>
      <c r="BR38" s="693">
        <f t="shared" si="26"/>
        <v>0</v>
      </c>
      <c r="BS38" s="78">
        <v>20</v>
      </c>
      <c r="BT38" s="6"/>
      <c r="BU38" s="693">
        <f t="shared" si="43"/>
        <v>20</v>
      </c>
      <c r="BV38" s="693"/>
      <c r="BW38" s="693"/>
      <c r="BX38" s="693">
        <f t="shared" si="44"/>
        <v>0</v>
      </c>
      <c r="BY38" s="693"/>
      <c r="BZ38" s="693"/>
      <c r="CA38" s="693">
        <f t="shared" si="45"/>
        <v>0</v>
      </c>
      <c r="CB38" s="174">
        <f t="shared" si="30"/>
        <v>115</v>
      </c>
      <c r="CC38" s="174">
        <f t="shared" si="31"/>
        <v>0</v>
      </c>
      <c r="CD38" s="174">
        <f t="shared" si="32"/>
        <v>115</v>
      </c>
      <c r="CE38" s="175">
        <f t="shared" si="33"/>
        <v>12.777777777777779</v>
      </c>
      <c r="CF38" s="175">
        <f t="shared" si="34"/>
        <v>0</v>
      </c>
      <c r="CG38" s="175">
        <f t="shared" si="35"/>
        <v>12.777777777777779</v>
      </c>
    </row>
    <row r="39" spans="1:213" s="699" customFormat="1" ht="17.25" thickBot="1">
      <c r="A39" s="834">
        <v>32</v>
      </c>
      <c r="B39" s="808" t="s">
        <v>3162</v>
      </c>
      <c r="C39" s="111"/>
      <c r="D39" s="111" t="s">
        <v>3163</v>
      </c>
      <c r="E39" s="835" t="s">
        <v>3101</v>
      </c>
      <c r="F39" s="810">
        <v>659.66</v>
      </c>
      <c r="G39" s="811" t="s">
        <v>18</v>
      </c>
      <c r="H39" s="19">
        <v>300</v>
      </c>
      <c r="I39" s="19"/>
      <c r="J39" s="701">
        <f t="shared" si="2"/>
        <v>300</v>
      </c>
      <c r="K39" s="319"/>
      <c r="L39" s="19"/>
      <c r="M39" s="389">
        <f t="shared" si="3"/>
        <v>0</v>
      </c>
      <c r="N39" s="100">
        <v>2170</v>
      </c>
      <c r="O39" s="19"/>
      <c r="P39" s="320">
        <f t="shared" si="36"/>
        <v>2170</v>
      </c>
      <c r="Q39" s="319"/>
      <c r="R39" s="19"/>
      <c r="S39" s="320">
        <f t="shared" si="4"/>
        <v>0</v>
      </c>
      <c r="T39" s="319">
        <v>790</v>
      </c>
      <c r="U39" s="19">
        <v>232</v>
      </c>
      <c r="V39" s="320">
        <f t="shared" si="5"/>
        <v>1022</v>
      </c>
      <c r="W39" s="319">
        <v>654</v>
      </c>
      <c r="X39" s="19">
        <v>54</v>
      </c>
      <c r="Y39" s="701">
        <f t="shared" si="6"/>
        <v>708</v>
      </c>
      <c r="Z39" s="319"/>
      <c r="AA39" s="19"/>
      <c r="AB39" s="111">
        <f t="shared" si="7"/>
        <v>0</v>
      </c>
      <c r="AC39" s="111">
        <v>492</v>
      </c>
      <c r="AD39" s="111">
        <v>148</v>
      </c>
      <c r="AE39" s="701">
        <f t="shared" si="8"/>
        <v>640</v>
      </c>
      <c r="AF39" s="701">
        <v>396</v>
      </c>
      <c r="AG39" s="701">
        <v>54</v>
      </c>
      <c r="AH39" s="701">
        <f t="shared" si="9"/>
        <v>450</v>
      </c>
      <c r="AI39" s="812"/>
      <c r="AJ39" s="701"/>
      <c r="AK39" s="701">
        <f t="shared" si="10"/>
        <v>0</v>
      </c>
      <c r="AL39" s="319">
        <v>710</v>
      </c>
      <c r="AM39" s="19">
        <v>36</v>
      </c>
      <c r="AN39" s="701">
        <f t="shared" si="11"/>
        <v>746</v>
      </c>
      <c r="AO39" s="319">
        <v>444</v>
      </c>
      <c r="AP39" s="19">
        <v>112</v>
      </c>
      <c r="AQ39" s="389">
        <f t="shared" si="12"/>
        <v>556</v>
      </c>
      <c r="AR39" s="387">
        <f t="shared" si="13"/>
        <v>5512</v>
      </c>
      <c r="AS39" s="388">
        <f t="shared" si="0"/>
        <v>524</v>
      </c>
      <c r="AT39" s="19">
        <f t="shared" si="14"/>
        <v>6036</v>
      </c>
      <c r="AU39" s="702">
        <f t="shared" si="16"/>
        <v>459.33333333333331</v>
      </c>
      <c r="AV39" s="702">
        <f t="shared" si="16"/>
        <v>43.666666666666664</v>
      </c>
      <c r="AW39" s="703">
        <f t="shared" si="17"/>
        <v>503</v>
      </c>
      <c r="AX39" s="703">
        <f t="shared" si="18"/>
        <v>229666.66666666666</v>
      </c>
      <c r="AY39" s="703">
        <f t="shared" si="19"/>
        <v>26200</v>
      </c>
      <c r="AZ39" s="704">
        <f t="shared" si="20"/>
        <v>255866.66666666666</v>
      </c>
      <c r="BA39" s="19">
        <v>444</v>
      </c>
      <c r="BB39" s="19">
        <v>106</v>
      </c>
      <c r="BC39" s="813">
        <f t="shared" si="21"/>
        <v>550</v>
      </c>
      <c r="BD39" s="19">
        <v>434</v>
      </c>
      <c r="BE39" s="19">
        <v>54</v>
      </c>
      <c r="BF39" s="813">
        <f t="shared" si="22"/>
        <v>488</v>
      </c>
      <c r="BG39" s="19">
        <v>400</v>
      </c>
      <c r="BH39" s="19">
        <v>74</v>
      </c>
      <c r="BI39" s="813">
        <f t="shared" si="23"/>
        <v>474</v>
      </c>
      <c r="BJ39" s="19">
        <v>366</v>
      </c>
      <c r="BK39" s="19">
        <v>114</v>
      </c>
      <c r="BL39" s="814">
        <f t="shared" si="24"/>
        <v>480</v>
      </c>
      <c r="BM39" s="319">
        <v>336</v>
      </c>
      <c r="BN39" s="19">
        <v>90</v>
      </c>
      <c r="BO39" s="868">
        <f t="shared" si="25"/>
        <v>426</v>
      </c>
      <c r="BP39" s="319">
        <v>660</v>
      </c>
      <c r="BQ39" s="19">
        <v>148</v>
      </c>
      <c r="BR39" s="701">
        <f t="shared" si="26"/>
        <v>808</v>
      </c>
      <c r="BS39" s="319">
        <v>430</v>
      </c>
      <c r="BT39" s="19">
        <v>40</v>
      </c>
      <c r="BU39" s="701">
        <f t="shared" si="43"/>
        <v>470</v>
      </c>
      <c r="BV39" s="701"/>
      <c r="BW39" s="701"/>
      <c r="BX39" s="701">
        <f t="shared" si="44"/>
        <v>0</v>
      </c>
      <c r="BY39" s="701"/>
      <c r="BZ39" s="701"/>
      <c r="CA39" s="701">
        <f t="shared" si="45"/>
        <v>0</v>
      </c>
      <c r="CB39" s="174">
        <f t="shared" si="30"/>
        <v>3070</v>
      </c>
      <c r="CC39" s="174">
        <f t="shared" si="31"/>
        <v>626</v>
      </c>
      <c r="CD39" s="174">
        <f t="shared" si="32"/>
        <v>3696</v>
      </c>
      <c r="CE39" s="175">
        <f t="shared" si="33"/>
        <v>341.11111111111109</v>
      </c>
      <c r="CF39" s="175">
        <f t="shared" si="34"/>
        <v>69.555555555555557</v>
      </c>
      <c r="CG39" s="175">
        <f t="shared" si="35"/>
        <v>410.66666666666669</v>
      </c>
      <c r="CH39" s="361"/>
      <c r="CI39" s="361"/>
      <c r="CJ39" s="361"/>
      <c r="CK39" s="361"/>
      <c r="CL39" s="361"/>
      <c r="CM39" s="361"/>
      <c r="CN39" s="361"/>
      <c r="CO39" s="361"/>
      <c r="CP39" s="361"/>
      <c r="CQ39" s="361"/>
      <c r="CR39" s="361"/>
      <c r="CS39" s="361"/>
      <c r="CT39" s="361"/>
      <c r="CU39" s="361"/>
      <c r="CV39" s="361"/>
      <c r="CW39" s="361"/>
      <c r="CX39" s="361"/>
      <c r="CY39" s="361"/>
      <c r="CZ39" s="361"/>
      <c r="DA39" s="361"/>
      <c r="DB39" s="361"/>
      <c r="DC39" s="361"/>
      <c r="DD39" s="361"/>
      <c r="DE39" s="361"/>
      <c r="DF39" s="361"/>
      <c r="DG39" s="361"/>
      <c r="DH39" s="361"/>
      <c r="DI39" s="361"/>
      <c r="DJ39" s="361"/>
      <c r="DK39" s="361"/>
      <c r="DL39" s="361"/>
      <c r="DM39" s="361"/>
      <c r="DN39" s="361"/>
      <c r="DO39" s="361"/>
      <c r="DP39" s="361"/>
      <c r="DQ39" s="361"/>
      <c r="DR39" s="361"/>
      <c r="DS39" s="361"/>
      <c r="DT39" s="361"/>
      <c r="DU39" s="361"/>
      <c r="DV39" s="361"/>
      <c r="DW39" s="361"/>
      <c r="DX39" s="361"/>
      <c r="DY39" s="361"/>
      <c r="DZ39" s="361"/>
      <c r="EA39" s="361"/>
      <c r="EB39" s="361"/>
      <c r="EC39" s="361"/>
      <c r="ED39" s="361"/>
      <c r="EE39" s="361"/>
      <c r="EF39" s="361"/>
      <c r="EG39" s="361"/>
      <c r="EH39" s="361"/>
      <c r="EI39" s="361"/>
      <c r="EJ39" s="361"/>
      <c r="EK39" s="361"/>
      <c r="EL39" s="361"/>
      <c r="EM39" s="361"/>
      <c r="EN39" s="361"/>
      <c r="EO39" s="361"/>
      <c r="EP39" s="361"/>
      <c r="EQ39" s="361"/>
      <c r="ER39" s="361"/>
      <c r="ES39" s="361"/>
      <c r="ET39" s="361"/>
      <c r="EU39" s="361"/>
      <c r="EV39" s="361"/>
      <c r="EW39" s="361"/>
      <c r="EX39" s="361"/>
      <c r="EY39" s="361"/>
      <c r="EZ39" s="361"/>
      <c r="FA39" s="361"/>
      <c r="FB39" s="361"/>
      <c r="FC39" s="361"/>
      <c r="FD39" s="361"/>
      <c r="FE39" s="361"/>
      <c r="FF39" s="361"/>
      <c r="FG39" s="361"/>
      <c r="FH39" s="361"/>
      <c r="FI39" s="361"/>
      <c r="FJ39" s="361"/>
      <c r="FK39" s="361"/>
      <c r="FL39" s="361"/>
      <c r="FM39" s="361"/>
      <c r="FN39" s="361"/>
      <c r="FO39" s="361"/>
      <c r="FP39" s="361"/>
      <c r="FQ39" s="361"/>
      <c r="FR39" s="361"/>
      <c r="FS39" s="361"/>
      <c r="FT39" s="361"/>
      <c r="FU39" s="361"/>
      <c r="FV39" s="361"/>
      <c r="FW39" s="361"/>
      <c r="FX39" s="361"/>
      <c r="FY39" s="361"/>
      <c r="FZ39" s="361"/>
      <c r="GA39" s="361"/>
      <c r="GB39" s="361"/>
      <c r="GC39" s="361"/>
      <c r="GD39" s="361"/>
      <c r="GE39" s="361"/>
      <c r="GF39" s="361"/>
      <c r="GG39" s="361"/>
      <c r="GH39" s="361"/>
      <c r="GI39" s="361"/>
      <c r="GJ39" s="361"/>
      <c r="GK39" s="361"/>
      <c r="GL39" s="361"/>
      <c r="GM39" s="361"/>
      <c r="GN39" s="361"/>
      <c r="GO39" s="361"/>
      <c r="GP39" s="361"/>
      <c r="GQ39" s="361"/>
      <c r="GR39" s="361"/>
      <c r="GS39" s="361"/>
      <c r="GT39" s="361"/>
      <c r="GU39" s="361"/>
      <c r="GV39" s="361"/>
      <c r="GW39" s="361"/>
      <c r="GX39" s="361"/>
      <c r="GY39" s="361"/>
      <c r="GZ39" s="361"/>
      <c r="HA39" s="361"/>
      <c r="HB39" s="361"/>
      <c r="HC39" s="361"/>
      <c r="HD39" s="361"/>
      <c r="HE39" s="361"/>
    </row>
    <row r="40" spans="1:213" s="699" customFormat="1" ht="17.25" thickBot="1">
      <c r="A40" s="807">
        <v>33</v>
      </c>
      <c r="B40" s="808" t="s">
        <v>2905</v>
      </c>
      <c r="C40" s="111"/>
      <c r="D40" s="111" t="s">
        <v>3164</v>
      </c>
      <c r="E40" s="809" t="s">
        <v>3101</v>
      </c>
      <c r="F40" s="810">
        <v>488</v>
      </c>
      <c r="G40" s="811" t="s">
        <v>18</v>
      </c>
      <c r="H40" s="19">
        <v>574</v>
      </c>
      <c r="I40" s="19">
        <v>20</v>
      </c>
      <c r="J40" s="701">
        <f t="shared" si="2"/>
        <v>594</v>
      </c>
      <c r="K40" s="319">
        <v>1094</v>
      </c>
      <c r="L40" s="19">
        <v>196</v>
      </c>
      <c r="M40" s="389">
        <f t="shared" si="3"/>
        <v>1290</v>
      </c>
      <c r="N40" s="100">
        <v>336</v>
      </c>
      <c r="O40" s="19">
        <v>192</v>
      </c>
      <c r="P40" s="320">
        <f t="shared" si="36"/>
        <v>528</v>
      </c>
      <c r="Q40" s="319">
        <v>440</v>
      </c>
      <c r="R40" s="19">
        <v>100</v>
      </c>
      <c r="S40" s="320">
        <f t="shared" si="4"/>
        <v>540</v>
      </c>
      <c r="T40" s="319">
        <v>290</v>
      </c>
      <c r="U40" s="19">
        <v>258</v>
      </c>
      <c r="V40" s="320">
        <f t="shared" si="5"/>
        <v>548</v>
      </c>
      <c r="W40" s="319"/>
      <c r="X40" s="19"/>
      <c r="Y40" s="701">
        <f t="shared" si="6"/>
        <v>0</v>
      </c>
      <c r="Z40" s="319">
        <v>456</v>
      </c>
      <c r="AA40" s="19">
        <v>116</v>
      </c>
      <c r="AB40" s="111">
        <f t="shared" si="7"/>
        <v>572</v>
      </c>
      <c r="AC40" s="111"/>
      <c r="AD40" s="111"/>
      <c r="AE40" s="701">
        <f t="shared" si="8"/>
        <v>0</v>
      </c>
      <c r="AF40" s="701">
        <v>798</v>
      </c>
      <c r="AG40" s="701">
        <v>110</v>
      </c>
      <c r="AH40" s="701">
        <f t="shared" si="9"/>
        <v>908</v>
      </c>
      <c r="AI40" s="812">
        <v>300</v>
      </c>
      <c r="AJ40" s="701">
        <v>128</v>
      </c>
      <c r="AK40" s="701">
        <f t="shared" si="10"/>
        <v>428</v>
      </c>
      <c r="AL40" s="319">
        <v>360</v>
      </c>
      <c r="AM40" s="19">
        <v>112</v>
      </c>
      <c r="AN40" s="701">
        <f t="shared" si="11"/>
        <v>472</v>
      </c>
      <c r="AO40" s="319"/>
      <c r="AP40" s="19"/>
      <c r="AQ40" s="389">
        <f t="shared" si="12"/>
        <v>0</v>
      </c>
      <c r="AR40" s="387">
        <f t="shared" si="13"/>
        <v>4648</v>
      </c>
      <c r="AS40" s="388">
        <f t="shared" si="0"/>
        <v>1232</v>
      </c>
      <c r="AT40" s="19">
        <f t="shared" si="14"/>
        <v>5880</v>
      </c>
      <c r="AU40" s="702">
        <f t="shared" si="16"/>
        <v>387.33333333333331</v>
      </c>
      <c r="AV40" s="702">
        <f t="shared" si="16"/>
        <v>102.66666666666667</v>
      </c>
      <c r="AW40" s="703">
        <f t="shared" si="17"/>
        <v>490</v>
      </c>
      <c r="AX40" s="703">
        <f t="shared" si="18"/>
        <v>193666.66666666666</v>
      </c>
      <c r="AY40" s="703">
        <f t="shared" si="19"/>
        <v>61600</v>
      </c>
      <c r="AZ40" s="704">
        <f t="shared" si="20"/>
        <v>255266.66666666666</v>
      </c>
      <c r="BA40" s="19"/>
      <c r="BB40" s="19"/>
      <c r="BC40" s="813">
        <f t="shared" si="21"/>
        <v>0</v>
      </c>
      <c r="BD40" s="19"/>
      <c r="BE40" s="19"/>
      <c r="BF40" s="813">
        <f t="shared" si="22"/>
        <v>0</v>
      </c>
      <c r="BG40" s="19"/>
      <c r="BH40" s="19"/>
      <c r="BI40" s="813">
        <f t="shared" si="23"/>
        <v>0</v>
      </c>
      <c r="BJ40" s="19"/>
      <c r="BK40" s="19"/>
      <c r="BL40" s="814">
        <f t="shared" si="24"/>
        <v>0</v>
      </c>
      <c r="BM40" s="319"/>
      <c r="BN40" s="19"/>
      <c r="BO40" s="868">
        <f t="shared" si="25"/>
        <v>0</v>
      </c>
      <c r="BP40" s="319"/>
      <c r="BQ40" s="19"/>
      <c r="BR40" s="701">
        <f t="shared" si="26"/>
        <v>0</v>
      </c>
      <c r="BS40" s="319"/>
      <c r="BT40" s="19"/>
      <c r="BU40" s="701">
        <f t="shared" si="43"/>
        <v>0</v>
      </c>
      <c r="BV40" s="701"/>
      <c r="BW40" s="701"/>
      <c r="BX40" s="701">
        <f t="shared" si="44"/>
        <v>0</v>
      </c>
      <c r="BY40" s="701"/>
      <c r="BZ40" s="701"/>
      <c r="CA40" s="701">
        <f t="shared" si="45"/>
        <v>0</v>
      </c>
      <c r="CB40" s="174">
        <f t="shared" si="30"/>
        <v>0</v>
      </c>
      <c r="CC40" s="174">
        <f t="shared" si="31"/>
        <v>0</v>
      </c>
      <c r="CD40" s="174">
        <f t="shared" si="32"/>
        <v>0</v>
      </c>
      <c r="CE40" s="175">
        <f t="shared" si="33"/>
        <v>0</v>
      </c>
      <c r="CF40" s="175">
        <f t="shared" si="34"/>
        <v>0</v>
      </c>
      <c r="CG40" s="175">
        <f t="shared" si="35"/>
        <v>0</v>
      </c>
      <c r="CH40" s="361"/>
      <c r="CI40" s="361"/>
      <c r="CJ40" s="361"/>
      <c r="CK40" s="361"/>
      <c r="CL40" s="361"/>
      <c r="CM40" s="361"/>
      <c r="CN40" s="361"/>
      <c r="CO40" s="361"/>
      <c r="CP40" s="361"/>
      <c r="CQ40" s="361"/>
      <c r="CR40" s="361"/>
      <c r="CS40" s="361"/>
      <c r="CT40" s="361"/>
      <c r="CU40" s="361"/>
      <c r="CV40" s="361"/>
      <c r="CW40" s="361"/>
      <c r="CX40" s="361"/>
      <c r="CY40" s="361"/>
      <c r="CZ40" s="361"/>
      <c r="DA40" s="361"/>
      <c r="DB40" s="361"/>
      <c r="DC40" s="361"/>
      <c r="DD40" s="361"/>
      <c r="DE40" s="361"/>
      <c r="DF40" s="361"/>
      <c r="DG40" s="361"/>
      <c r="DH40" s="361"/>
      <c r="DI40" s="361"/>
      <c r="DJ40" s="361"/>
      <c r="DK40" s="361"/>
      <c r="DL40" s="361"/>
      <c r="DM40" s="361"/>
      <c r="DN40" s="361"/>
      <c r="DO40" s="361"/>
      <c r="DP40" s="361"/>
      <c r="DQ40" s="361"/>
      <c r="DR40" s="361"/>
      <c r="DS40" s="361"/>
      <c r="DT40" s="361"/>
      <c r="DU40" s="361"/>
      <c r="DV40" s="361"/>
      <c r="DW40" s="361"/>
      <c r="DX40" s="361"/>
      <c r="DY40" s="361"/>
      <c r="DZ40" s="361"/>
      <c r="EA40" s="361"/>
      <c r="EB40" s="361"/>
      <c r="EC40" s="361"/>
      <c r="ED40" s="361"/>
      <c r="EE40" s="361"/>
      <c r="EF40" s="361"/>
      <c r="EG40" s="361"/>
      <c r="EH40" s="361"/>
      <c r="EI40" s="361"/>
      <c r="EJ40" s="361"/>
      <c r="EK40" s="361"/>
      <c r="EL40" s="361"/>
      <c r="EM40" s="361"/>
      <c r="EN40" s="361"/>
      <c r="EO40" s="361"/>
      <c r="EP40" s="361"/>
      <c r="EQ40" s="361"/>
      <c r="ER40" s="361"/>
      <c r="ES40" s="361"/>
      <c r="ET40" s="361"/>
      <c r="EU40" s="361"/>
      <c r="EV40" s="361"/>
      <c r="EW40" s="361"/>
      <c r="EX40" s="361"/>
      <c r="EY40" s="361"/>
      <c r="EZ40" s="361"/>
      <c r="FA40" s="361"/>
      <c r="FB40" s="361"/>
      <c r="FC40" s="361"/>
      <c r="FD40" s="361"/>
      <c r="FE40" s="361"/>
      <c r="FF40" s="361"/>
      <c r="FG40" s="361"/>
      <c r="FH40" s="361"/>
      <c r="FI40" s="361"/>
      <c r="FJ40" s="361"/>
      <c r="FK40" s="361"/>
      <c r="FL40" s="361"/>
      <c r="FM40" s="361"/>
      <c r="FN40" s="361"/>
      <c r="FO40" s="361"/>
      <c r="FP40" s="361"/>
      <c r="FQ40" s="361"/>
      <c r="FR40" s="361"/>
      <c r="FS40" s="361"/>
      <c r="FT40" s="361"/>
      <c r="FU40" s="361"/>
      <c r="FV40" s="361"/>
      <c r="FW40" s="361"/>
      <c r="FX40" s="361"/>
      <c r="FY40" s="361"/>
      <c r="FZ40" s="361"/>
      <c r="GA40" s="361"/>
      <c r="GB40" s="361"/>
      <c r="GC40" s="361"/>
      <c r="GD40" s="361"/>
      <c r="GE40" s="361"/>
      <c r="GF40" s="361"/>
      <c r="GG40" s="361"/>
      <c r="GH40" s="361"/>
      <c r="GI40" s="361"/>
      <c r="GJ40" s="361"/>
      <c r="GK40" s="361"/>
      <c r="GL40" s="361"/>
      <c r="GM40" s="361"/>
      <c r="GN40" s="361"/>
      <c r="GO40" s="361"/>
      <c r="GP40" s="361"/>
      <c r="GQ40" s="361"/>
      <c r="GR40" s="361"/>
      <c r="GS40" s="361"/>
      <c r="GT40" s="361"/>
      <c r="GU40" s="361"/>
      <c r="GV40" s="361"/>
      <c r="GW40" s="361"/>
      <c r="GX40" s="361"/>
      <c r="GY40" s="361"/>
      <c r="GZ40" s="361"/>
      <c r="HA40" s="361"/>
      <c r="HB40" s="361"/>
      <c r="HC40" s="361"/>
      <c r="HD40" s="361"/>
      <c r="HE40" s="361"/>
    </row>
    <row r="41" spans="1:213" ht="17.25" thickBot="1">
      <c r="A41" s="802">
        <v>34</v>
      </c>
      <c r="B41" s="804" t="s">
        <v>3165</v>
      </c>
      <c r="C41" s="15"/>
      <c r="D41" s="15" t="s">
        <v>3166</v>
      </c>
      <c r="E41" s="803" t="s">
        <v>3101</v>
      </c>
      <c r="F41" s="800">
        <v>0</v>
      </c>
      <c r="G41" s="801" t="s">
        <v>15</v>
      </c>
      <c r="H41" s="1"/>
      <c r="I41" s="1"/>
      <c r="J41" s="372">
        <f t="shared" si="2"/>
        <v>0</v>
      </c>
      <c r="K41" s="382">
        <v>10</v>
      </c>
      <c r="L41" s="1"/>
      <c r="M41" s="694">
        <f t="shared" si="3"/>
        <v>10</v>
      </c>
      <c r="N41" s="103">
        <v>25</v>
      </c>
      <c r="O41" s="1"/>
      <c r="P41" s="105">
        <f t="shared" si="36"/>
        <v>25</v>
      </c>
      <c r="Q41" s="382"/>
      <c r="R41" s="1"/>
      <c r="S41" s="105">
        <f t="shared" si="4"/>
        <v>0</v>
      </c>
      <c r="T41" s="382"/>
      <c r="U41" s="1"/>
      <c r="V41" s="105">
        <f t="shared" si="5"/>
        <v>0</v>
      </c>
      <c r="W41" s="382"/>
      <c r="X41" s="1"/>
      <c r="Y41" s="372">
        <f t="shared" si="6"/>
        <v>0</v>
      </c>
      <c r="Z41" s="382">
        <v>517</v>
      </c>
      <c r="AA41" s="1">
        <v>18</v>
      </c>
      <c r="AB41" s="379">
        <f t="shared" si="7"/>
        <v>535</v>
      </c>
      <c r="AC41" s="379"/>
      <c r="AD41" s="379"/>
      <c r="AE41" s="372">
        <f t="shared" si="8"/>
        <v>0</v>
      </c>
      <c r="AF41" s="372"/>
      <c r="AG41" s="372"/>
      <c r="AH41" s="372">
        <f t="shared" si="9"/>
        <v>0</v>
      </c>
      <c r="AI41" s="765"/>
      <c r="AJ41" s="372"/>
      <c r="AK41" s="372">
        <f t="shared" si="10"/>
        <v>0</v>
      </c>
      <c r="AL41" s="382"/>
      <c r="AM41" s="1"/>
      <c r="AN41" s="372">
        <f t="shared" si="11"/>
        <v>0</v>
      </c>
      <c r="AO41" s="78"/>
      <c r="AP41" s="6"/>
      <c r="AQ41" s="697">
        <f t="shared" si="12"/>
        <v>0</v>
      </c>
      <c r="AR41" s="766">
        <f t="shared" si="13"/>
        <v>552</v>
      </c>
      <c r="AS41" s="692">
        <f t="shared" si="0"/>
        <v>18</v>
      </c>
      <c r="AT41" s="6">
        <f t="shared" si="14"/>
        <v>570</v>
      </c>
      <c r="AU41" s="585">
        <f t="shared" si="16"/>
        <v>46</v>
      </c>
      <c r="AV41" s="585">
        <f t="shared" si="16"/>
        <v>1.5</v>
      </c>
      <c r="AW41" s="494">
        <f t="shared" si="17"/>
        <v>47.5</v>
      </c>
      <c r="AX41" s="217">
        <f t="shared" si="18"/>
        <v>23000</v>
      </c>
      <c r="AY41" s="217">
        <f t="shared" si="19"/>
        <v>900</v>
      </c>
      <c r="AZ41" s="695">
        <f t="shared" si="20"/>
        <v>23900</v>
      </c>
      <c r="BA41" s="1"/>
      <c r="BB41" s="1"/>
      <c r="BC41" s="769">
        <f t="shared" si="21"/>
        <v>0</v>
      </c>
      <c r="BD41" s="1"/>
      <c r="BE41" s="1"/>
      <c r="BF41" s="769">
        <f t="shared" si="22"/>
        <v>0</v>
      </c>
      <c r="BG41" s="1"/>
      <c r="BH41" s="1"/>
      <c r="BI41" s="769">
        <f t="shared" si="23"/>
        <v>0</v>
      </c>
      <c r="BJ41" s="1"/>
      <c r="BK41" s="1"/>
      <c r="BL41" s="770">
        <f t="shared" si="24"/>
        <v>0</v>
      </c>
      <c r="BM41" s="78"/>
      <c r="BN41" s="6"/>
      <c r="BO41" s="772">
        <f t="shared" si="25"/>
        <v>0</v>
      </c>
      <c r="BP41" s="78"/>
      <c r="BQ41" s="6"/>
      <c r="BR41" s="693">
        <f t="shared" si="26"/>
        <v>0</v>
      </c>
      <c r="BS41" s="78"/>
      <c r="BT41" s="6"/>
      <c r="BU41" s="693">
        <f t="shared" si="43"/>
        <v>0</v>
      </c>
      <c r="BV41" s="693"/>
      <c r="BW41" s="693"/>
      <c r="BX41" s="693">
        <f t="shared" si="44"/>
        <v>0</v>
      </c>
      <c r="BY41" s="693"/>
      <c r="BZ41" s="693"/>
      <c r="CA41" s="693">
        <f t="shared" si="45"/>
        <v>0</v>
      </c>
      <c r="CB41" s="174">
        <f t="shared" si="30"/>
        <v>0</v>
      </c>
      <c r="CC41" s="174">
        <f t="shared" si="31"/>
        <v>0</v>
      </c>
      <c r="CD41" s="174">
        <f t="shared" si="32"/>
        <v>0</v>
      </c>
      <c r="CE41" s="175">
        <f t="shared" si="33"/>
        <v>0</v>
      </c>
      <c r="CF41" s="175">
        <f t="shared" si="34"/>
        <v>0</v>
      </c>
      <c r="CG41" s="175">
        <f t="shared" si="35"/>
        <v>0</v>
      </c>
    </row>
    <row r="42" spans="1:213" s="699" customFormat="1" ht="17.25" thickBot="1">
      <c r="A42" s="807">
        <v>35</v>
      </c>
      <c r="B42" s="869" t="s">
        <v>3167</v>
      </c>
      <c r="C42" s="111"/>
      <c r="D42" s="111" t="s">
        <v>3168</v>
      </c>
      <c r="E42" s="809" t="s">
        <v>3101</v>
      </c>
      <c r="F42" s="810">
        <v>0</v>
      </c>
      <c r="G42" s="811" t="s">
        <v>18</v>
      </c>
      <c r="H42" s="19">
        <v>248</v>
      </c>
      <c r="I42" s="19"/>
      <c r="J42" s="701">
        <f t="shared" si="2"/>
        <v>248</v>
      </c>
      <c r="K42" s="319">
        <v>200</v>
      </c>
      <c r="L42" s="19"/>
      <c r="M42" s="389">
        <f t="shared" si="3"/>
        <v>200</v>
      </c>
      <c r="N42" s="100">
        <v>100</v>
      </c>
      <c r="O42" s="19"/>
      <c r="P42" s="320">
        <f t="shared" si="36"/>
        <v>100</v>
      </c>
      <c r="Q42" s="319"/>
      <c r="R42" s="19"/>
      <c r="S42" s="320">
        <f t="shared" si="4"/>
        <v>0</v>
      </c>
      <c r="T42" s="319"/>
      <c r="U42" s="19"/>
      <c r="V42" s="320">
        <f t="shared" si="5"/>
        <v>0</v>
      </c>
      <c r="W42" s="319">
        <v>152</v>
      </c>
      <c r="X42" s="19"/>
      <c r="Y42" s="701">
        <f t="shared" si="6"/>
        <v>152</v>
      </c>
      <c r="Z42" s="319"/>
      <c r="AA42" s="19"/>
      <c r="AB42" s="111">
        <f t="shared" si="7"/>
        <v>0</v>
      </c>
      <c r="AC42" s="111"/>
      <c r="AD42" s="111"/>
      <c r="AE42" s="701">
        <f t="shared" si="8"/>
        <v>0</v>
      </c>
      <c r="AF42" s="701"/>
      <c r="AG42" s="701"/>
      <c r="AH42" s="701">
        <f t="shared" si="9"/>
        <v>0</v>
      </c>
      <c r="AI42" s="812">
        <v>236</v>
      </c>
      <c r="AJ42" s="701"/>
      <c r="AK42" s="701">
        <f t="shared" si="10"/>
        <v>236</v>
      </c>
      <c r="AL42" s="319"/>
      <c r="AM42" s="19"/>
      <c r="AN42" s="701">
        <f t="shared" si="11"/>
        <v>0</v>
      </c>
      <c r="AO42" s="319">
        <v>176</v>
      </c>
      <c r="AP42" s="19"/>
      <c r="AQ42" s="389">
        <f t="shared" si="12"/>
        <v>176</v>
      </c>
      <c r="AR42" s="387">
        <f t="shared" si="13"/>
        <v>936</v>
      </c>
      <c r="AS42" s="388">
        <f t="shared" si="0"/>
        <v>0</v>
      </c>
      <c r="AT42" s="19">
        <f t="shared" si="14"/>
        <v>936</v>
      </c>
      <c r="AU42" s="702">
        <f t="shared" si="16"/>
        <v>78</v>
      </c>
      <c r="AV42" s="702">
        <f t="shared" si="16"/>
        <v>0</v>
      </c>
      <c r="AW42" s="703">
        <f t="shared" si="17"/>
        <v>78</v>
      </c>
      <c r="AX42" s="703">
        <f t="shared" si="18"/>
        <v>39000</v>
      </c>
      <c r="AY42" s="703">
        <f t="shared" si="19"/>
        <v>0</v>
      </c>
      <c r="AZ42" s="704">
        <f t="shared" si="20"/>
        <v>39000</v>
      </c>
      <c r="BA42" s="19"/>
      <c r="BB42" s="19"/>
      <c r="BC42" s="813">
        <f t="shared" si="21"/>
        <v>0</v>
      </c>
      <c r="BD42" s="19">
        <v>242</v>
      </c>
      <c r="BE42" s="19"/>
      <c r="BF42" s="813">
        <f t="shared" si="22"/>
        <v>242</v>
      </c>
      <c r="BG42" s="19"/>
      <c r="BH42" s="19"/>
      <c r="BI42" s="813">
        <f t="shared" si="23"/>
        <v>0</v>
      </c>
      <c r="BJ42" s="19">
        <v>236</v>
      </c>
      <c r="BK42" s="19"/>
      <c r="BL42" s="814">
        <f t="shared" si="24"/>
        <v>236</v>
      </c>
      <c r="BM42" s="319">
        <v>200</v>
      </c>
      <c r="BN42" s="19">
        <v>18</v>
      </c>
      <c r="BO42" s="868">
        <f t="shared" si="25"/>
        <v>218</v>
      </c>
      <c r="BP42" s="319"/>
      <c r="BQ42" s="19"/>
      <c r="BR42" s="701">
        <f t="shared" si="26"/>
        <v>0</v>
      </c>
      <c r="BS42" s="319"/>
      <c r="BT42" s="19"/>
      <c r="BU42" s="701">
        <f t="shared" si="43"/>
        <v>0</v>
      </c>
      <c r="BV42" s="701"/>
      <c r="BW42" s="701"/>
      <c r="BX42" s="701">
        <f t="shared" si="44"/>
        <v>0</v>
      </c>
      <c r="BY42" s="701"/>
      <c r="BZ42" s="701"/>
      <c r="CA42" s="701">
        <f t="shared" si="45"/>
        <v>0</v>
      </c>
      <c r="CB42" s="174">
        <f t="shared" si="30"/>
        <v>678</v>
      </c>
      <c r="CC42" s="174">
        <f t="shared" si="31"/>
        <v>18</v>
      </c>
      <c r="CD42" s="174">
        <f t="shared" si="32"/>
        <v>696</v>
      </c>
      <c r="CE42" s="175">
        <f t="shared" si="33"/>
        <v>75.333333333333329</v>
      </c>
      <c r="CF42" s="175">
        <f t="shared" si="34"/>
        <v>2</v>
      </c>
      <c r="CG42" s="175">
        <f t="shared" si="35"/>
        <v>77.333333333333329</v>
      </c>
      <c r="CH42" s="361"/>
      <c r="CI42" s="361"/>
      <c r="CJ42" s="361"/>
      <c r="CK42" s="361"/>
      <c r="CL42" s="361"/>
      <c r="CM42" s="361"/>
      <c r="CN42" s="361"/>
      <c r="CO42" s="361"/>
      <c r="CP42" s="361"/>
      <c r="CQ42" s="361"/>
      <c r="CR42" s="361"/>
      <c r="CS42" s="361"/>
      <c r="CT42" s="361"/>
      <c r="CU42" s="361"/>
      <c r="CV42" s="361"/>
      <c r="CW42" s="361"/>
      <c r="CX42" s="361"/>
      <c r="CY42" s="361"/>
      <c r="CZ42" s="361"/>
      <c r="DA42" s="361"/>
      <c r="DB42" s="361"/>
      <c r="DC42" s="361"/>
      <c r="DD42" s="361"/>
      <c r="DE42" s="361"/>
      <c r="DF42" s="361"/>
      <c r="DG42" s="361"/>
      <c r="DH42" s="361"/>
      <c r="DI42" s="361"/>
      <c r="DJ42" s="361"/>
      <c r="DK42" s="361"/>
      <c r="DL42" s="361"/>
      <c r="DM42" s="361"/>
      <c r="DN42" s="361"/>
      <c r="DO42" s="361"/>
      <c r="DP42" s="361"/>
      <c r="DQ42" s="361"/>
      <c r="DR42" s="361"/>
      <c r="DS42" s="361"/>
      <c r="DT42" s="361"/>
      <c r="DU42" s="361"/>
      <c r="DV42" s="361"/>
      <c r="DW42" s="361"/>
      <c r="DX42" s="361"/>
      <c r="DY42" s="361"/>
      <c r="DZ42" s="361"/>
      <c r="EA42" s="361"/>
      <c r="EB42" s="361"/>
      <c r="EC42" s="361"/>
      <c r="ED42" s="361"/>
      <c r="EE42" s="361"/>
      <c r="EF42" s="361"/>
      <c r="EG42" s="361"/>
      <c r="EH42" s="361"/>
      <c r="EI42" s="361"/>
      <c r="EJ42" s="361"/>
      <c r="EK42" s="361"/>
      <c r="EL42" s="361"/>
      <c r="EM42" s="361"/>
      <c r="EN42" s="361"/>
      <c r="EO42" s="361"/>
      <c r="EP42" s="361"/>
      <c r="EQ42" s="361"/>
      <c r="ER42" s="361"/>
      <c r="ES42" s="361"/>
      <c r="ET42" s="361"/>
      <c r="EU42" s="361"/>
      <c r="EV42" s="361"/>
      <c r="EW42" s="361"/>
      <c r="EX42" s="361"/>
      <c r="EY42" s="361"/>
      <c r="EZ42" s="361"/>
      <c r="FA42" s="361"/>
      <c r="FB42" s="361"/>
      <c r="FC42" s="361"/>
      <c r="FD42" s="361"/>
      <c r="FE42" s="361"/>
      <c r="FF42" s="361"/>
      <c r="FG42" s="361"/>
      <c r="FH42" s="361"/>
      <c r="FI42" s="361"/>
      <c r="FJ42" s="361"/>
      <c r="FK42" s="361"/>
      <c r="FL42" s="361"/>
      <c r="FM42" s="361"/>
      <c r="FN42" s="361"/>
      <c r="FO42" s="361"/>
      <c r="FP42" s="361"/>
      <c r="FQ42" s="361"/>
      <c r="FR42" s="361"/>
      <c r="FS42" s="361"/>
      <c r="FT42" s="361"/>
      <c r="FU42" s="361"/>
      <c r="FV42" s="361"/>
      <c r="FW42" s="361"/>
      <c r="FX42" s="361"/>
      <c r="FY42" s="361"/>
      <c r="FZ42" s="361"/>
      <c r="GA42" s="361"/>
      <c r="GB42" s="361"/>
      <c r="GC42" s="361"/>
      <c r="GD42" s="361"/>
      <c r="GE42" s="361"/>
      <c r="GF42" s="361"/>
      <c r="GG42" s="361"/>
      <c r="GH42" s="361"/>
      <c r="GI42" s="361"/>
      <c r="GJ42" s="361"/>
      <c r="GK42" s="361"/>
      <c r="GL42" s="361"/>
      <c r="GM42" s="361"/>
      <c r="GN42" s="361"/>
      <c r="GO42" s="361"/>
      <c r="GP42" s="361"/>
      <c r="GQ42" s="361"/>
      <c r="GR42" s="361"/>
      <c r="GS42" s="361"/>
      <c r="GT42" s="361"/>
      <c r="GU42" s="361"/>
      <c r="GV42" s="361"/>
      <c r="GW42" s="361"/>
      <c r="GX42" s="361"/>
      <c r="GY42" s="361"/>
      <c r="GZ42" s="361"/>
      <c r="HA42" s="361"/>
      <c r="HB42" s="361"/>
      <c r="HC42" s="361"/>
      <c r="HD42" s="361"/>
      <c r="HE42" s="361"/>
    </row>
    <row r="43" spans="1:213" ht="17.25" thickBot="1">
      <c r="A43" s="802">
        <v>36</v>
      </c>
      <c r="B43" s="804" t="s">
        <v>3169</v>
      </c>
      <c r="C43" s="15"/>
      <c r="D43" s="15" t="s">
        <v>3170</v>
      </c>
      <c r="E43" s="803" t="s">
        <v>3101</v>
      </c>
      <c r="F43" s="800">
        <v>0</v>
      </c>
      <c r="G43" s="801" t="s">
        <v>18</v>
      </c>
      <c r="H43" s="1"/>
      <c r="I43" s="1"/>
      <c r="J43" s="372">
        <f t="shared" si="2"/>
        <v>0</v>
      </c>
      <c r="K43" s="382"/>
      <c r="L43" s="1"/>
      <c r="M43" s="694">
        <f t="shared" si="3"/>
        <v>0</v>
      </c>
      <c r="N43" s="103"/>
      <c r="O43" s="1"/>
      <c r="P43" s="105">
        <f t="shared" si="36"/>
        <v>0</v>
      </c>
      <c r="Q43" s="382"/>
      <c r="R43" s="1"/>
      <c r="S43" s="105">
        <f t="shared" si="4"/>
        <v>0</v>
      </c>
      <c r="T43" s="382"/>
      <c r="U43" s="1"/>
      <c r="V43" s="105">
        <f t="shared" si="5"/>
        <v>0</v>
      </c>
      <c r="W43" s="382"/>
      <c r="X43" s="1"/>
      <c r="Y43" s="372">
        <f t="shared" si="6"/>
        <v>0</v>
      </c>
      <c r="Z43" s="382"/>
      <c r="AA43" s="1"/>
      <c r="AB43" s="379">
        <f t="shared" si="7"/>
        <v>0</v>
      </c>
      <c r="AC43" s="379"/>
      <c r="AD43" s="379"/>
      <c r="AE43" s="372">
        <f t="shared" si="8"/>
        <v>0</v>
      </c>
      <c r="AF43" s="372"/>
      <c r="AG43" s="372"/>
      <c r="AH43" s="372">
        <f t="shared" si="9"/>
        <v>0</v>
      </c>
      <c r="AI43" s="765"/>
      <c r="AJ43" s="372"/>
      <c r="AK43" s="372">
        <f t="shared" si="10"/>
        <v>0</v>
      </c>
      <c r="AL43" s="382"/>
      <c r="AM43" s="1"/>
      <c r="AN43" s="372">
        <f t="shared" si="11"/>
        <v>0</v>
      </c>
      <c r="AO43" s="78"/>
      <c r="AP43" s="6"/>
      <c r="AQ43" s="697">
        <f t="shared" si="12"/>
        <v>0</v>
      </c>
      <c r="AR43" s="766">
        <f t="shared" si="13"/>
        <v>0</v>
      </c>
      <c r="AS43" s="692">
        <f t="shared" si="0"/>
        <v>0</v>
      </c>
      <c r="AT43" s="6">
        <f t="shared" si="14"/>
        <v>0</v>
      </c>
      <c r="AU43" s="585">
        <f t="shared" si="16"/>
        <v>0</v>
      </c>
      <c r="AV43" s="585">
        <f t="shared" si="16"/>
        <v>0</v>
      </c>
      <c r="AW43" s="494">
        <f t="shared" si="17"/>
        <v>0</v>
      </c>
      <c r="AX43" s="217">
        <f t="shared" si="18"/>
        <v>0</v>
      </c>
      <c r="AY43" s="217">
        <f t="shared" si="19"/>
        <v>0</v>
      </c>
      <c r="AZ43" s="695">
        <f t="shared" si="20"/>
        <v>0</v>
      </c>
      <c r="BA43" s="1"/>
      <c r="BB43" s="1"/>
      <c r="BC43" s="769">
        <f t="shared" si="21"/>
        <v>0</v>
      </c>
      <c r="BD43" s="1"/>
      <c r="BE43" s="1"/>
      <c r="BF43" s="769">
        <f t="shared" si="22"/>
        <v>0</v>
      </c>
      <c r="BG43" s="1"/>
      <c r="BH43" s="1"/>
      <c r="BI43" s="769">
        <f t="shared" si="23"/>
        <v>0</v>
      </c>
      <c r="BJ43" s="1"/>
      <c r="BK43" s="1"/>
      <c r="BL43" s="770">
        <f t="shared" si="24"/>
        <v>0</v>
      </c>
      <c r="BM43" s="78"/>
      <c r="BN43" s="6"/>
      <c r="BO43" s="772">
        <f t="shared" si="25"/>
        <v>0</v>
      </c>
      <c r="BP43" s="78"/>
      <c r="BQ43" s="6"/>
      <c r="BR43" s="693">
        <f t="shared" si="26"/>
        <v>0</v>
      </c>
      <c r="BS43" s="78"/>
      <c r="BT43" s="6"/>
      <c r="BU43" s="693">
        <f t="shared" ref="BU43:BU47" si="46">BS43+BT43</f>
        <v>0</v>
      </c>
      <c r="BV43" s="693"/>
      <c r="BW43" s="693"/>
      <c r="BX43" s="693">
        <f t="shared" ref="BX43:BX47" si="47">BV43+BW43</f>
        <v>0</v>
      </c>
      <c r="BY43" s="693"/>
      <c r="BZ43" s="693"/>
      <c r="CA43" s="693">
        <f t="shared" ref="CA43:CA47" si="48">BY43+BZ43</f>
        <v>0</v>
      </c>
      <c r="CB43" s="174">
        <f t="shared" si="30"/>
        <v>0</v>
      </c>
      <c r="CC43" s="174">
        <f t="shared" si="31"/>
        <v>0</v>
      </c>
      <c r="CD43" s="174">
        <f t="shared" si="32"/>
        <v>0</v>
      </c>
      <c r="CE43" s="175">
        <f t="shared" si="33"/>
        <v>0</v>
      </c>
      <c r="CF43" s="175">
        <f t="shared" si="34"/>
        <v>0</v>
      </c>
      <c r="CG43" s="175">
        <f t="shared" si="35"/>
        <v>0</v>
      </c>
    </row>
    <row r="44" spans="1:213" ht="17.25" thickBot="1">
      <c r="A44" s="760">
        <v>37</v>
      </c>
      <c r="B44" s="804" t="s">
        <v>3171</v>
      </c>
      <c r="C44" s="15"/>
      <c r="D44" s="15" t="s">
        <v>3172</v>
      </c>
      <c r="E44" s="762" t="s">
        <v>3101</v>
      </c>
      <c r="F44" s="800">
        <v>86.67</v>
      </c>
      <c r="G44" s="801" t="s">
        <v>18</v>
      </c>
      <c r="H44" s="1"/>
      <c r="I44" s="1"/>
      <c r="J44" s="372">
        <f t="shared" si="2"/>
        <v>0</v>
      </c>
      <c r="K44" s="382"/>
      <c r="L44" s="1"/>
      <c r="M44" s="694">
        <f t="shared" si="3"/>
        <v>0</v>
      </c>
      <c r="N44" s="103"/>
      <c r="O44" s="1"/>
      <c r="P44" s="105">
        <f t="shared" si="36"/>
        <v>0</v>
      </c>
      <c r="Q44" s="382"/>
      <c r="R44" s="1"/>
      <c r="S44" s="105">
        <f t="shared" si="4"/>
        <v>0</v>
      </c>
      <c r="T44" s="382"/>
      <c r="U44" s="1"/>
      <c r="V44" s="105">
        <f t="shared" si="5"/>
        <v>0</v>
      </c>
      <c r="W44" s="382"/>
      <c r="X44" s="1"/>
      <c r="Y44" s="372">
        <f t="shared" si="6"/>
        <v>0</v>
      </c>
      <c r="Z44" s="382"/>
      <c r="AA44" s="1"/>
      <c r="AB44" s="379">
        <f t="shared" si="7"/>
        <v>0</v>
      </c>
      <c r="AC44" s="379"/>
      <c r="AD44" s="379"/>
      <c r="AE44" s="372">
        <f t="shared" si="8"/>
        <v>0</v>
      </c>
      <c r="AF44" s="372"/>
      <c r="AG44" s="372"/>
      <c r="AH44" s="372">
        <f t="shared" si="9"/>
        <v>0</v>
      </c>
      <c r="AI44" s="765"/>
      <c r="AJ44" s="372"/>
      <c r="AK44" s="372">
        <f t="shared" si="10"/>
        <v>0</v>
      </c>
      <c r="AL44" s="382"/>
      <c r="AM44" s="1"/>
      <c r="AN44" s="372">
        <f t="shared" si="11"/>
        <v>0</v>
      </c>
      <c r="AO44" s="78"/>
      <c r="AP44" s="6"/>
      <c r="AQ44" s="697">
        <f t="shared" si="12"/>
        <v>0</v>
      </c>
      <c r="AR44" s="766">
        <f t="shared" si="13"/>
        <v>0</v>
      </c>
      <c r="AS44" s="692">
        <f t="shared" si="0"/>
        <v>0</v>
      </c>
      <c r="AT44" s="6">
        <f t="shared" si="14"/>
        <v>0</v>
      </c>
      <c r="AU44" s="585">
        <f t="shared" si="16"/>
        <v>0</v>
      </c>
      <c r="AV44" s="585">
        <f t="shared" si="16"/>
        <v>0</v>
      </c>
      <c r="AW44" s="494">
        <f t="shared" si="17"/>
        <v>0</v>
      </c>
      <c r="AX44" s="217">
        <f t="shared" si="18"/>
        <v>0</v>
      </c>
      <c r="AY44" s="217">
        <f t="shared" si="19"/>
        <v>0</v>
      </c>
      <c r="AZ44" s="695">
        <f t="shared" si="20"/>
        <v>0</v>
      </c>
      <c r="BA44" s="1"/>
      <c r="BB44" s="1"/>
      <c r="BC44" s="769">
        <f t="shared" si="21"/>
        <v>0</v>
      </c>
      <c r="BD44" s="1"/>
      <c r="BE44" s="1"/>
      <c r="BF44" s="769">
        <f t="shared" si="22"/>
        <v>0</v>
      </c>
      <c r="BG44" s="1"/>
      <c r="BH44" s="1"/>
      <c r="BI44" s="769">
        <f t="shared" si="23"/>
        <v>0</v>
      </c>
      <c r="BJ44" s="1"/>
      <c r="BK44" s="1"/>
      <c r="BL44" s="770">
        <f t="shared" si="24"/>
        <v>0</v>
      </c>
      <c r="BM44" s="78"/>
      <c r="BN44" s="6"/>
      <c r="BO44" s="772">
        <f t="shared" si="25"/>
        <v>0</v>
      </c>
      <c r="BP44" s="78"/>
      <c r="BQ44" s="6"/>
      <c r="BR44" s="693">
        <f t="shared" si="26"/>
        <v>0</v>
      </c>
      <c r="BS44" s="78"/>
      <c r="BT44" s="6"/>
      <c r="BU44" s="693">
        <f t="shared" si="46"/>
        <v>0</v>
      </c>
      <c r="BV44" s="693"/>
      <c r="BW44" s="693"/>
      <c r="BX44" s="693">
        <f t="shared" si="47"/>
        <v>0</v>
      </c>
      <c r="BY44" s="693"/>
      <c r="BZ44" s="693"/>
      <c r="CA44" s="693">
        <f t="shared" si="48"/>
        <v>0</v>
      </c>
      <c r="CB44" s="174">
        <f t="shared" si="30"/>
        <v>0</v>
      </c>
      <c r="CC44" s="174">
        <f t="shared" si="31"/>
        <v>0</v>
      </c>
      <c r="CD44" s="174">
        <f t="shared" si="32"/>
        <v>0</v>
      </c>
      <c r="CE44" s="175">
        <f t="shared" si="33"/>
        <v>0</v>
      </c>
      <c r="CF44" s="175">
        <f t="shared" si="34"/>
        <v>0</v>
      </c>
      <c r="CG44" s="175">
        <f t="shared" si="35"/>
        <v>0</v>
      </c>
    </row>
    <row r="45" spans="1:213" ht="17.25" thickBot="1">
      <c r="A45" s="802">
        <v>38</v>
      </c>
      <c r="B45" s="804" t="s">
        <v>3173</v>
      </c>
      <c r="C45" s="15"/>
      <c r="D45" s="15" t="s">
        <v>3174</v>
      </c>
      <c r="E45" s="803" t="s">
        <v>3101</v>
      </c>
      <c r="F45" s="800">
        <v>30.66</v>
      </c>
      <c r="G45" s="801" t="s">
        <v>18</v>
      </c>
      <c r="H45" s="1">
        <v>18</v>
      </c>
      <c r="I45" s="1"/>
      <c r="J45" s="372">
        <f t="shared" si="2"/>
        <v>18</v>
      </c>
      <c r="K45" s="382"/>
      <c r="L45" s="1"/>
      <c r="M45" s="694">
        <f t="shared" si="3"/>
        <v>0</v>
      </c>
      <c r="N45" s="103">
        <v>83</v>
      </c>
      <c r="O45" s="1"/>
      <c r="P45" s="105">
        <f t="shared" si="36"/>
        <v>83</v>
      </c>
      <c r="Q45" s="382"/>
      <c r="R45" s="1"/>
      <c r="S45" s="105">
        <f t="shared" si="4"/>
        <v>0</v>
      </c>
      <c r="T45" s="382">
        <v>36</v>
      </c>
      <c r="U45" s="1"/>
      <c r="V45" s="105">
        <f t="shared" si="5"/>
        <v>36</v>
      </c>
      <c r="W45" s="382">
        <v>20</v>
      </c>
      <c r="X45" s="1"/>
      <c r="Y45" s="372">
        <f t="shared" si="6"/>
        <v>20</v>
      </c>
      <c r="Z45" s="382"/>
      <c r="AA45" s="1"/>
      <c r="AB45" s="379">
        <f t="shared" si="7"/>
        <v>0</v>
      </c>
      <c r="AC45" s="379"/>
      <c r="AD45" s="379"/>
      <c r="AE45" s="372">
        <f t="shared" si="8"/>
        <v>0</v>
      </c>
      <c r="AF45" s="372">
        <v>90</v>
      </c>
      <c r="AG45" s="372"/>
      <c r="AH45" s="372">
        <f t="shared" si="9"/>
        <v>90</v>
      </c>
      <c r="AI45" s="765"/>
      <c r="AJ45" s="372"/>
      <c r="AK45" s="372">
        <f t="shared" si="10"/>
        <v>0</v>
      </c>
      <c r="AL45" s="382"/>
      <c r="AM45" s="1"/>
      <c r="AN45" s="372">
        <f t="shared" si="11"/>
        <v>0</v>
      </c>
      <c r="AO45" s="78">
        <v>68</v>
      </c>
      <c r="AP45" s="6"/>
      <c r="AQ45" s="697">
        <f t="shared" si="12"/>
        <v>68</v>
      </c>
      <c r="AR45" s="766">
        <f t="shared" si="13"/>
        <v>247</v>
      </c>
      <c r="AS45" s="692">
        <f t="shared" si="0"/>
        <v>0</v>
      </c>
      <c r="AT45" s="6">
        <f t="shared" si="14"/>
        <v>247</v>
      </c>
      <c r="AU45" s="585">
        <f t="shared" si="16"/>
        <v>20.583333333333332</v>
      </c>
      <c r="AV45" s="585">
        <f t="shared" si="16"/>
        <v>0</v>
      </c>
      <c r="AW45" s="494">
        <f t="shared" si="17"/>
        <v>20.583333333333332</v>
      </c>
      <c r="AX45" s="217">
        <f t="shared" si="18"/>
        <v>10291.666666666666</v>
      </c>
      <c r="AY45" s="217">
        <f t="shared" si="19"/>
        <v>0</v>
      </c>
      <c r="AZ45" s="695">
        <f t="shared" si="20"/>
        <v>10291.666666666666</v>
      </c>
      <c r="BA45" s="1"/>
      <c r="BB45" s="1"/>
      <c r="BC45" s="769">
        <f t="shared" si="21"/>
        <v>0</v>
      </c>
      <c r="BD45" s="1">
        <v>20</v>
      </c>
      <c r="BE45" s="1"/>
      <c r="BF45" s="769">
        <f t="shared" si="22"/>
        <v>20</v>
      </c>
      <c r="BG45" s="1">
        <v>56</v>
      </c>
      <c r="BH45" s="1"/>
      <c r="BI45" s="769">
        <f t="shared" si="23"/>
        <v>56</v>
      </c>
      <c r="BJ45" s="1"/>
      <c r="BK45" s="1"/>
      <c r="BL45" s="770">
        <f t="shared" si="24"/>
        <v>0</v>
      </c>
      <c r="BM45" s="78">
        <v>28</v>
      </c>
      <c r="BN45" s="6"/>
      <c r="BO45" s="772">
        <f t="shared" si="25"/>
        <v>28</v>
      </c>
      <c r="BP45" s="78"/>
      <c r="BQ45" s="6"/>
      <c r="BR45" s="693">
        <f t="shared" si="26"/>
        <v>0</v>
      </c>
      <c r="BS45" s="78">
        <v>56</v>
      </c>
      <c r="BT45" s="6"/>
      <c r="BU45" s="693">
        <f t="shared" si="46"/>
        <v>56</v>
      </c>
      <c r="BV45" s="693"/>
      <c r="BW45" s="693"/>
      <c r="BX45" s="693">
        <f t="shared" si="47"/>
        <v>0</v>
      </c>
      <c r="BY45" s="693"/>
      <c r="BZ45" s="693"/>
      <c r="CA45" s="693">
        <f t="shared" si="48"/>
        <v>0</v>
      </c>
      <c r="CB45" s="174">
        <f t="shared" si="30"/>
        <v>160</v>
      </c>
      <c r="CC45" s="174">
        <f t="shared" si="31"/>
        <v>0</v>
      </c>
      <c r="CD45" s="174">
        <f t="shared" si="32"/>
        <v>160</v>
      </c>
      <c r="CE45" s="175">
        <f t="shared" si="33"/>
        <v>17.777777777777779</v>
      </c>
      <c r="CF45" s="175">
        <f t="shared" si="34"/>
        <v>0</v>
      </c>
      <c r="CG45" s="175">
        <f t="shared" si="35"/>
        <v>17.777777777777779</v>
      </c>
    </row>
    <row r="46" spans="1:213" ht="17.25" thickBot="1">
      <c r="A46" s="760">
        <v>39</v>
      </c>
      <c r="B46" s="804" t="s">
        <v>3175</v>
      </c>
      <c r="C46" s="15"/>
      <c r="D46" s="15" t="s">
        <v>3176</v>
      </c>
      <c r="E46" s="762" t="s">
        <v>3101</v>
      </c>
      <c r="F46" s="800">
        <v>93.33</v>
      </c>
      <c r="G46" s="801" t="s">
        <v>18</v>
      </c>
      <c r="H46" s="1">
        <v>36</v>
      </c>
      <c r="I46" s="1"/>
      <c r="J46" s="372">
        <f t="shared" si="2"/>
        <v>36</v>
      </c>
      <c r="K46" s="382">
        <v>36</v>
      </c>
      <c r="L46" s="1"/>
      <c r="M46" s="694">
        <f t="shared" si="3"/>
        <v>36</v>
      </c>
      <c r="N46" s="103"/>
      <c r="O46" s="1"/>
      <c r="P46" s="105">
        <f t="shared" si="36"/>
        <v>0</v>
      </c>
      <c r="Q46" s="382">
        <v>40</v>
      </c>
      <c r="R46" s="1"/>
      <c r="S46" s="105">
        <f t="shared" si="4"/>
        <v>40</v>
      </c>
      <c r="T46" s="382"/>
      <c r="U46" s="1"/>
      <c r="V46" s="105">
        <f t="shared" si="5"/>
        <v>0</v>
      </c>
      <c r="W46" s="382"/>
      <c r="X46" s="1"/>
      <c r="Y46" s="372">
        <f t="shared" si="6"/>
        <v>0</v>
      </c>
      <c r="Z46" s="382"/>
      <c r="AA46" s="1"/>
      <c r="AB46" s="379">
        <f t="shared" si="7"/>
        <v>0</v>
      </c>
      <c r="AC46" s="379"/>
      <c r="AD46" s="379"/>
      <c r="AE46" s="372">
        <f t="shared" si="8"/>
        <v>0</v>
      </c>
      <c r="AF46" s="372"/>
      <c r="AG46" s="372"/>
      <c r="AH46" s="372">
        <f t="shared" si="9"/>
        <v>0</v>
      </c>
      <c r="AI46" s="765"/>
      <c r="AJ46" s="372"/>
      <c r="AK46" s="372">
        <f t="shared" si="10"/>
        <v>0</v>
      </c>
      <c r="AL46" s="382"/>
      <c r="AM46" s="1"/>
      <c r="AN46" s="372">
        <f t="shared" si="11"/>
        <v>0</v>
      </c>
      <c r="AO46" s="78">
        <v>36</v>
      </c>
      <c r="AP46" s="6"/>
      <c r="AQ46" s="697">
        <f t="shared" si="12"/>
        <v>36</v>
      </c>
      <c r="AR46" s="766">
        <f t="shared" si="13"/>
        <v>112</v>
      </c>
      <c r="AS46" s="692">
        <f t="shared" si="0"/>
        <v>0</v>
      </c>
      <c r="AT46" s="6">
        <f t="shared" si="14"/>
        <v>112</v>
      </c>
      <c r="AU46" s="585">
        <f t="shared" si="16"/>
        <v>9.3333333333333339</v>
      </c>
      <c r="AV46" s="585">
        <f t="shared" si="16"/>
        <v>0</v>
      </c>
      <c r="AW46" s="494">
        <f t="shared" si="17"/>
        <v>9.3333333333333339</v>
      </c>
      <c r="AX46" s="217">
        <f t="shared" si="18"/>
        <v>4666.666666666667</v>
      </c>
      <c r="AY46" s="217">
        <f t="shared" si="19"/>
        <v>0</v>
      </c>
      <c r="AZ46" s="695">
        <f t="shared" si="20"/>
        <v>4666.666666666667</v>
      </c>
      <c r="BA46" s="1"/>
      <c r="BB46" s="1"/>
      <c r="BC46" s="769">
        <f t="shared" si="21"/>
        <v>0</v>
      </c>
      <c r="BD46" s="1"/>
      <c r="BE46" s="1"/>
      <c r="BF46" s="769">
        <f t="shared" si="22"/>
        <v>0</v>
      </c>
      <c r="BG46" s="1"/>
      <c r="BH46" s="1"/>
      <c r="BI46" s="769">
        <f t="shared" si="23"/>
        <v>0</v>
      </c>
      <c r="BJ46" s="1"/>
      <c r="BK46" s="1"/>
      <c r="BL46" s="770">
        <f t="shared" si="24"/>
        <v>0</v>
      </c>
      <c r="BM46" s="78"/>
      <c r="BN46" s="6"/>
      <c r="BO46" s="772">
        <f t="shared" si="25"/>
        <v>0</v>
      </c>
      <c r="BP46" s="78"/>
      <c r="BQ46" s="6"/>
      <c r="BR46" s="693">
        <f t="shared" si="26"/>
        <v>0</v>
      </c>
      <c r="BS46" s="78"/>
      <c r="BT46" s="6"/>
      <c r="BU46" s="693">
        <f t="shared" si="46"/>
        <v>0</v>
      </c>
      <c r="BV46" s="693"/>
      <c r="BW46" s="693"/>
      <c r="BX46" s="693">
        <f t="shared" si="47"/>
        <v>0</v>
      </c>
      <c r="BY46" s="693"/>
      <c r="BZ46" s="693"/>
      <c r="CA46" s="693">
        <f t="shared" si="48"/>
        <v>0</v>
      </c>
      <c r="CB46" s="174">
        <f t="shared" si="30"/>
        <v>0</v>
      </c>
      <c r="CC46" s="174">
        <f t="shared" si="31"/>
        <v>0</v>
      </c>
      <c r="CD46" s="174">
        <f t="shared" si="32"/>
        <v>0</v>
      </c>
      <c r="CE46" s="175">
        <f t="shared" si="33"/>
        <v>0</v>
      </c>
      <c r="CF46" s="175">
        <f t="shared" si="34"/>
        <v>0</v>
      </c>
      <c r="CG46" s="175">
        <f t="shared" si="35"/>
        <v>0</v>
      </c>
    </row>
    <row r="47" spans="1:213" ht="17.25" thickBot="1">
      <c r="A47" s="802">
        <v>40</v>
      </c>
      <c r="B47" s="804" t="s">
        <v>3177</v>
      </c>
      <c r="C47" s="15"/>
      <c r="D47" s="15" t="s">
        <v>3178</v>
      </c>
      <c r="E47" s="803" t="s">
        <v>3101</v>
      </c>
      <c r="F47" s="800">
        <v>13.33</v>
      </c>
      <c r="G47" s="801" t="s">
        <v>18</v>
      </c>
      <c r="H47" s="1">
        <v>38</v>
      </c>
      <c r="I47" s="1"/>
      <c r="J47" s="372">
        <f t="shared" si="2"/>
        <v>38</v>
      </c>
      <c r="K47" s="382">
        <v>36</v>
      </c>
      <c r="L47" s="1"/>
      <c r="M47" s="694">
        <f t="shared" si="3"/>
        <v>36</v>
      </c>
      <c r="N47" s="103"/>
      <c r="O47" s="1"/>
      <c r="P47" s="105">
        <f t="shared" si="36"/>
        <v>0</v>
      </c>
      <c r="Q47" s="382">
        <v>40</v>
      </c>
      <c r="R47" s="1"/>
      <c r="S47" s="105">
        <f t="shared" si="4"/>
        <v>40</v>
      </c>
      <c r="T47" s="382"/>
      <c r="U47" s="1"/>
      <c r="V47" s="105">
        <f t="shared" si="5"/>
        <v>0</v>
      </c>
      <c r="W47" s="382"/>
      <c r="X47" s="1"/>
      <c r="Y47" s="372">
        <f t="shared" si="6"/>
        <v>0</v>
      </c>
      <c r="Z47" s="382"/>
      <c r="AA47" s="1"/>
      <c r="AB47" s="379">
        <f t="shared" si="7"/>
        <v>0</v>
      </c>
      <c r="AC47" s="379"/>
      <c r="AD47" s="379"/>
      <c r="AE47" s="372">
        <f t="shared" si="8"/>
        <v>0</v>
      </c>
      <c r="AF47" s="372"/>
      <c r="AG47" s="372"/>
      <c r="AH47" s="372">
        <f t="shared" si="9"/>
        <v>0</v>
      </c>
      <c r="AI47" s="765"/>
      <c r="AJ47" s="372"/>
      <c r="AK47" s="372">
        <f t="shared" si="10"/>
        <v>0</v>
      </c>
      <c r="AL47" s="382"/>
      <c r="AM47" s="1"/>
      <c r="AN47" s="372">
        <f t="shared" si="11"/>
        <v>0</v>
      </c>
      <c r="AO47" s="78">
        <v>43</v>
      </c>
      <c r="AP47" s="6"/>
      <c r="AQ47" s="697">
        <f t="shared" si="12"/>
        <v>43</v>
      </c>
      <c r="AR47" s="766">
        <f t="shared" si="13"/>
        <v>114</v>
      </c>
      <c r="AS47" s="692">
        <f t="shared" si="0"/>
        <v>0</v>
      </c>
      <c r="AT47" s="6">
        <f t="shared" si="14"/>
        <v>114</v>
      </c>
      <c r="AU47" s="585">
        <f t="shared" si="16"/>
        <v>9.5</v>
      </c>
      <c r="AV47" s="585">
        <f t="shared" si="16"/>
        <v>0</v>
      </c>
      <c r="AW47" s="494">
        <f t="shared" si="17"/>
        <v>9.5</v>
      </c>
      <c r="AX47" s="217">
        <f t="shared" si="18"/>
        <v>4750</v>
      </c>
      <c r="AY47" s="217">
        <f t="shared" si="19"/>
        <v>0</v>
      </c>
      <c r="AZ47" s="695">
        <f t="shared" si="20"/>
        <v>4750</v>
      </c>
      <c r="BA47" s="1"/>
      <c r="BB47" s="1"/>
      <c r="BC47" s="769">
        <f t="shared" si="21"/>
        <v>0</v>
      </c>
      <c r="BD47" s="1">
        <v>58</v>
      </c>
      <c r="BE47" s="1"/>
      <c r="BF47" s="769">
        <f t="shared" si="22"/>
        <v>58</v>
      </c>
      <c r="BG47" s="1"/>
      <c r="BH47" s="1"/>
      <c r="BI47" s="769">
        <f t="shared" si="23"/>
        <v>0</v>
      </c>
      <c r="BJ47" s="1"/>
      <c r="BK47" s="1"/>
      <c r="BL47" s="770">
        <f t="shared" si="24"/>
        <v>0</v>
      </c>
      <c r="BM47" s="78">
        <v>43</v>
      </c>
      <c r="BN47" s="6"/>
      <c r="BO47" s="772">
        <f t="shared" si="25"/>
        <v>43</v>
      </c>
      <c r="BP47" s="78"/>
      <c r="BQ47" s="6"/>
      <c r="BR47" s="693">
        <f t="shared" si="26"/>
        <v>0</v>
      </c>
      <c r="BS47" s="78">
        <v>20</v>
      </c>
      <c r="BT47" s="6"/>
      <c r="BU47" s="693">
        <f t="shared" si="46"/>
        <v>20</v>
      </c>
      <c r="BV47" s="693"/>
      <c r="BW47" s="693"/>
      <c r="BX47" s="693">
        <f t="shared" si="47"/>
        <v>0</v>
      </c>
      <c r="BY47" s="693"/>
      <c r="BZ47" s="693"/>
      <c r="CA47" s="693">
        <f t="shared" si="48"/>
        <v>0</v>
      </c>
      <c r="CB47" s="174">
        <f t="shared" si="30"/>
        <v>121</v>
      </c>
      <c r="CC47" s="174">
        <f t="shared" si="31"/>
        <v>0</v>
      </c>
      <c r="CD47" s="174">
        <f t="shared" si="32"/>
        <v>121</v>
      </c>
      <c r="CE47" s="175">
        <f t="shared" si="33"/>
        <v>13.444444444444445</v>
      </c>
      <c r="CF47" s="175">
        <f t="shared" si="34"/>
        <v>0</v>
      </c>
      <c r="CG47" s="175">
        <f t="shared" si="35"/>
        <v>13.444444444444445</v>
      </c>
    </row>
    <row r="48" spans="1:213" s="61" customFormat="1" ht="17.25" thickBot="1">
      <c r="A48" s="807">
        <v>41</v>
      </c>
      <c r="B48" s="836" t="s">
        <v>3179</v>
      </c>
      <c r="C48" s="111"/>
      <c r="D48" s="111" t="s">
        <v>3180</v>
      </c>
      <c r="E48" s="809" t="s">
        <v>3101</v>
      </c>
      <c r="F48" s="837">
        <v>100</v>
      </c>
      <c r="G48" s="838" t="s">
        <v>18</v>
      </c>
      <c r="H48" s="19"/>
      <c r="I48" s="19"/>
      <c r="J48" s="701">
        <f t="shared" si="2"/>
        <v>0</v>
      </c>
      <c r="K48" s="319">
        <v>400</v>
      </c>
      <c r="L48" s="19"/>
      <c r="M48" s="389">
        <f t="shared" si="3"/>
        <v>400</v>
      </c>
      <c r="N48" s="100"/>
      <c r="O48" s="19"/>
      <c r="P48" s="320">
        <f t="shared" si="36"/>
        <v>0</v>
      </c>
      <c r="Q48" s="319"/>
      <c r="R48" s="19"/>
      <c r="S48" s="320">
        <f t="shared" si="4"/>
        <v>0</v>
      </c>
      <c r="T48" s="319">
        <v>300</v>
      </c>
      <c r="U48" s="19"/>
      <c r="V48" s="320">
        <f t="shared" si="5"/>
        <v>300</v>
      </c>
      <c r="W48" s="319">
        <v>360</v>
      </c>
      <c r="X48" s="19"/>
      <c r="Y48" s="701">
        <f t="shared" si="6"/>
        <v>360</v>
      </c>
      <c r="Z48" s="319"/>
      <c r="AA48" s="19"/>
      <c r="AB48" s="111">
        <f t="shared" si="7"/>
        <v>0</v>
      </c>
      <c r="AC48" s="111">
        <v>300</v>
      </c>
      <c r="AD48" s="111"/>
      <c r="AE48" s="701">
        <f t="shared" si="8"/>
        <v>300</v>
      </c>
      <c r="AF48" s="701">
        <v>202</v>
      </c>
      <c r="AG48" s="701"/>
      <c r="AH48" s="701">
        <f t="shared" si="9"/>
        <v>202</v>
      </c>
      <c r="AI48" s="812"/>
      <c r="AJ48" s="701"/>
      <c r="AK48" s="701">
        <f t="shared" si="10"/>
        <v>0</v>
      </c>
      <c r="AL48" s="319"/>
      <c r="AM48" s="19"/>
      <c r="AN48" s="701">
        <f t="shared" si="11"/>
        <v>0</v>
      </c>
      <c r="AO48" s="319">
        <v>300</v>
      </c>
      <c r="AP48" s="19"/>
      <c r="AQ48" s="389">
        <f t="shared" si="12"/>
        <v>300</v>
      </c>
      <c r="AR48" s="387">
        <f t="shared" si="13"/>
        <v>1562</v>
      </c>
      <c r="AS48" s="388">
        <f t="shared" si="0"/>
        <v>0</v>
      </c>
      <c r="AT48" s="19">
        <f t="shared" si="14"/>
        <v>1562</v>
      </c>
      <c r="AU48" s="702">
        <f t="shared" si="16"/>
        <v>130.16666666666666</v>
      </c>
      <c r="AV48" s="702">
        <f t="shared" si="16"/>
        <v>0</v>
      </c>
      <c r="AW48" s="703">
        <f t="shared" si="17"/>
        <v>130.16666666666666</v>
      </c>
      <c r="AX48" s="703">
        <f t="shared" si="18"/>
        <v>65083.333333333328</v>
      </c>
      <c r="AY48" s="703">
        <f t="shared" si="19"/>
        <v>0</v>
      </c>
      <c r="AZ48" s="704">
        <f t="shared" si="20"/>
        <v>65083.333333333328</v>
      </c>
      <c r="BA48" s="19"/>
      <c r="BB48" s="19"/>
      <c r="BC48" s="813">
        <f t="shared" si="21"/>
        <v>0</v>
      </c>
      <c r="BD48" s="19">
        <v>400</v>
      </c>
      <c r="BE48" s="19"/>
      <c r="BF48" s="813">
        <f t="shared" si="22"/>
        <v>400</v>
      </c>
      <c r="BG48" s="19"/>
      <c r="BH48" s="19"/>
      <c r="BI48" s="813">
        <f t="shared" si="23"/>
        <v>0</v>
      </c>
      <c r="BJ48" s="19"/>
      <c r="BK48" s="19"/>
      <c r="BL48" s="814">
        <f t="shared" si="24"/>
        <v>0</v>
      </c>
      <c r="BM48" s="319">
        <v>500</v>
      </c>
      <c r="BN48" s="19"/>
      <c r="BO48" s="868">
        <f t="shared" si="25"/>
        <v>500</v>
      </c>
      <c r="BP48" s="319"/>
      <c r="BQ48" s="19"/>
      <c r="BR48" s="701">
        <f t="shared" si="26"/>
        <v>0</v>
      </c>
      <c r="BS48" s="319"/>
      <c r="BT48" s="19"/>
      <c r="BU48" s="701">
        <f t="shared" ref="BU48:BU55" si="49">BS48+BT48</f>
        <v>0</v>
      </c>
      <c r="BV48" s="701"/>
      <c r="BW48" s="701"/>
      <c r="BX48" s="701">
        <f t="shared" ref="BX48:BX55" si="50">BV48+BW48</f>
        <v>0</v>
      </c>
      <c r="BY48" s="701"/>
      <c r="BZ48" s="701"/>
      <c r="CA48" s="701">
        <f t="shared" ref="CA48:CA55" si="51">BY48+BZ48</f>
        <v>0</v>
      </c>
      <c r="CB48" s="174">
        <f t="shared" si="30"/>
        <v>900</v>
      </c>
      <c r="CC48" s="174">
        <f t="shared" si="31"/>
        <v>0</v>
      </c>
      <c r="CD48" s="174">
        <f t="shared" si="32"/>
        <v>900</v>
      </c>
      <c r="CE48" s="175">
        <f t="shared" si="33"/>
        <v>100</v>
      </c>
      <c r="CF48" s="175">
        <f t="shared" si="34"/>
        <v>0</v>
      </c>
      <c r="CG48" s="175">
        <f t="shared" si="35"/>
        <v>100</v>
      </c>
      <c r="CH48" s="361"/>
      <c r="CI48" s="361"/>
      <c r="CJ48" s="361"/>
      <c r="CK48" s="361"/>
      <c r="CL48" s="361"/>
      <c r="CM48" s="361"/>
      <c r="CN48" s="361"/>
      <c r="CO48" s="361"/>
      <c r="CP48" s="361"/>
      <c r="CQ48" s="361"/>
      <c r="CR48" s="361"/>
      <c r="CS48" s="361"/>
      <c r="CT48" s="361"/>
      <c r="CU48" s="361"/>
      <c r="CV48" s="361"/>
      <c r="CW48" s="361"/>
      <c r="CX48" s="361"/>
      <c r="CY48" s="361"/>
      <c r="CZ48" s="361"/>
      <c r="DA48" s="361"/>
      <c r="DB48" s="361"/>
      <c r="DC48" s="361"/>
      <c r="DD48" s="361"/>
      <c r="DE48" s="361"/>
      <c r="DF48" s="361"/>
      <c r="DG48" s="361"/>
      <c r="DH48" s="361"/>
      <c r="DI48" s="361"/>
      <c r="DJ48" s="361"/>
      <c r="DK48" s="361"/>
      <c r="DL48" s="361"/>
      <c r="DM48" s="361"/>
      <c r="DN48" s="361"/>
      <c r="DO48" s="361"/>
      <c r="DP48" s="361"/>
      <c r="DQ48" s="361"/>
      <c r="DR48" s="361"/>
      <c r="DS48" s="361"/>
      <c r="DT48" s="361"/>
      <c r="DU48" s="361"/>
      <c r="DV48" s="361"/>
      <c r="DW48" s="361"/>
      <c r="DX48" s="361"/>
      <c r="DY48" s="361"/>
      <c r="DZ48" s="361"/>
      <c r="EA48" s="361"/>
      <c r="EB48" s="361"/>
      <c r="EC48" s="361"/>
      <c r="ED48" s="361"/>
      <c r="EE48" s="361"/>
      <c r="EF48" s="361"/>
      <c r="EG48" s="361"/>
      <c r="EH48" s="361"/>
      <c r="EI48" s="361"/>
      <c r="EJ48" s="361"/>
      <c r="EK48" s="361"/>
      <c r="EL48" s="361"/>
      <c r="EM48" s="361"/>
      <c r="EN48" s="361"/>
      <c r="EO48" s="361"/>
      <c r="EP48" s="361"/>
      <c r="EQ48" s="361"/>
      <c r="ER48" s="361"/>
      <c r="ES48" s="361"/>
      <c r="ET48" s="361"/>
      <c r="EU48" s="361"/>
      <c r="EV48" s="361"/>
      <c r="EW48" s="361"/>
      <c r="EX48" s="361"/>
      <c r="EY48" s="361"/>
      <c r="EZ48" s="361"/>
      <c r="FA48" s="361"/>
      <c r="FB48" s="361"/>
      <c r="FC48" s="361"/>
      <c r="FD48" s="361"/>
      <c r="FE48" s="361"/>
      <c r="FF48" s="361"/>
      <c r="FG48" s="361"/>
      <c r="FH48" s="361"/>
      <c r="FI48" s="361"/>
      <c r="FJ48" s="361"/>
      <c r="FK48" s="361"/>
      <c r="FL48" s="361"/>
      <c r="FM48" s="361"/>
      <c r="FN48" s="361"/>
      <c r="FO48" s="361"/>
      <c r="FP48" s="361"/>
      <c r="FQ48" s="361"/>
      <c r="FR48" s="361"/>
      <c r="FS48" s="361"/>
      <c r="FT48" s="361"/>
      <c r="FU48" s="361"/>
      <c r="FV48" s="361"/>
      <c r="FW48" s="361"/>
      <c r="FX48" s="361"/>
      <c r="FY48" s="361"/>
      <c r="FZ48" s="361"/>
      <c r="GA48" s="361"/>
      <c r="GB48" s="361"/>
      <c r="GC48" s="361"/>
      <c r="GD48" s="361"/>
      <c r="GE48" s="361"/>
      <c r="GF48" s="361"/>
      <c r="GG48" s="361"/>
      <c r="GH48" s="361"/>
      <c r="GI48" s="361"/>
      <c r="GJ48" s="361"/>
      <c r="GK48" s="361"/>
      <c r="GL48" s="361"/>
      <c r="GM48" s="361"/>
      <c r="GN48" s="361"/>
      <c r="GO48" s="361"/>
      <c r="GP48" s="361"/>
      <c r="GQ48" s="361"/>
      <c r="GR48" s="361"/>
      <c r="GS48" s="361"/>
      <c r="GT48" s="361"/>
      <c r="GU48" s="361"/>
      <c r="GV48" s="361"/>
      <c r="GW48" s="361"/>
      <c r="GX48" s="361"/>
      <c r="GY48" s="361"/>
      <c r="GZ48" s="361"/>
      <c r="HA48" s="361"/>
      <c r="HB48" s="361"/>
      <c r="HC48" s="361"/>
      <c r="HD48" s="361"/>
      <c r="HE48" s="361"/>
    </row>
    <row r="49" spans="1:213" s="798" customFormat="1" ht="17.25" thickBot="1">
      <c r="A49" s="773">
        <v>42</v>
      </c>
      <c r="B49" s="839" t="s">
        <v>3181</v>
      </c>
      <c r="C49" s="775"/>
      <c r="D49" s="775" t="s">
        <v>3182</v>
      </c>
      <c r="E49" s="776" t="s">
        <v>3101</v>
      </c>
      <c r="F49" s="777">
        <v>33.33</v>
      </c>
      <c r="G49" s="778" t="s">
        <v>15</v>
      </c>
      <c r="H49" s="779"/>
      <c r="I49" s="779"/>
      <c r="J49" s="780">
        <f t="shared" si="2"/>
        <v>0</v>
      </c>
      <c r="K49" s="781"/>
      <c r="L49" s="779"/>
      <c r="M49" s="782">
        <f t="shared" si="3"/>
        <v>0</v>
      </c>
      <c r="N49" s="783"/>
      <c r="O49" s="779"/>
      <c r="P49" s="784">
        <f t="shared" si="36"/>
        <v>0</v>
      </c>
      <c r="Q49" s="781"/>
      <c r="R49" s="779"/>
      <c r="S49" s="784">
        <f t="shared" si="4"/>
        <v>0</v>
      </c>
      <c r="T49" s="781"/>
      <c r="U49" s="779"/>
      <c r="V49" s="784">
        <f t="shared" si="5"/>
        <v>0</v>
      </c>
      <c r="W49" s="781"/>
      <c r="X49" s="779"/>
      <c r="Y49" s="780">
        <f t="shared" si="6"/>
        <v>0</v>
      </c>
      <c r="Z49" s="781"/>
      <c r="AA49" s="779"/>
      <c r="AB49" s="785">
        <f t="shared" si="7"/>
        <v>0</v>
      </c>
      <c r="AC49" s="785"/>
      <c r="AD49" s="785"/>
      <c r="AE49" s="780">
        <f t="shared" si="8"/>
        <v>0</v>
      </c>
      <c r="AF49" s="780"/>
      <c r="AG49" s="780"/>
      <c r="AH49" s="780">
        <f t="shared" si="9"/>
        <v>0</v>
      </c>
      <c r="AI49" s="786"/>
      <c r="AJ49" s="780"/>
      <c r="AK49" s="780">
        <f t="shared" si="10"/>
        <v>0</v>
      </c>
      <c r="AL49" s="781"/>
      <c r="AM49" s="779"/>
      <c r="AN49" s="780">
        <f t="shared" si="11"/>
        <v>0</v>
      </c>
      <c r="AO49" s="787"/>
      <c r="AP49" s="788"/>
      <c r="AQ49" s="789">
        <f t="shared" si="12"/>
        <v>0</v>
      </c>
      <c r="AR49" s="790">
        <f t="shared" si="13"/>
        <v>0</v>
      </c>
      <c r="AS49" s="791">
        <f t="shared" si="0"/>
        <v>0</v>
      </c>
      <c r="AT49" s="788">
        <f t="shared" si="14"/>
        <v>0</v>
      </c>
      <c r="AU49" s="792">
        <f t="shared" si="16"/>
        <v>0</v>
      </c>
      <c r="AV49" s="792">
        <f t="shared" si="16"/>
        <v>0</v>
      </c>
      <c r="AW49" s="793">
        <f t="shared" si="17"/>
        <v>0</v>
      </c>
      <c r="AX49" s="794">
        <f t="shared" si="18"/>
        <v>0</v>
      </c>
      <c r="AY49" s="794">
        <f t="shared" si="19"/>
        <v>0</v>
      </c>
      <c r="AZ49" s="795">
        <f t="shared" si="20"/>
        <v>0</v>
      </c>
      <c r="BA49" s="779"/>
      <c r="BB49" s="779"/>
      <c r="BC49" s="796">
        <f t="shared" si="21"/>
        <v>0</v>
      </c>
      <c r="BD49" s="779"/>
      <c r="BE49" s="779"/>
      <c r="BF49" s="796">
        <f t="shared" si="22"/>
        <v>0</v>
      </c>
      <c r="BG49" s="779"/>
      <c r="BH49" s="779"/>
      <c r="BI49" s="796">
        <f t="shared" si="23"/>
        <v>0</v>
      </c>
      <c r="BJ49" s="779"/>
      <c r="BK49" s="779"/>
      <c r="BL49" s="797">
        <f t="shared" si="24"/>
        <v>0</v>
      </c>
      <c r="BM49" s="787"/>
      <c r="BN49" s="788"/>
      <c r="BO49" s="772">
        <f t="shared" si="25"/>
        <v>0</v>
      </c>
      <c r="BP49" s="787"/>
      <c r="BQ49" s="788"/>
      <c r="BR49" s="693">
        <f t="shared" si="26"/>
        <v>0</v>
      </c>
      <c r="BS49" s="787"/>
      <c r="BT49" s="788"/>
      <c r="BU49" s="693">
        <f t="shared" si="49"/>
        <v>0</v>
      </c>
      <c r="BV49" s="693"/>
      <c r="BW49" s="693"/>
      <c r="BX49" s="693">
        <f t="shared" si="50"/>
        <v>0</v>
      </c>
      <c r="BY49" s="693"/>
      <c r="BZ49" s="693"/>
      <c r="CA49" s="693">
        <f t="shared" si="51"/>
        <v>0</v>
      </c>
      <c r="CB49" s="174">
        <f t="shared" si="30"/>
        <v>0</v>
      </c>
      <c r="CC49" s="174">
        <f t="shared" si="31"/>
        <v>0</v>
      </c>
      <c r="CD49" s="174">
        <f t="shared" si="32"/>
        <v>0</v>
      </c>
      <c r="CE49" s="175">
        <f t="shared" si="33"/>
        <v>0</v>
      </c>
      <c r="CF49" s="175">
        <f t="shared" si="34"/>
        <v>0</v>
      </c>
      <c r="CG49" s="175">
        <f t="shared" si="35"/>
        <v>0</v>
      </c>
      <c r="CH49" s="823"/>
      <c r="CI49" s="823"/>
      <c r="CJ49" s="823"/>
      <c r="CK49" s="823"/>
      <c r="CL49" s="823"/>
      <c r="CM49" s="823"/>
      <c r="CN49" s="823"/>
      <c r="CO49" s="823"/>
      <c r="CP49" s="823"/>
      <c r="CQ49" s="823"/>
      <c r="CR49" s="823"/>
      <c r="CS49" s="823"/>
      <c r="CT49" s="823"/>
      <c r="CU49" s="823"/>
      <c r="CV49" s="823"/>
      <c r="CW49" s="823"/>
      <c r="CX49" s="823"/>
      <c r="CY49" s="823"/>
      <c r="CZ49" s="823"/>
      <c r="DA49" s="823"/>
      <c r="DB49" s="823"/>
      <c r="DC49" s="823"/>
      <c r="DD49" s="823"/>
      <c r="DE49" s="823"/>
      <c r="DF49" s="823"/>
      <c r="DG49" s="823"/>
      <c r="DH49" s="823"/>
      <c r="DI49" s="823"/>
      <c r="DJ49" s="823"/>
      <c r="DK49" s="823"/>
      <c r="DL49" s="823"/>
      <c r="DM49" s="823"/>
      <c r="DN49" s="823"/>
      <c r="DO49" s="823"/>
      <c r="DP49" s="823"/>
      <c r="DQ49" s="823"/>
      <c r="DR49" s="823"/>
      <c r="DS49" s="823"/>
      <c r="DT49" s="823"/>
      <c r="DU49" s="823"/>
      <c r="DV49" s="823"/>
      <c r="DW49" s="823"/>
      <c r="DX49" s="823"/>
      <c r="DY49" s="823"/>
      <c r="DZ49" s="823"/>
      <c r="EA49" s="823"/>
      <c r="EB49" s="823"/>
      <c r="EC49" s="823"/>
      <c r="ED49" s="823"/>
      <c r="EE49" s="823"/>
      <c r="EF49" s="823"/>
      <c r="EG49" s="823"/>
      <c r="EH49" s="823"/>
      <c r="EI49" s="823"/>
      <c r="EJ49" s="823"/>
      <c r="EK49" s="823"/>
      <c r="EL49" s="823"/>
      <c r="EM49" s="823"/>
      <c r="EN49" s="823"/>
      <c r="EO49" s="823"/>
      <c r="EP49" s="823"/>
      <c r="EQ49" s="823"/>
      <c r="ER49" s="823"/>
      <c r="ES49" s="823"/>
      <c r="ET49" s="823"/>
      <c r="EU49" s="823"/>
      <c r="EV49" s="823"/>
      <c r="EW49" s="823"/>
      <c r="EX49" s="823"/>
      <c r="EY49" s="823"/>
      <c r="EZ49" s="823"/>
      <c r="FA49" s="823"/>
      <c r="FB49" s="823"/>
      <c r="FC49" s="823"/>
      <c r="FD49" s="823"/>
      <c r="FE49" s="823"/>
      <c r="FF49" s="823"/>
      <c r="FG49" s="823"/>
      <c r="FH49" s="823"/>
      <c r="FI49" s="823"/>
      <c r="FJ49" s="823"/>
      <c r="FK49" s="823"/>
      <c r="FL49" s="823"/>
      <c r="FM49" s="823"/>
      <c r="FN49" s="823"/>
      <c r="FO49" s="823"/>
      <c r="FP49" s="823"/>
      <c r="FQ49" s="823"/>
      <c r="FR49" s="823"/>
      <c r="FS49" s="823"/>
      <c r="FT49" s="823"/>
      <c r="FU49" s="823"/>
      <c r="FV49" s="823"/>
      <c r="FW49" s="823"/>
      <c r="FX49" s="823"/>
      <c r="FY49" s="823"/>
      <c r="FZ49" s="823"/>
      <c r="GA49" s="823"/>
      <c r="GB49" s="823"/>
      <c r="GC49" s="823"/>
      <c r="GD49" s="823"/>
      <c r="GE49" s="823"/>
      <c r="GF49" s="823"/>
      <c r="GG49" s="823"/>
      <c r="GH49" s="823"/>
      <c r="GI49" s="823"/>
      <c r="GJ49" s="823"/>
      <c r="GK49" s="823"/>
      <c r="GL49" s="823"/>
      <c r="GM49" s="823"/>
      <c r="GN49" s="823"/>
      <c r="GO49" s="823"/>
      <c r="GP49" s="823"/>
      <c r="GQ49" s="823"/>
      <c r="GR49" s="823"/>
      <c r="GS49" s="823"/>
      <c r="GT49" s="823"/>
      <c r="GU49" s="823"/>
      <c r="GV49" s="823"/>
      <c r="GW49" s="823"/>
      <c r="GX49" s="823"/>
      <c r="GY49" s="823"/>
      <c r="GZ49" s="823"/>
      <c r="HA49" s="823"/>
      <c r="HB49" s="823"/>
      <c r="HC49" s="823"/>
      <c r="HD49" s="823"/>
      <c r="HE49" s="823"/>
    </row>
    <row r="50" spans="1:213" s="699" customFormat="1" ht="17.25" thickBot="1">
      <c r="A50" s="807">
        <v>43</v>
      </c>
      <c r="B50" s="840" t="s">
        <v>3183</v>
      </c>
      <c r="C50" s="111"/>
      <c r="D50" s="111" t="s">
        <v>3184</v>
      </c>
      <c r="E50" s="809" t="s">
        <v>3101</v>
      </c>
      <c r="F50" s="810">
        <v>1976</v>
      </c>
      <c r="G50" s="811" t="s">
        <v>18</v>
      </c>
      <c r="H50" s="19">
        <v>1107</v>
      </c>
      <c r="I50" s="19">
        <v>284</v>
      </c>
      <c r="J50" s="701">
        <f t="shared" si="2"/>
        <v>1391</v>
      </c>
      <c r="K50" s="319">
        <v>1419</v>
      </c>
      <c r="L50" s="19">
        <v>224</v>
      </c>
      <c r="M50" s="389">
        <f t="shared" si="3"/>
        <v>1643</v>
      </c>
      <c r="N50" s="100">
        <v>1677</v>
      </c>
      <c r="O50" s="19">
        <v>422</v>
      </c>
      <c r="P50" s="320">
        <f t="shared" si="36"/>
        <v>2099</v>
      </c>
      <c r="Q50" s="319">
        <v>632</v>
      </c>
      <c r="R50" s="19">
        <v>167</v>
      </c>
      <c r="S50" s="320">
        <f t="shared" si="4"/>
        <v>799</v>
      </c>
      <c r="T50" s="319">
        <v>2007</v>
      </c>
      <c r="U50" s="19">
        <v>310</v>
      </c>
      <c r="V50" s="320">
        <f t="shared" si="5"/>
        <v>2317</v>
      </c>
      <c r="W50" s="319"/>
      <c r="X50" s="19"/>
      <c r="Y50" s="701">
        <f t="shared" si="6"/>
        <v>0</v>
      </c>
      <c r="Z50" s="319">
        <v>104</v>
      </c>
      <c r="AA50" s="19">
        <v>94</v>
      </c>
      <c r="AB50" s="111">
        <f t="shared" si="7"/>
        <v>198</v>
      </c>
      <c r="AC50" s="111">
        <v>860</v>
      </c>
      <c r="AD50" s="111"/>
      <c r="AE50" s="701">
        <f t="shared" si="8"/>
        <v>860</v>
      </c>
      <c r="AF50" s="701">
        <v>1039</v>
      </c>
      <c r="AG50" s="701">
        <v>232</v>
      </c>
      <c r="AH50" s="701">
        <f t="shared" si="9"/>
        <v>1271</v>
      </c>
      <c r="AI50" s="812">
        <v>722</v>
      </c>
      <c r="AJ50" s="701">
        <v>54</v>
      </c>
      <c r="AK50" s="701">
        <f t="shared" si="10"/>
        <v>776</v>
      </c>
      <c r="AL50" s="319">
        <v>1012</v>
      </c>
      <c r="AM50" s="19">
        <v>300</v>
      </c>
      <c r="AN50" s="701">
        <f t="shared" si="11"/>
        <v>1312</v>
      </c>
      <c r="AO50" s="319">
        <v>430</v>
      </c>
      <c r="AP50" s="19">
        <v>36</v>
      </c>
      <c r="AQ50" s="389">
        <f t="shared" si="12"/>
        <v>466</v>
      </c>
      <c r="AR50" s="387">
        <f t="shared" si="13"/>
        <v>10579</v>
      </c>
      <c r="AS50" s="388">
        <f t="shared" si="0"/>
        <v>2087</v>
      </c>
      <c r="AT50" s="19">
        <f t="shared" si="14"/>
        <v>12666</v>
      </c>
      <c r="AU50" s="702">
        <f t="shared" si="16"/>
        <v>881.58333333333337</v>
      </c>
      <c r="AV50" s="702">
        <f t="shared" si="16"/>
        <v>173.91666666666666</v>
      </c>
      <c r="AW50" s="703">
        <f t="shared" si="17"/>
        <v>1055.5</v>
      </c>
      <c r="AX50" s="703">
        <f t="shared" si="18"/>
        <v>440791.66666666669</v>
      </c>
      <c r="AY50" s="703">
        <f t="shared" si="19"/>
        <v>104350</v>
      </c>
      <c r="AZ50" s="704">
        <f t="shared" si="20"/>
        <v>545141.66666666674</v>
      </c>
      <c r="BA50" s="19">
        <v>1702</v>
      </c>
      <c r="BB50" s="19">
        <v>180</v>
      </c>
      <c r="BC50" s="813">
        <f t="shared" si="21"/>
        <v>1882</v>
      </c>
      <c r="BD50" s="19">
        <v>1839</v>
      </c>
      <c r="BE50" s="19">
        <v>280</v>
      </c>
      <c r="BF50" s="813">
        <f t="shared" si="22"/>
        <v>2119</v>
      </c>
      <c r="BG50" s="19">
        <v>2116</v>
      </c>
      <c r="BH50" s="19">
        <v>76</v>
      </c>
      <c r="BI50" s="813">
        <f t="shared" si="23"/>
        <v>2192</v>
      </c>
      <c r="BJ50" s="19">
        <v>798</v>
      </c>
      <c r="BK50" s="19">
        <v>128</v>
      </c>
      <c r="BL50" s="814">
        <f t="shared" si="24"/>
        <v>926</v>
      </c>
      <c r="BM50" s="319">
        <v>772</v>
      </c>
      <c r="BN50" s="19">
        <v>224</v>
      </c>
      <c r="BO50" s="868">
        <f t="shared" si="25"/>
        <v>996</v>
      </c>
      <c r="BP50" s="319">
        <v>814</v>
      </c>
      <c r="BQ50" s="19">
        <v>190</v>
      </c>
      <c r="BR50" s="701">
        <f t="shared" si="26"/>
        <v>1004</v>
      </c>
      <c r="BS50" s="319">
        <v>557</v>
      </c>
      <c r="BT50" s="19">
        <v>285</v>
      </c>
      <c r="BU50" s="701">
        <f t="shared" si="49"/>
        <v>842</v>
      </c>
      <c r="BV50" s="701"/>
      <c r="BW50" s="701"/>
      <c r="BX50" s="701">
        <f t="shared" si="50"/>
        <v>0</v>
      </c>
      <c r="BY50" s="701"/>
      <c r="BZ50" s="701"/>
      <c r="CA50" s="701">
        <f t="shared" si="51"/>
        <v>0</v>
      </c>
      <c r="CB50" s="174">
        <f t="shared" si="30"/>
        <v>8598</v>
      </c>
      <c r="CC50" s="174">
        <f t="shared" si="31"/>
        <v>1363</v>
      </c>
      <c r="CD50" s="174">
        <f t="shared" si="32"/>
        <v>9961</v>
      </c>
      <c r="CE50" s="175">
        <f t="shared" si="33"/>
        <v>955.33333333333337</v>
      </c>
      <c r="CF50" s="175">
        <f t="shared" si="34"/>
        <v>151.44444444444446</v>
      </c>
      <c r="CG50" s="175">
        <f t="shared" si="35"/>
        <v>1106.7777777777778</v>
      </c>
      <c r="CH50" s="361"/>
      <c r="CI50" s="361"/>
      <c r="CJ50" s="361"/>
      <c r="CK50" s="361"/>
      <c r="CL50" s="361"/>
      <c r="CM50" s="361"/>
      <c r="CN50" s="361"/>
      <c r="CO50" s="361"/>
      <c r="CP50" s="361"/>
      <c r="CQ50" s="361"/>
      <c r="CR50" s="361"/>
      <c r="CS50" s="361"/>
      <c r="CT50" s="361"/>
      <c r="CU50" s="361"/>
      <c r="CV50" s="361"/>
      <c r="CW50" s="361"/>
      <c r="CX50" s="361"/>
      <c r="CY50" s="361"/>
      <c r="CZ50" s="361"/>
      <c r="DA50" s="361"/>
      <c r="DB50" s="361"/>
      <c r="DC50" s="361"/>
      <c r="DD50" s="361"/>
      <c r="DE50" s="361"/>
      <c r="DF50" s="361"/>
      <c r="DG50" s="361"/>
      <c r="DH50" s="361"/>
      <c r="DI50" s="361"/>
      <c r="DJ50" s="361"/>
      <c r="DK50" s="361"/>
      <c r="DL50" s="361"/>
      <c r="DM50" s="361"/>
      <c r="DN50" s="361"/>
      <c r="DO50" s="361"/>
      <c r="DP50" s="361"/>
      <c r="DQ50" s="361"/>
      <c r="DR50" s="361"/>
      <c r="DS50" s="361"/>
      <c r="DT50" s="361"/>
      <c r="DU50" s="361"/>
      <c r="DV50" s="361"/>
      <c r="DW50" s="361"/>
      <c r="DX50" s="361"/>
      <c r="DY50" s="361"/>
      <c r="DZ50" s="361"/>
      <c r="EA50" s="361"/>
      <c r="EB50" s="361"/>
      <c r="EC50" s="361"/>
      <c r="ED50" s="361"/>
      <c r="EE50" s="361"/>
      <c r="EF50" s="361"/>
      <c r="EG50" s="361"/>
      <c r="EH50" s="361"/>
      <c r="EI50" s="361"/>
      <c r="EJ50" s="361"/>
      <c r="EK50" s="361"/>
      <c r="EL50" s="361"/>
      <c r="EM50" s="361"/>
      <c r="EN50" s="361"/>
      <c r="EO50" s="361"/>
      <c r="EP50" s="361"/>
      <c r="EQ50" s="361"/>
      <c r="ER50" s="361"/>
      <c r="ES50" s="361"/>
      <c r="ET50" s="361"/>
      <c r="EU50" s="361"/>
      <c r="EV50" s="361"/>
      <c r="EW50" s="361"/>
      <c r="EX50" s="361"/>
      <c r="EY50" s="361"/>
      <c r="EZ50" s="361"/>
      <c r="FA50" s="361"/>
      <c r="FB50" s="361"/>
      <c r="FC50" s="361"/>
      <c r="FD50" s="361"/>
      <c r="FE50" s="361"/>
      <c r="FF50" s="361"/>
      <c r="FG50" s="361"/>
      <c r="FH50" s="361"/>
      <c r="FI50" s="361"/>
      <c r="FJ50" s="361"/>
      <c r="FK50" s="361"/>
      <c r="FL50" s="361"/>
      <c r="FM50" s="361"/>
      <c r="FN50" s="361"/>
      <c r="FO50" s="361"/>
      <c r="FP50" s="361"/>
      <c r="FQ50" s="361"/>
      <c r="FR50" s="361"/>
      <c r="FS50" s="361"/>
      <c r="FT50" s="361"/>
      <c r="FU50" s="361"/>
      <c r="FV50" s="361"/>
      <c r="FW50" s="361"/>
      <c r="FX50" s="361"/>
      <c r="FY50" s="361"/>
      <c r="FZ50" s="361"/>
      <c r="GA50" s="361"/>
      <c r="GB50" s="361"/>
      <c r="GC50" s="361"/>
      <c r="GD50" s="361"/>
      <c r="GE50" s="361"/>
      <c r="GF50" s="361"/>
      <c r="GG50" s="361"/>
      <c r="GH50" s="361"/>
      <c r="GI50" s="361"/>
      <c r="GJ50" s="361"/>
      <c r="GK50" s="361"/>
      <c r="GL50" s="361"/>
      <c r="GM50" s="361"/>
      <c r="GN50" s="361"/>
      <c r="GO50" s="361"/>
      <c r="GP50" s="361"/>
      <c r="GQ50" s="361"/>
      <c r="GR50" s="361"/>
      <c r="GS50" s="361"/>
      <c r="GT50" s="361"/>
      <c r="GU50" s="361"/>
      <c r="GV50" s="361"/>
      <c r="GW50" s="361"/>
      <c r="GX50" s="361"/>
      <c r="GY50" s="361"/>
      <c r="GZ50" s="361"/>
      <c r="HA50" s="361"/>
      <c r="HB50" s="361"/>
      <c r="HC50" s="361"/>
      <c r="HD50" s="361"/>
      <c r="HE50" s="361"/>
    </row>
    <row r="51" spans="1:213" s="61" customFormat="1" ht="17.25" thickBot="1">
      <c r="A51" s="834">
        <v>44</v>
      </c>
      <c r="B51" s="840" t="s">
        <v>3185</v>
      </c>
      <c r="C51" s="111"/>
      <c r="D51" s="111" t="s">
        <v>3186</v>
      </c>
      <c r="E51" s="835" t="s">
        <v>3101</v>
      </c>
      <c r="F51" s="810">
        <v>209.33</v>
      </c>
      <c r="G51" s="811" t="s">
        <v>18</v>
      </c>
      <c r="H51" s="19">
        <v>150</v>
      </c>
      <c r="I51" s="19"/>
      <c r="J51" s="701">
        <f t="shared" si="2"/>
        <v>150</v>
      </c>
      <c r="K51" s="319"/>
      <c r="L51" s="19"/>
      <c r="M51" s="389">
        <f t="shared" si="3"/>
        <v>0</v>
      </c>
      <c r="N51" s="100">
        <v>680</v>
      </c>
      <c r="O51" s="19">
        <v>72</v>
      </c>
      <c r="P51" s="320">
        <f t="shared" si="36"/>
        <v>752</v>
      </c>
      <c r="Q51" s="319"/>
      <c r="R51" s="19"/>
      <c r="S51" s="320">
        <f t="shared" si="4"/>
        <v>0</v>
      </c>
      <c r="T51" s="319">
        <v>530</v>
      </c>
      <c r="U51" s="19">
        <v>136</v>
      </c>
      <c r="V51" s="320">
        <f t="shared" si="5"/>
        <v>666</v>
      </c>
      <c r="W51" s="319"/>
      <c r="X51" s="19"/>
      <c r="Y51" s="701">
        <f t="shared" si="6"/>
        <v>0</v>
      </c>
      <c r="Z51" s="319">
        <v>508</v>
      </c>
      <c r="AA51" s="19">
        <v>154</v>
      </c>
      <c r="AB51" s="111">
        <f t="shared" si="7"/>
        <v>662</v>
      </c>
      <c r="AC51" s="111"/>
      <c r="AD51" s="111"/>
      <c r="AE51" s="701">
        <f t="shared" si="8"/>
        <v>0</v>
      </c>
      <c r="AF51" s="701">
        <v>512</v>
      </c>
      <c r="AG51" s="701">
        <v>112</v>
      </c>
      <c r="AH51" s="701">
        <f t="shared" si="9"/>
        <v>624</v>
      </c>
      <c r="AI51" s="812"/>
      <c r="AJ51" s="701"/>
      <c r="AK51" s="701">
        <f t="shared" si="10"/>
        <v>0</v>
      </c>
      <c r="AL51" s="319"/>
      <c r="AM51" s="19"/>
      <c r="AN51" s="701">
        <f t="shared" si="11"/>
        <v>0</v>
      </c>
      <c r="AO51" s="319">
        <v>426</v>
      </c>
      <c r="AP51" s="19">
        <v>168</v>
      </c>
      <c r="AQ51" s="389">
        <f t="shared" si="12"/>
        <v>594</v>
      </c>
      <c r="AR51" s="387">
        <f t="shared" si="13"/>
        <v>2380</v>
      </c>
      <c r="AS51" s="388">
        <f t="shared" si="0"/>
        <v>474</v>
      </c>
      <c r="AT51" s="19">
        <f t="shared" si="14"/>
        <v>2854</v>
      </c>
      <c r="AU51" s="702">
        <f t="shared" si="16"/>
        <v>198.33333333333334</v>
      </c>
      <c r="AV51" s="702">
        <f t="shared" si="16"/>
        <v>39.5</v>
      </c>
      <c r="AW51" s="703">
        <f t="shared" si="17"/>
        <v>237.83333333333334</v>
      </c>
      <c r="AX51" s="703">
        <f t="shared" si="18"/>
        <v>99166.666666666672</v>
      </c>
      <c r="AY51" s="703">
        <f t="shared" si="19"/>
        <v>23700</v>
      </c>
      <c r="AZ51" s="704">
        <f t="shared" si="20"/>
        <v>122866.66666666667</v>
      </c>
      <c r="BA51" s="19">
        <v>460</v>
      </c>
      <c r="BB51" s="19">
        <v>132</v>
      </c>
      <c r="BC51" s="813">
        <f t="shared" si="21"/>
        <v>592</v>
      </c>
      <c r="BD51" s="19">
        <v>498</v>
      </c>
      <c r="BE51" s="19">
        <v>18</v>
      </c>
      <c r="BF51" s="813">
        <f t="shared" si="22"/>
        <v>516</v>
      </c>
      <c r="BG51" s="19">
        <v>502</v>
      </c>
      <c r="BH51" s="19"/>
      <c r="BI51" s="813">
        <f t="shared" si="23"/>
        <v>502</v>
      </c>
      <c r="BJ51" s="19"/>
      <c r="BK51" s="19"/>
      <c r="BL51" s="814">
        <f t="shared" si="24"/>
        <v>0</v>
      </c>
      <c r="BM51" s="319">
        <v>416</v>
      </c>
      <c r="BN51" s="19">
        <v>100</v>
      </c>
      <c r="BO51" s="868">
        <f t="shared" si="25"/>
        <v>516</v>
      </c>
      <c r="BP51" s="319">
        <v>548</v>
      </c>
      <c r="BQ51" s="19"/>
      <c r="BR51" s="701">
        <f t="shared" si="26"/>
        <v>548</v>
      </c>
      <c r="BS51" s="319"/>
      <c r="BT51" s="19"/>
      <c r="BU51" s="701">
        <f t="shared" si="49"/>
        <v>0</v>
      </c>
      <c r="BV51" s="701"/>
      <c r="BW51" s="701"/>
      <c r="BX51" s="701">
        <f t="shared" si="50"/>
        <v>0</v>
      </c>
      <c r="BY51" s="701"/>
      <c r="BZ51" s="701"/>
      <c r="CA51" s="701">
        <f t="shared" si="51"/>
        <v>0</v>
      </c>
      <c r="CB51" s="174">
        <f t="shared" si="30"/>
        <v>2424</v>
      </c>
      <c r="CC51" s="174">
        <f t="shared" si="31"/>
        <v>250</v>
      </c>
      <c r="CD51" s="174">
        <f t="shared" si="32"/>
        <v>2674</v>
      </c>
      <c r="CE51" s="175">
        <f t="shared" si="33"/>
        <v>269.33333333333331</v>
      </c>
      <c r="CF51" s="175">
        <f t="shared" si="34"/>
        <v>27.777777777777779</v>
      </c>
      <c r="CG51" s="175">
        <f t="shared" si="35"/>
        <v>297.11111111111109</v>
      </c>
      <c r="CH51" s="361"/>
      <c r="CI51" s="361"/>
      <c r="CJ51" s="361"/>
      <c r="CK51" s="361"/>
      <c r="CL51" s="361"/>
      <c r="CM51" s="361"/>
      <c r="CN51" s="361"/>
      <c r="CO51" s="361"/>
      <c r="CP51" s="361"/>
      <c r="CQ51" s="361"/>
      <c r="CR51" s="361"/>
      <c r="CS51" s="361"/>
      <c r="CT51" s="361"/>
      <c r="CU51" s="361"/>
      <c r="CV51" s="361"/>
      <c r="CW51" s="361"/>
      <c r="CX51" s="361"/>
      <c r="CY51" s="361"/>
      <c r="CZ51" s="361"/>
      <c r="DA51" s="361"/>
      <c r="DB51" s="361"/>
      <c r="DC51" s="361"/>
      <c r="DD51" s="361"/>
      <c r="DE51" s="361"/>
      <c r="DF51" s="361"/>
      <c r="DG51" s="361"/>
      <c r="DH51" s="361"/>
      <c r="DI51" s="361"/>
      <c r="DJ51" s="361"/>
      <c r="DK51" s="361"/>
      <c r="DL51" s="361"/>
      <c r="DM51" s="361"/>
      <c r="DN51" s="361"/>
      <c r="DO51" s="361"/>
      <c r="DP51" s="361"/>
      <c r="DQ51" s="361"/>
      <c r="DR51" s="361"/>
      <c r="DS51" s="361"/>
      <c r="DT51" s="361"/>
      <c r="DU51" s="361"/>
      <c r="DV51" s="361"/>
      <c r="DW51" s="361"/>
      <c r="DX51" s="361"/>
      <c r="DY51" s="361"/>
      <c r="DZ51" s="361"/>
      <c r="EA51" s="361"/>
      <c r="EB51" s="361"/>
      <c r="EC51" s="361"/>
      <c r="ED51" s="361"/>
      <c r="EE51" s="361"/>
      <c r="EF51" s="361"/>
      <c r="EG51" s="361"/>
      <c r="EH51" s="361"/>
      <c r="EI51" s="361"/>
      <c r="EJ51" s="361"/>
      <c r="EK51" s="361"/>
      <c r="EL51" s="361"/>
      <c r="EM51" s="361"/>
      <c r="EN51" s="361"/>
      <c r="EO51" s="361"/>
      <c r="EP51" s="361"/>
      <c r="EQ51" s="361"/>
      <c r="ER51" s="361"/>
      <c r="ES51" s="361"/>
      <c r="ET51" s="361"/>
      <c r="EU51" s="361"/>
      <c r="EV51" s="361"/>
      <c r="EW51" s="361"/>
      <c r="EX51" s="361"/>
      <c r="EY51" s="361"/>
      <c r="EZ51" s="361"/>
      <c r="FA51" s="361"/>
      <c r="FB51" s="361"/>
      <c r="FC51" s="361"/>
      <c r="FD51" s="361"/>
      <c r="FE51" s="361"/>
      <c r="FF51" s="361"/>
      <c r="FG51" s="361"/>
      <c r="FH51" s="361"/>
      <c r="FI51" s="361"/>
      <c r="FJ51" s="361"/>
      <c r="FK51" s="361"/>
      <c r="FL51" s="361"/>
      <c r="FM51" s="361"/>
      <c r="FN51" s="361"/>
      <c r="FO51" s="361"/>
      <c r="FP51" s="361"/>
      <c r="FQ51" s="361"/>
      <c r="FR51" s="361"/>
      <c r="FS51" s="361"/>
      <c r="FT51" s="361"/>
      <c r="FU51" s="361"/>
      <c r="FV51" s="361"/>
      <c r="FW51" s="361"/>
      <c r="FX51" s="361"/>
      <c r="FY51" s="361"/>
      <c r="FZ51" s="361"/>
      <c r="GA51" s="361"/>
      <c r="GB51" s="361"/>
      <c r="GC51" s="361"/>
      <c r="GD51" s="361"/>
      <c r="GE51" s="361"/>
      <c r="GF51" s="361"/>
      <c r="GG51" s="361"/>
      <c r="GH51" s="361"/>
      <c r="GI51" s="361"/>
      <c r="GJ51" s="361"/>
      <c r="GK51" s="361"/>
      <c r="GL51" s="361"/>
      <c r="GM51" s="361"/>
      <c r="GN51" s="361"/>
      <c r="GO51" s="361"/>
      <c r="GP51" s="361"/>
      <c r="GQ51" s="361"/>
      <c r="GR51" s="361"/>
      <c r="GS51" s="361"/>
      <c r="GT51" s="361"/>
      <c r="GU51" s="361"/>
      <c r="GV51" s="361"/>
      <c r="GW51" s="361"/>
      <c r="GX51" s="361"/>
      <c r="GY51" s="361"/>
      <c r="GZ51" s="361"/>
      <c r="HA51" s="361"/>
      <c r="HB51" s="361"/>
      <c r="HC51" s="361"/>
      <c r="HD51" s="361"/>
      <c r="HE51" s="361"/>
    </row>
    <row r="52" spans="1:213" s="61" customFormat="1" ht="17.25" thickBot="1">
      <c r="A52" s="807">
        <v>45</v>
      </c>
      <c r="B52" s="840" t="s">
        <v>3187</v>
      </c>
      <c r="C52" s="111"/>
      <c r="D52" s="111" t="s">
        <v>3188</v>
      </c>
      <c r="E52" s="809" t="s">
        <v>3101</v>
      </c>
      <c r="F52" s="810">
        <v>243.33</v>
      </c>
      <c r="G52" s="811" t="s">
        <v>18</v>
      </c>
      <c r="H52" s="19">
        <v>100</v>
      </c>
      <c r="I52" s="19"/>
      <c r="J52" s="701">
        <f t="shared" si="2"/>
        <v>100</v>
      </c>
      <c r="K52" s="319">
        <v>527</v>
      </c>
      <c r="L52" s="19"/>
      <c r="M52" s="389">
        <f t="shared" si="3"/>
        <v>527</v>
      </c>
      <c r="N52" s="100">
        <v>540</v>
      </c>
      <c r="O52" s="19"/>
      <c r="P52" s="320">
        <f t="shared" si="36"/>
        <v>540</v>
      </c>
      <c r="Q52" s="319"/>
      <c r="R52" s="19"/>
      <c r="S52" s="320">
        <f t="shared" si="4"/>
        <v>0</v>
      </c>
      <c r="T52" s="319">
        <v>518</v>
      </c>
      <c r="U52" s="19"/>
      <c r="V52" s="320">
        <f t="shared" si="5"/>
        <v>518</v>
      </c>
      <c r="W52" s="319"/>
      <c r="X52" s="19"/>
      <c r="Y52" s="701">
        <f t="shared" si="6"/>
        <v>0</v>
      </c>
      <c r="Z52" s="319"/>
      <c r="AA52" s="19"/>
      <c r="AB52" s="111">
        <f t="shared" si="7"/>
        <v>0</v>
      </c>
      <c r="AC52" s="111"/>
      <c r="AD52" s="111"/>
      <c r="AE52" s="701">
        <f t="shared" si="8"/>
        <v>0</v>
      </c>
      <c r="AF52" s="701"/>
      <c r="AG52" s="701"/>
      <c r="AH52" s="701">
        <f t="shared" si="9"/>
        <v>0</v>
      </c>
      <c r="AI52" s="812"/>
      <c r="AJ52" s="701"/>
      <c r="AK52" s="701">
        <f t="shared" si="10"/>
        <v>0</v>
      </c>
      <c r="AL52" s="319"/>
      <c r="AM52" s="19"/>
      <c r="AN52" s="701">
        <f t="shared" si="11"/>
        <v>0</v>
      </c>
      <c r="AO52" s="319">
        <v>596</v>
      </c>
      <c r="AP52" s="19"/>
      <c r="AQ52" s="389">
        <f t="shared" si="12"/>
        <v>596</v>
      </c>
      <c r="AR52" s="387">
        <f t="shared" si="13"/>
        <v>1685</v>
      </c>
      <c r="AS52" s="388">
        <f t="shared" si="0"/>
        <v>0</v>
      </c>
      <c r="AT52" s="19">
        <f t="shared" si="14"/>
        <v>1685</v>
      </c>
      <c r="AU52" s="702">
        <f t="shared" si="16"/>
        <v>140.41666666666666</v>
      </c>
      <c r="AV52" s="702">
        <f t="shared" si="16"/>
        <v>0</v>
      </c>
      <c r="AW52" s="703">
        <f t="shared" si="17"/>
        <v>140.41666666666666</v>
      </c>
      <c r="AX52" s="703">
        <f t="shared" si="18"/>
        <v>70208.333333333328</v>
      </c>
      <c r="AY52" s="703">
        <f t="shared" si="19"/>
        <v>0</v>
      </c>
      <c r="AZ52" s="704">
        <f t="shared" si="20"/>
        <v>70208.333333333328</v>
      </c>
      <c r="BA52" s="19"/>
      <c r="BB52" s="19"/>
      <c r="BC52" s="813">
        <f t="shared" si="21"/>
        <v>0</v>
      </c>
      <c r="BD52" s="19">
        <v>503</v>
      </c>
      <c r="BE52" s="19">
        <v>44</v>
      </c>
      <c r="BF52" s="813">
        <f t="shared" si="22"/>
        <v>547</v>
      </c>
      <c r="BG52" s="19"/>
      <c r="BH52" s="19"/>
      <c r="BI52" s="813">
        <f t="shared" si="23"/>
        <v>0</v>
      </c>
      <c r="BJ52" s="19">
        <v>636</v>
      </c>
      <c r="BK52" s="19">
        <v>20</v>
      </c>
      <c r="BL52" s="814">
        <f t="shared" si="24"/>
        <v>656</v>
      </c>
      <c r="BM52" s="319"/>
      <c r="BN52" s="19"/>
      <c r="BO52" s="868">
        <f t="shared" si="25"/>
        <v>0</v>
      </c>
      <c r="BP52" s="319">
        <v>538</v>
      </c>
      <c r="BQ52" s="19">
        <v>56</v>
      </c>
      <c r="BR52" s="701">
        <f t="shared" si="26"/>
        <v>594</v>
      </c>
      <c r="BS52" s="319"/>
      <c r="BT52" s="19"/>
      <c r="BU52" s="701">
        <f t="shared" si="49"/>
        <v>0</v>
      </c>
      <c r="BV52" s="701"/>
      <c r="BW52" s="701"/>
      <c r="BX52" s="701">
        <f t="shared" si="50"/>
        <v>0</v>
      </c>
      <c r="BY52" s="701"/>
      <c r="BZ52" s="701"/>
      <c r="CA52" s="701">
        <f t="shared" si="51"/>
        <v>0</v>
      </c>
      <c r="CB52" s="174">
        <f t="shared" si="30"/>
        <v>1677</v>
      </c>
      <c r="CC52" s="174">
        <f t="shared" si="31"/>
        <v>120</v>
      </c>
      <c r="CD52" s="174">
        <f t="shared" si="32"/>
        <v>1797</v>
      </c>
      <c r="CE52" s="175">
        <f t="shared" si="33"/>
        <v>186.33333333333334</v>
      </c>
      <c r="CF52" s="175">
        <f t="shared" si="34"/>
        <v>13.333333333333334</v>
      </c>
      <c r="CG52" s="175">
        <f t="shared" si="35"/>
        <v>199.66666666666666</v>
      </c>
      <c r="CH52" s="361"/>
      <c r="CI52" s="361"/>
      <c r="CJ52" s="361"/>
      <c r="CK52" s="361"/>
      <c r="CL52" s="361"/>
      <c r="CM52" s="361"/>
      <c r="CN52" s="361"/>
      <c r="CO52" s="361"/>
      <c r="CP52" s="361"/>
      <c r="CQ52" s="361"/>
      <c r="CR52" s="361"/>
      <c r="CS52" s="361"/>
      <c r="CT52" s="361"/>
      <c r="CU52" s="361"/>
      <c r="CV52" s="361"/>
      <c r="CW52" s="361"/>
      <c r="CX52" s="361"/>
      <c r="CY52" s="361"/>
      <c r="CZ52" s="361"/>
      <c r="DA52" s="361"/>
      <c r="DB52" s="361"/>
      <c r="DC52" s="361"/>
      <c r="DD52" s="361"/>
      <c r="DE52" s="361"/>
      <c r="DF52" s="361"/>
      <c r="DG52" s="361"/>
      <c r="DH52" s="361"/>
      <c r="DI52" s="361"/>
      <c r="DJ52" s="361"/>
      <c r="DK52" s="361"/>
      <c r="DL52" s="361"/>
      <c r="DM52" s="361"/>
      <c r="DN52" s="361"/>
      <c r="DO52" s="361"/>
      <c r="DP52" s="361"/>
      <c r="DQ52" s="361"/>
      <c r="DR52" s="361"/>
      <c r="DS52" s="361"/>
      <c r="DT52" s="361"/>
      <c r="DU52" s="361"/>
      <c r="DV52" s="361"/>
      <c r="DW52" s="361"/>
      <c r="DX52" s="361"/>
      <c r="DY52" s="361"/>
      <c r="DZ52" s="361"/>
      <c r="EA52" s="361"/>
      <c r="EB52" s="361"/>
      <c r="EC52" s="361"/>
      <c r="ED52" s="361"/>
      <c r="EE52" s="361"/>
      <c r="EF52" s="361"/>
      <c r="EG52" s="361"/>
      <c r="EH52" s="361"/>
      <c r="EI52" s="361"/>
      <c r="EJ52" s="361"/>
      <c r="EK52" s="361"/>
      <c r="EL52" s="361"/>
      <c r="EM52" s="361"/>
      <c r="EN52" s="361"/>
      <c r="EO52" s="361"/>
      <c r="EP52" s="361"/>
      <c r="EQ52" s="361"/>
      <c r="ER52" s="361"/>
      <c r="ES52" s="361"/>
      <c r="ET52" s="361"/>
      <c r="EU52" s="361"/>
      <c r="EV52" s="361"/>
      <c r="EW52" s="361"/>
      <c r="EX52" s="361"/>
      <c r="EY52" s="361"/>
      <c r="EZ52" s="361"/>
      <c r="FA52" s="361"/>
      <c r="FB52" s="361"/>
      <c r="FC52" s="361"/>
      <c r="FD52" s="361"/>
      <c r="FE52" s="361"/>
      <c r="FF52" s="361"/>
      <c r="FG52" s="361"/>
      <c r="FH52" s="361"/>
      <c r="FI52" s="361"/>
      <c r="FJ52" s="361"/>
      <c r="FK52" s="361"/>
      <c r="FL52" s="361"/>
      <c r="FM52" s="361"/>
      <c r="FN52" s="361"/>
      <c r="FO52" s="361"/>
      <c r="FP52" s="361"/>
      <c r="FQ52" s="361"/>
      <c r="FR52" s="361"/>
      <c r="FS52" s="361"/>
      <c r="FT52" s="361"/>
      <c r="FU52" s="361"/>
      <c r="FV52" s="361"/>
      <c r="FW52" s="361"/>
      <c r="FX52" s="361"/>
      <c r="FY52" s="361"/>
      <c r="FZ52" s="361"/>
      <c r="GA52" s="361"/>
      <c r="GB52" s="361"/>
      <c r="GC52" s="361"/>
      <c r="GD52" s="361"/>
      <c r="GE52" s="361"/>
      <c r="GF52" s="361"/>
      <c r="GG52" s="361"/>
      <c r="GH52" s="361"/>
      <c r="GI52" s="361"/>
      <c r="GJ52" s="361"/>
      <c r="GK52" s="361"/>
      <c r="GL52" s="361"/>
      <c r="GM52" s="361"/>
      <c r="GN52" s="361"/>
      <c r="GO52" s="361"/>
      <c r="GP52" s="361"/>
      <c r="GQ52" s="361"/>
      <c r="GR52" s="361"/>
      <c r="GS52" s="361"/>
      <c r="GT52" s="361"/>
      <c r="GU52" s="361"/>
      <c r="GV52" s="361"/>
      <c r="GW52" s="361"/>
      <c r="GX52" s="361"/>
      <c r="GY52" s="361"/>
      <c r="GZ52" s="361"/>
      <c r="HA52" s="361"/>
      <c r="HB52" s="361"/>
      <c r="HC52" s="361"/>
      <c r="HD52" s="361"/>
      <c r="HE52" s="361"/>
    </row>
    <row r="53" spans="1:213" s="61" customFormat="1" ht="17.25" thickBot="1">
      <c r="A53" s="834">
        <v>46</v>
      </c>
      <c r="B53" s="840" t="s">
        <v>3189</v>
      </c>
      <c r="C53" s="111"/>
      <c r="D53" s="111" t="s">
        <v>3190</v>
      </c>
      <c r="E53" s="835" t="s">
        <v>3101</v>
      </c>
      <c r="F53" s="810">
        <v>92</v>
      </c>
      <c r="G53" s="811" t="s">
        <v>18</v>
      </c>
      <c r="H53" s="19">
        <v>100</v>
      </c>
      <c r="I53" s="19"/>
      <c r="J53" s="701">
        <f t="shared" si="2"/>
        <v>100</v>
      </c>
      <c r="K53" s="319">
        <v>118</v>
      </c>
      <c r="L53" s="19">
        <v>8</v>
      </c>
      <c r="M53" s="389">
        <f t="shared" si="3"/>
        <v>126</v>
      </c>
      <c r="N53" s="100">
        <v>258</v>
      </c>
      <c r="O53" s="19"/>
      <c r="P53" s="320">
        <f t="shared" si="36"/>
        <v>258</v>
      </c>
      <c r="Q53" s="319"/>
      <c r="R53" s="19"/>
      <c r="S53" s="320">
        <f t="shared" si="4"/>
        <v>0</v>
      </c>
      <c r="T53" s="319"/>
      <c r="U53" s="19"/>
      <c r="V53" s="320">
        <f t="shared" si="5"/>
        <v>0</v>
      </c>
      <c r="W53" s="319"/>
      <c r="X53" s="19"/>
      <c r="Y53" s="701">
        <f t="shared" si="6"/>
        <v>0</v>
      </c>
      <c r="Z53" s="319">
        <v>292</v>
      </c>
      <c r="AA53" s="19">
        <v>54</v>
      </c>
      <c r="AB53" s="111">
        <f t="shared" si="7"/>
        <v>346</v>
      </c>
      <c r="AC53" s="111"/>
      <c r="AD53" s="111"/>
      <c r="AE53" s="701">
        <f t="shared" si="8"/>
        <v>0</v>
      </c>
      <c r="AF53" s="701"/>
      <c r="AG53" s="701"/>
      <c r="AH53" s="701">
        <f t="shared" si="9"/>
        <v>0</v>
      </c>
      <c r="AI53" s="812"/>
      <c r="AJ53" s="701"/>
      <c r="AK53" s="701">
        <f t="shared" si="10"/>
        <v>0</v>
      </c>
      <c r="AL53" s="319"/>
      <c r="AM53" s="19"/>
      <c r="AN53" s="701">
        <f t="shared" si="11"/>
        <v>0</v>
      </c>
      <c r="AO53" s="319">
        <v>460</v>
      </c>
      <c r="AP53" s="19"/>
      <c r="AQ53" s="389">
        <f t="shared" si="12"/>
        <v>460</v>
      </c>
      <c r="AR53" s="387">
        <f t="shared" si="13"/>
        <v>768</v>
      </c>
      <c r="AS53" s="388">
        <f t="shared" si="0"/>
        <v>62</v>
      </c>
      <c r="AT53" s="19">
        <f t="shared" si="14"/>
        <v>830</v>
      </c>
      <c r="AU53" s="702">
        <f t="shared" si="16"/>
        <v>64</v>
      </c>
      <c r="AV53" s="702">
        <f t="shared" si="16"/>
        <v>5.166666666666667</v>
      </c>
      <c r="AW53" s="703">
        <f t="shared" si="17"/>
        <v>69.166666666666671</v>
      </c>
      <c r="AX53" s="703">
        <f t="shared" si="18"/>
        <v>32000</v>
      </c>
      <c r="AY53" s="703">
        <f t="shared" si="19"/>
        <v>3100</v>
      </c>
      <c r="AZ53" s="704">
        <f t="shared" si="20"/>
        <v>35100</v>
      </c>
      <c r="BA53" s="19">
        <v>300</v>
      </c>
      <c r="BB53" s="19"/>
      <c r="BC53" s="813">
        <f t="shared" si="21"/>
        <v>300</v>
      </c>
      <c r="BD53" s="19"/>
      <c r="BE53" s="19"/>
      <c r="BF53" s="813">
        <f t="shared" si="22"/>
        <v>0</v>
      </c>
      <c r="BG53" s="19">
        <v>306</v>
      </c>
      <c r="BH53" s="19"/>
      <c r="BI53" s="813">
        <f t="shared" si="23"/>
        <v>306</v>
      </c>
      <c r="BJ53" s="19"/>
      <c r="BK53" s="19"/>
      <c r="BL53" s="814">
        <f t="shared" si="24"/>
        <v>0</v>
      </c>
      <c r="BM53" s="319">
        <v>300</v>
      </c>
      <c r="BN53" s="19"/>
      <c r="BO53" s="868">
        <f t="shared" si="25"/>
        <v>300</v>
      </c>
      <c r="BP53" s="319">
        <v>300</v>
      </c>
      <c r="BQ53" s="19"/>
      <c r="BR53" s="701">
        <f t="shared" si="26"/>
        <v>300</v>
      </c>
      <c r="BS53" s="319"/>
      <c r="BT53" s="19"/>
      <c r="BU53" s="701">
        <f t="shared" si="49"/>
        <v>0</v>
      </c>
      <c r="BV53" s="701"/>
      <c r="BW53" s="701"/>
      <c r="BX53" s="701">
        <f t="shared" si="50"/>
        <v>0</v>
      </c>
      <c r="BY53" s="701"/>
      <c r="BZ53" s="701"/>
      <c r="CA53" s="701">
        <f t="shared" si="51"/>
        <v>0</v>
      </c>
      <c r="CB53" s="174">
        <f t="shared" si="30"/>
        <v>1206</v>
      </c>
      <c r="CC53" s="174">
        <f t="shared" si="31"/>
        <v>0</v>
      </c>
      <c r="CD53" s="174">
        <f t="shared" si="32"/>
        <v>1206</v>
      </c>
      <c r="CE53" s="175">
        <f t="shared" si="33"/>
        <v>134</v>
      </c>
      <c r="CF53" s="175">
        <f t="shared" si="34"/>
        <v>0</v>
      </c>
      <c r="CG53" s="175">
        <f t="shared" si="35"/>
        <v>134</v>
      </c>
      <c r="CH53" s="361"/>
      <c r="CI53" s="361"/>
      <c r="CJ53" s="361"/>
      <c r="CK53" s="361"/>
      <c r="CL53" s="361"/>
      <c r="CM53" s="361"/>
      <c r="CN53" s="361"/>
      <c r="CO53" s="361"/>
      <c r="CP53" s="361"/>
      <c r="CQ53" s="361"/>
      <c r="CR53" s="361"/>
      <c r="CS53" s="361"/>
      <c r="CT53" s="361"/>
      <c r="CU53" s="361"/>
      <c r="CV53" s="361"/>
      <c r="CW53" s="361"/>
      <c r="CX53" s="361"/>
      <c r="CY53" s="361"/>
      <c r="CZ53" s="361"/>
      <c r="DA53" s="361"/>
      <c r="DB53" s="361"/>
      <c r="DC53" s="361"/>
      <c r="DD53" s="361"/>
      <c r="DE53" s="361"/>
      <c r="DF53" s="361"/>
      <c r="DG53" s="361"/>
      <c r="DH53" s="361"/>
      <c r="DI53" s="361"/>
      <c r="DJ53" s="361"/>
      <c r="DK53" s="361"/>
      <c r="DL53" s="361"/>
      <c r="DM53" s="361"/>
      <c r="DN53" s="361"/>
      <c r="DO53" s="361"/>
      <c r="DP53" s="361"/>
      <c r="DQ53" s="361"/>
      <c r="DR53" s="361"/>
      <c r="DS53" s="361"/>
      <c r="DT53" s="361"/>
      <c r="DU53" s="361"/>
      <c r="DV53" s="361"/>
      <c r="DW53" s="361"/>
      <c r="DX53" s="361"/>
      <c r="DY53" s="361"/>
      <c r="DZ53" s="361"/>
      <c r="EA53" s="361"/>
      <c r="EB53" s="361"/>
      <c r="EC53" s="361"/>
      <c r="ED53" s="361"/>
      <c r="EE53" s="361"/>
      <c r="EF53" s="361"/>
      <c r="EG53" s="361"/>
      <c r="EH53" s="361"/>
      <c r="EI53" s="361"/>
      <c r="EJ53" s="361"/>
      <c r="EK53" s="361"/>
      <c r="EL53" s="361"/>
      <c r="EM53" s="361"/>
      <c r="EN53" s="361"/>
      <c r="EO53" s="361"/>
      <c r="EP53" s="361"/>
      <c r="EQ53" s="361"/>
      <c r="ER53" s="361"/>
      <c r="ES53" s="361"/>
      <c r="ET53" s="361"/>
      <c r="EU53" s="361"/>
      <c r="EV53" s="361"/>
      <c r="EW53" s="361"/>
      <c r="EX53" s="361"/>
      <c r="EY53" s="361"/>
      <c r="EZ53" s="361"/>
      <c r="FA53" s="361"/>
      <c r="FB53" s="361"/>
      <c r="FC53" s="361"/>
      <c r="FD53" s="361"/>
      <c r="FE53" s="361"/>
      <c r="FF53" s="361"/>
      <c r="FG53" s="361"/>
      <c r="FH53" s="361"/>
      <c r="FI53" s="361"/>
      <c r="FJ53" s="361"/>
      <c r="FK53" s="361"/>
      <c r="FL53" s="361"/>
      <c r="FM53" s="361"/>
      <c r="FN53" s="361"/>
      <c r="FO53" s="361"/>
      <c r="FP53" s="361"/>
      <c r="FQ53" s="361"/>
      <c r="FR53" s="361"/>
      <c r="FS53" s="361"/>
      <c r="FT53" s="361"/>
      <c r="FU53" s="361"/>
      <c r="FV53" s="361"/>
      <c r="FW53" s="361"/>
      <c r="FX53" s="361"/>
      <c r="FY53" s="361"/>
      <c r="FZ53" s="361"/>
      <c r="GA53" s="361"/>
      <c r="GB53" s="361"/>
      <c r="GC53" s="361"/>
      <c r="GD53" s="361"/>
      <c r="GE53" s="361"/>
      <c r="GF53" s="361"/>
      <c r="GG53" s="361"/>
      <c r="GH53" s="361"/>
      <c r="GI53" s="361"/>
      <c r="GJ53" s="361"/>
      <c r="GK53" s="361"/>
      <c r="GL53" s="361"/>
      <c r="GM53" s="361"/>
      <c r="GN53" s="361"/>
      <c r="GO53" s="361"/>
      <c r="GP53" s="361"/>
      <c r="GQ53" s="361"/>
      <c r="GR53" s="361"/>
      <c r="GS53" s="361"/>
      <c r="GT53" s="361"/>
      <c r="GU53" s="361"/>
      <c r="GV53" s="361"/>
      <c r="GW53" s="361"/>
      <c r="GX53" s="361"/>
      <c r="GY53" s="361"/>
      <c r="GZ53" s="361"/>
      <c r="HA53" s="361"/>
      <c r="HB53" s="361"/>
      <c r="HC53" s="361"/>
      <c r="HD53" s="361"/>
      <c r="HE53" s="361"/>
    </row>
    <row r="54" spans="1:213" s="61" customFormat="1" ht="17.25" thickBot="1">
      <c r="A54" s="807">
        <v>47</v>
      </c>
      <c r="B54" s="840" t="s">
        <v>3191</v>
      </c>
      <c r="C54" s="111"/>
      <c r="D54" s="111" t="s">
        <v>3192</v>
      </c>
      <c r="E54" s="809" t="s">
        <v>3101</v>
      </c>
      <c r="F54" s="810">
        <v>92</v>
      </c>
      <c r="G54" s="811" t="s">
        <v>18</v>
      </c>
      <c r="H54" s="19"/>
      <c r="I54" s="19"/>
      <c r="J54" s="701">
        <f t="shared" si="2"/>
        <v>0</v>
      </c>
      <c r="K54" s="319"/>
      <c r="L54" s="19"/>
      <c r="M54" s="389">
        <f t="shared" si="3"/>
        <v>0</v>
      </c>
      <c r="N54" s="100">
        <v>1000</v>
      </c>
      <c r="O54" s="19"/>
      <c r="P54" s="320">
        <f t="shared" si="36"/>
        <v>1000</v>
      </c>
      <c r="Q54" s="319"/>
      <c r="R54" s="19"/>
      <c r="S54" s="320">
        <f t="shared" si="4"/>
        <v>0</v>
      </c>
      <c r="T54" s="319"/>
      <c r="U54" s="19"/>
      <c r="V54" s="320">
        <f t="shared" si="5"/>
        <v>0</v>
      </c>
      <c r="W54" s="319"/>
      <c r="X54" s="19"/>
      <c r="Y54" s="701">
        <f t="shared" si="6"/>
        <v>0</v>
      </c>
      <c r="Z54" s="319"/>
      <c r="AA54" s="19"/>
      <c r="AB54" s="111">
        <f t="shared" si="7"/>
        <v>0</v>
      </c>
      <c r="AC54" s="111"/>
      <c r="AD54" s="111"/>
      <c r="AE54" s="701">
        <f t="shared" si="8"/>
        <v>0</v>
      </c>
      <c r="AF54" s="701">
        <v>500</v>
      </c>
      <c r="AG54" s="701"/>
      <c r="AH54" s="701">
        <f t="shared" si="9"/>
        <v>500</v>
      </c>
      <c r="AI54" s="812"/>
      <c r="AJ54" s="701"/>
      <c r="AK54" s="701">
        <f t="shared" si="10"/>
        <v>0</v>
      </c>
      <c r="AL54" s="319"/>
      <c r="AM54" s="19"/>
      <c r="AN54" s="701">
        <f t="shared" si="11"/>
        <v>0</v>
      </c>
      <c r="AO54" s="319"/>
      <c r="AP54" s="19"/>
      <c r="AQ54" s="389">
        <f t="shared" si="12"/>
        <v>0</v>
      </c>
      <c r="AR54" s="387">
        <f t="shared" si="13"/>
        <v>1500</v>
      </c>
      <c r="AS54" s="388">
        <f t="shared" si="0"/>
        <v>0</v>
      </c>
      <c r="AT54" s="19">
        <f t="shared" si="14"/>
        <v>1500</v>
      </c>
      <c r="AU54" s="702">
        <f t="shared" si="16"/>
        <v>125</v>
      </c>
      <c r="AV54" s="702">
        <f t="shared" si="16"/>
        <v>0</v>
      </c>
      <c r="AW54" s="703">
        <f t="shared" si="17"/>
        <v>125</v>
      </c>
      <c r="AX54" s="703">
        <f t="shared" si="18"/>
        <v>62500</v>
      </c>
      <c r="AY54" s="703">
        <f t="shared" si="19"/>
        <v>0</v>
      </c>
      <c r="AZ54" s="704">
        <f t="shared" si="20"/>
        <v>62500</v>
      </c>
      <c r="BA54" s="19"/>
      <c r="BB54" s="19"/>
      <c r="BC54" s="813">
        <f t="shared" si="21"/>
        <v>0</v>
      </c>
      <c r="BD54" s="19"/>
      <c r="BE54" s="19"/>
      <c r="BF54" s="813">
        <f t="shared" si="22"/>
        <v>0</v>
      </c>
      <c r="BG54" s="19"/>
      <c r="BH54" s="19"/>
      <c r="BI54" s="813">
        <f t="shared" si="23"/>
        <v>0</v>
      </c>
      <c r="BJ54" s="19"/>
      <c r="BK54" s="19"/>
      <c r="BL54" s="814">
        <f t="shared" si="24"/>
        <v>0</v>
      </c>
      <c r="BM54" s="319"/>
      <c r="BN54" s="19"/>
      <c r="BO54" s="868">
        <f t="shared" si="25"/>
        <v>0</v>
      </c>
      <c r="BP54" s="319"/>
      <c r="BQ54" s="19"/>
      <c r="BR54" s="701">
        <f t="shared" si="26"/>
        <v>0</v>
      </c>
      <c r="BS54" s="319"/>
      <c r="BT54" s="19"/>
      <c r="BU54" s="701">
        <f t="shared" si="49"/>
        <v>0</v>
      </c>
      <c r="BV54" s="701"/>
      <c r="BW54" s="701"/>
      <c r="BX54" s="701">
        <f t="shared" si="50"/>
        <v>0</v>
      </c>
      <c r="BY54" s="701"/>
      <c r="BZ54" s="701"/>
      <c r="CA54" s="701">
        <f t="shared" si="51"/>
        <v>0</v>
      </c>
      <c r="CB54" s="174">
        <f t="shared" si="30"/>
        <v>0</v>
      </c>
      <c r="CC54" s="174">
        <f t="shared" si="31"/>
        <v>0</v>
      </c>
      <c r="CD54" s="174">
        <f t="shared" si="32"/>
        <v>0</v>
      </c>
      <c r="CE54" s="175">
        <f t="shared" si="33"/>
        <v>0</v>
      </c>
      <c r="CF54" s="175">
        <f t="shared" si="34"/>
        <v>0</v>
      </c>
      <c r="CG54" s="175">
        <f t="shared" si="35"/>
        <v>0</v>
      </c>
      <c r="CH54" s="361"/>
      <c r="CI54" s="361"/>
      <c r="CJ54" s="361"/>
      <c r="CK54" s="361"/>
      <c r="CL54" s="361"/>
      <c r="CM54" s="361"/>
      <c r="CN54" s="361"/>
      <c r="CO54" s="361"/>
      <c r="CP54" s="361"/>
      <c r="CQ54" s="361"/>
      <c r="CR54" s="361"/>
      <c r="CS54" s="361"/>
      <c r="CT54" s="361"/>
      <c r="CU54" s="361"/>
      <c r="CV54" s="361"/>
      <c r="CW54" s="361"/>
      <c r="CX54" s="361"/>
      <c r="CY54" s="361"/>
      <c r="CZ54" s="361"/>
      <c r="DA54" s="361"/>
      <c r="DB54" s="361"/>
      <c r="DC54" s="361"/>
      <c r="DD54" s="361"/>
      <c r="DE54" s="361"/>
      <c r="DF54" s="361"/>
      <c r="DG54" s="361"/>
      <c r="DH54" s="361"/>
      <c r="DI54" s="361"/>
      <c r="DJ54" s="361"/>
      <c r="DK54" s="361"/>
      <c r="DL54" s="361"/>
      <c r="DM54" s="361"/>
      <c r="DN54" s="361"/>
      <c r="DO54" s="361"/>
      <c r="DP54" s="361"/>
      <c r="DQ54" s="361"/>
      <c r="DR54" s="361"/>
      <c r="DS54" s="361"/>
      <c r="DT54" s="361"/>
      <c r="DU54" s="361"/>
      <c r="DV54" s="361"/>
      <c r="DW54" s="361"/>
      <c r="DX54" s="361"/>
      <c r="DY54" s="361"/>
      <c r="DZ54" s="361"/>
      <c r="EA54" s="361"/>
      <c r="EB54" s="361"/>
      <c r="EC54" s="361"/>
      <c r="ED54" s="361"/>
      <c r="EE54" s="361"/>
      <c r="EF54" s="361"/>
      <c r="EG54" s="361"/>
      <c r="EH54" s="361"/>
      <c r="EI54" s="361"/>
      <c r="EJ54" s="361"/>
      <c r="EK54" s="361"/>
      <c r="EL54" s="361"/>
      <c r="EM54" s="361"/>
      <c r="EN54" s="361"/>
      <c r="EO54" s="361"/>
      <c r="EP54" s="361"/>
      <c r="EQ54" s="361"/>
      <c r="ER54" s="361"/>
      <c r="ES54" s="361"/>
      <c r="ET54" s="361"/>
      <c r="EU54" s="361"/>
      <c r="EV54" s="361"/>
      <c r="EW54" s="361"/>
      <c r="EX54" s="361"/>
      <c r="EY54" s="361"/>
      <c r="EZ54" s="361"/>
      <c r="FA54" s="361"/>
      <c r="FB54" s="361"/>
      <c r="FC54" s="361"/>
      <c r="FD54" s="361"/>
      <c r="FE54" s="361"/>
      <c r="FF54" s="361"/>
      <c r="FG54" s="361"/>
      <c r="FH54" s="361"/>
      <c r="FI54" s="361"/>
      <c r="FJ54" s="361"/>
      <c r="FK54" s="361"/>
      <c r="FL54" s="361"/>
      <c r="FM54" s="361"/>
      <c r="FN54" s="361"/>
      <c r="FO54" s="361"/>
      <c r="FP54" s="361"/>
      <c r="FQ54" s="361"/>
      <c r="FR54" s="361"/>
      <c r="FS54" s="361"/>
      <c r="FT54" s="361"/>
      <c r="FU54" s="361"/>
      <c r="FV54" s="361"/>
      <c r="FW54" s="361"/>
      <c r="FX54" s="361"/>
      <c r="FY54" s="361"/>
      <c r="FZ54" s="361"/>
      <c r="GA54" s="361"/>
      <c r="GB54" s="361"/>
      <c r="GC54" s="361"/>
      <c r="GD54" s="361"/>
      <c r="GE54" s="361"/>
      <c r="GF54" s="361"/>
      <c r="GG54" s="361"/>
      <c r="GH54" s="361"/>
      <c r="GI54" s="361"/>
      <c r="GJ54" s="361"/>
      <c r="GK54" s="361"/>
      <c r="GL54" s="361"/>
      <c r="GM54" s="361"/>
      <c r="GN54" s="361"/>
      <c r="GO54" s="361"/>
      <c r="GP54" s="361"/>
      <c r="GQ54" s="361"/>
      <c r="GR54" s="361"/>
      <c r="GS54" s="361"/>
      <c r="GT54" s="361"/>
      <c r="GU54" s="361"/>
      <c r="GV54" s="361"/>
      <c r="GW54" s="361"/>
      <c r="GX54" s="361"/>
      <c r="GY54" s="361"/>
      <c r="GZ54" s="361"/>
      <c r="HA54" s="361"/>
      <c r="HB54" s="361"/>
      <c r="HC54" s="361"/>
      <c r="HD54" s="361"/>
      <c r="HE54" s="361"/>
    </row>
    <row r="55" spans="1:213" s="61" customFormat="1" ht="17.25" thickBot="1">
      <c r="A55" s="834">
        <v>48</v>
      </c>
      <c r="B55" s="840" t="s">
        <v>3193</v>
      </c>
      <c r="C55" s="111"/>
      <c r="D55" s="111" t="s">
        <v>3194</v>
      </c>
      <c r="E55" s="835" t="s">
        <v>3101</v>
      </c>
      <c r="F55" s="810">
        <v>248.33</v>
      </c>
      <c r="G55" s="811" t="s">
        <v>18</v>
      </c>
      <c r="H55" s="19">
        <v>550</v>
      </c>
      <c r="I55" s="19"/>
      <c r="J55" s="701">
        <f t="shared" si="2"/>
        <v>550</v>
      </c>
      <c r="K55" s="319"/>
      <c r="L55" s="19"/>
      <c r="M55" s="389">
        <f t="shared" si="3"/>
        <v>0</v>
      </c>
      <c r="N55" s="100">
        <v>736</v>
      </c>
      <c r="O55" s="19"/>
      <c r="P55" s="320">
        <f t="shared" si="36"/>
        <v>736</v>
      </c>
      <c r="Q55" s="319"/>
      <c r="R55" s="19"/>
      <c r="S55" s="320">
        <f t="shared" si="4"/>
        <v>0</v>
      </c>
      <c r="T55" s="319">
        <v>500</v>
      </c>
      <c r="U55" s="19"/>
      <c r="V55" s="320">
        <f t="shared" si="5"/>
        <v>500</v>
      </c>
      <c r="W55" s="319">
        <v>536</v>
      </c>
      <c r="X55" s="19"/>
      <c r="Y55" s="701">
        <f t="shared" si="6"/>
        <v>536</v>
      </c>
      <c r="Z55" s="319"/>
      <c r="AA55" s="19"/>
      <c r="AB55" s="111">
        <f t="shared" si="7"/>
        <v>0</v>
      </c>
      <c r="AC55" s="111">
        <v>318</v>
      </c>
      <c r="AD55" s="111">
        <v>18</v>
      </c>
      <c r="AE55" s="701">
        <f t="shared" si="8"/>
        <v>336</v>
      </c>
      <c r="AF55" s="701">
        <v>618</v>
      </c>
      <c r="AG55" s="701"/>
      <c r="AH55" s="701">
        <f t="shared" si="9"/>
        <v>618</v>
      </c>
      <c r="AI55" s="812"/>
      <c r="AJ55" s="701"/>
      <c r="AK55" s="701">
        <f t="shared" si="10"/>
        <v>0</v>
      </c>
      <c r="AL55" s="319">
        <v>500</v>
      </c>
      <c r="AM55" s="19"/>
      <c r="AN55" s="701">
        <f t="shared" si="11"/>
        <v>500</v>
      </c>
      <c r="AO55" s="319"/>
      <c r="AP55" s="19"/>
      <c r="AQ55" s="389">
        <f t="shared" si="12"/>
        <v>0</v>
      </c>
      <c r="AR55" s="387">
        <f t="shared" si="13"/>
        <v>3758</v>
      </c>
      <c r="AS55" s="388">
        <f t="shared" si="0"/>
        <v>18</v>
      </c>
      <c r="AT55" s="19">
        <f t="shared" si="14"/>
        <v>3776</v>
      </c>
      <c r="AU55" s="702">
        <f t="shared" si="16"/>
        <v>313.16666666666669</v>
      </c>
      <c r="AV55" s="702">
        <f t="shared" si="16"/>
        <v>1.5</v>
      </c>
      <c r="AW55" s="703">
        <f t="shared" si="17"/>
        <v>314.66666666666669</v>
      </c>
      <c r="AX55" s="703">
        <f t="shared" si="18"/>
        <v>156583.33333333334</v>
      </c>
      <c r="AY55" s="703">
        <f t="shared" si="19"/>
        <v>900</v>
      </c>
      <c r="AZ55" s="704">
        <f t="shared" si="20"/>
        <v>157483.33333333334</v>
      </c>
      <c r="BA55" s="19">
        <v>446</v>
      </c>
      <c r="BB55" s="19">
        <v>20</v>
      </c>
      <c r="BC55" s="813">
        <f t="shared" si="21"/>
        <v>466</v>
      </c>
      <c r="BD55" s="19"/>
      <c r="BE55" s="19"/>
      <c r="BF55" s="813">
        <f t="shared" si="22"/>
        <v>0</v>
      </c>
      <c r="BG55" s="19">
        <v>561</v>
      </c>
      <c r="BH55" s="19"/>
      <c r="BI55" s="813">
        <f t="shared" si="23"/>
        <v>561</v>
      </c>
      <c r="BJ55" s="19"/>
      <c r="BK55" s="19"/>
      <c r="BL55" s="814">
        <f t="shared" si="24"/>
        <v>0</v>
      </c>
      <c r="BM55" s="319"/>
      <c r="BN55" s="19"/>
      <c r="BO55" s="868">
        <f t="shared" si="25"/>
        <v>0</v>
      </c>
      <c r="BP55" s="319">
        <v>336</v>
      </c>
      <c r="BQ55" s="19"/>
      <c r="BR55" s="701">
        <f t="shared" si="26"/>
        <v>336</v>
      </c>
      <c r="BS55" s="319"/>
      <c r="BT55" s="19"/>
      <c r="BU55" s="701">
        <f t="shared" si="49"/>
        <v>0</v>
      </c>
      <c r="BV55" s="701"/>
      <c r="BW55" s="701"/>
      <c r="BX55" s="701">
        <f t="shared" si="50"/>
        <v>0</v>
      </c>
      <c r="BY55" s="701"/>
      <c r="BZ55" s="701"/>
      <c r="CA55" s="701">
        <f t="shared" si="51"/>
        <v>0</v>
      </c>
      <c r="CB55" s="174">
        <f t="shared" si="30"/>
        <v>1343</v>
      </c>
      <c r="CC55" s="174">
        <f t="shared" si="31"/>
        <v>20</v>
      </c>
      <c r="CD55" s="174">
        <f t="shared" si="32"/>
        <v>1363</v>
      </c>
      <c r="CE55" s="175">
        <f t="shared" si="33"/>
        <v>149.22222222222223</v>
      </c>
      <c r="CF55" s="175">
        <f t="shared" si="34"/>
        <v>2.2222222222222223</v>
      </c>
      <c r="CG55" s="175">
        <f t="shared" si="35"/>
        <v>151.44444444444446</v>
      </c>
      <c r="CH55" s="361"/>
      <c r="CI55" s="361"/>
      <c r="CJ55" s="361"/>
      <c r="CK55" s="361"/>
      <c r="CL55" s="361"/>
      <c r="CM55" s="361"/>
      <c r="CN55" s="361"/>
      <c r="CO55" s="361"/>
      <c r="CP55" s="361"/>
      <c r="CQ55" s="361"/>
      <c r="CR55" s="361"/>
      <c r="CS55" s="361"/>
      <c r="CT55" s="361"/>
      <c r="CU55" s="361"/>
      <c r="CV55" s="361"/>
      <c r="CW55" s="361"/>
      <c r="CX55" s="361"/>
      <c r="CY55" s="361"/>
      <c r="CZ55" s="361"/>
      <c r="DA55" s="361"/>
      <c r="DB55" s="361"/>
      <c r="DC55" s="361"/>
      <c r="DD55" s="361"/>
      <c r="DE55" s="361"/>
      <c r="DF55" s="361"/>
      <c r="DG55" s="361"/>
      <c r="DH55" s="361"/>
      <c r="DI55" s="361"/>
      <c r="DJ55" s="361"/>
      <c r="DK55" s="361"/>
      <c r="DL55" s="361"/>
      <c r="DM55" s="361"/>
      <c r="DN55" s="361"/>
      <c r="DO55" s="361"/>
      <c r="DP55" s="361"/>
      <c r="DQ55" s="361"/>
      <c r="DR55" s="361"/>
      <c r="DS55" s="361"/>
      <c r="DT55" s="361"/>
      <c r="DU55" s="361"/>
      <c r="DV55" s="361"/>
      <c r="DW55" s="361"/>
      <c r="DX55" s="361"/>
      <c r="DY55" s="361"/>
      <c r="DZ55" s="361"/>
      <c r="EA55" s="361"/>
      <c r="EB55" s="361"/>
      <c r="EC55" s="361"/>
      <c r="ED55" s="361"/>
      <c r="EE55" s="361"/>
      <c r="EF55" s="361"/>
      <c r="EG55" s="361"/>
      <c r="EH55" s="361"/>
      <c r="EI55" s="361"/>
      <c r="EJ55" s="361"/>
      <c r="EK55" s="361"/>
      <c r="EL55" s="361"/>
      <c r="EM55" s="361"/>
      <c r="EN55" s="361"/>
      <c r="EO55" s="361"/>
      <c r="EP55" s="361"/>
      <c r="EQ55" s="361"/>
      <c r="ER55" s="361"/>
      <c r="ES55" s="361"/>
      <c r="ET55" s="361"/>
      <c r="EU55" s="361"/>
      <c r="EV55" s="361"/>
      <c r="EW55" s="361"/>
      <c r="EX55" s="361"/>
      <c r="EY55" s="361"/>
      <c r="EZ55" s="361"/>
      <c r="FA55" s="361"/>
      <c r="FB55" s="361"/>
      <c r="FC55" s="361"/>
      <c r="FD55" s="361"/>
      <c r="FE55" s="361"/>
      <c r="FF55" s="361"/>
      <c r="FG55" s="361"/>
      <c r="FH55" s="361"/>
      <c r="FI55" s="361"/>
      <c r="FJ55" s="361"/>
      <c r="FK55" s="361"/>
      <c r="FL55" s="361"/>
      <c r="FM55" s="361"/>
      <c r="FN55" s="361"/>
      <c r="FO55" s="361"/>
      <c r="FP55" s="361"/>
      <c r="FQ55" s="361"/>
      <c r="FR55" s="361"/>
      <c r="FS55" s="361"/>
      <c r="FT55" s="361"/>
      <c r="FU55" s="361"/>
      <c r="FV55" s="361"/>
      <c r="FW55" s="361"/>
      <c r="FX55" s="361"/>
      <c r="FY55" s="361"/>
      <c r="FZ55" s="361"/>
      <c r="GA55" s="361"/>
      <c r="GB55" s="361"/>
      <c r="GC55" s="361"/>
      <c r="GD55" s="361"/>
      <c r="GE55" s="361"/>
      <c r="GF55" s="361"/>
      <c r="GG55" s="361"/>
      <c r="GH55" s="361"/>
      <c r="GI55" s="361"/>
      <c r="GJ55" s="361"/>
      <c r="GK55" s="361"/>
      <c r="GL55" s="361"/>
      <c r="GM55" s="361"/>
      <c r="GN55" s="361"/>
      <c r="GO55" s="361"/>
      <c r="GP55" s="361"/>
      <c r="GQ55" s="361"/>
      <c r="GR55" s="361"/>
      <c r="GS55" s="361"/>
      <c r="GT55" s="361"/>
      <c r="GU55" s="361"/>
      <c r="GV55" s="361"/>
      <c r="GW55" s="361"/>
      <c r="GX55" s="361"/>
      <c r="GY55" s="361"/>
      <c r="GZ55" s="361"/>
      <c r="HA55" s="361"/>
      <c r="HB55" s="361"/>
      <c r="HC55" s="361"/>
      <c r="HD55" s="361"/>
      <c r="HE55" s="361"/>
    </row>
    <row r="56" spans="1:213" s="798" customFormat="1" ht="17.25" thickBot="1">
      <c r="A56" s="825">
        <v>49</v>
      </c>
      <c r="B56" s="839" t="s">
        <v>3195</v>
      </c>
      <c r="C56" s="775"/>
      <c r="D56" s="775" t="s">
        <v>3196</v>
      </c>
      <c r="E56" s="826" t="s">
        <v>3101</v>
      </c>
      <c r="F56" s="777">
        <v>20</v>
      </c>
      <c r="G56" s="778" t="s">
        <v>15</v>
      </c>
      <c r="H56" s="779"/>
      <c r="I56" s="779"/>
      <c r="J56" s="780">
        <f t="shared" si="2"/>
        <v>0</v>
      </c>
      <c r="K56" s="781"/>
      <c r="L56" s="779"/>
      <c r="M56" s="782">
        <f t="shared" si="3"/>
        <v>0</v>
      </c>
      <c r="N56" s="783"/>
      <c r="O56" s="779"/>
      <c r="P56" s="784">
        <f t="shared" si="36"/>
        <v>0</v>
      </c>
      <c r="Q56" s="781"/>
      <c r="R56" s="779"/>
      <c r="S56" s="784">
        <f t="shared" si="4"/>
        <v>0</v>
      </c>
      <c r="T56" s="781"/>
      <c r="U56" s="779"/>
      <c r="V56" s="784">
        <f t="shared" si="5"/>
        <v>0</v>
      </c>
      <c r="W56" s="781"/>
      <c r="X56" s="779"/>
      <c r="Y56" s="780">
        <f t="shared" si="6"/>
        <v>0</v>
      </c>
      <c r="Z56" s="781"/>
      <c r="AA56" s="779"/>
      <c r="AB56" s="785">
        <f t="shared" si="7"/>
        <v>0</v>
      </c>
      <c r="AC56" s="785"/>
      <c r="AD56" s="785"/>
      <c r="AE56" s="780">
        <f t="shared" si="8"/>
        <v>0</v>
      </c>
      <c r="AF56" s="780"/>
      <c r="AG56" s="780"/>
      <c r="AH56" s="780">
        <f t="shared" si="9"/>
        <v>0</v>
      </c>
      <c r="AI56" s="786"/>
      <c r="AJ56" s="780"/>
      <c r="AK56" s="780">
        <f t="shared" si="10"/>
        <v>0</v>
      </c>
      <c r="AL56" s="781"/>
      <c r="AM56" s="779"/>
      <c r="AN56" s="780">
        <f t="shared" si="11"/>
        <v>0</v>
      </c>
      <c r="AO56" s="787"/>
      <c r="AP56" s="788"/>
      <c r="AQ56" s="789">
        <f t="shared" si="12"/>
        <v>0</v>
      </c>
      <c r="AR56" s="790">
        <f t="shared" si="13"/>
        <v>0</v>
      </c>
      <c r="AS56" s="791">
        <f t="shared" si="0"/>
        <v>0</v>
      </c>
      <c r="AT56" s="788">
        <f t="shared" si="14"/>
        <v>0</v>
      </c>
      <c r="AU56" s="792">
        <f t="shared" si="16"/>
        <v>0</v>
      </c>
      <c r="AV56" s="792">
        <f t="shared" si="16"/>
        <v>0</v>
      </c>
      <c r="AW56" s="793">
        <f t="shared" si="17"/>
        <v>0</v>
      </c>
      <c r="AX56" s="794">
        <f t="shared" si="18"/>
        <v>0</v>
      </c>
      <c r="AY56" s="794">
        <f t="shared" si="19"/>
        <v>0</v>
      </c>
      <c r="AZ56" s="795">
        <f t="shared" si="20"/>
        <v>0</v>
      </c>
      <c r="BA56" s="779"/>
      <c r="BB56" s="779"/>
      <c r="BC56" s="796">
        <f t="shared" si="21"/>
        <v>0</v>
      </c>
      <c r="BD56" s="779"/>
      <c r="BE56" s="779"/>
      <c r="BF56" s="796">
        <f t="shared" si="22"/>
        <v>0</v>
      </c>
      <c r="BG56" s="779"/>
      <c r="BH56" s="779"/>
      <c r="BI56" s="796">
        <f t="shared" si="23"/>
        <v>0</v>
      </c>
      <c r="BJ56" s="779"/>
      <c r="BK56" s="779"/>
      <c r="BL56" s="797">
        <f t="shared" si="24"/>
        <v>0</v>
      </c>
      <c r="BM56" s="787"/>
      <c r="BN56" s="788"/>
      <c r="BO56" s="772">
        <f t="shared" si="25"/>
        <v>0</v>
      </c>
      <c r="BP56" s="787"/>
      <c r="BQ56" s="788"/>
      <c r="BR56" s="693">
        <f t="shared" si="26"/>
        <v>0</v>
      </c>
      <c r="BS56" s="787"/>
      <c r="BT56" s="788"/>
      <c r="BU56" s="693">
        <f t="shared" ref="BU56:BU58" si="52">BS56+BT56</f>
        <v>0</v>
      </c>
      <c r="BV56" s="693"/>
      <c r="BW56" s="693"/>
      <c r="BX56" s="693">
        <f t="shared" ref="BX56:BX58" si="53">BV56+BW56</f>
        <v>0</v>
      </c>
      <c r="BY56" s="693"/>
      <c r="BZ56" s="693"/>
      <c r="CA56" s="693">
        <f t="shared" ref="CA56:CA58" si="54">BY56+BZ56</f>
        <v>0</v>
      </c>
      <c r="CB56" s="174">
        <f t="shared" si="30"/>
        <v>0</v>
      </c>
      <c r="CC56" s="174">
        <f t="shared" si="31"/>
        <v>0</v>
      </c>
      <c r="CD56" s="174">
        <f t="shared" si="32"/>
        <v>0</v>
      </c>
      <c r="CE56" s="175">
        <f t="shared" si="33"/>
        <v>0</v>
      </c>
      <c r="CF56" s="175">
        <f t="shared" si="34"/>
        <v>0</v>
      </c>
      <c r="CG56" s="175">
        <f t="shared" si="35"/>
        <v>0</v>
      </c>
      <c r="CH56" s="823"/>
      <c r="CI56" s="823"/>
      <c r="CJ56" s="823"/>
      <c r="CK56" s="823"/>
      <c r="CL56" s="823"/>
      <c r="CM56" s="823"/>
      <c r="CN56" s="823"/>
      <c r="CO56" s="823"/>
      <c r="CP56" s="823"/>
      <c r="CQ56" s="823"/>
      <c r="CR56" s="823"/>
      <c r="CS56" s="823"/>
      <c r="CT56" s="823"/>
      <c r="CU56" s="823"/>
      <c r="CV56" s="823"/>
      <c r="CW56" s="823"/>
      <c r="CX56" s="823"/>
      <c r="CY56" s="823"/>
      <c r="CZ56" s="823"/>
      <c r="DA56" s="823"/>
      <c r="DB56" s="823"/>
      <c r="DC56" s="823"/>
      <c r="DD56" s="823"/>
      <c r="DE56" s="823"/>
      <c r="DF56" s="823"/>
      <c r="DG56" s="823"/>
      <c r="DH56" s="823"/>
      <c r="DI56" s="823"/>
      <c r="DJ56" s="823"/>
      <c r="DK56" s="823"/>
      <c r="DL56" s="823"/>
      <c r="DM56" s="823"/>
      <c r="DN56" s="823"/>
      <c r="DO56" s="823"/>
      <c r="DP56" s="823"/>
      <c r="DQ56" s="823"/>
      <c r="DR56" s="823"/>
      <c r="DS56" s="823"/>
      <c r="DT56" s="823"/>
      <c r="DU56" s="823"/>
      <c r="DV56" s="823"/>
      <c r="DW56" s="823"/>
      <c r="DX56" s="823"/>
      <c r="DY56" s="823"/>
      <c r="DZ56" s="823"/>
      <c r="EA56" s="823"/>
      <c r="EB56" s="823"/>
      <c r="EC56" s="823"/>
      <c r="ED56" s="823"/>
      <c r="EE56" s="823"/>
      <c r="EF56" s="823"/>
      <c r="EG56" s="823"/>
      <c r="EH56" s="823"/>
      <c r="EI56" s="823"/>
      <c r="EJ56" s="823"/>
      <c r="EK56" s="823"/>
      <c r="EL56" s="823"/>
      <c r="EM56" s="823"/>
      <c r="EN56" s="823"/>
      <c r="EO56" s="823"/>
      <c r="EP56" s="823"/>
      <c r="EQ56" s="823"/>
      <c r="ER56" s="823"/>
      <c r="ES56" s="823"/>
      <c r="ET56" s="823"/>
      <c r="EU56" s="823"/>
      <c r="EV56" s="823"/>
      <c r="EW56" s="823"/>
      <c r="EX56" s="823"/>
      <c r="EY56" s="823"/>
      <c r="EZ56" s="823"/>
      <c r="FA56" s="823"/>
      <c r="FB56" s="823"/>
      <c r="FC56" s="823"/>
      <c r="FD56" s="823"/>
      <c r="FE56" s="823"/>
      <c r="FF56" s="823"/>
      <c r="FG56" s="823"/>
      <c r="FH56" s="823"/>
      <c r="FI56" s="823"/>
      <c r="FJ56" s="823"/>
      <c r="FK56" s="823"/>
      <c r="FL56" s="823"/>
      <c r="FM56" s="823"/>
      <c r="FN56" s="823"/>
      <c r="FO56" s="823"/>
      <c r="FP56" s="823"/>
      <c r="FQ56" s="823"/>
      <c r="FR56" s="823"/>
      <c r="FS56" s="823"/>
      <c r="FT56" s="823"/>
      <c r="FU56" s="823"/>
      <c r="FV56" s="823"/>
      <c r="FW56" s="823"/>
      <c r="FX56" s="823"/>
      <c r="FY56" s="823"/>
      <c r="FZ56" s="823"/>
      <c r="GA56" s="823"/>
      <c r="GB56" s="823"/>
      <c r="GC56" s="823"/>
      <c r="GD56" s="823"/>
      <c r="GE56" s="823"/>
      <c r="GF56" s="823"/>
      <c r="GG56" s="823"/>
      <c r="GH56" s="823"/>
      <c r="GI56" s="823"/>
      <c r="GJ56" s="823"/>
      <c r="GK56" s="823"/>
      <c r="GL56" s="823"/>
      <c r="GM56" s="823"/>
      <c r="GN56" s="823"/>
      <c r="GO56" s="823"/>
      <c r="GP56" s="823"/>
      <c r="GQ56" s="823"/>
      <c r="GR56" s="823"/>
      <c r="GS56" s="823"/>
      <c r="GT56" s="823"/>
      <c r="GU56" s="823"/>
      <c r="GV56" s="823"/>
      <c r="GW56" s="823"/>
      <c r="GX56" s="823"/>
      <c r="GY56" s="823"/>
      <c r="GZ56" s="823"/>
      <c r="HA56" s="823"/>
      <c r="HB56" s="823"/>
      <c r="HC56" s="823"/>
      <c r="HD56" s="823"/>
      <c r="HE56" s="823"/>
    </row>
    <row r="57" spans="1:213" ht="17.25" thickBot="1">
      <c r="A57" s="802">
        <v>50</v>
      </c>
      <c r="B57" s="841" t="s">
        <v>3197</v>
      </c>
      <c r="C57" s="15"/>
      <c r="D57" s="15" t="s">
        <v>3198</v>
      </c>
      <c r="E57" s="803" t="s">
        <v>3101</v>
      </c>
      <c r="F57" s="800">
        <v>30</v>
      </c>
      <c r="G57" s="801" t="s">
        <v>18</v>
      </c>
      <c r="H57" s="1"/>
      <c r="I57" s="1"/>
      <c r="J57" s="372">
        <f t="shared" si="2"/>
        <v>0</v>
      </c>
      <c r="K57" s="382"/>
      <c r="L57" s="1"/>
      <c r="M57" s="694">
        <f t="shared" si="3"/>
        <v>0</v>
      </c>
      <c r="N57" s="103">
        <v>58</v>
      </c>
      <c r="O57" s="1">
        <v>36</v>
      </c>
      <c r="P57" s="105">
        <f t="shared" si="36"/>
        <v>94</v>
      </c>
      <c r="Q57" s="382">
        <v>54</v>
      </c>
      <c r="R57" s="1">
        <v>18</v>
      </c>
      <c r="S57" s="105">
        <f t="shared" si="4"/>
        <v>72</v>
      </c>
      <c r="T57" s="382">
        <v>25</v>
      </c>
      <c r="U57" s="1">
        <v>18</v>
      </c>
      <c r="V57" s="105">
        <f t="shared" si="5"/>
        <v>43</v>
      </c>
      <c r="W57" s="382">
        <v>40</v>
      </c>
      <c r="X57" s="1">
        <v>36</v>
      </c>
      <c r="Y57" s="372">
        <f t="shared" si="6"/>
        <v>76</v>
      </c>
      <c r="Z57" s="382">
        <v>74</v>
      </c>
      <c r="AA57" s="1"/>
      <c r="AB57" s="379">
        <f t="shared" si="7"/>
        <v>74</v>
      </c>
      <c r="AC57" s="379"/>
      <c r="AD57" s="379"/>
      <c r="AE57" s="372">
        <f t="shared" si="8"/>
        <v>0</v>
      </c>
      <c r="AF57" s="372">
        <v>58</v>
      </c>
      <c r="AG57" s="372"/>
      <c r="AH57" s="372">
        <f t="shared" si="9"/>
        <v>58</v>
      </c>
      <c r="AI57" s="765"/>
      <c r="AJ57" s="372">
        <v>18</v>
      </c>
      <c r="AK57" s="372">
        <f t="shared" si="10"/>
        <v>18</v>
      </c>
      <c r="AL57" s="382">
        <v>36</v>
      </c>
      <c r="AM57" s="1"/>
      <c r="AN57" s="372">
        <f t="shared" si="11"/>
        <v>36</v>
      </c>
      <c r="AO57" s="78">
        <v>54</v>
      </c>
      <c r="AP57" s="6"/>
      <c r="AQ57" s="697">
        <f t="shared" si="12"/>
        <v>54</v>
      </c>
      <c r="AR57" s="766">
        <f t="shared" si="13"/>
        <v>345</v>
      </c>
      <c r="AS57" s="692">
        <f t="shared" si="0"/>
        <v>126</v>
      </c>
      <c r="AT57" s="6">
        <f t="shared" si="14"/>
        <v>471</v>
      </c>
      <c r="AU57" s="585">
        <f t="shared" si="16"/>
        <v>28.75</v>
      </c>
      <c r="AV57" s="585">
        <f t="shared" si="16"/>
        <v>10.5</v>
      </c>
      <c r="AW57" s="494">
        <f t="shared" si="17"/>
        <v>39.25</v>
      </c>
      <c r="AX57" s="217">
        <f t="shared" si="18"/>
        <v>14375</v>
      </c>
      <c r="AY57" s="217">
        <f t="shared" si="19"/>
        <v>6300</v>
      </c>
      <c r="AZ57" s="695">
        <f t="shared" si="20"/>
        <v>20675</v>
      </c>
      <c r="BA57" s="1"/>
      <c r="BB57" s="1"/>
      <c r="BC57" s="769">
        <f t="shared" si="21"/>
        <v>0</v>
      </c>
      <c r="BD57" s="1">
        <v>36</v>
      </c>
      <c r="BE57" s="1">
        <v>18</v>
      </c>
      <c r="BF57" s="769">
        <f t="shared" si="22"/>
        <v>54</v>
      </c>
      <c r="BG57" s="1"/>
      <c r="BH57" s="1"/>
      <c r="BI57" s="769">
        <f t="shared" si="23"/>
        <v>0</v>
      </c>
      <c r="BJ57" s="1">
        <v>36</v>
      </c>
      <c r="BK57" s="1"/>
      <c r="BL57" s="770">
        <f t="shared" si="24"/>
        <v>36</v>
      </c>
      <c r="BM57" s="78"/>
      <c r="BN57" s="6"/>
      <c r="BO57" s="772">
        <f t="shared" si="25"/>
        <v>0</v>
      </c>
      <c r="BP57" s="78">
        <v>36</v>
      </c>
      <c r="BQ57" s="788"/>
      <c r="BR57" s="693">
        <f t="shared" si="26"/>
        <v>36</v>
      </c>
      <c r="BS57" s="78"/>
      <c r="BT57" s="6">
        <v>18</v>
      </c>
      <c r="BU57" s="693">
        <f t="shared" si="52"/>
        <v>18</v>
      </c>
      <c r="BV57" s="693"/>
      <c r="BW57" s="693"/>
      <c r="BX57" s="693">
        <f t="shared" si="53"/>
        <v>0</v>
      </c>
      <c r="BY57" s="693"/>
      <c r="BZ57" s="693"/>
      <c r="CA57" s="693">
        <f t="shared" si="54"/>
        <v>0</v>
      </c>
      <c r="CB57" s="174">
        <f t="shared" si="30"/>
        <v>108</v>
      </c>
      <c r="CC57" s="174">
        <f t="shared" si="31"/>
        <v>36</v>
      </c>
      <c r="CD57" s="174">
        <f t="shared" si="32"/>
        <v>144</v>
      </c>
      <c r="CE57" s="175">
        <f t="shared" si="33"/>
        <v>12</v>
      </c>
      <c r="CF57" s="175">
        <f t="shared" si="34"/>
        <v>4</v>
      </c>
      <c r="CG57" s="175">
        <f t="shared" si="35"/>
        <v>16</v>
      </c>
    </row>
    <row r="58" spans="1:213" ht="17.25" thickBot="1">
      <c r="A58" s="760">
        <v>51</v>
      </c>
      <c r="B58" s="841" t="s">
        <v>3199</v>
      </c>
      <c r="C58" s="15"/>
      <c r="D58" s="15" t="s">
        <v>3200</v>
      </c>
      <c r="E58" s="762" t="s">
        <v>3101</v>
      </c>
      <c r="F58" s="800">
        <v>37.33</v>
      </c>
      <c r="G58" s="801" t="s">
        <v>18</v>
      </c>
      <c r="H58" s="1">
        <v>134</v>
      </c>
      <c r="I58" s="1"/>
      <c r="J58" s="372">
        <f t="shared" si="2"/>
        <v>134</v>
      </c>
      <c r="K58" s="382"/>
      <c r="L58" s="1"/>
      <c r="M58" s="694">
        <f t="shared" si="3"/>
        <v>0</v>
      </c>
      <c r="N58" s="103">
        <v>152</v>
      </c>
      <c r="O58" s="1"/>
      <c r="P58" s="105">
        <f t="shared" si="36"/>
        <v>152</v>
      </c>
      <c r="Q58" s="382">
        <v>58</v>
      </c>
      <c r="R58" s="1">
        <v>27</v>
      </c>
      <c r="S58" s="105">
        <f t="shared" si="4"/>
        <v>85</v>
      </c>
      <c r="T58" s="382">
        <v>20</v>
      </c>
      <c r="U58" s="1">
        <v>36</v>
      </c>
      <c r="V58" s="105">
        <f t="shared" si="5"/>
        <v>56</v>
      </c>
      <c r="W58" s="382">
        <v>38</v>
      </c>
      <c r="X58" s="1">
        <v>18</v>
      </c>
      <c r="Y58" s="372">
        <f t="shared" si="6"/>
        <v>56</v>
      </c>
      <c r="Z58" s="382"/>
      <c r="AA58" s="1">
        <v>18</v>
      </c>
      <c r="AB58" s="379">
        <f t="shared" si="7"/>
        <v>18</v>
      </c>
      <c r="AC58" s="379">
        <v>58</v>
      </c>
      <c r="AD58" s="379"/>
      <c r="AE58" s="372">
        <f t="shared" si="8"/>
        <v>58</v>
      </c>
      <c r="AF58" s="372">
        <v>20</v>
      </c>
      <c r="AG58" s="372">
        <v>60</v>
      </c>
      <c r="AH58" s="372">
        <f t="shared" si="9"/>
        <v>80</v>
      </c>
      <c r="AI58" s="765">
        <v>133</v>
      </c>
      <c r="AJ58" s="372">
        <v>54</v>
      </c>
      <c r="AK58" s="372">
        <f t="shared" si="10"/>
        <v>187</v>
      </c>
      <c r="AL58" s="382"/>
      <c r="AM58" s="1"/>
      <c r="AN58" s="372">
        <f t="shared" si="11"/>
        <v>0</v>
      </c>
      <c r="AO58" s="78">
        <v>28</v>
      </c>
      <c r="AP58" s="6">
        <v>18</v>
      </c>
      <c r="AQ58" s="697">
        <f t="shared" si="12"/>
        <v>46</v>
      </c>
      <c r="AR58" s="766">
        <f t="shared" si="13"/>
        <v>613</v>
      </c>
      <c r="AS58" s="692">
        <f t="shared" si="0"/>
        <v>213</v>
      </c>
      <c r="AT58" s="6">
        <f t="shared" si="14"/>
        <v>826</v>
      </c>
      <c r="AU58" s="585">
        <f t="shared" si="16"/>
        <v>51.083333333333336</v>
      </c>
      <c r="AV58" s="585">
        <f t="shared" si="16"/>
        <v>17.75</v>
      </c>
      <c r="AW58" s="494">
        <f t="shared" si="17"/>
        <v>68.833333333333343</v>
      </c>
      <c r="AX58" s="217">
        <f t="shared" si="18"/>
        <v>25541.666666666668</v>
      </c>
      <c r="AY58" s="217">
        <f t="shared" si="19"/>
        <v>10650</v>
      </c>
      <c r="AZ58" s="695">
        <f t="shared" si="20"/>
        <v>36191.666666666672</v>
      </c>
      <c r="BA58" s="1">
        <v>86</v>
      </c>
      <c r="BB58" s="1">
        <v>18</v>
      </c>
      <c r="BC58" s="769">
        <f t="shared" si="21"/>
        <v>104</v>
      </c>
      <c r="BD58" s="1">
        <v>81</v>
      </c>
      <c r="BE58" s="1">
        <v>36</v>
      </c>
      <c r="BF58" s="769">
        <f t="shared" si="22"/>
        <v>117</v>
      </c>
      <c r="BG58" s="1">
        <v>116</v>
      </c>
      <c r="BH58" s="1">
        <v>54</v>
      </c>
      <c r="BI58" s="769">
        <f t="shared" si="23"/>
        <v>170</v>
      </c>
      <c r="BJ58" s="1"/>
      <c r="BK58" s="1"/>
      <c r="BL58" s="770">
        <f t="shared" si="24"/>
        <v>0</v>
      </c>
      <c r="BM58" s="78">
        <v>83</v>
      </c>
      <c r="BN58" s="6">
        <v>36</v>
      </c>
      <c r="BO58" s="772">
        <f t="shared" si="25"/>
        <v>119</v>
      </c>
      <c r="BP58" s="78">
        <v>222</v>
      </c>
      <c r="BQ58" s="6">
        <v>72</v>
      </c>
      <c r="BR58" s="693">
        <f t="shared" si="26"/>
        <v>294</v>
      </c>
      <c r="BS58" s="78"/>
      <c r="BT58" s="6"/>
      <c r="BU58" s="693">
        <f t="shared" si="52"/>
        <v>0</v>
      </c>
      <c r="BV58" s="693"/>
      <c r="BW58" s="693"/>
      <c r="BX58" s="693">
        <f t="shared" si="53"/>
        <v>0</v>
      </c>
      <c r="BY58" s="693"/>
      <c r="BZ58" s="693"/>
      <c r="CA58" s="693">
        <f t="shared" si="54"/>
        <v>0</v>
      </c>
      <c r="CB58" s="174">
        <f t="shared" si="30"/>
        <v>588</v>
      </c>
      <c r="CC58" s="174">
        <f t="shared" si="31"/>
        <v>216</v>
      </c>
      <c r="CD58" s="174">
        <f t="shared" si="32"/>
        <v>804</v>
      </c>
      <c r="CE58" s="175">
        <f t="shared" si="33"/>
        <v>65.333333333333329</v>
      </c>
      <c r="CF58" s="175">
        <f t="shared" si="34"/>
        <v>24</v>
      </c>
      <c r="CG58" s="175">
        <f t="shared" si="35"/>
        <v>89.333333333333329</v>
      </c>
    </row>
    <row r="59" spans="1:213" s="61" customFormat="1" ht="17.25" thickBot="1">
      <c r="A59" s="834">
        <v>52</v>
      </c>
      <c r="B59" s="840" t="s">
        <v>3201</v>
      </c>
      <c r="C59" s="111"/>
      <c r="D59" s="111" t="s">
        <v>3202</v>
      </c>
      <c r="E59" s="835" t="s">
        <v>3101</v>
      </c>
      <c r="F59" s="810">
        <v>109.33</v>
      </c>
      <c r="G59" s="811" t="s">
        <v>18</v>
      </c>
      <c r="H59" s="19">
        <v>318</v>
      </c>
      <c r="I59" s="19">
        <v>40</v>
      </c>
      <c r="J59" s="701">
        <f t="shared" si="2"/>
        <v>358</v>
      </c>
      <c r="K59" s="319"/>
      <c r="L59" s="19"/>
      <c r="M59" s="389">
        <f t="shared" si="3"/>
        <v>0</v>
      </c>
      <c r="N59" s="100">
        <v>288</v>
      </c>
      <c r="O59" s="19">
        <v>18</v>
      </c>
      <c r="P59" s="320">
        <f t="shared" si="36"/>
        <v>306</v>
      </c>
      <c r="Q59" s="319"/>
      <c r="R59" s="19"/>
      <c r="S59" s="320">
        <f t="shared" si="4"/>
        <v>0</v>
      </c>
      <c r="T59" s="319">
        <v>326</v>
      </c>
      <c r="U59" s="19"/>
      <c r="V59" s="320">
        <f t="shared" si="5"/>
        <v>326</v>
      </c>
      <c r="W59" s="319"/>
      <c r="X59" s="19"/>
      <c r="Y59" s="701">
        <f t="shared" si="6"/>
        <v>0</v>
      </c>
      <c r="Z59" s="319"/>
      <c r="AA59" s="19"/>
      <c r="AB59" s="111">
        <f t="shared" si="7"/>
        <v>0</v>
      </c>
      <c r="AC59" s="111"/>
      <c r="AD59" s="111"/>
      <c r="AE59" s="701">
        <f t="shared" si="8"/>
        <v>0</v>
      </c>
      <c r="AF59" s="701">
        <v>120</v>
      </c>
      <c r="AG59" s="701">
        <v>56</v>
      </c>
      <c r="AH59" s="701">
        <f t="shared" si="9"/>
        <v>176</v>
      </c>
      <c r="AI59" s="812"/>
      <c r="AJ59" s="701">
        <v>44</v>
      </c>
      <c r="AK59" s="701">
        <f t="shared" si="10"/>
        <v>44</v>
      </c>
      <c r="AL59" s="319"/>
      <c r="AM59" s="19"/>
      <c r="AN59" s="701">
        <f t="shared" si="11"/>
        <v>0</v>
      </c>
      <c r="AO59" s="319"/>
      <c r="AP59" s="19"/>
      <c r="AQ59" s="389">
        <f t="shared" si="12"/>
        <v>0</v>
      </c>
      <c r="AR59" s="387">
        <f t="shared" si="13"/>
        <v>1052</v>
      </c>
      <c r="AS59" s="388">
        <f t="shared" si="0"/>
        <v>158</v>
      </c>
      <c r="AT59" s="19">
        <f t="shared" si="14"/>
        <v>1210</v>
      </c>
      <c r="AU59" s="702">
        <f t="shared" si="16"/>
        <v>87.666666666666671</v>
      </c>
      <c r="AV59" s="702">
        <f t="shared" si="16"/>
        <v>13.166666666666666</v>
      </c>
      <c r="AW59" s="703">
        <f t="shared" si="17"/>
        <v>100.83333333333334</v>
      </c>
      <c r="AX59" s="703">
        <f t="shared" si="18"/>
        <v>43833.333333333336</v>
      </c>
      <c r="AY59" s="703">
        <f t="shared" si="19"/>
        <v>7900</v>
      </c>
      <c r="AZ59" s="704">
        <f t="shared" si="20"/>
        <v>51733.333333333336</v>
      </c>
      <c r="BA59" s="19">
        <v>181</v>
      </c>
      <c r="BB59" s="19">
        <v>40</v>
      </c>
      <c r="BC59" s="813">
        <f t="shared" si="21"/>
        <v>221</v>
      </c>
      <c r="BD59" s="19"/>
      <c r="BE59" s="19"/>
      <c r="BF59" s="813">
        <f t="shared" si="22"/>
        <v>0</v>
      </c>
      <c r="BG59" s="19"/>
      <c r="BH59" s="19"/>
      <c r="BI59" s="813">
        <f t="shared" si="23"/>
        <v>0</v>
      </c>
      <c r="BJ59" s="19">
        <v>270</v>
      </c>
      <c r="BK59" s="19">
        <v>38</v>
      </c>
      <c r="BL59" s="814">
        <f t="shared" si="24"/>
        <v>308</v>
      </c>
      <c r="BM59" s="319"/>
      <c r="BN59" s="19"/>
      <c r="BO59" s="868">
        <f t="shared" si="25"/>
        <v>0</v>
      </c>
      <c r="BP59" s="319"/>
      <c r="BQ59" s="19"/>
      <c r="BR59" s="701">
        <f t="shared" si="26"/>
        <v>0</v>
      </c>
      <c r="BS59" s="319"/>
      <c r="BT59" s="19"/>
      <c r="BU59" s="701">
        <f>BS59+BT59</f>
        <v>0</v>
      </c>
      <c r="BV59" s="701"/>
      <c r="BW59" s="701"/>
      <c r="BX59" s="701">
        <f>BV59+BW59</f>
        <v>0</v>
      </c>
      <c r="BY59" s="701"/>
      <c r="BZ59" s="701"/>
      <c r="CA59" s="701">
        <f>BY59+BZ59</f>
        <v>0</v>
      </c>
      <c r="CB59" s="174">
        <f t="shared" si="30"/>
        <v>451</v>
      </c>
      <c r="CC59" s="174">
        <f t="shared" si="31"/>
        <v>78</v>
      </c>
      <c r="CD59" s="174">
        <f t="shared" si="32"/>
        <v>529</v>
      </c>
      <c r="CE59" s="175">
        <f t="shared" si="33"/>
        <v>50.111111111111114</v>
      </c>
      <c r="CF59" s="175">
        <f t="shared" si="34"/>
        <v>8.6666666666666661</v>
      </c>
      <c r="CG59" s="175">
        <f t="shared" si="35"/>
        <v>58.777777777777779</v>
      </c>
      <c r="CH59" s="361"/>
      <c r="CI59" s="361"/>
      <c r="CJ59" s="361"/>
      <c r="CK59" s="361"/>
      <c r="CL59" s="361"/>
      <c r="CM59" s="361"/>
      <c r="CN59" s="361"/>
      <c r="CO59" s="361"/>
      <c r="CP59" s="361"/>
      <c r="CQ59" s="361"/>
      <c r="CR59" s="361"/>
      <c r="CS59" s="361"/>
      <c r="CT59" s="361"/>
      <c r="CU59" s="361"/>
      <c r="CV59" s="361"/>
      <c r="CW59" s="361"/>
      <c r="CX59" s="361"/>
      <c r="CY59" s="361"/>
      <c r="CZ59" s="361"/>
      <c r="DA59" s="361"/>
      <c r="DB59" s="361"/>
      <c r="DC59" s="361"/>
      <c r="DD59" s="361"/>
      <c r="DE59" s="361"/>
      <c r="DF59" s="361"/>
      <c r="DG59" s="361"/>
      <c r="DH59" s="361"/>
      <c r="DI59" s="361"/>
      <c r="DJ59" s="361"/>
      <c r="DK59" s="361"/>
      <c r="DL59" s="361"/>
      <c r="DM59" s="361"/>
      <c r="DN59" s="361"/>
      <c r="DO59" s="361"/>
      <c r="DP59" s="361"/>
      <c r="DQ59" s="361"/>
      <c r="DR59" s="361"/>
      <c r="DS59" s="361"/>
      <c r="DT59" s="361"/>
      <c r="DU59" s="361"/>
      <c r="DV59" s="361"/>
      <c r="DW59" s="361"/>
      <c r="DX59" s="361"/>
      <c r="DY59" s="361"/>
      <c r="DZ59" s="361"/>
      <c r="EA59" s="361"/>
      <c r="EB59" s="361"/>
      <c r="EC59" s="361"/>
      <c r="ED59" s="361"/>
      <c r="EE59" s="361"/>
      <c r="EF59" s="361"/>
      <c r="EG59" s="361"/>
      <c r="EH59" s="361"/>
      <c r="EI59" s="361"/>
      <c r="EJ59" s="361"/>
      <c r="EK59" s="361"/>
      <c r="EL59" s="361"/>
      <c r="EM59" s="361"/>
      <c r="EN59" s="361"/>
      <c r="EO59" s="361"/>
      <c r="EP59" s="361"/>
      <c r="EQ59" s="361"/>
      <c r="ER59" s="361"/>
      <c r="ES59" s="361"/>
      <c r="ET59" s="361"/>
      <c r="EU59" s="361"/>
      <c r="EV59" s="361"/>
      <c r="EW59" s="361"/>
      <c r="EX59" s="361"/>
      <c r="EY59" s="361"/>
      <c r="EZ59" s="361"/>
      <c r="FA59" s="361"/>
      <c r="FB59" s="361"/>
      <c r="FC59" s="361"/>
      <c r="FD59" s="361"/>
      <c r="FE59" s="361"/>
      <c r="FF59" s="361"/>
      <c r="FG59" s="361"/>
      <c r="FH59" s="361"/>
      <c r="FI59" s="361"/>
      <c r="FJ59" s="361"/>
      <c r="FK59" s="361"/>
      <c r="FL59" s="361"/>
      <c r="FM59" s="361"/>
      <c r="FN59" s="361"/>
      <c r="FO59" s="361"/>
      <c r="FP59" s="361"/>
      <c r="FQ59" s="361"/>
      <c r="FR59" s="361"/>
      <c r="FS59" s="361"/>
      <c r="FT59" s="361"/>
      <c r="FU59" s="361"/>
      <c r="FV59" s="361"/>
      <c r="FW59" s="361"/>
      <c r="FX59" s="361"/>
      <c r="FY59" s="361"/>
      <c r="FZ59" s="361"/>
      <c r="GA59" s="361"/>
      <c r="GB59" s="361"/>
      <c r="GC59" s="361"/>
      <c r="GD59" s="361"/>
      <c r="GE59" s="361"/>
      <c r="GF59" s="361"/>
      <c r="GG59" s="361"/>
      <c r="GH59" s="361"/>
      <c r="GI59" s="361"/>
      <c r="GJ59" s="361"/>
      <c r="GK59" s="361"/>
      <c r="GL59" s="361"/>
      <c r="GM59" s="361"/>
      <c r="GN59" s="361"/>
      <c r="GO59" s="361"/>
      <c r="GP59" s="361"/>
      <c r="GQ59" s="361"/>
      <c r="GR59" s="361"/>
      <c r="GS59" s="361"/>
      <c r="GT59" s="361"/>
      <c r="GU59" s="361"/>
      <c r="GV59" s="361"/>
      <c r="GW59" s="361"/>
      <c r="GX59" s="361"/>
      <c r="GY59" s="361"/>
      <c r="GZ59" s="361"/>
      <c r="HA59" s="361"/>
      <c r="HB59" s="361"/>
      <c r="HC59" s="361"/>
      <c r="HD59" s="361"/>
      <c r="HE59" s="361"/>
    </row>
    <row r="60" spans="1:213" ht="17.25" thickBot="1">
      <c r="A60" s="760">
        <v>53</v>
      </c>
      <c r="B60" s="841" t="s">
        <v>3203</v>
      </c>
      <c r="C60" s="15"/>
      <c r="D60" s="15" t="s">
        <v>3204</v>
      </c>
      <c r="E60" s="762" t="s">
        <v>3101</v>
      </c>
      <c r="F60" s="800">
        <v>64.66</v>
      </c>
      <c r="G60" s="801" t="s">
        <v>18</v>
      </c>
      <c r="H60" s="1">
        <v>368</v>
      </c>
      <c r="I60" s="1"/>
      <c r="J60" s="372">
        <f t="shared" si="2"/>
        <v>368</v>
      </c>
      <c r="K60" s="382"/>
      <c r="L60" s="1"/>
      <c r="M60" s="694">
        <f t="shared" si="3"/>
        <v>0</v>
      </c>
      <c r="N60" s="103">
        <v>118</v>
      </c>
      <c r="O60" s="1"/>
      <c r="P60" s="105">
        <f t="shared" si="36"/>
        <v>118</v>
      </c>
      <c r="Q60" s="382"/>
      <c r="R60" s="1"/>
      <c r="S60" s="105">
        <f t="shared" si="4"/>
        <v>0</v>
      </c>
      <c r="T60" s="382">
        <v>36</v>
      </c>
      <c r="U60" s="1"/>
      <c r="V60" s="105">
        <f t="shared" si="5"/>
        <v>36</v>
      </c>
      <c r="W60" s="382">
        <v>61</v>
      </c>
      <c r="X60" s="1"/>
      <c r="Y60" s="372">
        <f t="shared" si="6"/>
        <v>61</v>
      </c>
      <c r="Z60" s="382">
        <v>176</v>
      </c>
      <c r="AA60" s="1"/>
      <c r="AB60" s="379">
        <f t="shared" si="7"/>
        <v>176</v>
      </c>
      <c r="AC60" s="379">
        <v>18</v>
      </c>
      <c r="AD60" s="379">
        <v>18</v>
      </c>
      <c r="AE60" s="372">
        <f t="shared" si="8"/>
        <v>36</v>
      </c>
      <c r="AF60" s="372">
        <v>158</v>
      </c>
      <c r="AG60" s="372"/>
      <c r="AH60" s="372">
        <f t="shared" si="9"/>
        <v>158</v>
      </c>
      <c r="AI60" s="765">
        <v>145</v>
      </c>
      <c r="AJ60" s="372"/>
      <c r="AK60" s="372">
        <f t="shared" si="10"/>
        <v>145</v>
      </c>
      <c r="AL60" s="382">
        <v>260</v>
      </c>
      <c r="AM60" s="1"/>
      <c r="AN60" s="372">
        <f t="shared" si="11"/>
        <v>260</v>
      </c>
      <c r="AO60" s="78">
        <v>61</v>
      </c>
      <c r="AP60" s="6">
        <v>18</v>
      </c>
      <c r="AQ60" s="697">
        <f t="shared" si="12"/>
        <v>79</v>
      </c>
      <c r="AR60" s="766">
        <f t="shared" si="13"/>
        <v>1340</v>
      </c>
      <c r="AS60" s="692">
        <f t="shared" si="0"/>
        <v>18</v>
      </c>
      <c r="AT60" s="6">
        <f t="shared" si="14"/>
        <v>1358</v>
      </c>
      <c r="AU60" s="585">
        <f t="shared" si="16"/>
        <v>111.66666666666667</v>
      </c>
      <c r="AV60" s="585">
        <f t="shared" si="16"/>
        <v>1.5</v>
      </c>
      <c r="AW60" s="494">
        <f t="shared" si="17"/>
        <v>113.16666666666667</v>
      </c>
      <c r="AX60" s="217">
        <f t="shared" si="18"/>
        <v>55833.333333333336</v>
      </c>
      <c r="AY60" s="217">
        <f t="shared" si="19"/>
        <v>900</v>
      </c>
      <c r="AZ60" s="695">
        <f t="shared" si="20"/>
        <v>56733.333333333336</v>
      </c>
      <c r="BA60" s="1">
        <v>129</v>
      </c>
      <c r="BB60" s="1"/>
      <c r="BC60" s="769">
        <f t="shared" si="21"/>
        <v>129</v>
      </c>
      <c r="BD60" s="1"/>
      <c r="BE60" s="1"/>
      <c r="BF60" s="769">
        <f t="shared" si="22"/>
        <v>0</v>
      </c>
      <c r="BG60" s="1">
        <v>36</v>
      </c>
      <c r="BH60" s="1">
        <v>36</v>
      </c>
      <c r="BI60" s="769">
        <f t="shared" si="23"/>
        <v>72</v>
      </c>
      <c r="BJ60" s="1"/>
      <c r="BK60" s="1"/>
      <c r="BL60" s="770">
        <f t="shared" si="24"/>
        <v>0</v>
      </c>
      <c r="BM60" s="78">
        <v>301</v>
      </c>
      <c r="BN60" s="6"/>
      <c r="BO60" s="772">
        <f t="shared" si="25"/>
        <v>301</v>
      </c>
      <c r="BP60" s="78"/>
      <c r="BQ60" s="6"/>
      <c r="BR60" s="693">
        <f t="shared" si="26"/>
        <v>0</v>
      </c>
      <c r="BS60" s="78"/>
      <c r="BT60" s="6"/>
      <c r="BU60" s="693">
        <f t="shared" ref="BU60:BU62" si="55">BS60+BT60</f>
        <v>0</v>
      </c>
      <c r="BV60" s="693"/>
      <c r="BW60" s="693"/>
      <c r="BX60" s="693">
        <f t="shared" ref="BX60:BX62" si="56">BV60+BW60</f>
        <v>0</v>
      </c>
      <c r="BY60" s="693"/>
      <c r="BZ60" s="693"/>
      <c r="CA60" s="693">
        <f t="shared" ref="CA60:CA62" si="57">BY60+BZ60</f>
        <v>0</v>
      </c>
      <c r="CB60" s="174">
        <f t="shared" si="30"/>
        <v>466</v>
      </c>
      <c r="CC60" s="174">
        <f t="shared" si="31"/>
        <v>36</v>
      </c>
      <c r="CD60" s="174">
        <f t="shared" si="32"/>
        <v>502</v>
      </c>
      <c r="CE60" s="175">
        <f t="shared" si="33"/>
        <v>51.777777777777779</v>
      </c>
      <c r="CF60" s="175">
        <f t="shared" si="34"/>
        <v>4</v>
      </c>
      <c r="CG60" s="175">
        <f t="shared" si="35"/>
        <v>55.777777777777779</v>
      </c>
    </row>
    <row r="61" spans="1:213" ht="17.25" thickBot="1">
      <c r="A61" s="802">
        <v>54</v>
      </c>
      <c r="B61" s="841" t="s">
        <v>3205</v>
      </c>
      <c r="C61" s="15"/>
      <c r="D61" s="15" t="s">
        <v>3206</v>
      </c>
      <c r="E61" s="803" t="s">
        <v>3101</v>
      </c>
      <c r="F61" s="800">
        <v>5</v>
      </c>
      <c r="G61" s="801" t="s">
        <v>18</v>
      </c>
      <c r="H61" s="1">
        <v>10</v>
      </c>
      <c r="I61" s="1"/>
      <c r="J61" s="372">
        <f t="shared" si="2"/>
        <v>10</v>
      </c>
      <c r="K61" s="382"/>
      <c r="L61" s="1"/>
      <c r="M61" s="694">
        <f t="shared" si="3"/>
        <v>0</v>
      </c>
      <c r="N61" s="103">
        <v>9</v>
      </c>
      <c r="O61" s="1"/>
      <c r="P61" s="105">
        <f t="shared" si="36"/>
        <v>9</v>
      </c>
      <c r="Q61" s="382"/>
      <c r="R61" s="1"/>
      <c r="S61" s="105">
        <f t="shared" si="4"/>
        <v>0</v>
      </c>
      <c r="T61" s="382"/>
      <c r="U61" s="1"/>
      <c r="V61" s="105">
        <f t="shared" si="5"/>
        <v>0</v>
      </c>
      <c r="W61" s="382"/>
      <c r="X61" s="1"/>
      <c r="Y61" s="372">
        <f t="shared" si="6"/>
        <v>0</v>
      </c>
      <c r="Z61" s="382"/>
      <c r="AA61" s="1"/>
      <c r="AB61" s="379">
        <f t="shared" si="7"/>
        <v>0</v>
      </c>
      <c r="AC61" s="379"/>
      <c r="AD61" s="379"/>
      <c r="AE61" s="372">
        <f t="shared" si="8"/>
        <v>0</v>
      </c>
      <c r="AF61" s="372">
        <v>18</v>
      </c>
      <c r="AG61" s="372"/>
      <c r="AH61" s="372">
        <f t="shared" si="9"/>
        <v>18</v>
      </c>
      <c r="AI61" s="765"/>
      <c r="AJ61" s="372"/>
      <c r="AK61" s="372">
        <f t="shared" si="10"/>
        <v>0</v>
      </c>
      <c r="AL61" s="382"/>
      <c r="AM61" s="1"/>
      <c r="AN61" s="372">
        <f t="shared" si="11"/>
        <v>0</v>
      </c>
      <c r="AO61" s="78"/>
      <c r="AP61" s="6"/>
      <c r="AQ61" s="697">
        <f t="shared" si="12"/>
        <v>0</v>
      </c>
      <c r="AR61" s="766">
        <f t="shared" si="13"/>
        <v>37</v>
      </c>
      <c r="AS61" s="692">
        <f t="shared" si="0"/>
        <v>0</v>
      </c>
      <c r="AT61" s="6">
        <f t="shared" si="14"/>
        <v>37</v>
      </c>
      <c r="AU61" s="585">
        <f t="shared" si="16"/>
        <v>3.0833333333333335</v>
      </c>
      <c r="AV61" s="585">
        <f t="shared" si="16"/>
        <v>0</v>
      </c>
      <c r="AW61" s="494">
        <f t="shared" si="17"/>
        <v>3.0833333333333335</v>
      </c>
      <c r="AX61" s="217">
        <f t="shared" si="18"/>
        <v>1541.6666666666667</v>
      </c>
      <c r="AY61" s="217">
        <f t="shared" si="19"/>
        <v>0</v>
      </c>
      <c r="AZ61" s="695">
        <f t="shared" si="20"/>
        <v>1541.6666666666667</v>
      </c>
      <c r="BA61" s="1"/>
      <c r="BB61" s="1"/>
      <c r="BC61" s="769">
        <f t="shared" si="21"/>
        <v>0</v>
      </c>
      <c r="BD61" s="1"/>
      <c r="BE61" s="1"/>
      <c r="BF61" s="769">
        <f t="shared" si="22"/>
        <v>0</v>
      </c>
      <c r="BG61" s="1"/>
      <c r="BH61" s="1"/>
      <c r="BI61" s="769">
        <f t="shared" si="23"/>
        <v>0</v>
      </c>
      <c r="BJ61" s="1"/>
      <c r="BK61" s="1"/>
      <c r="BL61" s="770">
        <f t="shared" si="24"/>
        <v>0</v>
      </c>
      <c r="BM61" s="78"/>
      <c r="BN61" s="6"/>
      <c r="BO61" s="772">
        <f t="shared" si="25"/>
        <v>0</v>
      </c>
      <c r="BP61" s="78"/>
      <c r="BQ61" s="6"/>
      <c r="BR61" s="693">
        <f t="shared" si="26"/>
        <v>0</v>
      </c>
      <c r="BS61" s="78"/>
      <c r="BT61" s="6"/>
      <c r="BU61" s="693">
        <f t="shared" si="55"/>
        <v>0</v>
      </c>
      <c r="BV61" s="693"/>
      <c r="BW61" s="693"/>
      <c r="BX61" s="693">
        <f t="shared" si="56"/>
        <v>0</v>
      </c>
      <c r="BY61" s="693"/>
      <c r="BZ61" s="693"/>
      <c r="CA61" s="693">
        <f t="shared" si="57"/>
        <v>0</v>
      </c>
      <c r="CB61" s="174">
        <f t="shared" si="30"/>
        <v>0</v>
      </c>
      <c r="CC61" s="174">
        <f t="shared" si="31"/>
        <v>0</v>
      </c>
      <c r="CD61" s="174">
        <f t="shared" si="32"/>
        <v>0</v>
      </c>
      <c r="CE61" s="175">
        <f t="shared" si="33"/>
        <v>0</v>
      </c>
      <c r="CF61" s="175">
        <f t="shared" si="34"/>
        <v>0</v>
      </c>
      <c r="CG61" s="175">
        <f t="shared" si="35"/>
        <v>0</v>
      </c>
    </row>
    <row r="62" spans="1:213" ht="17.25" thickBot="1">
      <c r="A62" s="760">
        <v>55</v>
      </c>
      <c r="B62" s="841" t="s">
        <v>3207</v>
      </c>
      <c r="C62" s="15"/>
      <c r="D62" s="15" t="s">
        <v>3208</v>
      </c>
      <c r="E62" s="762" t="s">
        <v>3101</v>
      </c>
      <c r="F62" s="800">
        <v>0</v>
      </c>
      <c r="G62" s="801" t="s">
        <v>18</v>
      </c>
      <c r="H62" s="1"/>
      <c r="I62" s="1"/>
      <c r="J62" s="372">
        <f t="shared" si="2"/>
        <v>0</v>
      </c>
      <c r="K62" s="382"/>
      <c r="L62" s="1"/>
      <c r="M62" s="694">
        <f t="shared" si="3"/>
        <v>0</v>
      </c>
      <c r="N62" s="103">
        <v>18</v>
      </c>
      <c r="O62" s="1"/>
      <c r="P62" s="105">
        <f t="shared" si="36"/>
        <v>18</v>
      </c>
      <c r="Q62" s="382"/>
      <c r="R62" s="1"/>
      <c r="S62" s="105">
        <f t="shared" si="4"/>
        <v>0</v>
      </c>
      <c r="T62" s="382"/>
      <c r="U62" s="1"/>
      <c r="V62" s="105">
        <f t="shared" si="5"/>
        <v>0</v>
      </c>
      <c r="W62" s="382">
        <v>66</v>
      </c>
      <c r="X62" s="1">
        <v>18</v>
      </c>
      <c r="Y62" s="372">
        <f t="shared" si="6"/>
        <v>84</v>
      </c>
      <c r="Z62" s="382"/>
      <c r="AA62" s="1"/>
      <c r="AB62" s="379">
        <f t="shared" si="7"/>
        <v>0</v>
      </c>
      <c r="AC62" s="379"/>
      <c r="AD62" s="379"/>
      <c r="AE62" s="372">
        <f t="shared" si="8"/>
        <v>0</v>
      </c>
      <c r="AF62" s="372"/>
      <c r="AG62" s="372">
        <v>34</v>
      </c>
      <c r="AH62" s="372">
        <f t="shared" si="9"/>
        <v>34</v>
      </c>
      <c r="AI62" s="765">
        <v>27</v>
      </c>
      <c r="AJ62" s="372"/>
      <c r="AK62" s="372">
        <f t="shared" si="10"/>
        <v>27</v>
      </c>
      <c r="AL62" s="382"/>
      <c r="AM62" s="1"/>
      <c r="AN62" s="372">
        <f t="shared" si="11"/>
        <v>0</v>
      </c>
      <c r="AO62" s="78"/>
      <c r="AP62" s="6"/>
      <c r="AQ62" s="697">
        <f t="shared" si="12"/>
        <v>0</v>
      </c>
      <c r="AR62" s="766">
        <f t="shared" si="13"/>
        <v>111</v>
      </c>
      <c r="AS62" s="692">
        <f t="shared" si="0"/>
        <v>52</v>
      </c>
      <c r="AT62" s="6">
        <f t="shared" si="14"/>
        <v>163</v>
      </c>
      <c r="AU62" s="585">
        <f t="shared" si="16"/>
        <v>9.25</v>
      </c>
      <c r="AV62" s="585">
        <f t="shared" si="16"/>
        <v>4.333333333333333</v>
      </c>
      <c r="AW62" s="494">
        <f t="shared" si="17"/>
        <v>13.583333333333332</v>
      </c>
      <c r="AX62" s="217">
        <f t="shared" si="18"/>
        <v>4625</v>
      </c>
      <c r="AY62" s="217">
        <f t="shared" si="19"/>
        <v>2600</v>
      </c>
      <c r="AZ62" s="695">
        <f t="shared" si="20"/>
        <v>7225</v>
      </c>
      <c r="BA62" s="1"/>
      <c r="BB62" s="1"/>
      <c r="BC62" s="769">
        <f t="shared" si="21"/>
        <v>0</v>
      </c>
      <c r="BD62" s="1"/>
      <c r="BE62" s="1"/>
      <c r="BF62" s="769">
        <f t="shared" si="22"/>
        <v>0</v>
      </c>
      <c r="BG62" s="1"/>
      <c r="BH62" s="1"/>
      <c r="BI62" s="769">
        <f t="shared" si="23"/>
        <v>0</v>
      </c>
      <c r="BJ62" s="1">
        <v>25</v>
      </c>
      <c r="BK62" s="1"/>
      <c r="BL62" s="770">
        <f t="shared" si="24"/>
        <v>25</v>
      </c>
      <c r="BM62" s="78"/>
      <c r="BN62" s="6"/>
      <c r="BO62" s="772">
        <f t="shared" si="25"/>
        <v>0</v>
      </c>
      <c r="BP62" s="78"/>
      <c r="BQ62" s="6"/>
      <c r="BR62" s="693">
        <f t="shared" si="26"/>
        <v>0</v>
      </c>
      <c r="BS62" s="78"/>
      <c r="BT62" s="6"/>
      <c r="BU62" s="693">
        <f t="shared" si="55"/>
        <v>0</v>
      </c>
      <c r="BV62" s="693"/>
      <c r="BW62" s="693"/>
      <c r="BX62" s="693">
        <f t="shared" si="56"/>
        <v>0</v>
      </c>
      <c r="BY62" s="693"/>
      <c r="BZ62" s="693"/>
      <c r="CA62" s="693">
        <f t="shared" si="57"/>
        <v>0</v>
      </c>
      <c r="CB62" s="174">
        <f t="shared" si="30"/>
        <v>25</v>
      </c>
      <c r="CC62" s="174">
        <f t="shared" si="31"/>
        <v>0</v>
      </c>
      <c r="CD62" s="174">
        <f t="shared" si="32"/>
        <v>25</v>
      </c>
      <c r="CE62" s="175">
        <f t="shared" si="33"/>
        <v>2.7777777777777777</v>
      </c>
      <c r="CF62" s="175">
        <f t="shared" si="34"/>
        <v>0</v>
      </c>
      <c r="CG62" s="175">
        <f t="shared" si="35"/>
        <v>2.7777777777777777</v>
      </c>
    </row>
    <row r="63" spans="1:213" s="61" customFormat="1" ht="17.25" thickBot="1">
      <c r="A63" s="834">
        <v>56</v>
      </c>
      <c r="B63" s="840" t="s">
        <v>3209</v>
      </c>
      <c r="C63" s="111"/>
      <c r="D63" s="111" t="s">
        <v>3210</v>
      </c>
      <c r="E63" s="835" t="s">
        <v>3101</v>
      </c>
      <c r="F63" s="810">
        <v>133.33000000000001</v>
      </c>
      <c r="G63" s="811" t="s">
        <v>18</v>
      </c>
      <c r="H63" s="19">
        <v>500</v>
      </c>
      <c r="I63" s="19"/>
      <c r="J63" s="701">
        <f t="shared" si="2"/>
        <v>500</v>
      </c>
      <c r="K63" s="319"/>
      <c r="L63" s="19"/>
      <c r="M63" s="389">
        <f t="shared" si="3"/>
        <v>0</v>
      </c>
      <c r="N63" s="100">
        <v>300</v>
      </c>
      <c r="O63" s="19"/>
      <c r="P63" s="320">
        <f t="shared" si="36"/>
        <v>300</v>
      </c>
      <c r="Q63" s="319"/>
      <c r="R63" s="19"/>
      <c r="S63" s="320">
        <f t="shared" si="4"/>
        <v>0</v>
      </c>
      <c r="T63" s="319"/>
      <c r="U63" s="19"/>
      <c r="V63" s="320">
        <f t="shared" si="5"/>
        <v>0</v>
      </c>
      <c r="W63" s="319">
        <v>397</v>
      </c>
      <c r="X63" s="19"/>
      <c r="Y63" s="701">
        <f t="shared" si="6"/>
        <v>397</v>
      </c>
      <c r="Z63" s="319"/>
      <c r="AA63" s="19"/>
      <c r="AB63" s="111">
        <f t="shared" si="7"/>
        <v>0</v>
      </c>
      <c r="AC63" s="111"/>
      <c r="AD63" s="111"/>
      <c r="AE63" s="701">
        <f t="shared" si="8"/>
        <v>0</v>
      </c>
      <c r="AF63" s="701"/>
      <c r="AG63" s="701">
        <v>40</v>
      </c>
      <c r="AH63" s="701">
        <f t="shared" si="9"/>
        <v>40</v>
      </c>
      <c r="AI63" s="812"/>
      <c r="AJ63" s="701"/>
      <c r="AK63" s="701">
        <f t="shared" si="10"/>
        <v>0</v>
      </c>
      <c r="AL63" s="319"/>
      <c r="AM63" s="19"/>
      <c r="AN63" s="701">
        <f t="shared" si="11"/>
        <v>0</v>
      </c>
      <c r="AO63" s="319"/>
      <c r="AP63" s="19"/>
      <c r="AQ63" s="389">
        <f t="shared" si="12"/>
        <v>0</v>
      </c>
      <c r="AR63" s="387">
        <f t="shared" si="13"/>
        <v>1197</v>
      </c>
      <c r="AS63" s="388">
        <f t="shared" si="0"/>
        <v>40</v>
      </c>
      <c r="AT63" s="19">
        <f t="shared" si="14"/>
        <v>1237</v>
      </c>
      <c r="AU63" s="702">
        <f t="shared" si="16"/>
        <v>99.75</v>
      </c>
      <c r="AV63" s="702">
        <f t="shared" si="16"/>
        <v>3.3333333333333335</v>
      </c>
      <c r="AW63" s="703">
        <f t="shared" si="17"/>
        <v>103.08333333333333</v>
      </c>
      <c r="AX63" s="703">
        <f t="shared" si="18"/>
        <v>49875</v>
      </c>
      <c r="AY63" s="703">
        <f t="shared" si="19"/>
        <v>2000</v>
      </c>
      <c r="AZ63" s="704">
        <f t="shared" si="20"/>
        <v>51875</v>
      </c>
      <c r="BA63" s="19"/>
      <c r="BB63" s="19"/>
      <c r="BC63" s="813">
        <f t="shared" si="21"/>
        <v>0</v>
      </c>
      <c r="BD63" s="19"/>
      <c r="BE63" s="19"/>
      <c r="BF63" s="813">
        <f t="shared" si="22"/>
        <v>0</v>
      </c>
      <c r="BG63" s="19">
        <v>343</v>
      </c>
      <c r="BH63" s="19"/>
      <c r="BI63" s="813">
        <f t="shared" si="23"/>
        <v>343</v>
      </c>
      <c r="BJ63" s="19"/>
      <c r="BK63" s="19"/>
      <c r="BL63" s="814">
        <f t="shared" si="24"/>
        <v>0</v>
      </c>
      <c r="BM63" s="319"/>
      <c r="BN63" s="19"/>
      <c r="BO63" s="868">
        <f t="shared" si="25"/>
        <v>0</v>
      </c>
      <c r="BP63" s="319"/>
      <c r="BQ63" s="19"/>
      <c r="BR63" s="701">
        <f t="shared" si="26"/>
        <v>0</v>
      </c>
      <c r="BS63" s="319"/>
      <c r="BT63" s="19"/>
      <c r="BU63" s="701">
        <f>BS63+BT63</f>
        <v>0</v>
      </c>
      <c r="BV63" s="701"/>
      <c r="BW63" s="701"/>
      <c r="BX63" s="701">
        <f>BV63+BW63</f>
        <v>0</v>
      </c>
      <c r="BY63" s="701"/>
      <c r="BZ63" s="701"/>
      <c r="CA63" s="701">
        <f>BY63+BZ63</f>
        <v>0</v>
      </c>
      <c r="CB63" s="174">
        <f t="shared" si="30"/>
        <v>343</v>
      </c>
      <c r="CC63" s="174">
        <f t="shared" si="31"/>
        <v>0</v>
      </c>
      <c r="CD63" s="174">
        <f t="shared" si="32"/>
        <v>343</v>
      </c>
      <c r="CE63" s="175">
        <f t="shared" si="33"/>
        <v>38.111111111111114</v>
      </c>
      <c r="CF63" s="175">
        <f t="shared" si="34"/>
        <v>0</v>
      </c>
      <c r="CG63" s="175">
        <f t="shared" si="35"/>
        <v>38.111111111111114</v>
      </c>
      <c r="CH63" s="361"/>
      <c r="CI63" s="361"/>
      <c r="CJ63" s="361"/>
      <c r="CK63" s="361"/>
      <c r="CL63" s="361"/>
      <c r="CM63" s="361"/>
      <c r="CN63" s="361"/>
      <c r="CO63" s="361"/>
      <c r="CP63" s="361"/>
      <c r="CQ63" s="361"/>
      <c r="CR63" s="361"/>
      <c r="CS63" s="361"/>
      <c r="CT63" s="361"/>
      <c r="CU63" s="361"/>
      <c r="CV63" s="361"/>
      <c r="CW63" s="361"/>
      <c r="CX63" s="361"/>
      <c r="CY63" s="361"/>
      <c r="CZ63" s="361"/>
      <c r="DA63" s="361"/>
      <c r="DB63" s="361"/>
      <c r="DC63" s="361"/>
      <c r="DD63" s="361"/>
      <c r="DE63" s="361"/>
      <c r="DF63" s="361"/>
      <c r="DG63" s="361"/>
      <c r="DH63" s="361"/>
      <c r="DI63" s="361"/>
      <c r="DJ63" s="361"/>
      <c r="DK63" s="361"/>
      <c r="DL63" s="361"/>
      <c r="DM63" s="361"/>
      <c r="DN63" s="361"/>
      <c r="DO63" s="361"/>
      <c r="DP63" s="361"/>
      <c r="DQ63" s="361"/>
      <c r="DR63" s="361"/>
      <c r="DS63" s="361"/>
      <c r="DT63" s="361"/>
      <c r="DU63" s="361"/>
      <c r="DV63" s="361"/>
      <c r="DW63" s="361"/>
      <c r="DX63" s="361"/>
      <c r="DY63" s="361"/>
      <c r="DZ63" s="361"/>
      <c r="EA63" s="361"/>
      <c r="EB63" s="361"/>
      <c r="EC63" s="361"/>
      <c r="ED63" s="361"/>
      <c r="EE63" s="361"/>
      <c r="EF63" s="361"/>
      <c r="EG63" s="361"/>
      <c r="EH63" s="361"/>
      <c r="EI63" s="361"/>
      <c r="EJ63" s="361"/>
      <c r="EK63" s="361"/>
      <c r="EL63" s="361"/>
      <c r="EM63" s="361"/>
      <c r="EN63" s="361"/>
      <c r="EO63" s="361"/>
      <c r="EP63" s="361"/>
      <c r="EQ63" s="361"/>
      <c r="ER63" s="361"/>
      <c r="ES63" s="361"/>
      <c r="ET63" s="361"/>
      <c r="EU63" s="361"/>
      <c r="EV63" s="361"/>
      <c r="EW63" s="361"/>
      <c r="EX63" s="361"/>
      <c r="EY63" s="361"/>
      <c r="EZ63" s="361"/>
      <c r="FA63" s="361"/>
      <c r="FB63" s="361"/>
      <c r="FC63" s="361"/>
      <c r="FD63" s="361"/>
      <c r="FE63" s="361"/>
      <c r="FF63" s="361"/>
      <c r="FG63" s="361"/>
      <c r="FH63" s="361"/>
      <c r="FI63" s="361"/>
      <c r="FJ63" s="361"/>
      <c r="FK63" s="361"/>
      <c r="FL63" s="361"/>
      <c r="FM63" s="361"/>
      <c r="FN63" s="361"/>
      <c r="FO63" s="361"/>
      <c r="FP63" s="361"/>
      <c r="FQ63" s="361"/>
      <c r="FR63" s="361"/>
      <c r="FS63" s="361"/>
      <c r="FT63" s="361"/>
      <c r="FU63" s="361"/>
      <c r="FV63" s="361"/>
      <c r="FW63" s="361"/>
      <c r="FX63" s="361"/>
      <c r="FY63" s="361"/>
      <c r="FZ63" s="361"/>
      <c r="GA63" s="361"/>
      <c r="GB63" s="361"/>
      <c r="GC63" s="361"/>
      <c r="GD63" s="361"/>
      <c r="GE63" s="361"/>
      <c r="GF63" s="361"/>
      <c r="GG63" s="361"/>
      <c r="GH63" s="361"/>
      <c r="GI63" s="361"/>
      <c r="GJ63" s="361"/>
      <c r="GK63" s="361"/>
      <c r="GL63" s="361"/>
      <c r="GM63" s="361"/>
      <c r="GN63" s="361"/>
      <c r="GO63" s="361"/>
      <c r="GP63" s="361"/>
      <c r="GQ63" s="361"/>
      <c r="GR63" s="361"/>
      <c r="GS63" s="361"/>
      <c r="GT63" s="361"/>
      <c r="GU63" s="361"/>
      <c r="GV63" s="361"/>
      <c r="GW63" s="361"/>
      <c r="GX63" s="361"/>
      <c r="GY63" s="361"/>
      <c r="GZ63" s="361"/>
      <c r="HA63" s="361"/>
      <c r="HB63" s="361"/>
      <c r="HC63" s="361"/>
      <c r="HD63" s="361"/>
      <c r="HE63" s="361"/>
    </row>
    <row r="64" spans="1:213" s="699" customFormat="1" ht="17.25" thickBot="1">
      <c r="A64" s="807">
        <v>57</v>
      </c>
      <c r="B64" s="840" t="s">
        <v>3211</v>
      </c>
      <c r="C64" s="111"/>
      <c r="D64" s="111" t="s">
        <v>3212</v>
      </c>
      <c r="E64" s="809" t="s">
        <v>3101</v>
      </c>
      <c r="F64" s="810">
        <v>1976</v>
      </c>
      <c r="G64" s="811" t="s">
        <v>18</v>
      </c>
      <c r="H64" s="19">
        <v>2436</v>
      </c>
      <c r="I64" s="19">
        <v>174</v>
      </c>
      <c r="J64" s="701">
        <f t="shared" si="2"/>
        <v>2610</v>
      </c>
      <c r="K64" s="319">
        <v>1834</v>
      </c>
      <c r="L64" s="19">
        <v>308</v>
      </c>
      <c r="M64" s="389">
        <f t="shared" si="3"/>
        <v>2142</v>
      </c>
      <c r="N64" s="100">
        <v>2783</v>
      </c>
      <c r="O64" s="19">
        <v>154</v>
      </c>
      <c r="P64" s="320">
        <f t="shared" si="36"/>
        <v>2937</v>
      </c>
      <c r="Q64" s="319">
        <v>680</v>
      </c>
      <c r="R64" s="19"/>
      <c r="S64" s="320">
        <f t="shared" si="4"/>
        <v>680</v>
      </c>
      <c r="T64" s="319">
        <v>2500</v>
      </c>
      <c r="U64" s="19">
        <v>340</v>
      </c>
      <c r="V64" s="320">
        <f t="shared" si="5"/>
        <v>2840</v>
      </c>
      <c r="W64" s="319">
        <v>1645</v>
      </c>
      <c r="X64" s="19">
        <v>350</v>
      </c>
      <c r="Y64" s="701">
        <f t="shared" si="6"/>
        <v>1995</v>
      </c>
      <c r="Z64" s="319">
        <v>775</v>
      </c>
      <c r="AA64" s="19">
        <v>282</v>
      </c>
      <c r="AB64" s="111">
        <f t="shared" si="7"/>
        <v>1057</v>
      </c>
      <c r="AC64" s="111">
        <v>1906</v>
      </c>
      <c r="AD64" s="111">
        <v>114</v>
      </c>
      <c r="AE64" s="701">
        <f t="shared" si="8"/>
        <v>2020</v>
      </c>
      <c r="AF64" s="701">
        <v>673.5</v>
      </c>
      <c r="AG64" s="701">
        <v>292</v>
      </c>
      <c r="AH64" s="701">
        <f t="shared" si="9"/>
        <v>965.5</v>
      </c>
      <c r="AI64" s="812">
        <v>1041</v>
      </c>
      <c r="AJ64" s="701"/>
      <c r="AK64" s="701">
        <f t="shared" si="10"/>
        <v>1041</v>
      </c>
      <c r="AL64" s="319">
        <v>1160</v>
      </c>
      <c r="AM64" s="19">
        <v>200</v>
      </c>
      <c r="AN64" s="701">
        <f t="shared" si="11"/>
        <v>1360</v>
      </c>
      <c r="AO64" s="319">
        <v>1049</v>
      </c>
      <c r="AP64" s="19">
        <v>112</v>
      </c>
      <c r="AQ64" s="389">
        <f t="shared" si="12"/>
        <v>1161</v>
      </c>
      <c r="AR64" s="387">
        <f t="shared" si="13"/>
        <v>17433.5</v>
      </c>
      <c r="AS64" s="388">
        <f t="shared" si="0"/>
        <v>2214</v>
      </c>
      <c r="AT64" s="19">
        <f t="shared" si="14"/>
        <v>19647.5</v>
      </c>
      <c r="AU64" s="702">
        <f t="shared" si="16"/>
        <v>1452.7916666666667</v>
      </c>
      <c r="AV64" s="702">
        <f t="shared" si="16"/>
        <v>184.5</v>
      </c>
      <c r="AW64" s="703">
        <f t="shared" si="17"/>
        <v>1637.2916666666667</v>
      </c>
      <c r="AX64" s="703">
        <f t="shared" si="18"/>
        <v>726395.83333333337</v>
      </c>
      <c r="AY64" s="703">
        <f t="shared" si="19"/>
        <v>110700</v>
      </c>
      <c r="AZ64" s="704">
        <f t="shared" si="20"/>
        <v>837095.83333333337</v>
      </c>
      <c r="BA64" s="19">
        <v>2261</v>
      </c>
      <c r="BB64" s="19">
        <v>213</v>
      </c>
      <c r="BC64" s="813">
        <f t="shared" si="21"/>
        <v>2474</v>
      </c>
      <c r="BD64" s="19">
        <v>2800</v>
      </c>
      <c r="BE64" s="19">
        <v>270</v>
      </c>
      <c r="BF64" s="813">
        <f t="shared" si="22"/>
        <v>3070</v>
      </c>
      <c r="BG64" s="19">
        <v>2255</v>
      </c>
      <c r="BH64" s="19">
        <v>126</v>
      </c>
      <c r="BI64" s="813">
        <f t="shared" si="23"/>
        <v>2381</v>
      </c>
      <c r="BJ64" s="19">
        <v>895</v>
      </c>
      <c r="BK64" s="19">
        <v>153</v>
      </c>
      <c r="BL64" s="814">
        <f t="shared" si="24"/>
        <v>1048</v>
      </c>
      <c r="BM64" s="319">
        <v>1817</v>
      </c>
      <c r="BN64" s="19">
        <v>360</v>
      </c>
      <c r="BO64" s="868">
        <f t="shared" si="25"/>
        <v>2177</v>
      </c>
      <c r="BP64" s="319">
        <v>1204</v>
      </c>
      <c r="BQ64" s="19">
        <v>100</v>
      </c>
      <c r="BR64" s="701">
        <f t="shared" si="26"/>
        <v>1304</v>
      </c>
      <c r="BS64" s="319">
        <v>955</v>
      </c>
      <c r="BT64" s="19">
        <v>206</v>
      </c>
      <c r="BU64" s="701">
        <f>BS64+BT64</f>
        <v>1161</v>
      </c>
      <c r="BV64" s="701"/>
      <c r="BW64" s="701"/>
      <c r="BX64" s="701">
        <f>BV64+BW64</f>
        <v>0</v>
      </c>
      <c r="BY64" s="701"/>
      <c r="BZ64" s="701"/>
      <c r="CA64" s="701">
        <f>BY64+BZ64</f>
        <v>0</v>
      </c>
      <c r="CB64" s="174">
        <f t="shared" si="30"/>
        <v>12187</v>
      </c>
      <c r="CC64" s="174">
        <f t="shared" si="31"/>
        <v>1428</v>
      </c>
      <c r="CD64" s="174">
        <f t="shared" si="32"/>
        <v>13615</v>
      </c>
      <c r="CE64" s="175">
        <f t="shared" si="33"/>
        <v>1354.1111111111111</v>
      </c>
      <c r="CF64" s="175">
        <f t="shared" si="34"/>
        <v>158.66666666666666</v>
      </c>
      <c r="CG64" s="175">
        <f t="shared" si="35"/>
        <v>1512.7777777777778</v>
      </c>
      <c r="CH64" s="361"/>
      <c r="CI64" s="361"/>
      <c r="CJ64" s="361"/>
      <c r="CK64" s="361"/>
      <c r="CL64" s="361"/>
      <c r="CM64" s="361"/>
      <c r="CN64" s="361"/>
      <c r="CO64" s="361"/>
      <c r="CP64" s="361"/>
      <c r="CQ64" s="361"/>
      <c r="CR64" s="361"/>
      <c r="CS64" s="361"/>
      <c r="CT64" s="361"/>
      <c r="CU64" s="361"/>
      <c r="CV64" s="361"/>
      <c r="CW64" s="361"/>
      <c r="CX64" s="361"/>
      <c r="CY64" s="361"/>
      <c r="CZ64" s="361"/>
      <c r="DA64" s="361"/>
      <c r="DB64" s="361"/>
      <c r="DC64" s="361"/>
      <c r="DD64" s="361"/>
      <c r="DE64" s="361"/>
      <c r="DF64" s="361"/>
      <c r="DG64" s="361"/>
      <c r="DH64" s="361"/>
      <c r="DI64" s="361"/>
      <c r="DJ64" s="361"/>
      <c r="DK64" s="361"/>
      <c r="DL64" s="361"/>
      <c r="DM64" s="361"/>
      <c r="DN64" s="361"/>
      <c r="DO64" s="361"/>
      <c r="DP64" s="361"/>
      <c r="DQ64" s="361"/>
      <c r="DR64" s="361"/>
      <c r="DS64" s="361"/>
      <c r="DT64" s="361"/>
      <c r="DU64" s="361"/>
      <c r="DV64" s="361"/>
      <c r="DW64" s="361"/>
      <c r="DX64" s="361"/>
      <c r="DY64" s="361"/>
      <c r="DZ64" s="361"/>
      <c r="EA64" s="361"/>
      <c r="EB64" s="361"/>
      <c r="EC64" s="361"/>
      <c r="ED64" s="361"/>
      <c r="EE64" s="361"/>
      <c r="EF64" s="361"/>
      <c r="EG64" s="361"/>
      <c r="EH64" s="361"/>
      <c r="EI64" s="361"/>
      <c r="EJ64" s="361"/>
      <c r="EK64" s="361"/>
      <c r="EL64" s="361"/>
      <c r="EM64" s="361"/>
      <c r="EN64" s="361"/>
      <c r="EO64" s="361"/>
      <c r="EP64" s="361"/>
      <c r="EQ64" s="361"/>
      <c r="ER64" s="361"/>
      <c r="ES64" s="361"/>
      <c r="ET64" s="361"/>
      <c r="EU64" s="361"/>
      <c r="EV64" s="361"/>
      <c r="EW64" s="361"/>
      <c r="EX64" s="361"/>
      <c r="EY64" s="361"/>
      <c r="EZ64" s="361"/>
      <c r="FA64" s="361"/>
      <c r="FB64" s="361"/>
      <c r="FC64" s="361"/>
      <c r="FD64" s="361"/>
      <c r="FE64" s="361"/>
      <c r="FF64" s="361"/>
      <c r="FG64" s="361"/>
      <c r="FH64" s="361"/>
      <c r="FI64" s="361"/>
      <c r="FJ64" s="361"/>
      <c r="FK64" s="361"/>
      <c r="FL64" s="361"/>
      <c r="FM64" s="361"/>
      <c r="FN64" s="361"/>
      <c r="FO64" s="361"/>
      <c r="FP64" s="361"/>
      <c r="FQ64" s="361"/>
      <c r="FR64" s="361"/>
      <c r="FS64" s="361"/>
      <c r="FT64" s="361"/>
      <c r="FU64" s="361"/>
      <c r="FV64" s="361"/>
      <c r="FW64" s="361"/>
      <c r="FX64" s="361"/>
      <c r="FY64" s="361"/>
      <c r="FZ64" s="361"/>
      <c r="GA64" s="361"/>
      <c r="GB64" s="361"/>
      <c r="GC64" s="361"/>
      <c r="GD64" s="361"/>
      <c r="GE64" s="361"/>
      <c r="GF64" s="361"/>
      <c r="GG64" s="361"/>
      <c r="GH64" s="361"/>
      <c r="GI64" s="361"/>
      <c r="GJ64" s="361"/>
      <c r="GK64" s="361"/>
      <c r="GL64" s="361"/>
      <c r="GM64" s="361"/>
      <c r="GN64" s="361"/>
      <c r="GO64" s="361"/>
      <c r="GP64" s="361"/>
      <c r="GQ64" s="361"/>
      <c r="GR64" s="361"/>
      <c r="GS64" s="361"/>
      <c r="GT64" s="361"/>
      <c r="GU64" s="361"/>
      <c r="GV64" s="361"/>
      <c r="GW64" s="361"/>
      <c r="GX64" s="361"/>
      <c r="GY64" s="361"/>
      <c r="GZ64" s="361"/>
      <c r="HA64" s="361"/>
      <c r="HB64" s="361"/>
      <c r="HC64" s="361"/>
      <c r="HD64" s="361"/>
      <c r="HE64" s="361"/>
    </row>
    <row r="65" spans="1:213" s="699" customFormat="1" ht="17.25" thickBot="1">
      <c r="A65" s="834">
        <v>58</v>
      </c>
      <c r="B65" s="870" t="s">
        <v>3213</v>
      </c>
      <c r="C65" s="111"/>
      <c r="D65" s="111" t="s">
        <v>3214</v>
      </c>
      <c r="E65" s="835" t="s">
        <v>3101</v>
      </c>
      <c r="F65" s="810">
        <v>290.66000000000003</v>
      </c>
      <c r="G65" s="811" t="s">
        <v>18</v>
      </c>
      <c r="H65" s="19">
        <v>172</v>
      </c>
      <c r="I65" s="19">
        <v>102</v>
      </c>
      <c r="J65" s="701">
        <f t="shared" si="2"/>
        <v>274</v>
      </c>
      <c r="K65" s="319"/>
      <c r="L65" s="19"/>
      <c r="M65" s="389">
        <f t="shared" si="3"/>
        <v>0</v>
      </c>
      <c r="N65" s="100">
        <v>320</v>
      </c>
      <c r="O65" s="19"/>
      <c r="P65" s="320">
        <f t="shared" si="36"/>
        <v>320</v>
      </c>
      <c r="Q65" s="319">
        <v>270</v>
      </c>
      <c r="R65" s="19"/>
      <c r="S65" s="320">
        <f t="shared" si="4"/>
        <v>270</v>
      </c>
      <c r="T65" s="319">
        <v>364</v>
      </c>
      <c r="U65" s="19">
        <v>26</v>
      </c>
      <c r="V65" s="320">
        <f t="shared" si="5"/>
        <v>390</v>
      </c>
      <c r="W65" s="319">
        <v>354</v>
      </c>
      <c r="X65" s="19">
        <v>48</v>
      </c>
      <c r="Y65" s="701">
        <f t="shared" si="6"/>
        <v>402</v>
      </c>
      <c r="Z65" s="319"/>
      <c r="AA65" s="19"/>
      <c r="AB65" s="111">
        <f t="shared" si="7"/>
        <v>0</v>
      </c>
      <c r="AC65" s="111">
        <v>562</v>
      </c>
      <c r="AD65" s="111">
        <v>174</v>
      </c>
      <c r="AE65" s="701">
        <f t="shared" si="8"/>
        <v>736</v>
      </c>
      <c r="AF65" s="701">
        <v>340</v>
      </c>
      <c r="AG65" s="701">
        <v>36</v>
      </c>
      <c r="AH65" s="701">
        <f t="shared" si="9"/>
        <v>376</v>
      </c>
      <c r="AI65" s="812"/>
      <c r="AJ65" s="701"/>
      <c r="AK65" s="701">
        <f t="shared" si="10"/>
        <v>0</v>
      </c>
      <c r="AL65" s="319">
        <v>172</v>
      </c>
      <c r="AM65" s="19">
        <v>54</v>
      </c>
      <c r="AN65" s="701">
        <f t="shared" si="11"/>
        <v>226</v>
      </c>
      <c r="AO65" s="319"/>
      <c r="AP65" s="19"/>
      <c r="AQ65" s="389">
        <f t="shared" si="12"/>
        <v>0</v>
      </c>
      <c r="AR65" s="387">
        <f t="shared" si="13"/>
        <v>2554</v>
      </c>
      <c r="AS65" s="388">
        <f t="shared" si="0"/>
        <v>440</v>
      </c>
      <c r="AT65" s="19">
        <f t="shared" si="14"/>
        <v>2994</v>
      </c>
      <c r="AU65" s="702">
        <f t="shared" si="16"/>
        <v>212.83333333333334</v>
      </c>
      <c r="AV65" s="702">
        <f t="shared" si="16"/>
        <v>36.666666666666664</v>
      </c>
      <c r="AW65" s="703">
        <f t="shared" si="17"/>
        <v>249.5</v>
      </c>
      <c r="AX65" s="703">
        <f t="shared" si="18"/>
        <v>106416.66666666667</v>
      </c>
      <c r="AY65" s="703">
        <f t="shared" si="19"/>
        <v>22000</v>
      </c>
      <c r="AZ65" s="704">
        <f t="shared" si="20"/>
        <v>128416.66666666667</v>
      </c>
      <c r="BA65" s="19">
        <v>326</v>
      </c>
      <c r="BB65" s="19">
        <v>82</v>
      </c>
      <c r="BC65" s="813">
        <f t="shared" si="21"/>
        <v>408</v>
      </c>
      <c r="BD65" s="19">
        <v>148</v>
      </c>
      <c r="BE65" s="19">
        <v>54</v>
      </c>
      <c r="BF65" s="813">
        <f t="shared" si="22"/>
        <v>202</v>
      </c>
      <c r="BG65" s="19">
        <v>246</v>
      </c>
      <c r="BH65" s="19">
        <v>92</v>
      </c>
      <c r="BI65" s="813">
        <f t="shared" si="23"/>
        <v>338</v>
      </c>
      <c r="BJ65" s="19">
        <v>304</v>
      </c>
      <c r="BK65" s="19">
        <v>144</v>
      </c>
      <c r="BL65" s="814">
        <f t="shared" si="24"/>
        <v>448</v>
      </c>
      <c r="BM65" s="319">
        <v>300</v>
      </c>
      <c r="BN65" s="19"/>
      <c r="BO65" s="868">
        <f t="shared" si="25"/>
        <v>300</v>
      </c>
      <c r="BP65" s="319">
        <v>342</v>
      </c>
      <c r="BQ65" s="19">
        <v>90</v>
      </c>
      <c r="BR65" s="701">
        <f t="shared" si="26"/>
        <v>432</v>
      </c>
      <c r="BS65" s="319"/>
      <c r="BT65" s="19"/>
      <c r="BU65" s="701">
        <f>BS65+BT65</f>
        <v>0</v>
      </c>
      <c r="BV65" s="701"/>
      <c r="BW65" s="701"/>
      <c r="BX65" s="701">
        <f>BV65+BW65</f>
        <v>0</v>
      </c>
      <c r="BY65" s="701"/>
      <c r="BZ65" s="701"/>
      <c r="CA65" s="701">
        <f>BY65+BZ65</f>
        <v>0</v>
      </c>
      <c r="CB65" s="174">
        <f t="shared" si="30"/>
        <v>1666</v>
      </c>
      <c r="CC65" s="174">
        <f t="shared" si="31"/>
        <v>462</v>
      </c>
      <c r="CD65" s="174">
        <f t="shared" si="32"/>
        <v>2128</v>
      </c>
      <c r="CE65" s="175">
        <f t="shared" si="33"/>
        <v>185.11111111111111</v>
      </c>
      <c r="CF65" s="175">
        <f t="shared" si="34"/>
        <v>51.333333333333336</v>
      </c>
      <c r="CG65" s="175">
        <f t="shared" si="35"/>
        <v>236.44444444444446</v>
      </c>
      <c r="CH65" s="361"/>
      <c r="CI65" s="361"/>
      <c r="CJ65" s="361"/>
      <c r="CK65" s="361"/>
      <c r="CL65" s="361"/>
      <c r="CM65" s="361"/>
      <c r="CN65" s="361"/>
      <c r="CO65" s="361"/>
      <c r="CP65" s="361"/>
      <c r="CQ65" s="361"/>
      <c r="CR65" s="361"/>
      <c r="CS65" s="361"/>
      <c r="CT65" s="361"/>
      <c r="CU65" s="361"/>
      <c r="CV65" s="361"/>
      <c r="CW65" s="361"/>
      <c r="CX65" s="361"/>
      <c r="CY65" s="361"/>
      <c r="CZ65" s="361"/>
      <c r="DA65" s="361"/>
      <c r="DB65" s="361"/>
      <c r="DC65" s="361"/>
      <c r="DD65" s="361"/>
      <c r="DE65" s="361"/>
      <c r="DF65" s="361"/>
      <c r="DG65" s="361"/>
      <c r="DH65" s="361"/>
      <c r="DI65" s="361"/>
      <c r="DJ65" s="361"/>
      <c r="DK65" s="361"/>
      <c r="DL65" s="361"/>
      <c r="DM65" s="361"/>
      <c r="DN65" s="361"/>
      <c r="DO65" s="361"/>
      <c r="DP65" s="361"/>
      <c r="DQ65" s="361"/>
      <c r="DR65" s="361"/>
      <c r="DS65" s="361"/>
      <c r="DT65" s="361"/>
      <c r="DU65" s="361"/>
      <c r="DV65" s="361"/>
      <c r="DW65" s="361"/>
      <c r="DX65" s="361"/>
      <c r="DY65" s="361"/>
      <c r="DZ65" s="361"/>
      <c r="EA65" s="361"/>
      <c r="EB65" s="361"/>
      <c r="EC65" s="361"/>
      <c r="ED65" s="361"/>
      <c r="EE65" s="361"/>
      <c r="EF65" s="361"/>
      <c r="EG65" s="361"/>
      <c r="EH65" s="361"/>
      <c r="EI65" s="361"/>
      <c r="EJ65" s="361"/>
      <c r="EK65" s="361"/>
      <c r="EL65" s="361"/>
      <c r="EM65" s="361"/>
      <c r="EN65" s="361"/>
      <c r="EO65" s="361"/>
      <c r="EP65" s="361"/>
      <c r="EQ65" s="361"/>
      <c r="ER65" s="361"/>
      <c r="ES65" s="361"/>
      <c r="ET65" s="361"/>
      <c r="EU65" s="361"/>
      <c r="EV65" s="361"/>
      <c r="EW65" s="361"/>
      <c r="EX65" s="361"/>
      <c r="EY65" s="361"/>
      <c r="EZ65" s="361"/>
      <c r="FA65" s="361"/>
      <c r="FB65" s="361"/>
      <c r="FC65" s="361"/>
      <c r="FD65" s="361"/>
      <c r="FE65" s="361"/>
      <c r="FF65" s="361"/>
      <c r="FG65" s="361"/>
      <c r="FH65" s="361"/>
      <c r="FI65" s="361"/>
      <c r="FJ65" s="361"/>
      <c r="FK65" s="361"/>
      <c r="FL65" s="361"/>
      <c r="FM65" s="361"/>
      <c r="FN65" s="361"/>
      <c r="FO65" s="361"/>
      <c r="FP65" s="361"/>
      <c r="FQ65" s="361"/>
      <c r="FR65" s="361"/>
      <c r="FS65" s="361"/>
      <c r="FT65" s="361"/>
      <c r="FU65" s="361"/>
      <c r="FV65" s="361"/>
      <c r="FW65" s="361"/>
      <c r="FX65" s="361"/>
      <c r="FY65" s="361"/>
      <c r="FZ65" s="361"/>
      <c r="GA65" s="361"/>
      <c r="GB65" s="361"/>
      <c r="GC65" s="361"/>
      <c r="GD65" s="361"/>
      <c r="GE65" s="361"/>
      <c r="GF65" s="361"/>
      <c r="GG65" s="361"/>
      <c r="GH65" s="361"/>
      <c r="GI65" s="361"/>
      <c r="GJ65" s="361"/>
      <c r="GK65" s="361"/>
      <c r="GL65" s="361"/>
      <c r="GM65" s="361"/>
      <c r="GN65" s="361"/>
      <c r="GO65" s="361"/>
      <c r="GP65" s="361"/>
      <c r="GQ65" s="361"/>
      <c r="GR65" s="361"/>
      <c r="GS65" s="361"/>
      <c r="GT65" s="361"/>
      <c r="GU65" s="361"/>
      <c r="GV65" s="361"/>
      <c r="GW65" s="361"/>
      <c r="GX65" s="361"/>
      <c r="GY65" s="361"/>
      <c r="GZ65" s="361"/>
      <c r="HA65" s="361"/>
      <c r="HB65" s="361"/>
      <c r="HC65" s="361"/>
      <c r="HD65" s="361"/>
      <c r="HE65" s="361"/>
    </row>
    <row r="66" spans="1:213" ht="17.25" thickBot="1">
      <c r="A66" s="760">
        <v>59</v>
      </c>
      <c r="B66" s="804" t="s">
        <v>3215</v>
      </c>
      <c r="C66" s="15"/>
      <c r="D66" s="15" t="s">
        <v>3216</v>
      </c>
      <c r="E66" s="762" t="s">
        <v>3101</v>
      </c>
      <c r="F66" s="800">
        <v>0</v>
      </c>
      <c r="G66" s="801" t="s">
        <v>18</v>
      </c>
      <c r="H66" s="1">
        <v>18</v>
      </c>
      <c r="I66" s="1"/>
      <c r="J66" s="372">
        <f t="shared" si="2"/>
        <v>18</v>
      </c>
      <c r="K66" s="382"/>
      <c r="L66" s="1"/>
      <c r="M66" s="694">
        <f t="shared" si="3"/>
        <v>0</v>
      </c>
      <c r="N66" s="103"/>
      <c r="O66" s="1"/>
      <c r="P66" s="105">
        <f t="shared" si="36"/>
        <v>0</v>
      </c>
      <c r="Q66" s="382"/>
      <c r="R66" s="1"/>
      <c r="S66" s="105">
        <f t="shared" si="4"/>
        <v>0</v>
      </c>
      <c r="T66" s="382"/>
      <c r="U66" s="1"/>
      <c r="V66" s="105">
        <f t="shared" si="5"/>
        <v>0</v>
      </c>
      <c r="W66" s="382"/>
      <c r="X66" s="1"/>
      <c r="Y66" s="372">
        <f t="shared" si="6"/>
        <v>0</v>
      </c>
      <c r="Z66" s="382">
        <v>18</v>
      </c>
      <c r="AA66" s="1"/>
      <c r="AB66" s="379">
        <f t="shared" si="7"/>
        <v>18</v>
      </c>
      <c r="AC66" s="379"/>
      <c r="AD66" s="379"/>
      <c r="AE66" s="372">
        <f t="shared" si="8"/>
        <v>0</v>
      </c>
      <c r="AF66" s="372"/>
      <c r="AG66" s="372"/>
      <c r="AH66" s="372">
        <f t="shared" si="9"/>
        <v>0</v>
      </c>
      <c r="AI66" s="765"/>
      <c r="AJ66" s="372"/>
      <c r="AK66" s="372">
        <f t="shared" si="10"/>
        <v>0</v>
      </c>
      <c r="AL66" s="382"/>
      <c r="AM66" s="1"/>
      <c r="AN66" s="372">
        <f t="shared" si="11"/>
        <v>0</v>
      </c>
      <c r="AO66" s="78"/>
      <c r="AP66" s="6"/>
      <c r="AQ66" s="697">
        <f t="shared" si="12"/>
        <v>0</v>
      </c>
      <c r="AR66" s="766">
        <f t="shared" si="13"/>
        <v>36</v>
      </c>
      <c r="AS66" s="692">
        <f t="shared" si="0"/>
        <v>0</v>
      </c>
      <c r="AT66" s="6">
        <f t="shared" si="14"/>
        <v>36</v>
      </c>
      <c r="AU66" s="585">
        <f t="shared" si="16"/>
        <v>3</v>
      </c>
      <c r="AV66" s="585">
        <f t="shared" si="16"/>
        <v>0</v>
      </c>
      <c r="AW66" s="494">
        <f t="shared" si="17"/>
        <v>3</v>
      </c>
      <c r="AX66" s="217">
        <f t="shared" si="18"/>
        <v>1500</v>
      </c>
      <c r="AY66" s="217">
        <f t="shared" si="19"/>
        <v>0</v>
      </c>
      <c r="AZ66" s="695">
        <f t="shared" si="20"/>
        <v>1500</v>
      </c>
      <c r="BA66" s="1">
        <v>18</v>
      </c>
      <c r="BB66" s="1"/>
      <c r="BC66" s="769">
        <f t="shared" si="21"/>
        <v>18</v>
      </c>
      <c r="BD66" s="1"/>
      <c r="BE66" s="1"/>
      <c r="BF66" s="769">
        <f t="shared" si="22"/>
        <v>0</v>
      </c>
      <c r="BG66" s="1"/>
      <c r="BH66" s="1"/>
      <c r="BI66" s="769">
        <f t="shared" si="23"/>
        <v>0</v>
      </c>
      <c r="BJ66" s="1"/>
      <c r="BK66" s="1"/>
      <c r="BL66" s="770">
        <f t="shared" si="24"/>
        <v>0</v>
      </c>
      <c r="BM66" s="78"/>
      <c r="BN66" s="6"/>
      <c r="BO66" s="772">
        <f t="shared" si="25"/>
        <v>0</v>
      </c>
      <c r="BP66" s="78"/>
      <c r="BQ66" s="6"/>
      <c r="BR66" s="693">
        <f t="shared" si="26"/>
        <v>0</v>
      </c>
      <c r="BS66" s="78"/>
      <c r="BT66" s="6"/>
      <c r="BU66" s="693">
        <f t="shared" ref="BU66:BU68" si="58">BS66+BT66</f>
        <v>0</v>
      </c>
      <c r="BV66" s="693"/>
      <c r="BW66" s="693"/>
      <c r="BX66" s="693">
        <f t="shared" ref="BX66:BX68" si="59">BV66+BW66</f>
        <v>0</v>
      </c>
      <c r="BY66" s="693"/>
      <c r="BZ66" s="693"/>
      <c r="CA66" s="693">
        <f t="shared" ref="CA66:CA68" si="60">BY66+BZ66</f>
        <v>0</v>
      </c>
      <c r="CB66" s="174">
        <f t="shared" si="30"/>
        <v>18</v>
      </c>
      <c r="CC66" s="174">
        <f t="shared" si="31"/>
        <v>0</v>
      </c>
      <c r="CD66" s="174">
        <f t="shared" si="32"/>
        <v>18</v>
      </c>
      <c r="CE66" s="175">
        <f t="shared" si="33"/>
        <v>2</v>
      </c>
      <c r="CF66" s="175">
        <f t="shared" si="34"/>
        <v>0</v>
      </c>
      <c r="CG66" s="175">
        <f t="shared" si="35"/>
        <v>2</v>
      </c>
    </row>
    <row r="67" spans="1:213" s="798" customFormat="1" ht="17.25" thickBot="1">
      <c r="A67" s="773">
        <v>60</v>
      </c>
      <c r="B67" s="816" t="s">
        <v>3217</v>
      </c>
      <c r="C67" s="775"/>
      <c r="D67" s="775" t="s">
        <v>3218</v>
      </c>
      <c r="E67" s="776" t="s">
        <v>3101</v>
      </c>
      <c r="F67" s="777">
        <v>0</v>
      </c>
      <c r="G67" s="778" t="s">
        <v>18</v>
      </c>
      <c r="H67" s="779">
        <v>10</v>
      </c>
      <c r="I67" s="779"/>
      <c r="J67" s="780">
        <f t="shared" si="2"/>
        <v>10</v>
      </c>
      <c r="K67" s="781"/>
      <c r="L67" s="779"/>
      <c r="M67" s="782">
        <f t="shared" si="3"/>
        <v>0</v>
      </c>
      <c r="N67" s="783"/>
      <c r="O67" s="779"/>
      <c r="P67" s="784">
        <f t="shared" si="36"/>
        <v>0</v>
      </c>
      <c r="Q67" s="781"/>
      <c r="R67" s="779"/>
      <c r="S67" s="784">
        <f t="shared" si="4"/>
        <v>0</v>
      </c>
      <c r="T67" s="781"/>
      <c r="U67" s="779"/>
      <c r="V67" s="784">
        <f t="shared" si="5"/>
        <v>0</v>
      </c>
      <c r="W67" s="781"/>
      <c r="X67" s="779"/>
      <c r="Y67" s="780">
        <f t="shared" si="6"/>
        <v>0</v>
      </c>
      <c r="Z67" s="781"/>
      <c r="AA67" s="779"/>
      <c r="AB67" s="785">
        <f t="shared" si="7"/>
        <v>0</v>
      </c>
      <c r="AC67" s="785"/>
      <c r="AD67" s="785"/>
      <c r="AE67" s="780">
        <f t="shared" si="8"/>
        <v>0</v>
      </c>
      <c r="AF67" s="780"/>
      <c r="AG67" s="780"/>
      <c r="AH67" s="780">
        <f t="shared" si="9"/>
        <v>0</v>
      </c>
      <c r="AI67" s="786"/>
      <c r="AJ67" s="780"/>
      <c r="AK67" s="780">
        <f t="shared" si="10"/>
        <v>0</v>
      </c>
      <c r="AL67" s="781"/>
      <c r="AM67" s="779"/>
      <c r="AN67" s="780">
        <f t="shared" si="11"/>
        <v>0</v>
      </c>
      <c r="AO67" s="787"/>
      <c r="AP67" s="788"/>
      <c r="AQ67" s="789">
        <f t="shared" si="12"/>
        <v>0</v>
      </c>
      <c r="AR67" s="790">
        <f t="shared" si="13"/>
        <v>10</v>
      </c>
      <c r="AS67" s="791">
        <f t="shared" si="0"/>
        <v>0</v>
      </c>
      <c r="AT67" s="788">
        <f t="shared" si="14"/>
        <v>10</v>
      </c>
      <c r="AU67" s="792">
        <f t="shared" si="16"/>
        <v>0.83333333333333337</v>
      </c>
      <c r="AV67" s="792">
        <f t="shared" si="16"/>
        <v>0</v>
      </c>
      <c r="AW67" s="793">
        <f t="shared" si="17"/>
        <v>0.83333333333333337</v>
      </c>
      <c r="AX67" s="794">
        <f t="shared" si="18"/>
        <v>416.66666666666669</v>
      </c>
      <c r="AY67" s="794">
        <f t="shared" si="19"/>
        <v>0</v>
      </c>
      <c r="AZ67" s="795">
        <f t="shared" si="20"/>
        <v>416.66666666666669</v>
      </c>
      <c r="BA67" s="779"/>
      <c r="BB67" s="779"/>
      <c r="BC67" s="796">
        <f t="shared" si="21"/>
        <v>0</v>
      </c>
      <c r="BD67" s="779"/>
      <c r="BE67" s="779"/>
      <c r="BF67" s="796">
        <f t="shared" si="22"/>
        <v>0</v>
      </c>
      <c r="BG67" s="779"/>
      <c r="BH67" s="779"/>
      <c r="BI67" s="796">
        <f t="shared" si="23"/>
        <v>0</v>
      </c>
      <c r="BJ67" s="779"/>
      <c r="BK67" s="779"/>
      <c r="BL67" s="797">
        <f t="shared" si="24"/>
        <v>0</v>
      </c>
      <c r="BM67" s="787"/>
      <c r="BN67" s="788"/>
      <c r="BO67" s="772">
        <f t="shared" si="25"/>
        <v>0</v>
      </c>
      <c r="BP67" s="787"/>
      <c r="BQ67" s="788"/>
      <c r="BR67" s="693">
        <f t="shared" si="26"/>
        <v>0</v>
      </c>
      <c r="BS67" s="787"/>
      <c r="BT67" s="788"/>
      <c r="BU67" s="693">
        <f t="shared" si="58"/>
        <v>0</v>
      </c>
      <c r="BV67" s="693"/>
      <c r="BW67" s="693"/>
      <c r="BX67" s="693">
        <f t="shared" si="59"/>
        <v>0</v>
      </c>
      <c r="BY67" s="693"/>
      <c r="BZ67" s="693"/>
      <c r="CA67" s="693">
        <f t="shared" si="60"/>
        <v>0</v>
      </c>
      <c r="CB67" s="174">
        <f t="shared" si="30"/>
        <v>0</v>
      </c>
      <c r="CC67" s="174">
        <f t="shared" si="31"/>
        <v>0</v>
      </c>
      <c r="CD67" s="174">
        <f t="shared" si="32"/>
        <v>0</v>
      </c>
      <c r="CE67" s="175">
        <f t="shared" si="33"/>
        <v>0</v>
      </c>
      <c r="CF67" s="175">
        <f t="shared" si="34"/>
        <v>0</v>
      </c>
      <c r="CG67" s="175">
        <f t="shared" si="35"/>
        <v>0</v>
      </c>
      <c r="CH67" s="823"/>
      <c r="CI67" s="823"/>
      <c r="CJ67" s="823"/>
      <c r="CK67" s="823"/>
      <c r="CL67" s="823"/>
      <c r="CM67" s="823"/>
      <c r="CN67" s="823"/>
      <c r="CO67" s="823"/>
      <c r="CP67" s="823"/>
      <c r="CQ67" s="823"/>
      <c r="CR67" s="823"/>
      <c r="CS67" s="823"/>
      <c r="CT67" s="823"/>
      <c r="CU67" s="823"/>
      <c r="CV67" s="823"/>
      <c r="CW67" s="823"/>
      <c r="CX67" s="823"/>
      <c r="CY67" s="823"/>
      <c r="CZ67" s="823"/>
      <c r="DA67" s="823"/>
      <c r="DB67" s="823"/>
      <c r="DC67" s="823"/>
      <c r="DD67" s="823"/>
      <c r="DE67" s="823"/>
      <c r="DF67" s="823"/>
      <c r="DG67" s="823"/>
      <c r="DH67" s="823"/>
      <c r="DI67" s="823"/>
      <c r="DJ67" s="823"/>
      <c r="DK67" s="823"/>
      <c r="DL67" s="823"/>
      <c r="DM67" s="823"/>
      <c r="DN67" s="823"/>
      <c r="DO67" s="823"/>
      <c r="DP67" s="823"/>
      <c r="DQ67" s="823"/>
      <c r="DR67" s="823"/>
      <c r="DS67" s="823"/>
      <c r="DT67" s="823"/>
      <c r="DU67" s="823"/>
      <c r="DV67" s="823"/>
      <c r="DW67" s="823"/>
      <c r="DX67" s="823"/>
      <c r="DY67" s="823"/>
      <c r="DZ67" s="823"/>
      <c r="EA67" s="823"/>
      <c r="EB67" s="823"/>
      <c r="EC67" s="823"/>
      <c r="ED67" s="823"/>
      <c r="EE67" s="823"/>
      <c r="EF67" s="823"/>
      <c r="EG67" s="823"/>
      <c r="EH67" s="823"/>
      <c r="EI67" s="823"/>
      <c r="EJ67" s="823"/>
      <c r="EK67" s="823"/>
      <c r="EL67" s="823"/>
      <c r="EM67" s="823"/>
      <c r="EN67" s="823"/>
      <c r="EO67" s="823"/>
      <c r="EP67" s="823"/>
      <c r="EQ67" s="823"/>
      <c r="ER67" s="823"/>
      <c r="ES67" s="823"/>
      <c r="ET67" s="823"/>
      <c r="EU67" s="823"/>
      <c r="EV67" s="823"/>
      <c r="EW67" s="823"/>
      <c r="EX67" s="823"/>
      <c r="EY67" s="823"/>
      <c r="EZ67" s="823"/>
      <c r="FA67" s="823"/>
      <c r="FB67" s="823"/>
      <c r="FC67" s="823"/>
      <c r="FD67" s="823"/>
      <c r="FE67" s="823"/>
      <c r="FF67" s="823"/>
      <c r="FG67" s="823"/>
      <c r="FH67" s="823"/>
      <c r="FI67" s="823"/>
      <c r="FJ67" s="823"/>
      <c r="FK67" s="823"/>
      <c r="FL67" s="823"/>
      <c r="FM67" s="823"/>
      <c r="FN67" s="823"/>
      <c r="FO67" s="823"/>
      <c r="FP67" s="823"/>
      <c r="FQ67" s="823"/>
      <c r="FR67" s="823"/>
      <c r="FS67" s="823"/>
      <c r="FT67" s="823"/>
      <c r="FU67" s="823"/>
      <c r="FV67" s="823"/>
      <c r="FW67" s="823"/>
      <c r="FX67" s="823"/>
      <c r="FY67" s="823"/>
      <c r="FZ67" s="823"/>
      <c r="GA67" s="823"/>
      <c r="GB67" s="823"/>
      <c r="GC67" s="823"/>
      <c r="GD67" s="823"/>
      <c r="GE67" s="823"/>
      <c r="GF67" s="823"/>
      <c r="GG67" s="823"/>
      <c r="GH67" s="823"/>
      <c r="GI67" s="823"/>
      <c r="GJ67" s="823"/>
      <c r="GK67" s="823"/>
      <c r="GL67" s="823"/>
      <c r="GM67" s="823"/>
      <c r="GN67" s="823"/>
      <c r="GO67" s="823"/>
      <c r="GP67" s="823"/>
      <c r="GQ67" s="823"/>
      <c r="GR67" s="823"/>
      <c r="GS67" s="823"/>
      <c r="GT67" s="823"/>
      <c r="GU67" s="823"/>
      <c r="GV67" s="823"/>
      <c r="GW67" s="823"/>
      <c r="GX67" s="823"/>
      <c r="GY67" s="823"/>
      <c r="GZ67" s="823"/>
      <c r="HA67" s="823"/>
      <c r="HB67" s="823"/>
      <c r="HC67" s="823"/>
      <c r="HD67" s="823"/>
      <c r="HE67" s="823"/>
    </row>
    <row r="68" spans="1:213" s="798" customFormat="1" ht="17.25" thickBot="1">
      <c r="A68" s="825">
        <v>61</v>
      </c>
      <c r="B68" s="816" t="s">
        <v>3219</v>
      </c>
      <c r="C68" s="775"/>
      <c r="D68" s="775" t="s">
        <v>3220</v>
      </c>
      <c r="E68" s="826" t="s">
        <v>3101</v>
      </c>
      <c r="F68" s="777">
        <v>6.66</v>
      </c>
      <c r="G68" s="778" t="s">
        <v>15</v>
      </c>
      <c r="H68" s="779"/>
      <c r="I68" s="779"/>
      <c r="J68" s="780">
        <f t="shared" si="2"/>
        <v>0</v>
      </c>
      <c r="K68" s="781"/>
      <c r="L68" s="779"/>
      <c r="M68" s="782">
        <f t="shared" si="3"/>
        <v>0</v>
      </c>
      <c r="N68" s="783"/>
      <c r="O68" s="779"/>
      <c r="P68" s="784">
        <f t="shared" si="36"/>
        <v>0</v>
      </c>
      <c r="Q68" s="781"/>
      <c r="R68" s="779"/>
      <c r="S68" s="784">
        <f t="shared" si="4"/>
        <v>0</v>
      </c>
      <c r="T68" s="781"/>
      <c r="U68" s="779"/>
      <c r="V68" s="784">
        <f t="shared" si="5"/>
        <v>0</v>
      </c>
      <c r="W68" s="781"/>
      <c r="X68" s="779"/>
      <c r="Y68" s="780">
        <f t="shared" si="6"/>
        <v>0</v>
      </c>
      <c r="Z68" s="781"/>
      <c r="AA68" s="779"/>
      <c r="AB68" s="785">
        <f t="shared" si="7"/>
        <v>0</v>
      </c>
      <c r="AC68" s="785"/>
      <c r="AD68" s="785"/>
      <c r="AE68" s="780">
        <f t="shared" si="8"/>
        <v>0</v>
      </c>
      <c r="AF68" s="780"/>
      <c r="AG68" s="780"/>
      <c r="AH68" s="780">
        <f t="shared" si="9"/>
        <v>0</v>
      </c>
      <c r="AI68" s="786"/>
      <c r="AJ68" s="780"/>
      <c r="AK68" s="780">
        <f t="shared" si="10"/>
        <v>0</v>
      </c>
      <c r="AL68" s="781"/>
      <c r="AM68" s="779"/>
      <c r="AN68" s="780">
        <f t="shared" si="11"/>
        <v>0</v>
      </c>
      <c r="AO68" s="787"/>
      <c r="AP68" s="788"/>
      <c r="AQ68" s="789">
        <f t="shared" si="12"/>
        <v>0</v>
      </c>
      <c r="AR68" s="790">
        <f t="shared" si="13"/>
        <v>0</v>
      </c>
      <c r="AS68" s="791">
        <f t="shared" si="0"/>
        <v>0</v>
      </c>
      <c r="AT68" s="788">
        <f t="shared" si="14"/>
        <v>0</v>
      </c>
      <c r="AU68" s="792">
        <f t="shared" si="16"/>
        <v>0</v>
      </c>
      <c r="AV68" s="792">
        <f t="shared" si="16"/>
        <v>0</v>
      </c>
      <c r="AW68" s="793">
        <f t="shared" si="17"/>
        <v>0</v>
      </c>
      <c r="AX68" s="794">
        <f t="shared" si="18"/>
        <v>0</v>
      </c>
      <c r="AY68" s="794">
        <f t="shared" si="19"/>
        <v>0</v>
      </c>
      <c r="AZ68" s="795">
        <f t="shared" si="20"/>
        <v>0</v>
      </c>
      <c r="BA68" s="779"/>
      <c r="BB68" s="779"/>
      <c r="BC68" s="796">
        <f t="shared" si="21"/>
        <v>0</v>
      </c>
      <c r="BD68" s="779"/>
      <c r="BE68" s="779"/>
      <c r="BF68" s="796">
        <f t="shared" si="22"/>
        <v>0</v>
      </c>
      <c r="BG68" s="779"/>
      <c r="BH68" s="779"/>
      <c r="BI68" s="796">
        <f t="shared" si="23"/>
        <v>0</v>
      </c>
      <c r="BJ68" s="779"/>
      <c r="BK68" s="779"/>
      <c r="BL68" s="797">
        <f t="shared" si="24"/>
        <v>0</v>
      </c>
      <c r="BM68" s="787"/>
      <c r="BN68" s="788"/>
      <c r="BO68" s="772">
        <f t="shared" si="25"/>
        <v>0</v>
      </c>
      <c r="BP68" s="787"/>
      <c r="BQ68" s="788"/>
      <c r="BR68" s="693">
        <f t="shared" si="26"/>
        <v>0</v>
      </c>
      <c r="BS68" s="787"/>
      <c r="BT68" s="788"/>
      <c r="BU68" s="693">
        <f t="shared" si="58"/>
        <v>0</v>
      </c>
      <c r="BV68" s="693"/>
      <c r="BW68" s="693"/>
      <c r="BX68" s="693">
        <f t="shared" si="59"/>
        <v>0</v>
      </c>
      <c r="BY68" s="693"/>
      <c r="BZ68" s="693"/>
      <c r="CA68" s="693">
        <f t="shared" si="60"/>
        <v>0</v>
      </c>
      <c r="CB68" s="174">
        <f t="shared" si="30"/>
        <v>0</v>
      </c>
      <c r="CC68" s="174">
        <f t="shared" si="31"/>
        <v>0</v>
      </c>
      <c r="CD68" s="174">
        <f t="shared" si="32"/>
        <v>0</v>
      </c>
      <c r="CE68" s="175">
        <f t="shared" si="33"/>
        <v>0</v>
      </c>
      <c r="CF68" s="175">
        <f t="shared" si="34"/>
        <v>0</v>
      </c>
      <c r="CG68" s="175">
        <f t="shared" si="35"/>
        <v>0</v>
      </c>
      <c r="CH68" s="823"/>
      <c r="CI68" s="823"/>
      <c r="CJ68" s="823"/>
      <c r="CK68" s="823"/>
      <c r="CL68" s="823"/>
      <c r="CM68" s="823"/>
      <c r="CN68" s="823"/>
      <c r="CO68" s="823"/>
      <c r="CP68" s="823"/>
      <c r="CQ68" s="823"/>
      <c r="CR68" s="823"/>
      <c r="CS68" s="823"/>
      <c r="CT68" s="823"/>
      <c r="CU68" s="823"/>
      <c r="CV68" s="823"/>
      <c r="CW68" s="823"/>
      <c r="CX68" s="823"/>
      <c r="CY68" s="823"/>
      <c r="CZ68" s="823"/>
      <c r="DA68" s="823"/>
      <c r="DB68" s="823"/>
      <c r="DC68" s="823"/>
      <c r="DD68" s="823"/>
      <c r="DE68" s="823"/>
      <c r="DF68" s="823"/>
      <c r="DG68" s="823"/>
      <c r="DH68" s="823"/>
      <c r="DI68" s="823"/>
      <c r="DJ68" s="823"/>
      <c r="DK68" s="823"/>
      <c r="DL68" s="823"/>
      <c r="DM68" s="823"/>
      <c r="DN68" s="823"/>
      <c r="DO68" s="823"/>
      <c r="DP68" s="823"/>
      <c r="DQ68" s="823"/>
      <c r="DR68" s="823"/>
      <c r="DS68" s="823"/>
      <c r="DT68" s="823"/>
      <c r="DU68" s="823"/>
      <c r="DV68" s="823"/>
      <c r="DW68" s="823"/>
      <c r="DX68" s="823"/>
      <c r="DY68" s="823"/>
      <c r="DZ68" s="823"/>
      <c r="EA68" s="823"/>
      <c r="EB68" s="823"/>
      <c r="EC68" s="823"/>
      <c r="ED68" s="823"/>
      <c r="EE68" s="823"/>
      <c r="EF68" s="823"/>
      <c r="EG68" s="823"/>
      <c r="EH68" s="823"/>
      <c r="EI68" s="823"/>
      <c r="EJ68" s="823"/>
      <c r="EK68" s="823"/>
      <c r="EL68" s="823"/>
      <c r="EM68" s="823"/>
      <c r="EN68" s="823"/>
      <c r="EO68" s="823"/>
      <c r="EP68" s="823"/>
      <c r="EQ68" s="823"/>
      <c r="ER68" s="823"/>
      <c r="ES68" s="823"/>
      <c r="ET68" s="823"/>
      <c r="EU68" s="823"/>
      <c r="EV68" s="823"/>
      <c r="EW68" s="823"/>
      <c r="EX68" s="823"/>
      <c r="EY68" s="823"/>
      <c r="EZ68" s="823"/>
      <c r="FA68" s="823"/>
      <c r="FB68" s="823"/>
      <c r="FC68" s="823"/>
      <c r="FD68" s="823"/>
      <c r="FE68" s="823"/>
      <c r="FF68" s="823"/>
      <c r="FG68" s="823"/>
      <c r="FH68" s="823"/>
      <c r="FI68" s="823"/>
      <c r="FJ68" s="823"/>
      <c r="FK68" s="823"/>
      <c r="FL68" s="823"/>
      <c r="FM68" s="823"/>
      <c r="FN68" s="823"/>
      <c r="FO68" s="823"/>
      <c r="FP68" s="823"/>
      <c r="FQ68" s="823"/>
      <c r="FR68" s="823"/>
      <c r="FS68" s="823"/>
      <c r="FT68" s="823"/>
      <c r="FU68" s="823"/>
      <c r="FV68" s="823"/>
      <c r="FW68" s="823"/>
      <c r="FX68" s="823"/>
      <c r="FY68" s="823"/>
      <c r="FZ68" s="823"/>
      <c r="GA68" s="823"/>
      <c r="GB68" s="823"/>
      <c r="GC68" s="823"/>
      <c r="GD68" s="823"/>
      <c r="GE68" s="823"/>
      <c r="GF68" s="823"/>
      <c r="GG68" s="823"/>
      <c r="GH68" s="823"/>
      <c r="GI68" s="823"/>
      <c r="GJ68" s="823"/>
      <c r="GK68" s="823"/>
      <c r="GL68" s="823"/>
      <c r="GM68" s="823"/>
      <c r="GN68" s="823"/>
      <c r="GO68" s="823"/>
      <c r="GP68" s="823"/>
      <c r="GQ68" s="823"/>
      <c r="GR68" s="823"/>
      <c r="GS68" s="823"/>
      <c r="GT68" s="823"/>
      <c r="GU68" s="823"/>
      <c r="GV68" s="823"/>
      <c r="GW68" s="823"/>
      <c r="GX68" s="823"/>
      <c r="GY68" s="823"/>
      <c r="GZ68" s="823"/>
      <c r="HA68" s="823"/>
      <c r="HB68" s="823"/>
      <c r="HC68" s="823"/>
      <c r="HD68" s="823"/>
      <c r="HE68" s="823"/>
    </row>
    <row r="69" spans="1:213" s="61" customFormat="1" ht="17.25" thickBot="1">
      <c r="A69" s="834">
        <v>62</v>
      </c>
      <c r="B69" s="808" t="s">
        <v>3221</v>
      </c>
      <c r="C69" s="111"/>
      <c r="D69" s="111" t="s">
        <v>3222</v>
      </c>
      <c r="E69" s="835" t="s">
        <v>3101</v>
      </c>
      <c r="F69" s="810">
        <v>133.66</v>
      </c>
      <c r="G69" s="811" t="s">
        <v>15</v>
      </c>
      <c r="H69" s="19"/>
      <c r="I69" s="19"/>
      <c r="J69" s="701">
        <f t="shared" si="2"/>
        <v>0</v>
      </c>
      <c r="K69" s="319"/>
      <c r="L69" s="19"/>
      <c r="M69" s="389">
        <f t="shared" si="3"/>
        <v>0</v>
      </c>
      <c r="N69" s="100">
        <v>314</v>
      </c>
      <c r="O69" s="19"/>
      <c r="P69" s="320">
        <f t="shared" si="36"/>
        <v>314</v>
      </c>
      <c r="Q69" s="319"/>
      <c r="R69" s="19"/>
      <c r="S69" s="320">
        <f t="shared" si="4"/>
        <v>0</v>
      </c>
      <c r="T69" s="319">
        <v>254</v>
      </c>
      <c r="U69" s="19"/>
      <c r="V69" s="320">
        <f t="shared" si="5"/>
        <v>254</v>
      </c>
      <c r="W69" s="319">
        <v>272</v>
      </c>
      <c r="X69" s="19"/>
      <c r="Y69" s="701">
        <f t="shared" si="6"/>
        <v>272</v>
      </c>
      <c r="Z69" s="319"/>
      <c r="AA69" s="19"/>
      <c r="AB69" s="111">
        <f t="shared" si="7"/>
        <v>0</v>
      </c>
      <c r="AC69" s="111"/>
      <c r="AD69" s="111"/>
      <c r="AE69" s="701">
        <f t="shared" si="8"/>
        <v>0</v>
      </c>
      <c r="AF69" s="701"/>
      <c r="AG69" s="701"/>
      <c r="AH69" s="701">
        <f t="shared" si="9"/>
        <v>0</v>
      </c>
      <c r="AI69" s="812"/>
      <c r="AJ69" s="701"/>
      <c r="AK69" s="701">
        <f t="shared" si="10"/>
        <v>0</v>
      </c>
      <c r="AL69" s="319"/>
      <c r="AM69" s="19"/>
      <c r="AN69" s="701">
        <f t="shared" si="11"/>
        <v>0</v>
      </c>
      <c r="AO69" s="319">
        <v>196</v>
      </c>
      <c r="AP69" s="19"/>
      <c r="AQ69" s="389">
        <f t="shared" si="12"/>
        <v>196</v>
      </c>
      <c r="AR69" s="387">
        <f t="shared" si="13"/>
        <v>840</v>
      </c>
      <c r="AS69" s="388">
        <f t="shared" si="0"/>
        <v>0</v>
      </c>
      <c r="AT69" s="19">
        <f t="shared" si="14"/>
        <v>840</v>
      </c>
      <c r="AU69" s="702">
        <f t="shared" si="16"/>
        <v>70</v>
      </c>
      <c r="AV69" s="702">
        <f t="shared" si="16"/>
        <v>0</v>
      </c>
      <c r="AW69" s="703">
        <f t="shared" si="17"/>
        <v>70</v>
      </c>
      <c r="AX69" s="703">
        <f t="shared" si="18"/>
        <v>35000</v>
      </c>
      <c r="AY69" s="703">
        <f t="shared" si="19"/>
        <v>0</v>
      </c>
      <c r="AZ69" s="704">
        <f t="shared" si="20"/>
        <v>35000</v>
      </c>
      <c r="BA69" s="19">
        <v>36</v>
      </c>
      <c r="BB69" s="19"/>
      <c r="BC69" s="813">
        <f t="shared" si="21"/>
        <v>36</v>
      </c>
      <c r="BD69" s="19"/>
      <c r="BE69" s="19"/>
      <c r="BF69" s="813">
        <f t="shared" si="22"/>
        <v>0</v>
      </c>
      <c r="BG69" s="19">
        <v>36</v>
      </c>
      <c r="BH69" s="19"/>
      <c r="BI69" s="813">
        <f t="shared" si="23"/>
        <v>36</v>
      </c>
      <c r="BJ69" s="19"/>
      <c r="BK69" s="19"/>
      <c r="BL69" s="814">
        <f t="shared" si="24"/>
        <v>0</v>
      </c>
      <c r="BM69" s="319">
        <v>232</v>
      </c>
      <c r="BN69" s="19">
        <v>6</v>
      </c>
      <c r="BO69" s="868">
        <f t="shared" si="25"/>
        <v>238</v>
      </c>
      <c r="BP69" s="319">
        <v>348</v>
      </c>
      <c r="BQ69" s="19"/>
      <c r="BR69" s="701">
        <f t="shared" si="26"/>
        <v>348</v>
      </c>
      <c r="BS69" s="319"/>
      <c r="BT69" s="19"/>
      <c r="BU69" s="701">
        <f>BS69+BT69</f>
        <v>0</v>
      </c>
      <c r="BV69" s="701"/>
      <c r="BW69" s="701"/>
      <c r="BX69" s="701">
        <f>BV69+BW69</f>
        <v>0</v>
      </c>
      <c r="BY69" s="701"/>
      <c r="BZ69" s="701"/>
      <c r="CA69" s="701">
        <f>BY69+BZ69</f>
        <v>0</v>
      </c>
      <c r="CB69" s="174">
        <f t="shared" si="30"/>
        <v>652</v>
      </c>
      <c r="CC69" s="174">
        <f t="shared" si="31"/>
        <v>6</v>
      </c>
      <c r="CD69" s="174">
        <f t="shared" si="32"/>
        <v>658</v>
      </c>
      <c r="CE69" s="175">
        <f t="shared" si="33"/>
        <v>72.444444444444443</v>
      </c>
      <c r="CF69" s="175">
        <f t="shared" si="34"/>
        <v>0.66666666666666663</v>
      </c>
      <c r="CG69" s="175">
        <f t="shared" si="35"/>
        <v>73.111111111111114</v>
      </c>
      <c r="CH69" s="361"/>
      <c r="CI69" s="361"/>
      <c r="CJ69" s="361"/>
      <c r="CK69" s="361"/>
      <c r="CL69" s="361"/>
      <c r="CM69" s="361"/>
      <c r="CN69" s="361"/>
      <c r="CO69" s="361"/>
      <c r="CP69" s="361"/>
      <c r="CQ69" s="361"/>
      <c r="CR69" s="361"/>
      <c r="CS69" s="361"/>
      <c r="CT69" s="361"/>
      <c r="CU69" s="361"/>
      <c r="CV69" s="361"/>
      <c r="CW69" s="361"/>
      <c r="CX69" s="361"/>
      <c r="CY69" s="361"/>
      <c r="CZ69" s="361"/>
      <c r="DA69" s="361"/>
      <c r="DB69" s="361"/>
      <c r="DC69" s="361"/>
      <c r="DD69" s="361"/>
      <c r="DE69" s="361"/>
      <c r="DF69" s="361"/>
      <c r="DG69" s="361"/>
      <c r="DH69" s="361"/>
      <c r="DI69" s="361"/>
      <c r="DJ69" s="361"/>
      <c r="DK69" s="361"/>
      <c r="DL69" s="361"/>
      <c r="DM69" s="361"/>
      <c r="DN69" s="361"/>
      <c r="DO69" s="361"/>
      <c r="DP69" s="361"/>
      <c r="DQ69" s="361"/>
      <c r="DR69" s="361"/>
      <c r="DS69" s="361"/>
      <c r="DT69" s="361"/>
      <c r="DU69" s="361"/>
      <c r="DV69" s="361"/>
      <c r="DW69" s="361"/>
      <c r="DX69" s="361"/>
      <c r="DY69" s="361"/>
      <c r="DZ69" s="361"/>
      <c r="EA69" s="361"/>
      <c r="EB69" s="361"/>
      <c r="EC69" s="361"/>
      <c r="ED69" s="361"/>
      <c r="EE69" s="361"/>
      <c r="EF69" s="361"/>
      <c r="EG69" s="361"/>
      <c r="EH69" s="361"/>
      <c r="EI69" s="361"/>
      <c r="EJ69" s="361"/>
      <c r="EK69" s="361"/>
      <c r="EL69" s="361"/>
      <c r="EM69" s="361"/>
      <c r="EN69" s="361"/>
      <c r="EO69" s="361"/>
      <c r="EP69" s="361"/>
      <c r="EQ69" s="361"/>
      <c r="ER69" s="361"/>
      <c r="ES69" s="361"/>
      <c r="ET69" s="361"/>
      <c r="EU69" s="361"/>
      <c r="EV69" s="361"/>
      <c r="EW69" s="361"/>
      <c r="EX69" s="361"/>
      <c r="EY69" s="361"/>
      <c r="EZ69" s="361"/>
      <c r="FA69" s="361"/>
      <c r="FB69" s="361"/>
      <c r="FC69" s="361"/>
      <c r="FD69" s="361"/>
      <c r="FE69" s="361"/>
      <c r="FF69" s="361"/>
      <c r="FG69" s="361"/>
      <c r="FH69" s="361"/>
      <c r="FI69" s="361"/>
      <c r="FJ69" s="361"/>
      <c r="FK69" s="361"/>
      <c r="FL69" s="361"/>
      <c r="FM69" s="361"/>
      <c r="FN69" s="361"/>
      <c r="FO69" s="361"/>
      <c r="FP69" s="361"/>
      <c r="FQ69" s="361"/>
      <c r="FR69" s="361"/>
      <c r="FS69" s="361"/>
      <c r="FT69" s="361"/>
      <c r="FU69" s="361"/>
      <c r="FV69" s="361"/>
      <c r="FW69" s="361"/>
      <c r="FX69" s="361"/>
      <c r="FY69" s="361"/>
      <c r="FZ69" s="361"/>
      <c r="GA69" s="361"/>
      <c r="GB69" s="361"/>
      <c r="GC69" s="361"/>
      <c r="GD69" s="361"/>
      <c r="GE69" s="361"/>
      <c r="GF69" s="361"/>
      <c r="GG69" s="361"/>
      <c r="GH69" s="361"/>
      <c r="GI69" s="361"/>
      <c r="GJ69" s="361"/>
      <c r="GK69" s="361"/>
      <c r="GL69" s="361"/>
      <c r="GM69" s="361"/>
      <c r="GN69" s="361"/>
      <c r="GO69" s="361"/>
      <c r="GP69" s="361"/>
      <c r="GQ69" s="361"/>
      <c r="GR69" s="361"/>
      <c r="GS69" s="361"/>
      <c r="GT69" s="361"/>
      <c r="GU69" s="361"/>
      <c r="GV69" s="361"/>
      <c r="GW69" s="361"/>
      <c r="GX69" s="361"/>
      <c r="GY69" s="361"/>
      <c r="GZ69" s="361"/>
      <c r="HA69" s="361"/>
      <c r="HB69" s="361"/>
      <c r="HC69" s="361"/>
      <c r="HD69" s="361"/>
      <c r="HE69" s="361"/>
    </row>
    <row r="70" spans="1:213" s="61" customFormat="1" ht="17.25" thickBot="1">
      <c r="A70" s="807">
        <v>63</v>
      </c>
      <c r="B70" s="808" t="s">
        <v>3223</v>
      </c>
      <c r="C70" s="111"/>
      <c r="D70" s="111" t="s">
        <v>3224</v>
      </c>
      <c r="E70" s="809" t="s">
        <v>3101</v>
      </c>
      <c r="F70" s="810">
        <v>0</v>
      </c>
      <c r="G70" s="811" t="s">
        <v>18</v>
      </c>
      <c r="H70" s="19"/>
      <c r="I70" s="19"/>
      <c r="J70" s="701">
        <f t="shared" si="2"/>
        <v>0</v>
      </c>
      <c r="K70" s="319">
        <v>252</v>
      </c>
      <c r="L70" s="19"/>
      <c r="M70" s="389">
        <f t="shared" si="3"/>
        <v>252</v>
      </c>
      <c r="N70" s="100">
        <v>140</v>
      </c>
      <c r="O70" s="19"/>
      <c r="P70" s="320">
        <f t="shared" si="36"/>
        <v>140</v>
      </c>
      <c r="Q70" s="319">
        <v>108</v>
      </c>
      <c r="R70" s="19"/>
      <c r="S70" s="320">
        <f t="shared" si="4"/>
        <v>108</v>
      </c>
      <c r="T70" s="319">
        <v>304</v>
      </c>
      <c r="U70" s="19"/>
      <c r="V70" s="320">
        <f t="shared" si="5"/>
        <v>304</v>
      </c>
      <c r="W70" s="319">
        <v>306</v>
      </c>
      <c r="X70" s="19"/>
      <c r="Y70" s="701">
        <f t="shared" si="6"/>
        <v>306</v>
      </c>
      <c r="Z70" s="319"/>
      <c r="AA70" s="19"/>
      <c r="AB70" s="111">
        <f t="shared" si="7"/>
        <v>0</v>
      </c>
      <c r="AC70" s="111"/>
      <c r="AD70" s="111"/>
      <c r="AE70" s="701">
        <f t="shared" si="8"/>
        <v>0</v>
      </c>
      <c r="AF70" s="701">
        <v>300</v>
      </c>
      <c r="AG70" s="701"/>
      <c r="AH70" s="701">
        <f t="shared" si="9"/>
        <v>300</v>
      </c>
      <c r="AI70" s="812">
        <v>454</v>
      </c>
      <c r="AJ70" s="701"/>
      <c r="AK70" s="701">
        <f t="shared" si="10"/>
        <v>454</v>
      </c>
      <c r="AL70" s="319"/>
      <c r="AM70" s="19"/>
      <c r="AN70" s="701">
        <f t="shared" si="11"/>
        <v>0</v>
      </c>
      <c r="AO70" s="319"/>
      <c r="AP70" s="19"/>
      <c r="AQ70" s="389">
        <f t="shared" si="12"/>
        <v>0</v>
      </c>
      <c r="AR70" s="387">
        <f t="shared" si="13"/>
        <v>1864</v>
      </c>
      <c r="AS70" s="388">
        <f t="shared" si="0"/>
        <v>0</v>
      </c>
      <c r="AT70" s="19">
        <f t="shared" si="14"/>
        <v>1864</v>
      </c>
      <c r="AU70" s="702">
        <f t="shared" si="16"/>
        <v>155.33333333333334</v>
      </c>
      <c r="AV70" s="702">
        <f t="shared" si="16"/>
        <v>0</v>
      </c>
      <c r="AW70" s="703">
        <f t="shared" si="17"/>
        <v>155.33333333333334</v>
      </c>
      <c r="AX70" s="703">
        <f t="shared" si="18"/>
        <v>77666.666666666672</v>
      </c>
      <c r="AY70" s="703">
        <f t="shared" si="19"/>
        <v>0</v>
      </c>
      <c r="AZ70" s="704">
        <f t="shared" si="20"/>
        <v>77666.666666666672</v>
      </c>
      <c r="BA70" s="19">
        <v>308</v>
      </c>
      <c r="BB70" s="19"/>
      <c r="BC70" s="813">
        <f t="shared" si="21"/>
        <v>308</v>
      </c>
      <c r="BD70" s="19">
        <v>302</v>
      </c>
      <c r="BE70" s="19">
        <v>6</v>
      </c>
      <c r="BF70" s="813">
        <f t="shared" si="22"/>
        <v>308</v>
      </c>
      <c r="BG70" s="19"/>
      <c r="BH70" s="19"/>
      <c r="BI70" s="813">
        <f t="shared" si="23"/>
        <v>0</v>
      </c>
      <c r="BJ70" s="19"/>
      <c r="BK70" s="19"/>
      <c r="BL70" s="814">
        <f t="shared" si="24"/>
        <v>0</v>
      </c>
      <c r="BM70" s="319"/>
      <c r="BN70" s="19"/>
      <c r="BO70" s="868">
        <f t="shared" si="25"/>
        <v>0</v>
      </c>
      <c r="BP70" s="319">
        <v>601</v>
      </c>
      <c r="BQ70" s="19"/>
      <c r="BR70" s="701">
        <f t="shared" si="26"/>
        <v>601</v>
      </c>
      <c r="BS70" s="319"/>
      <c r="BT70" s="19"/>
      <c r="BU70" s="701">
        <f>BS70+BT70</f>
        <v>0</v>
      </c>
      <c r="BV70" s="701"/>
      <c r="BW70" s="701"/>
      <c r="BX70" s="701">
        <f>BV70+BW70</f>
        <v>0</v>
      </c>
      <c r="BY70" s="701"/>
      <c r="BZ70" s="701"/>
      <c r="CA70" s="701">
        <f>BY70+BZ70</f>
        <v>0</v>
      </c>
      <c r="CB70" s="174">
        <f t="shared" si="30"/>
        <v>1211</v>
      </c>
      <c r="CC70" s="174">
        <f t="shared" si="31"/>
        <v>6</v>
      </c>
      <c r="CD70" s="174">
        <f t="shared" si="32"/>
        <v>1217</v>
      </c>
      <c r="CE70" s="175">
        <f t="shared" si="33"/>
        <v>134.55555555555554</v>
      </c>
      <c r="CF70" s="175">
        <f t="shared" si="34"/>
        <v>0.66666666666666663</v>
      </c>
      <c r="CG70" s="175">
        <f t="shared" si="35"/>
        <v>135.22222222222223</v>
      </c>
      <c r="CH70" s="361"/>
      <c r="CI70" s="361"/>
      <c r="CJ70" s="361"/>
      <c r="CK70" s="361"/>
      <c r="CL70" s="361"/>
      <c r="CM70" s="361"/>
      <c r="CN70" s="361"/>
      <c r="CO70" s="361"/>
      <c r="CP70" s="361"/>
      <c r="CQ70" s="361"/>
      <c r="CR70" s="361"/>
      <c r="CS70" s="361"/>
      <c r="CT70" s="361"/>
      <c r="CU70" s="361"/>
      <c r="CV70" s="361"/>
      <c r="CW70" s="361"/>
      <c r="CX70" s="361"/>
      <c r="CY70" s="361"/>
      <c r="CZ70" s="361"/>
      <c r="DA70" s="361"/>
      <c r="DB70" s="361"/>
      <c r="DC70" s="361"/>
      <c r="DD70" s="361"/>
      <c r="DE70" s="361"/>
      <c r="DF70" s="361"/>
      <c r="DG70" s="361"/>
      <c r="DH70" s="361"/>
      <c r="DI70" s="361"/>
      <c r="DJ70" s="361"/>
      <c r="DK70" s="361"/>
      <c r="DL70" s="361"/>
      <c r="DM70" s="361"/>
      <c r="DN70" s="361"/>
      <c r="DO70" s="361"/>
      <c r="DP70" s="361"/>
      <c r="DQ70" s="361"/>
      <c r="DR70" s="361"/>
      <c r="DS70" s="361"/>
      <c r="DT70" s="361"/>
      <c r="DU70" s="361"/>
      <c r="DV70" s="361"/>
      <c r="DW70" s="361"/>
      <c r="DX70" s="361"/>
      <c r="DY70" s="361"/>
      <c r="DZ70" s="361"/>
      <c r="EA70" s="361"/>
      <c r="EB70" s="361"/>
      <c r="EC70" s="361"/>
      <c r="ED70" s="361"/>
      <c r="EE70" s="361"/>
      <c r="EF70" s="361"/>
      <c r="EG70" s="361"/>
      <c r="EH70" s="361"/>
      <c r="EI70" s="361"/>
      <c r="EJ70" s="361"/>
      <c r="EK70" s="361"/>
      <c r="EL70" s="361"/>
      <c r="EM70" s="361"/>
      <c r="EN70" s="361"/>
      <c r="EO70" s="361"/>
      <c r="EP70" s="361"/>
      <c r="EQ70" s="361"/>
      <c r="ER70" s="361"/>
      <c r="ES70" s="361"/>
      <c r="ET70" s="361"/>
      <c r="EU70" s="361"/>
      <c r="EV70" s="361"/>
      <c r="EW70" s="361"/>
      <c r="EX70" s="361"/>
      <c r="EY70" s="361"/>
      <c r="EZ70" s="361"/>
      <c r="FA70" s="361"/>
      <c r="FB70" s="361"/>
      <c r="FC70" s="361"/>
      <c r="FD70" s="361"/>
      <c r="FE70" s="361"/>
      <c r="FF70" s="361"/>
      <c r="FG70" s="361"/>
      <c r="FH70" s="361"/>
      <c r="FI70" s="361"/>
      <c r="FJ70" s="361"/>
      <c r="FK70" s="361"/>
      <c r="FL70" s="361"/>
      <c r="FM70" s="361"/>
      <c r="FN70" s="361"/>
      <c r="FO70" s="361"/>
      <c r="FP70" s="361"/>
      <c r="FQ70" s="361"/>
      <c r="FR70" s="361"/>
      <c r="FS70" s="361"/>
      <c r="FT70" s="361"/>
      <c r="FU70" s="361"/>
      <c r="FV70" s="361"/>
      <c r="FW70" s="361"/>
      <c r="FX70" s="361"/>
      <c r="FY70" s="361"/>
      <c r="FZ70" s="361"/>
      <c r="GA70" s="361"/>
      <c r="GB70" s="361"/>
      <c r="GC70" s="361"/>
      <c r="GD70" s="361"/>
      <c r="GE70" s="361"/>
      <c r="GF70" s="361"/>
      <c r="GG70" s="361"/>
      <c r="GH70" s="361"/>
      <c r="GI70" s="361"/>
      <c r="GJ70" s="361"/>
      <c r="GK70" s="361"/>
      <c r="GL70" s="361"/>
      <c r="GM70" s="361"/>
      <c r="GN70" s="361"/>
      <c r="GO70" s="361"/>
      <c r="GP70" s="361"/>
      <c r="GQ70" s="361"/>
      <c r="GR70" s="361"/>
      <c r="GS70" s="361"/>
      <c r="GT70" s="361"/>
      <c r="GU70" s="361"/>
      <c r="GV70" s="361"/>
      <c r="GW70" s="361"/>
      <c r="GX70" s="361"/>
      <c r="GY70" s="361"/>
      <c r="GZ70" s="361"/>
      <c r="HA70" s="361"/>
      <c r="HB70" s="361"/>
      <c r="HC70" s="361"/>
      <c r="HD70" s="361"/>
      <c r="HE70" s="361"/>
    </row>
    <row r="71" spans="1:213" s="798" customFormat="1" ht="17.25" thickBot="1">
      <c r="A71" s="773">
        <v>64</v>
      </c>
      <c r="B71" s="816" t="s">
        <v>3225</v>
      </c>
      <c r="C71" s="775"/>
      <c r="D71" s="775" t="s">
        <v>3226</v>
      </c>
      <c r="E71" s="776" t="s">
        <v>3101</v>
      </c>
      <c r="F71" s="777">
        <v>0</v>
      </c>
      <c r="G71" s="778" t="s">
        <v>18</v>
      </c>
      <c r="H71" s="779">
        <v>29</v>
      </c>
      <c r="I71" s="779"/>
      <c r="J71" s="780">
        <f t="shared" si="2"/>
        <v>29</v>
      </c>
      <c r="K71" s="781"/>
      <c r="L71" s="779"/>
      <c r="M71" s="782">
        <f t="shared" si="3"/>
        <v>0</v>
      </c>
      <c r="N71" s="783"/>
      <c r="O71" s="779"/>
      <c r="P71" s="784">
        <f t="shared" si="36"/>
        <v>0</v>
      </c>
      <c r="Q71" s="781"/>
      <c r="R71" s="779"/>
      <c r="S71" s="784">
        <f t="shared" si="4"/>
        <v>0</v>
      </c>
      <c r="T71" s="781">
        <v>109</v>
      </c>
      <c r="U71" s="779"/>
      <c r="V71" s="784">
        <f t="shared" si="5"/>
        <v>109</v>
      </c>
      <c r="W71" s="781"/>
      <c r="X71" s="779"/>
      <c r="Y71" s="780">
        <f t="shared" si="6"/>
        <v>0</v>
      </c>
      <c r="Z71" s="781"/>
      <c r="AA71" s="779"/>
      <c r="AB71" s="785">
        <f t="shared" si="7"/>
        <v>0</v>
      </c>
      <c r="AC71" s="785"/>
      <c r="AD71" s="785"/>
      <c r="AE71" s="780">
        <f t="shared" si="8"/>
        <v>0</v>
      </c>
      <c r="AF71" s="780"/>
      <c r="AG71" s="780"/>
      <c r="AH71" s="780">
        <f t="shared" si="9"/>
        <v>0</v>
      </c>
      <c r="AI71" s="786"/>
      <c r="AJ71" s="780"/>
      <c r="AK71" s="780">
        <f t="shared" si="10"/>
        <v>0</v>
      </c>
      <c r="AL71" s="781"/>
      <c r="AM71" s="779"/>
      <c r="AN71" s="780">
        <f t="shared" si="11"/>
        <v>0</v>
      </c>
      <c r="AO71" s="787"/>
      <c r="AP71" s="788"/>
      <c r="AQ71" s="789">
        <f t="shared" si="12"/>
        <v>0</v>
      </c>
      <c r="AR71" s="790">
        <f t="shared" si="13"/>
        <v>138</v>
      </c>
      <c r="AS71" s="791">
        <f t="shared" si="0"/>
        <v>0</v>
      </c>
      <c r="AT71" s="788">
        <f t="shared" si="14"/>
        <v>138</v>
      </c>
      <c r="AU71" s="792">
        <f t="shared" si="16"/>
        <v>11.5</v>
      </c>
      <c r="AV71" s="792">
        <f t="shared" si="16"/>
        <v>0</v>
      </c>
      <c r="AW71" s="793">
        <f t="shared" si="17"/>
        <v>11.5</v>
      </c>
      <c r="AX71" s="794">
        <f t="shared" si="18"/>
        <v>5750</v>
      </c>
      <c r="AY71" s="794">
        <f t="shared" si="19"/>
        <v>0</v>
      </c>
      <c r="AZ71" s="795">
        <f t="shared" si="20"/>
        <v>5750</v>
      </c>
      <c r="BA71" s="779"/>
      <c r="BB71" s="779"/>
      <c r="BC71" s="796">
        <f t="shared" si="21"/>
        <v>0</v>
      </c>
      <c r="BD71" s="779"/>
      <c r="BE71" s="779"/>
      <c r="BF71" s="796">
        <f t="shared" si="22"/>
        <v>0</v>
      </c>
      <c r="BG71" s="779"/>
      <c r="BH71" s="779"/>
      <c r="BI71" s="796">
        <f t="shared" si="23"/>
        <v>0</v>
      </c>
      <c r="BJ71" s="779"/>
      <c r="BK71" s="779"/>
      <c r="BL71" s="797">
        <f t="shared" si="24"/>
        <v>0</v>
      </c>
      <c r="BM71" s="787"/>
      <c r="BN71" s="788"/>
      <c r="BO71" s="772">
        <f t="shared" si="25"/>
        <v>0</v>
      </c>
      <c r="BP71" s="787"/>
      <c r="BQ71" s="788"/>
      <c r="BR71" s="693">
        <f t="shared" si="26"/>
        <v>0</v>
      </c>
      <c r="BS71" s="787"/>
      <c r="BT71" s="788"/>
      <c r="BU71" s="693">
        <f t="shared" ref="BU71:BU72" si="61">BS71+BT71</f>
        <v>0</v>
      </c>
      <c r="BV71" s="693"/>
      <c r="BW71" s="693"/>
      <c r="BX71" s="693">
        <f t="shared" ref="BX71:BX72" si="62">BV71+BW71</f>
        <v>0</v>
      </c>
      <c r="BY71" s="693"/>
      <c r="BZ71" s="693"/>
      <c r="CA71" s="693">
        <f t="shared" ref="CA71:CA72" si="63">BY71+BZ71</f>
        <v>0</v>
      </c>
      <c r="CB71" s="174">
        <f t="shared" si="30"/>
        <v>0</v>
      </c>
      <c r="CC71" s="174">
        <f t="shared" si="31"/>
        <v>0</v>
      </c>
      <c r="CD71" s="174">
        <f t="shared" si="32"/>
        <v>0</v>
      </c>
      <c r="CE71" s="175">
        <f t="shared" si="33"/>
        <v>0</v>
      </c>
      <c r="CF71" s="175">
        <f t="shared" si="34"/>
        <v>0</v>
      </c>
      <c r="CG71" s="175">
        <f t="shared" si="35"/>
        <v>0</v>
      </c>
      <c r="CH71" s="823"/>
      <c r="CI71" s="823"/>
      <c r="CJ71" s="823"/>
      <c r="CK71" s="823"/>
      <c r="CL71" s="823"/>
      <c r="CM71" s="823"/>
      <c r="CN71" s="823"/>
      <c r="CO71" s="823"/>
      <c r="CP71" s="823"/>
      <c r="CQ71" s="823"/>
      <c r="CR71" s="823"/>
      <c r="CS71" s="823"/>
      <c r="CT71" s="823"/>
      <c r="CU71" s="823"/>
      <c r="CV71" s="823"/>
      <c r="CW71" s="823"/>
      <c r="CX71" s="823"/>
      <c r="CY71" s="823"/>
      <c r="CZ71" s="823"/>
      <c r="DA71" s="823"/>
      <c r="DB71" s="823"/>
      <c r="DC71" s="823"/>
      <c r="DD71" s="823"/>
      <c r="DE71" s="823"/>
      <c r="DF71" s="823"/>
      <c r="DG71" s="823"/>
      <c r="DH71" s="823"/>
      <c r="DI71" s="823"/>
      <c r="DJ71" s="823"/>
      <c r="DK71" s="823"/>
      <c r="DL71" s="823"/>
      <c r="DM71" s="823"/>
      <c r="DN71" s="823"/>
      <c r="DO71" s="823"/>
      <c r="DP71" s="823"/>
      <c r="DQ71" s="823"/>
      <c r="DR71" s="823"/>
      <c r="DS71" s="823"/>
      <c r="DT71" s="823"/>
      <c r="DU71" s="823"/>
      <c r="DV71" s="823"/>
      <c r="DW71" s="823"/>
      <c r="DX71" s="823"/>
      <c r="DY71" s="823"/>
      <c r="DZ71" s="823"/>
      <c r="EA71" s="823"/>
      <c r="EB71" s="823"/>
      <c r="EC71" s="823"/>
      <c r="ED71" s="823"/>
      <c r="EE71" s="823"/>
      <c r="EF71" s="823"/>
      <c r="EG71" s="823"/>
      <c r="EH71" s="823"/>
      <c r="EI71" s="823"/>
      <c r="EJ71" s="823"/>
      <c r="EK71" s="823"/>
      <c r="EL71" s="823"/>
      <c r="EM71" s="823"/>
      <c r="EN71" s="823"/>
      <c r="EO71" s="823"/>
      <c r="EP71" s="823"/>
      <c r="EQ71" s="823"/>
      <c r="ER71" s="823"/>
      <c r="ES71" s="823"/>
      <c r="ET71" s="823"/>
      <c r="EU71" s="823"/>
      <c r="EV71" s="823"/>
      <c r="EW71" s="823"/>
      <c r="EX71" s="823"/>
      <c r="EY71" s="823"/>
      <c r="EZ71" s="823"/>
      <c r="FA71" s="823"/>
      <c r="FB71" s="823"/>
      <c r="FC71" s="823"/>
      <c r="FD71" s="823"/>
      <c r="FE71" s="823"/>
      <c r="FF71" s="823"/>
      <c r="FG71" s="823"/>
      <c r="FH71" s="823"/>
      <c r="FI71" s="823"/>
      <c r="FJ71" s="823"/>
      <c r="FK71" s="823"/>
      <c r="FL71" s="823"/>
      <c r="FM71" s="823"/>
      <c r="FN71" s="823"/>
      <c r="FO71" s="823"/>
      <c r="FP71" s="823"/>
      <c r="FQ71" s="823"/>
      <c r="FR71" s="823"/>
      <c r="FS71" s="823"/>
      <c r="FT71" s="823"/>
      <c r="FU71" s="823"/>
      <c r="FV71" s="823"/>
      <c r="FW71" s="823"/>
      <c r="FX71" s="823"/>
      <c r="FY71" s="823"/>
      <c r="FZ71" s="823"/>
      <c r="GA71" s="823"/>
      <c r="GB71" s="823"/>
      <c r="GC71" s="823"/>
      <c r="GD71" s="823"/>
      <c r="GE71" s="823"/>
      <c r="GF71" s="823"/>
      <c r="GG71" s="823"/>
      <c r="GH71" s="823"/>
      <c r="GI71" s="823"/>
      <c r="GJ71" s="823"/>
      <c r="GK71" s="823"/>
      <c r="GL71" s="823"/>
      <c r="GM71" s="823"/>
      <c r="GN71" s="823"/>
      <c r="GO71" s="823"/>
      <c r="GP71" s="823"/>
      <c r="GQ71" s="823"/>
      <c r="GR71" s="823"/>
      <c r="GS71" s="823"/>
      <c r="GT71" s="823"/>
      <c r="GU71" s="823"/>
      <c r="GV71" s="823"/>
      <c r="GW71" s="823"/>
      <c r="GX71" s="823"/>
      <c r="GY71" s="823"/>
      <c r="GZ71" s="823"/>
      <c r="HA71" s="823"/>
      <c r="HB71" s="823"/>
      <c r="HC71" s="823"/>
      <c r="HD71" s="823"/>
      <c r="HE71" s="823"/>
    </row>
    <row r="72" spans="1:213" ht="17.25" thickBot="1">
      <c r="A72" s="760">
        <v>65</v>
      </c>
      <c r="B72" s="804" t="s">
        <v>3227</v>
      </c>
      <c r="C72" s="15"/>
      <c r="D72" s="15" t="s">
        <v>3228</v>
      </c>
      <c r="E72" s="762" t="s">
        <v>3101</v>
      </c>
      <c r="F72" s="800">
        <v>15</v>
      </c>
      <c r="G72" s="801" t="s">
        <v>18</v>
      </c>
      <c r="H72" s="1"/>
      <c r="I72" s="1"/>
      <c r="J72" s="372">
        <f t="shared" si="2"/>
        <v>0</v>
      </c>
      <c r="K72" s="382">
        <v>25</v>
      </c>
      <c r="L72" s="1"/>
      <c r="M72" s="694">
        <f t="shared" si="3"/>
        <v>25</v>
      </c>
      <c r="N72" s="103"/>
      <c r="O72" s="1"/>
      <c r="P72" s="105">
        <f t="shared" si="36"/>
        <v>0</v>
      </c>
      <c r="Q72" s="382">
        <v>25</v>
      </c>
      <c r="R72" s="1"/>
      <c r="S72" s="105">
        <f t="shared" si="4"/>
        <v>25</v>
      </c>
      <c r="T72" s="382">
        <v>25</v>
      </c>
      <c r="U72" s="1"/>
      <c r="V72" s="105">
        <f t="shared" si="5"/>
        <v>25</v>
      </c>
      <c r="W72" s="382"/>
      <c r="X72" s="1"/>
      <c r="Y72" s="372">
        <f t="shared" si="6"/>
        <v>0</v>
      </c>
      <c r="Z72" s="382"/>
      <c r="AA72" s="1"/>
      <c r="AB72" s="379">
        <f t="shared" si="7"/>
        <v>0</v>
      </c>
      <c r="AC72" s="379"/>
      <c r="AD72" s="379"/>
      <c r="AE72" s="372">
        <f t="shared" si="8"/>
        <v>0</v>
      </c>
      <c r="AF72" s="372"/>
      <c r="AG72" s="372"/>
      <c r="AH72" s="372">
        <f t="shared" si="9"/>
        <v>0</v>
      </c>
      <c r="AI72" s="765">
        <v>5</v>
      </c>
      <c r="AJ72" s="372"/>
      <c r="AK72" s="372">
        <f t="shared" si="10"/>
        <v>5</v>
      </c>
      <c r="AL72" s="382">
        <v>45</v>
      </c>
      <c r="AM72" s="1"/>
      <c r="AN72" s="372">
        <f t="shared" si="11"/>
        <v>45</v>
      </c>
      <c r="AO72" s="78"/>
      <c r="AP72" s="6"/>
      <c r="AQ72" s="697">
        <f t="shared" si="12"/>
        <v>0</v>
      </c>
      <c r="AR72" s="766">
        <f t="shared" si="13"/>
        <v>125</v>
      </c>
      <c r="AS72" s="692">
        <f t="shared" si="13"/>
        <v>0</v>
      </c>
      <c r="AT72" s="6">
        <f t="shared" si="14"/>
        <v>125</v>
      </c>
      <c r="AU72" s="585">
        <f t="shared" si="16"/>
        <v>10.416666666666666</v>
      </c>
      <c r="AV72" s="585">
        <f t="shared" si="16"/>
        <v>0</v>
      </c>
      <c r="AW72" s="494">
        <f t="shared" si="17"/>
        <v>10.416666666666666</v>
      </c>
      <c r="AX72" s="217">
        <f t="shared" si="18"/>
        <v>5208.333333333333</v>
      </c>
      <c r="AY72" s="217">
        <f t="shared" si="19"/>
        <v>0</v>
      </c>
      <c r="AZ72" s="695">
        <f t="shared" si="20"/>
        <v>5208.333333333333</v>
      </c>
      <c r="BA72" s="1">
        <v>20</v>
      </c>
      <c r="BB72" s="1"/>
      <c r="BC72" s="769">
        <f t="shared" si="21"/>
        <v>20</v>
      </c>
      <c r="BD72" s="1"/>
      <c r="BE72" s="1"/>
      <c r="BF72" s="769">
        <f t="shared" si="22"/>
        <v>0</v>
      </c>
      <c r="BG72" s="1">
        <v>139</v>
      </c>
      <c r="BH72" s="1"/>
      <c r="BI72" s="769">
        <f t="shared" si="23"/>
        <v>139</v>
      </c>
      <c r="BJ72" s="1"/>
      <c r="BK72" s="1"/>
      <c r="BL72" s="770">
        <f t="shared" si="24"/>
        <v>0</v>
      </c>
      <c r="BM72" s="78"/>
      <c r="BN72" s="6"/>
      <c r="BO72" s="772">
        <f t="shared" si="25"/>
        <v>0</v>
      </c>
      <c r="BP72" s="78">
        <v>10</v>
      </c>
      <c r="BQ72" s="6"/>
      <c r="BR72" s="693">
        <f t="shared" si="26"/>
        <v>10</v>
      </c>
      <c r="BS72" s="78">
        <v>25</v>
      </c>
      <c r="BT72" s="6"/>
      <c r="BU72" s="693">
        <f t="shared" si="61"/>
        <v>25</v>
      </c>
      <c r="BV72" s="693"/>
      <c r="BW72" s="693"/>
      <c r="BX72" s="693">
        <f t="shared" si="62"/>
        <v>0</v>
      </c>
      <c r="BY72" s="693"/>
      <c r="BZ72" s="693"/>
      <c r="CA72" s="693">
        <f t="shared" si="63"/>
        <v>0</v>
      </c>
      <c r="CB72" s="174">
        <f t="shared" si="30"/>
        <v>194</v>
      </c>
      <c r="CC72" s="174">
        <f t="shared" si="31"/>
        <v>0</v>
      </c>
      <c r="CD72" s="174">
        <f t="shared" si="32"/>
        <v>194</v>
      </c>
      <c r="CE72" s="175">
        <f t="shared" si="33"/>
        <v>21.555555555555557</v>
      </c>
      <c r="CF72" s="175">
        <f t="shared" si="34"/>
        <v>0</v>
      </c>
      <c r="CG72" s="175">
        <f t="shared" si="35"/>
        <v>21.555555555555557</v>
      </c>
    </row>
    <row r="73" spans="1:213" s="699" customFormat="1" ht="17.25" thickBot="1">
      <c r="A73" s="834">
        <v>66</v>
      </c>
      <c r="B73" s="808" t="s">
        <v>3229</v>
      </c>
      <c r="C73" s="111"/>
      <c r="D73" s="111" t="s">
        <v>3230</v>
      </c>
      <c r="E73" s="835" t="s">
        <v>3101</v>
      </c>
      <c r="F73" s="810">
        <v>487.33</v>
      </c>
      <c r="G73" s="811" t="s">
        <v>18</v>
      </c>
      <c r="H73" s="19">
        <v>620</v>
      </c>
      <c r="I73" s="19">
        <v>214</v>
      </c>
      <c r="J73" s="701">
        <f t="shared" ref="J73:J85" si="64">I73+H73</f>
        <v>834</v>
      </c>
      <c r="K73" s="319">
        <v>1088</v>
      </c>
      <c r="L73" s="19">
        <v>224</v>
      </c>
      <c r="M73" s="389">
        <f t="shared" ref="M73:M85" si="65">L73+K73</f>
        <v>1312</v>
      </c>
      <c r="N73" s="100">
        <v>970</v>
      </c>
      <c r="O73" s="19">
        <v>100</v>
      </c>
      <c r="P73" s="320">
        <f t="shared" si="36"/>
        <v>1070</v>
      </c>
      <c r="Q73" s="319">
        <v>350</v>
      </c>
      <c r="R73" s="19">
        <v>376</v>
      </c>
      <c r="S73" s="320">
        <f t="shared" ref="S73:S78" si="66">SUM(Q73:R73)</f>
        <v>726</v>
      </c>
      <c r="T73" s="319"/>
      <c r="U73" s="19">
        <v>200</v>
      </c>
      <c r="V73" s="320">
        <f t="shared" ref="V73:V78" si="67">SUM(T73:U73)</f>
        <v>200</v>
      </c>
      <c r="W73" s="319">
        <v>600</v>
      </c>
      <c r="X73" s="19">
        <v>358</v>
      </c>
      <c r="Y73" s="701">
        <f t="shared" ref="Y73:Y78" si="68">X73+W73</f>
        <v>958</v>
      </c>
      <c r="Z73" s="319">
        <v>376</v>
      </c>
      <c r="AA73" s="19"/>
      <c r="AB73" s="111">
        <f t="shared" ref="AB73:AB85" si="69">AA73+Z73</f>
        <v>376</v>
      </c>
      <c r="AC73" s="111">
        <v>650</v>
      </c>
      <c r="AD73" s="111">
        <v>240</v>
      </c>
      <c r="AE73" s="701">
        <f t="shared" ref="AE73:AE112" si="70">AD73+AC73</f>
        <v>890</v>
      </c>
      <c r="AF73" s="701">
        <v>1280</v>
      </c>
      <c r="AG73" s="701">
        <v>114</v>
      </c>
      <c r="AH73" s="701">
        <f t="shared" ref="AH73:AH112" si="71">AG73+AF73</f>
        <v>1394</v>
      </c>
      <c r="AI73" s="812">
        <v>1320</v>
      </c>
      <c r="AJ73" s="701">
        <v>100</v>
      </c>
      <c r="AK73" s="701">
        <f t="shared" ref="AK73:AK111" si="72">AJ73+AI73</f>
        <v>1420</v>
      </c>
      <c r="AL73" s="319">
        <v>960</v>
      </c>
      <c r="AM73" s="19">
        <v>112</v>
      </c>
      <c r="AN73" s="701">
        <f t="shared" ref="AN73:AN112" si="73">AM73+AL73</f>
        <v>1072</v>
      </c>
      <c r="AO73" s="319">
        <v>1200</v>
      </c>
      <c r="AP73" s="19">
        <v>279</v>
      </c>
      <c r="AQ73" s="389">
        <f t="shared" ref="AQ73:AQ111" si="74">AP73+AO73</f>
        <v>1479</v>
      </c>
      <c r="AR73" s="387">
        <f t="shared" ref="AR73:AS112" si="75">Z73+W73+T73+Q73+N73+K73+H73+AC73+AF73+AI73+AL73</f>
        <v>8214</v>
      </c>
      <c r="AS73" s="388">
        <f t="shared" si="75"/>
        <v>2038</v>
      </c>
      <c r="AT73" s="19">
        <f t="shared" ref="AT73:AT112" si="76">AS73+AR73</f>
        <v>10252</v>
      </c>
      <c r="AU73" s="702">
        <f t="shared" ref="AU73:AV112" si="77">AR73/12</f>
        <v>684.5</v>
      </c>
      <c r="AV73" s="702">
        <f t="shared" si="77"/>
        <v>169.83333333333334</v>
      </c>
      <c r="AW73" s="703">
        <f t="shared" ref="AW73:AW111" si="78">SUM(AU73:AV73)</f>
        <v>854.33333333333337</v>
      </c>
      <c r="AX73" s="703">
        <f t="shared" ref="AX73:AX112" si="79">AU73*500</f>
        <v>342250</v>
      </c>
      <c r="AY73" s="703">
        <f t="shared" ref="AY73:AY112" si="80">AV73*600</f>
        <v>101900</v>
      </c>
      <c r="AZ73" s="704">
        <f t="shared" ref="AZ73:AZ112" si="81">SUM(AX73:AY73)</f>
        <v>444150</v>
      </c>
      <c r="BA73" s="19">
        <v>556</v>
      </c>
      <c r="BB73" s="19">
        <v>94</v>
      </c>
      <c r="BC73" s="813">
        <f t="shared" ref="BC73:BC111" si="82">BB73+BA73</f>
        <v>650</v>
      </c>
      <c r="BD73" s="19">
        <v>648</v>
      </c>
      <c r="BE73" s="19">
        <v>76</v>
      </c>
      <c r="BF73" s="813">
        <f t="shared" ref="BF73:BF111" si="83">BE73+BD73</f>
        <v>724</v>
      </c>
      <c r="BG73" s="19">
        <v>474</v>
      </c>
      <c r="BH73" s="19">
        <v>318</v>
      </c>
      <c r="BI73" s="813">
        <f t="shared" ref="BI73:BI111" si="84">BH73+BG73</f>
        <v>792</v>
      </c>
      <c r="BJ73" s="19">
        <v>736</v>
      </c>
      <c r="BK73" s="19">
        <v>96</v>
      </c>
      <c r="BL73" s="814">
        <f t="shared" ref="BL73:BL111" si="85">BK73+BJ73</f>
        <v>832</v>
      </c>
      <c r="BM73" s="319">
        <v>1182</v>
      </c>
      <c r="BN73" s="19">
        <v>280</v>
      </c>
      <c r="BO73" s="868">
        <f t="shared" ref="BO73:BO111" si="86">BN73+BM73</f>
        <v>1462</v>
      </c>
      <c r="BP73" s="319">
        <v>1188</v>
      </c>
      <c r="BQ73" s="19">
        <v>224</v>
      </c>
      <c r="BR73" s="701">
        <f t="shared" ref="BR73:BR111" si="87">BQ73+BP73</f>
        <v>1412</v>
      </c>
      <c r="BS73" s="319">
        <v>144</v>
      </c>
      <c r="BT73" s="19">
        <v>76</v>
      </c>
      <c r="BU73" s="701">
        <f>BS73+BT73</f>
        <v>220</v>
      </c>
      <c r="BV73" s="701"/>
      <c r="BW73" s="701"/>
      <c r="BX73" s="701">
        <f>BV73+BW73</f>
        <v>0</v>
      </c>
      <c r="BY73" s="701"/>
      <c r="BZ73" s="701"/>
      <c r="CA73" s="701">
        <f>BY73+BZ73</f>
        <v>0</v>
      </c>
      <c r="CB73" s="174">
        <f t="shared" ref="CB73:CB111" si="88">BA73+BD73+BG73+BJ73+BM73+BP73+BS73+BV73+BY73</f>
        <v>4928</v>
      </c>
      <c r="CC73" s="174">
        <f t="shared" ref="CC73:CC111" si="89">BB73+BE73+BH73+BK73+BN73+BQ73+BT73+BW73+BZ73</f>
        <v>1164</v>
      </c>
      <c r="CD73" s="174">
        <f t="shared" ref="CD73:CD111" si="90">BC73+BF73+BI73+BL73+BO73+BR73+BU73+BX73+CA73</f>
        <v>6092</v>
      </c>
      <c r="CE73" s="175">
        <f t="shared" ref="CE73:CE111" si="91">CB73/9</f>
        <v>547.55555555555554</v>
      </c>
      <c r="CF73" s="175">
        <f t="shared" ref="CF73:CF111" si="92">CC73/9</f>
        <v>129.33333333333334</v>
      </c>
      <c r="CG73" s="175">
        <f t="shared" ref="CG73:CG111" si="93">CD73/9</f>
        <v>676.88888888888891</v>
      </c>
      <c r="CH73" s="361"/>
      <c r="CI73" s="361"/>
      <c r="CJ73" s="361"/>
      <c r="CK73" s="361"/>
      <c r="CL73" s="361"/>
      <c r="CM73" s="361"/>
      <c r="CN73" s="361"/>
      <c r="CO73" s="361"/>
      <c r="CP73" s="361"/>
      <c r="CQ73" s="361"/>
      <c r="CR73" s="361"/>
      <c r="CS73" s="361"/>
      <c r="CT73" s="361"/>
      <c r="CU73" s="361"/>
      <c r="CV73" s="361"/>
      <c r="CW73" s="361"/>
      <c r="CX73" s="361"/>
      <c r="CY73" s="361"/>
      <c r="CZ73" s="361"/>
      <c r="DA73" s="361"/>
      <c r="DB73" s="361"/>
      <c r="DC73" s="361"/>
      <c r="DD73" s="361"/>
      <c r="DE73" s="361"/>
      <c r="DF73" s="361"/>
      <c r="DG73" s="361"/>
      <c r="DH73" s="361"/>
      <c r="DI73" s="361"/>
      <c r="DJ73" s="361"/>
      <c r="DK73" s="361"/>
      <c r="DL73" s="361"/>
      <c r="DM73" s="361"/>
      <c r="DN73" s="361"/>
      <c r="DO73" s="361"/>
      <c r="DP73" s="361"/>
      <c r="DQ73" s="361"/>
      <c r="DR73" s="361"/>
      <c r="DS73" s="361"/>
      <c r="DT73" s="361"/>
      <c r="DU73" s="361"/>
      <c r="DV73" s="361"/>
      <c r="DW73" s="361"/>
      <c r="DX73" s="361"/>
      <c r="DY73" s="361"/>
      <c r="DZ73" s="361"/>
      <c r="EA73" s="361"/>
      <c r="EB73" s="361"/>
      <c r="EC73" s="361"/>
      <c r="ED73" s="361"/>
      <c r="EE73" s="361"/>
      <c r="EF73" s="361"/>
      <c r="EG73" s="361"/>
      <c r="EH73" s="361"/>
      <c r="EI73" s="361"/>
      <c r="EJ73" s="361"/>
      <c r="EK73" s="361"/>
      <c r="EL73" s="361"/>
      <c r="EM73" s="361"/>
      <c r="EN73" s="361"/>
      <c r="EO73" s="361"/>
      <c r="EP73" s="361"/>
      <c r="EQ73" s="361"/>
      <c r="ER73" s="361"/>
      <c r="ES73" s="361"/>
      <c r="ET73" s="361"/>
      <c r="EU73" s="361"/>
      <c r="EV73" s="361"/>
      <c r="EW73" s="361"/>
      <c r="EX73" s="361"/>
      <c r="EY73" s="361"/>
      <c r="EZ73" s="361"/>
      <c r="FA73" s="361"/>
      <c r="FB73" s="361"/>
      <c r="FC73" s="361"/>
      <c r="FD73" s="361"/>
      <c r="FE73" s="361"/>
      <c r="FF73" s="361"/>
      <c r="FG73" s="361"/>
      <c r="FH73" s="361"/>
      <c r="FI73" s="361"/>
      <c r="FJ73" s="361"/>
      <c r="FK73" s="361"/>
      <c r="FL73" s="361"/>
      <c r="FM73" s="361"/>
      <c r="FN73" s="361"/>
      <c r="FO73" s="361"/>
      <c r="FP73" s="361"/>
      <c r="FQ73" s="361"/>
      <c r="FR73" s="361"/>
      <c r="FS73" s="361"/>
      <c r="FT73" s="361"/>
      <c r="FU73" s="361"/>
      <c r="FV73" s="361"/>
      <c r="FW73" s="361"/>
      <c r="FX73" s="361"/>
      <c r="FY73" s="361"/>
      <c r="FZ73" s="361"/>
      <c r="GA73" s="361"/>
      <c r="GB73" s="361"/>
      <c r="GC73" s="361"/>
      <c r="GD73" s="361"/>
      <c r="GE73" s="361"/>
      <c r="GF73" s="361"/>
      <c r="GG73" s="361"/>
      <c r="GH73" s="361"/>
      <c r="GI73" s="361"/>
      <c r="GJ73" s="361"/>
      <c r="GK73" s="361"/>
      <c r="GL73" s="361"/>
      <c r="GM73" s="361"/>
      <c r="GN73" s="361"/>
      <c r="GO73" s="361"/>
      <c r="GP73" s="361"/>
      <c r="GQ73" s="361"/>
      <c r="GR73" s="361"/>
      <c r="GS73" s="361"/>
      <c r="GT73" s="361"/>
      <c r="GU73" s="361"/>
      <c r="GV73" s="361"/>
      <c r="GW73" s="361"/>
      <c r="GX73" s="361"/>
      <c r="GY73" s="361"/>
      <c r="GZ73" s="361"/>
      <c r="HA73" s="361"/>
      <c r="HB73" s="361"/>
      <c r="HC73" s="361"/>
      <c r="HD73" s="361"/>
      <c r="HE73" s="361"/>
    </row>
    <row r="74" spans="1:213" ht="17.25" thickBot="1">
      <c r="A74" s="760">
        <v>67</v>
      </c>
      <c r="B74" s="842" t="s">
        <v>3231</v>
      </c>
      <c r="C74" s="15"/>
      <c r="D74" s="15" t="s">
        <v>3232</v>
      </c>
      <c r="E74" s="762" t="s">
        <v>3101</v>
      </c>
      <c r="F74" s="800">
        <v>0</v>
      </c>
      <c r="G74" s="801" t="s">
        <v>18</v>
      </c>
      <c r="H74" s="1"/>
      <c r="I74" s="1"/>
      <c r="J74" s="372">
        <f t="shared" si="64"/>
        <v>0</v>
      </c>
      <c r="K74" s="382"/>
      <c r="L74" s="1"/>
      <c r="M74" s="694">
        <f t="shared" si="65"/>
        <v>0</v>
      </c>
      <c r="N74" s="103">
        <v>50</v>
      </c>
      <c r="O74" s="1"/>
      <c r="P74" s="105">
        <f t="shared" si="36"/>
        <v>50</v>
      </c>
      <c r="Q74" s="382"/>
      <c r="R74" s="1">
        <v>40</v>
      </c>
      <c r="S74" s="105">
        <f t="shared" si="66"/>
        <v>40</v>
      </c>
      <c r="T74" s="382"/>
      <c r="U74" s="1"/>
      <c r="V74" s="105">
        <f t="shared" si="67"/>
        <v>0</v>
      </c>
      <c r="W74" s="382">
        <v>5</v>
      </c>
      <c r="X74" s="1">
        <v>82</v>
      </c>
      <c r="Y74" s="372">
        <f t="shared" si="68"/>
        <v>87</v>
      </c>
      <c r="Z74" s="382"/>
      <c r="AA74" s="1"/>
      <c r="AB74" s="379">
        <f t="shared" si="69"/>
        <v>0</v>
      </c>
      <c r="AC74" s="379"/>
      <c r="AD74" s="379">
        <v>40</v>
      </c>
      <c r="AE74" s="372">
        <f t="shared" si="70"/>
        <v>40</v>
      </c>
      <c r="AF74" s="372">
        <v>20</v>
      </c>
      <c r="AG74" s="372">
        <v>56</v>
      </c>
      <c r="AH74" s="372">
        <f t="shared" si="71"/>
        <v>76</v>
      </c>
      <c r="AI74" s="765"/>
      <c r="AJ74" s="372"/>
      <c r="AK74" s="372">
        <f t="shared" si="72"/>
        <v>0</v>
      </c>
      <c r="AL74" s="382"/>
      <c r="AM74" s="1"/>
      <c r="AN74" s="372">
        <f t="shared" si="73"/>
        <v>0</v>
      </c>
      <c r="AO74" s="78">
        <v>40</v>
      </c>
      <c r="AP74" s="6">
        <v>58</v>
      </c>
      <c r="AQ74" s="697">
        <f t="shared" si="74"/>
        <v>98</v>
      </c>
      <c r="AR74" s="766">
        <f t="shared" si="75"/>
        <v>75</v>
      </c>
      <c r="AS74" s="692">
        <f t="shared" si="75"/>
        <v>218</v>
      </c>
      <c r="AT74" s="6">
        <f t="shared" si="76"/>
        <v>293</v>
      </c>
      <c r="AU74" s="585">
        <f t="shared" si="77"/>
        <v>6.25</v>
      </c>
      <c r="AV74" s="585">
        <f t="shared" si="77"/>
        <v>18.166666666666668</v>
      </c>
      <c r="AW74" s="494">
        <f t="shared" si="78"/>
        <v>24.416666666666668</v>
      </c>
      <c r="AX74" s="217">
        <f t="shared" si="79"/>
        <v>3125</v>
      </c>
      <c r="AY74" s="217">
        <f t="shared" si="80"/>
        <v>10900</v>
      </c>
      <c r="AZ74" s="695">
        <f t="shared" si="81"/>
        <v>14025</v>
      </c>
      <c r="BA74" s="1"/>
      <c r="BB74" s="1"/>
      <c r="BC74" s="769">
        <f t="shared" si="82"/>
        <v>0</v>
      </c>
      <c r="BD74" s="1">
        <v>20</v>
      </c>
      <c r="BE74" s="1">
        <v>40</v>
      </c>
      <c r="BF74" s="769">
        <f t="shared" si="83"/>
        <v>60</v>
      </c>
      <c r="BG74" s="1"/>
      <c r="BH74" s="1"/>
      <c r="BI74" s="769">
        <f t="shared" si="84"/>
        <v>0</v>
      </c>
      <c r="BJ74" s="1">
        <v>20</v>
      </c>
      <c r="BK74" s="1">
        <v>96</v>
      </c>
      <c r="BL74" s="770">
        <f t="shared" si="85"/>
        <v>116</v>
      </c>
      <c r="BM74" s="78"/>
      <c r="BN74" s="6"/>
      <c r="BO74" s="772">
        <f t="shared" si="86"/>
        <v>0</v>
      </c>
      <c r="BP74" s="78">
        <v>40</v>
      </c>
      <c r="BQ74" s="6">
        <v>76</v>
      </c>
      <c r="BR74" s="693">
        <f t="shared" si="87"/>
        <v>116</v>
      </c>
      <c r="BS74" s="78">
        <v>52</v>
      </c>
      <c r="BT74" s="6">
        <v>58</v>
      </c>
      <c r="BU74" s="693">
        <f t="shared" ref="BU74:BU75" si="94">BS74+BT74</f>
        <v>110</v>
      </c>
      <c r="BV74" s="693"/>
      <c r="BW74" s="693"/>
      <c r="BX74" s="693">
        <f t="shared" ref="BX74:BX75" si="95">BV74+BW74</f>
        <v>0</v>
      </c>
      <c r="BY74" s="693"/>
      <c r="BZ74" s="693"/>
      <c r="CA74" s="693">
        <f t="shared" ref="CA74:CA75" si="96">BY74+BZ74</f>
        <v>0</v>
      </c>
      <c r="CB74" s="174">
        <f t="shared" si="88"/>
        <v>132</v>
      </c>
      <c r="CC74" s="174">
        <f t="shared" si="89"/>
        <v>270</v>
      </c>
      <c r="CD74" s="174">
        <f t="shared" si="90"/>
        <v>402</v>
      </c>
      <c r="CE74" s="175">
        <f t="shared" si="91"/>
        <v>14.666666666666666</v>
      </c>
      <c r="CF74" s="175">
        <f t="shared" si="92"/>
        <v>30</v>
      </c>
      <c r="CG74" s="175">
        <f t="shared" si="93"/>
        <v>44.666666666666664</v>
      </c>
    </row>
    <row r="75" spans="1:213" ht="17.25" thickBot="1">
      <c r="A75" s="802">
        <v>68</v>
      </c>
      <c r="B75" s="842" t="s">
        <v>3233</v>
      </c>
      <c r="C75" s="15"/>
      <c r="D75" s="15" t="s">
        <v>3234</v>
      </c>
      <c r="E75" s="803" t="s">
        <v>3101</v>
      </c>
      <c r="F75" s="800">
        <v>0</v>
      </c>
      <c r="G75" s="801" t="s">
        <v>18</v>
      </c>
      <c r="H75" s="1"/>
      <c r="I75" s="1"/>
      <c r="J75" s="372">
        <f t="shared" si="64"/>
        <v>0</v>
      </c>
      <c r="K75" s="382"/>
      <c r="L75" s="1"/>
      <c r="M75" s="694">
        <f t="shared" si="65"/>
        <v>0</v>
      </c>
      <c r="N75" s="103"/>
      <c r="O75" s="1"/>
      <c r="P75" s="105">
        <f t="shared" si="36"/>
        <v>0</v>
      </c>
      <c r="Q75" s="382"/>
      <c r="R75" s="1"/>
      <c r="S75" s="105">
        <f t="shared" si="66"/>
        <v>0</v>
      </c>
      <c r="T75" s="382"/>
      <c r="U75" s="1"/>
      <c r="V75" s="105">
        <f t="shared" si="67"/>
        <v>0</v>
      </c>
      <c r="W75" s="382">
        <v>20</v>
      </c>
      <c r="X75" s="1"/>
      <c r="Y75" s="372">
        <f t="shared" si="68"/>
        <v>20</v>
      </c>
      <c r="Z75" s="382"/>
      <c r="AA75" s="1"/>
      <c r="AB75" s="379">
        <f t="shared" si="69"/>
        <v>0</v>
      </c>
      <c r="AC75" s="379"/>
      <c r="AD75" s="379"/>
      <c r="AE75" s="372">
        <f t="shared" si="70"/>
        <v>0</v>
      </c>
      <c r="AF75" s="372"/>
      <c r="AG75" s="372"/>
      <c r="AH75" s="372">
        <f t="shared" si="71"/>
        <v>0</v>
      </c>
      <c r="AI75" s="765"/>
      <c r="AJ75" s="372"/>
      <c r="AK75" s="372">
        <f t="shared" si="72"/>
        <v>0</v>
      </c>
      <c r="AL75" s="382"/>
      <c r="AM75" s="1"/>
      <c r="AN75" s="372">
        <f t="shared" si="73"/>
        <v>0</v>
      </c>
      <c r="AO75" s="78"/>
      <c r="AP75" s="6"/>
      <c r="AQ75" s="697">
        <f t="shared" si="74"/>
        <v>0</v>
      </c>
      <c r="AR75" s="766">
        <f t="shared" si="75"/>
        <v>20</v>
      </c>
      <c r="AS75" s="692">
        <f t="shared" si="75"/>
        <v>0</v>
      </c>
      <c r="AT75" s="6">
        <f t="shared" si="76"/>
        <v>20</v>
      </c>
      <c r="AU75" s="585">
        <f t="shared" si="77"/>
        <v>1.6666666666666667</v>
      </c>
      <c r="AV75" s="585">
        <f t="shared" si="77"/>
        <v>0</v>
      </c>
      <c r="AW75" s="494">
        <f t="shared" si="78"/>
        <v>1.6666666666666667</v>
      </c>
      <c r="AX75" s="217">
        <f t="shared" si="79"/>
        <v>833.33333333333337</v>
      </c>
      <c r="AY75" s="217">
        <f t="shared" si="80"/>
        <v>0</v>
      </c>
      <c r="AZ75" s="695">
        <f t="shared" si="81"/>
        <v>833.33333333333337</v>
      </c>
      <c r="BA75" s="1"/>
      <c r="BB75" s="1"/>
      <c r="BC75" s="769">
        <f t="shared" si="82"/>
        <v>0</v>
      </c>
      <c r="BD75" s="1"/>
      <c r="BE75" s="1"/>
      <c r="BF75" s="769">
        <f t="shared" si="83"/>
        <v>0</v>
      </c>
      <c r="BG75" s="1"/>
      <c r="BH75" s="1"/>
      <c r="BI75" s="769">
        <f t="shared" si="84"/>
        <v>0</v>
      </c>
      <c r="BJ75" s="1"/>
      <c r="BK75" s="1"/>
      <c r="BL75" s="770">
        <f t="shared" si="85"/>
        <v>0</v>
      </c>
      <c r="BM75" s="78"/>
      <c r="BN75" s="6"/>
      <c r="BO75" s="772">
        <f t="shared" si="86"/>
        <v>0</v>
      </c>
      <c r="BP75" s="78"/>
      <c r="BQ75" s="6"/>
      <c r="BR75" s="693">
        <f t="shared" si="87"/>
        <v>0</v>
      </c>
      <c r="BS75" s="78"/>
      <c r="BT75" s="6"/>
      <c r="BU75" s="693">
        <f t="shared" si="94"/>
        <v>0</v>
      </c>
      <c r="BV75" s="693"/>
      <c r="BW75" s="693"/>
      <c r="BX75" s="693">
        <f t="shared" si="95"/>
        <v>0</v>
      </c>
      <c r="BY75" s="693"/>
      <c r="BZ75" s="693"/>
      <c r="CA75" s="693">
        <f t="shared" si="96"/>
        <v>0</v>
      </c>
      <c r="CB75" s="174">
        <f t="shared" si="88"/>
        <v>0</v>
      </c>
      <c r="CC75" s="174">
        <f t="shared" si="89"/>
        <v>0</v>
      </c>
      <c r="CD75" s="174">
        <f t="shared" si="90"/>
        <v>0</v>
      </c>
      <c r="CE75" s="175">
        <f t="shared" si="91"/>
        <v>0</v>
      </c>
      <c r="CF75" s="175">
        <f t="shared" si="92"/>
        <v>0</v>
      </c>
      <c r="CG75" s="175">
        <f t="shared" si="93"/>
        <v>0</v>
      </c>
    </row>
    <row r="76" spans="1:213" s="699" customFormat="1" ht="17.25" thickBot="1">
      <c r="A76" s="807">
        <v>69</v>
      </c>
      <c r="B76" s="808" t="s">
        <v>3235</v>
      </c>
      <c r="C76" s="111"/>
      <c r="D76" s="111" t="s">
        <v>3236</v>
      </c>
      <c r="E76" s="809" t="s">
        <v>3101</v>
      </c>
      <c r="F76" s="810">
        <v>0</v>
      </c>
      <c r="G76" s="811" t="s">
        <v>18</v>
      </c>
      <c r="H76" s="19">
        <v>66</v>
      </c>
      <c r="I76" s="19"/>
      <c r="J76" s="701">
        <f t="shared" si="64"/>
        <v>66</v>
      </c>
      <c r="K76" s="319"/>
      <c r="L76" s="19"/>
      <c r="M76" s="389">
        <f t="shared" si="65"/>
        <v>0</v>
      </c>
      <c r="N76" s="100">
        <v>60</v>
      </c>
      <c r="O76" s="19"/>
      <c r="P76" s="320">
        <f t="shared" ref="P76:P78" si="97">O76+N76</f>
        <v>60</v>
      </c>
      <c r="Q76" s="319"/>
      <c r="R76" s="19"/>
      <c r="S76" s="320">
        <f t="shared" si="66"/>
        <v>0</v>
      </c>
      <c r="T76" s="319"/>
      <c r="U76" s="19"/>
      <c r="V76" s="320">
        <f t="shared" si="67"/>
        <v>0</v>
      </c>
      <c r="W76" s="319"/>
      <c r="X76" s="19"/>
      <c r="Y76" s="701">
        <f t="shared" si="68"/>
        <v>0</v>
      </c>
      <c r="Z76" s="319"/>
      <c r="AA76" s="19"/>
      <c r="AB76" s="111">
        <f t="shared" si="69"/>
        <v>0</v>
      </c>
      <c r="AC76" s="111"/>
      <c r="AD76" s="111"/>
      <c r="AE76" s="701">
        <f t="shared" si="70"/>
        <v>0</v>
      </c>
      <c r="AF76" s="701"/>
      <c r="AG76" s="701"/>
      <c r="AH76" s="701">
        <f t="shared" si="71"/>
        <v>0</v>
      </c>
      <c r="AI76" s="812"/>
      <c r="AJ76" s="701"/>
      <c r="AK76" s="701">
        <f t="shared" si="72"/>
        <v>0</v>
      </c>
      <c r="AL76" s="319"/>
      <c r="AM76" s="19"/>
      <c r="AN76" s="701">
        <f t="shared" si="73"/>
        <v>0</v>
      </c>
      <c r="AO76" s="319">
        <v>60</v>
      </c>
      <c r="AP76" s="19"/>
      <c r="AQ76" s="389">
        <f t="shared" si="74"/>
        <v>60</v>
      </c>
      <c r="AR76" s="387">
        <f t="shared" si="75"/>
        <v>126</v>
      </c>
      <c r="AS76" s="388">
        <f t="shared" si="75"/>
        <v>0</v>
      </c>
      <c r="AT76" s="19">
        <f t="shared" si="76"/>
        <v>126</v>
      </c>
      <c r="AU76" s="702">
        <f t="shared" si="77"/>
        <v>10.5</v>
      </c>
      <c r="AV76" s="702">
        <f t="shared" si="77"/>
        <v>0</v>
      </c>
      <c r="AW76" s="703">
        <f t="shared" si="78"/>
        <v>10.5</v>
      </c>
      <c r="AX76" s="703">
        <f t="shared" si="79"/>
        <v>5250</v>
      </c>
      <c r="AY76" s="703">
        <f t="shared" si="80"/>
        <v>0</v>
      </c>
      <c r="AZ76" s="704">
        <f t="shared" si="81"/>
        <v>5250</v>
      </c>
      <c r="BA76" s="19">
        <v>68</v>
      </c>
      <c r="BB76" s="19"/>
      <c r="BC76" s="813">
        <f t="shared" si="82"/>
        <v>68</v>
      </c>
      <c r="BD76" s="19"/>
      <c r="BE76" s="19"/>
      <c r="BF76" s="813">
        <f t="shared" si="83"/>
        <v>0</v>
      </c>
      <c r="BG76" s="19">
        <v>142</v>
      </c>
      <c r="BH76" s="19"/>
      <c r="BI76" s="813">
        <f t="shared" si="84"/>
        <v>142</v>
      </c>
      <c r="BJ76" s="19"/>
      <c r="BK76" s="19"/>
      <c r="BL76" s="814">
        <f t="shared" si="85"/>
        <v>0</v>
      </c>
      <c r="BM76" s="319">
        <v>116</v>
      </c>
      <c r="BN76" s="19"/>
      <c r="BO76" s="868">
        <f t="shared" si="86"/>
        <v>116</v>
      </c>
      <c r="BP76" s="319"/>
      <c r="BQ76" s="19"/>
      <c r="BR76" s="701">
        <f t="shared" si="87"/>
        <v>0</v>
      </c>
      <c r="BS76" s="319"/>
      <c r="BT76" s="19"/>
      <c r="BU76" s="701">
        <f>BS76+BT76</f>
        <v>0</v>
      </c>
      <c r="BV76" s="701"/>
      <c r="BW76" s="701"/>
      <c r="BX76" s="701">
        <f>BV76+BW76</f>
        <v>0</v>
      </c>
      <c r="BY76" s="701"/>
      <c r="BZ76" s="701"/>
      <c r="CA76" s="701">
        <f>BY76+BZ76</f>
        <v>0</v>
      </c>
      <c r="CB76" s="174">
        <f t="shared" si="88"/>
        <v>326</v>
      </c>
      <c r="CC76" s="174">
        <f t="shared" si="89"/>
        <v>0</v>
      </c>
      <c r="CD76" s="174">
        <f t="shared" si="90"/>
        <v>326</v>
      </c>
      <c r="CE76" s="175">
        <f t="shared" si="91"/>
        <v>36.222222222222221</v>
      </c>
      <c r="CF76" s="175">
        <f t="shared" si="92"/>
        <v>0</v>
      </c>
      <c r="CG76" s="175">
        <f t="shared" si="93"/>
        <v>36.222222222222221</v>
      </c>
      <c r="CH76" s="361"/>
      <c r="CI76" s="361"/>
      <c r="CJ76" s="361"/>
      <c r="CK76" s="361"/>
      <c r="CL76" s="361"/>
      <c r="CM76" s="361"/>
      <c r="CN76" s="361"/>
      <c r="CO76" s="361"/>
      <c r="CP76" s="361"/>
      <c r="CQ76" s="361"/>
      <c r="CR76" s="361"/>
      <c r="CS76" s="361"/>
      <c r="CT76" s="361"/>
      <c r="CU76" s="361"/>
      <c r="CV76" s="361"/>
      <c r="CW76" s="361"/>
      <c r="CX76" s="361"/>
      <c r="CY76" s="361"/>
      <c r="CZ76" s="361"/>
      <c r="DA76" s="361"/>
      <c r="DB76" s="361"/>
      <c r="DC76" s="361"/>
      <c r="DD76" s="361"/>
      <c r="DE76" s="361"/>
      <c r="DF76" s="361"/>
      <c r="DG76" s="361"/>
      <c r="DH76" s="361"/>
      <c r="DI76" s="361"/>
      <c r="DJ76" s="361"/>
      <c r="DK76" s="361"/>
      <c r="DL76" s="361"/>
      <c r="DM76" s="361"/>
      <c r="DN76" s="361"/>
      <c r="DO76" s="361"/>
      <c r="DP76" s="361"/>
      <c r="DQ76" s="361"/>
      <c r="DR76" s="361"/>
      <c r="DS76" s="361"/>
      <c r="DT76" s="361"/>
      <c r="DU76" s="361"/>
      <c r="DV76" s="361"/>
      <c r="DW76" s="361"/>
      <c r="DX76" s="361"/>
      <c r="DY76" s="361"/>
      <c r="DZ76" s="361"/>
      <c r="EA76" s="361"/>
      <c r="EB76" s="361"/>
      <c r="EC76" s="361"/>
      <c r="ED76" s="361"/>
      <c r="EE76" s="361"/>
      <c r="EF76" s="361"/>
      <c r="EG76" s="361"/>
      <c r="EH76" s="361"/>
      <c r="EI76" s="361"/>
      <c r="EJ76" s="361"/>
      <c r="EK76" s="361"/>
      <c r="EL76" s="361"/>
      <c r="EM76" s="361"/>
      <c r="EN76" s="361"/>
      <c r="EO76" s="361"/>
      <c r="EP76" s="361"/>
      <c r="EQ76" s="361"/>
      <c r="ER76" s="361"/>
      <c r="ES76" s="361"/>
      <c r="ET76" s="361"/>
      <c r="EU76" s="361"/>
      <c r="EV76" s="361"/>
      <c r="EW76" s="361"/>
      <c r="EX76" s="361"/>
      <c r="EY76" s="361"/>
      <c r="EZ76" s="361"/>
      <c r="FA76" s="361"/>
      <c r="FB76" s="361"/>
      <c r="FC76" s="361"/>
      <c r="FD76" s="361"/>
      <c r="FE76" s="361"/>
      <c r="FF76" s="361"/>
      <c r="FG76" s="361"/>
      <c r="FH76" s="361"/>
      <c r="FI76" s="361"/>
      <c r="FJ76" s="361"/>
      <c r="FK76" s="361"/>
      <c r="FL76" s="361"/>
      <c r="FM76" s="361"/>
      <c r="FN76" s="361"/>
      <c r="FO76" s="361"/>
      <c r="FP76" s="361"/>
      <c r="FQ76" s="361"/>
      <c r="FR76" s="361"/>
      <c r="FS76" s="361"/>
      <c r="FT76" s="361"/>
      <c r="FU76" s="361"/>
      <c r="FV76" s="361"/>
      <c r="FW76" s="361"/>
      <c r="FX76" s="361"/>
      <c r="FY76" s="361"/>
      <c r="FZ76" s="361"/>
      <c r="GA76" s="361"/>
      <c r="GB76" s="361"/>
      <c r="GC76" s="361"/>
      <c r="GD76" s="361"/>
      <c r="GE76" s="361"/>
      <c r="GF76" s="361"/>
      <c r="GG76" s="361"/>
      <c r="GH76" s="361"/>
      <c r="GI76" s="361"/>
      <c r="GJ76" s="361"/>
      <c r="GK76" s="361"/>
      <c r="GL76" s="361"/>
      <c r="GM76" s="361"/>
      <c r="GN76" s="361"/>
      <c r="GO76" s="361"/>
      <c r="GP76" s="361"/>
      <c r="GQ76" s="361"/>
      <c r="GR76" s="361"/>
      <c r="GS76" s="361"/>
      <c r="GT76" s="361"/>
      <c r="GU76" s="361"/>
      <c r="GV76" s="361"/>
      <c r="GW76" s="361"/>
      <c r="GX76" s="361"/>
      <c r="GY76" s="361"/>
      <c r="GZ76" s="361"/>
      <c r="HA76" s="361"/>
      <c r="HB76" s="361"/>
      <c r="HC76" s="361"/>
      <c r="HD76" s="361"/>
      <c r="HE76" s="361"/>
    </row>
    <row r="77" spans="1:213" ht="17.25" thickBot="1">
      <c r="A77" s="802">
        <v>70</v>
      </c>
      <c r="B77" s="799" t="s">
        <v>3237</v>
      </c>
      <c r="C77" s="15"/>
      <c r="D77" s="15" t="s">
        <v>3238</v>
      </c>
      <c r="E77" s="803" t="s">
        <v>3101</v>
      </c>
      <c r="F77" s="800"/>
      <c r="G77" s="801" t="s">
        <v>18</v>
      </c>
      <c r="H77" s="1"/>
      <c r="I77" s="1"/>
      <c r="J77" s="372"/>
      <c r="K77" s="382"/>
      <c r="L77" s="1"/>
      <c r="M77" s="694"/>
      <c r="N77" s="103"/>
      <c r="O77" s="1"/>
      <c r="P77" s="105"/>
      <c r="Q77" s="382"/>
      <c r="R77" s="1"/>
      <c r="S77" s="105"/>
      <c r="T77" s="382"/>
      <c r="U77" s="1"/>
      <c r="V77" s="105"/>
      <c r="W77" s="382"/>
      <c r="X77" s="1"/>
      <c r="Y77" s="372"/>
      <c r="Z77" s="382">
        <v>18</v>
      </c>
      <c r="AA77" s="1"/>
      <c r="AB77" s="379">
        <f t="shared" si="69"/>
        <v>18</v>
      </c>
      <c r="AC77" s="379"/>
      <c r="AD77" s="379"/>
      <c r="AE77" s="372">
        <f t="shared" si="70"/>
        <v>0</v>
      </c>
      <c r="AF77" s="372"/>
      <c r="AG77" s="372"/>
      <c r="AH77" s="372">
        <f t="shared" si="71"/>
        <v>0</v>
      </c>
      <c r="AI77" s="765"/>
      <c r="AJ77" s="372"/>
      <c r="AK77" s="372">
        <f t="shared" si="72"/>
        <v>0</v>
      </c>
      <c r="AL77" s="382"/>
      <c r="AM77" s="1"/>
      <c r="AN77" s="372">
        <f t="shared" si="73"/>
        <v>0</v>
      </c>
      <c r="AO77" s="78"/>
      <c r="AP77" s="6"/>
      <c r="AQ77" s="697">
        <f t="shared" si="74"/>
        <v>0</v>
      </c>
      <c r="AR77" s="766">
        <f t="shared" si="75"/>
        <v>18</v>
      </c>
      <c r="AS77" s="692">
        <f t="shared" si="75"/>
        <v>0</v>
      </c>
      <c r="AT77" s="6">
        <f t="shared" si="76"/>
        <v>18</v>
      </c>
      <c r="AU77" s="585">
        <f t="shared" si="77"/>
        <v>1.5</v>
      </c>
      <c r="AV77" s="585">
        <f t="shared" si="77"/>
        <v>0</v>
      </c>
      <c r="AW77" s="494">
        <f t="shared" si="78"/>
        <v>1.5</v>
      </c>
      <c r="AX77" s="217">
        <f t="shared" si="79"/>
        <v>750</v>
      </c>
      <c r="AY77" s="217">
        <f t="shared" si="80"/>
        <v>0</v>
      </c>
      <c r="AZ77" s="695">
        <f t="shared" si="81"/>
        <v>750</v>
      </c>
      <c r="BA77" s="1">
        <v>20</v>
      </c>
      <c r="BB77" s="1"/>
      <c r="BC77" s="769">
        <f t="shared" si="82"/>
        <v>20</v>
      </c>
      <c r="BD77" s="1"/>
      <c r="BE77" s="1"/>
      <c r="BF77" s="769">
        <f t="shared" si="83"/>
        <v>0</v>
      </c>
      <c r="BG77" s="1"/>
      <c r="BH77" s="1"/>
      <c r="BI77" s="769">
        <f t="shared" si="84"/>
        <v>0</v>
      </c>
      <c r="BJ77" s="1"/>
      <c r="BK77" s="1"/>
      <c r="BL77" s="770">
        <f t="shared" si="85"/>
        <v>0</v>
      </c>
      <c r="BM77" s="78"/>
      <c r="BN77" s="6"/>
      <c r="BO77" s="772">
        <f t="shared" si="86"/>
        <v>0</v>
      </c>
      <c r="BP77" s="78"/>
      <c r="BQ77" s="6"/>
      <c r="BR77" s="693">
        <f t="shared" si="87"/>
        <v>0</v>
      </c>
      <c r="BS77" s="78"/>
      <c r="BT77" s="6"/>
      <c r="BU77" s="693">
        <f t="shared" ref="BU77:BU79" si="98">BS77+BT77</f>
        <v>0</v>
      </c>
      <c r="BV77" s="693"/>
      <c r="BW77" s="693"/>
      <c r="BX77" s="693">
        <f t="shared" ref="BX77:BX79" si="99">BV77+BW77</f>
        <v>0</v>
      </c>
      <c r="BY77" s="693"/>
      <c r="BZ77" s="693"/>
      <c r="CA77" s="693">
        <f t="shared" ref="CA77:CA79" si="100">BY77+BZ77</f>
        <v>0</v>
      </c>
      <c r="CB77" s="174">
        <f t="shared" si="88"/>
        <v>20</v>
      </c>
      <c r="CC77" s="174">
        <f t="shared" si="89"/>
        <v>0</v>
      </c>
      <c r="CD77" s="174">
        <f t="shared" si="90"/>
        <v>20</v>
      </c>
      <c r="CE77" s="175">
        <f t="shared" si="91"/>
        <v>2.2222222222222223</v>
      </c>
      <c r="CF77" s="175">
        <f t="shared" si="92"/>
        <v>0</v>
      </c>
      <c r="CG77" s="175">
        <f t="shared" si="93"/>
        <v>2.2222222222222223</v>
      </c>
    </row>
    <row r="78" spans="1:213" ht="17.25" thickBot="1">
      <c r="A78" s="760">
        <v>71</v>
      </c>
      <c r="B78" s="843" t="s">
        <v>3239</v>
      </c>
      <c r="C78" s="844"/>
      <c r="D78" s="15" t="s">
        <v>3240</v>
      </c>
      <c r="E78" s="762" t="s">
        <v>3101</v>
      </c>
      <c r="F78" s="845">
        <v>0</v>
      </c>
      <c r="G78" s="846" t="s">
        <v>15</v>
      </c>
      <c r="H78" s="1">
        <v>310</v>
      </c>
      <c r="I78" s="1"/>
      <c r="J78" s="372">
        <f t="shared" si="64"/>
        <v>310</v>
      </c>
      <c r="K78" s="382"/>
      <c r="L78" s="1"/>
      <c r="M78" s="694">
        <f t="shared" si="65"/>
        <v>0</v>
      </c>
      <c r="N78" s="103">
        <v>285</v>
      </c>
      <c r="O78" s="1"/>
      <c r="P78" s="105">
        <f t="shared" si="97"/>
        <v>285</v>
      </c>
      <c r="Q78" s="382"/>
      <c r="R78" s="1"/>
      <c r="S78" s="105">
        <f t="shared" si="66"/>
        <v>0</v>
      </c>
      <c r="T78" s="382"/>
      <c r="U78" s="1"/>
      <c r="V78" s="105">
        <f t="shared" si="67"/>
        <v>0</v>
      </c>
      <c r="W78" s="382">
        <v>328</v>
      </c>
      <c r="X78" s="1"/>
      <c r="Y78" s="372">
        <f t="shared" si="68"/>
        <v>328</v>
      </c>
      <c r="Z78" s="382"/>
      <c r="AA78" s="1"/>
      <c r="AB78" s="379">
        <f t="shared" si="69"/>
        <v>0</v>
      </c>
      <c r="AC78" s="379"/>
      <c r="AD78" s="379"/>
      <c r="AE78" s="372">
        <f t="shared" si="70"/>
        <v>0</v>
      </c>
      <c r="AF78" s="372"/>
      <c r="AG78" s="372"/>
      <c r="AH78" s="372">
        <f t="shared" si="71"/>
        <v>0</v>
      </c>
      <c r="AI78" s="765">
        <v>300</v>
      </c>
      <c r="AJ78" s="372"/>
      <c r="AK78" s="372">
        <f t="shared" si="72"/>
        <v>300</v>
      </c>
      <c r="AL78" s="382"/>
      <c r="AM78" s="1"/>
      <c r="AN78" s="372">
        <f t="shared" si="73"/>
        <v>0</v>
      </c>
      <c r="AO78" s="78"/>
      <c r="AP78" s="6"/>
      <c r="AQ78" s="697">
        <f t="shared" si="74"/>
        <v>0</v>
      </c>
      <c r="AR78" s="766">
        <f t="shared" si="75"/>
        <v>1223</v>
      </c>
      <c r="AS78" s="692">
        <f t="shared" si="75"/>
        <v>0</v>
      </c>
      <c r="AT78" s="847">
        <f t="shared" si="76"/>
        <v>1223</v>
      </c>
      <c r="AU78" s="585">
        <f t="shared" si="77"/>
        <v>101.91666666666667</v>
      </c>
      <c r="AV78" s="585">
        <f t="shared" si="77"/>
        <v>0</v>
      </c>
      <c r="AW78" s="848">
        <f t="shared" si="78"/>
        <v>101.91666666666667</v>
      </c>
      <c r="AX78" s="848">
        <f t="shared" si="79"/>
        <v>50958.333333333336</v>
      </c>
      <c r="AY78" s="848">
        <f t="shared" si="80"/>
        <v>0</v>
      </c>
      <c r="AZ78" s="849">
        <f t="shared" si="81"/>
        <v>50958.333333333336</v>
      </c>
      <c r="BA78" s="1">
        <v>240</v>
      </c>
      <c r="BB78" s="1"/>
      <c r="BC78" s="769">
        <f t="shared" si="82"/>
        <v>240</v>
      </c>
      <c r="BD78" s="1"/>
      <c r="BE78" s="1"/>
      <c r="BF78" s="769">
        <f t="shared" si="83"/>
        <v>0</v>
      </c>
      <c r="BG78" s="1"/>
      <c r="BH78" s="1"/>
      <c r="BI78" s="769">
        <f t="shared" si="84"/>
        <v>0</v>
      </c>
      <c r="BJ78" s="1"/>
      <c r="BK78" s="1"/>
      <c r="BL78" s="770">
        <f t="shared" si="85"/>
        <v>0</v>
      </c>
      <c r="BM78" s="78"/>
      <c r="BN78" s="6"/>
      <c r="BO78" s="772">
        <f t="shared" si="86"/>
        <v>0</v>
      </c>
      <c r="BP78" s="78">
        <v>300</v>
      </c>
      <c r="BQ78" s="6"/>
      <c r="BR78" s="693">
        <f t="shared" si="87"/>
        <v>300</v>
      </c>
      <c r="BS78" s="78"/>
      <c r="BT78" s="6"/>
      <c r="BU78" s="693">
        <f t="shared" si="98"/>
        <v>0</v>
      </c>
      <c r="BV78" s="693"/>
      <c r="BW78" s="693"/>
      <c r="BX78" s="693">
        <f t="shared" si="99"/>
        <v>0</v>
      </c>
      <c r="BY78" s="693"/>
      <c r="BZ78" s="693"/>
      <c r="CA78" s="693">
        <f t="shared" si="100"/>
        <v>0</v>
      </c>
      <c r="CB78" s="174">
        <f t="shared" si="88"/>
        <v>540</v>
      </c>
      <c r="CC78" s="174">
        <f t="shared" si="89"/>
        <v>0</v>
      </c>
      <c r="CD78" s="174">
        <f t="shared" si="90"/>
        <v>540</v>
      </c>
      <c r="CE78" s="175">
        <f t="shared" si="91"/>
        <v>60</v>
      </c>
      <c r="CF78" s="175">
        <f t="shared" si="92"/>
        <v>0</v>
      </c>
      <c r="CG78" s="175">
        <f t="shared" si="93"/>
        <v>60</v>
      </c>
    </row>
    <row r="79" spans="1:213" ht="17.25" thickBot="1">
      <c r="A79" s="802">
        <v>72</v>
      </c>
      <c r="B79" s="678" t="s">
        <v>3241</v>
      </c>
      <c r="C79" s="15"/>
      <c r="D79" s="15" t="s">
        <v>3242</v>
      </c>
      <c r="E79" s="803" t="s">
        <v>3101</v>
      </c>
      <c r="F79" s="850"/>
      <c r="G79" s="801" t="s">
        <v>18</v>
      </c>
      <c r="H79" s="1"/>
      <c r="I79" s="1"/>
      <c r="J79" s="372"/>
      <c r="K79" s="382"/>
      <c r="L79" s="1"/>
      <c r="M79" s="694"/>
      <c r="N79" s="103"/>
      <c r="O79" s="1"/>
      <c r="P79" s="105"/>
      <c r="Q79" s="382"/>
      <c r="R79" s="1"/>
      <c r="S79" s="105"/>
      <c r="T79" s="382"/>
      <c r="U79" s="1"/>
      <c r="V79" s="105"/>
      <c r="W79" s="382"/>
      <c r="X79" s="1"/>
      <c r="Y79" s="379"/>
      <c r="Z79" s="382">
        <v>10</v>
      </c>
      <c r="AA79" s="1"/>
      <c r="AB79" s="379">
        <f t="shared" si="69"/>
        <v>10</v>
      </c>
      <c r="AC79" s="379"/>
      <c r="AD79" s="379"/>
      <c r="AE79" s="372">
        <f t="shared" si="70"/>
        <v>0</v>
      </c>
      <c r="AF79" s="372"/>
      <c r="AG79" s="372"/>
      <c r="AH79" s="372">
        <f t="shared" si="71"/>
        <v>0</v>
      </c>
      <c r="AI79" s="765"/>
      <c r="AJ79" s="372"/>
      <c r="AK79" s="372">
        <f t="shared" si="72"/>
        <v>0</v>
      </c>
      <c r="AL79" s="382"/>
      <c r="AM79" s="1"/>
      <c r="AN79" s="372">
        <f t="shared" si="73"/>
        <v>0</v>
      </c>
      <c r="AO79" s="78"/>
      <c r="AP79" s="6"/>
      <c r="AQ79" s="697">
        <f t="shared" si="74"/>
        <v>0</v>
      </c>
      <c r="AR79" s="766">
        <f t="shared" si="75"/>
        <v>10</v>
      </c>
      <c r="AS79" s="692">
        <f t="shared" si="75"/>
        <v>0</v>
      </c>
      <c r="AT79" s="6">
        <f t="shared" si="76"/>
        <v>10</v>
      </c>
      <c r="AU79" s="585">
        <f t="shared" si="77"/>
        <v>0.83333333333333337</v>
      </c>
      <c r="AV79" s="585">
        <f t="shared" si="77"/>
        <v>0</v>
      </c>
      <c r="AW79" s="494">
        <f t="shared" si="78"/>
        <v>0.83333333333333337</v>
      </c>
      <c r="AX79" s="217">
        <f t="shared" si="79"/>
        <v>416.66666666666669</v>
      </c>
      <c r="AY79" s="217">
        <f t="shared" si="80"/>
        <v>0</v>
      </c>
      <c r="AZ79" s="695">
        <f t="shared" si="81"/>
        <v>416.66666666666669</v>
      </c>
      <c r="BA79" s="1"/>
      <c r="BB79" s="1"/>
      <c r="BC79" s="769">
        <f t="shared" si="82"/>
        <v>0</v>
      </c>
      <c r="BD79" s="1"/>
      <c r="BE79" s="1"/>
      <c r="BF79" s="769">
        <f t="shared" si="83"/>
        <v>0</v>
      </c>
      <c r="BG79" s="1">
        <v>25</v>
      </c>
      <c r="BH79" s="1"/>
      <c r="BI79" s="769">
        <f t="shared" si="84"/>
        <v>25</v>
      </c>
      <c r="BJ79" s="1"/>
      <c r="BK79" s="1"/>
      <c r="BL79" s="770">
        <f t="shared" si="85"/>
        <v>0</v>
      </c>
      <c r="BM79" s="78"/>
      <c r="BN79" s="6"/>
      <c r="BO79" s="772">
        <f t="shared" si="86"/>
        <v>0</v>
      </c>
      <c r="BP79" s="78"/>
      <c r="BQ79" s="6"/>
      <c r="BR79" s="693">
        <f t="shared" si="87"/>
        <v>0</v>
      </c>
      <c r="BS79" s="78"/>
      <c r="BT79" s="6"/>
      <c r="BU79" s="693">
        <f t="shared" si="98"/>
        <v>0</v>
      </c>
      <c r="BV79" s="693"/>
      <c r="BW79" s="693"/>
      <c r="BX79" s="693">
        <f t="shared" si="99"/>
        <v>0</v>
      </c>
      <c r="BY79" s="693"/>
      <c r="BZ79" s="693"/>
      <c r="CA79" s="693">
        <f t="shared" si="100"/>
        <v>0</v>
      </c>
      <c r="CB79" s="174">
        <f t="shared" si="88"/>
        <v>25</v>
      </c>
      <c r="CC79" s="174">
        <f t="shared" si="89"/>
        <v>0</v>
      </c>
      <c r="CD79" s="174">
        <f t="shared" si="90"/>
        <v>25</v>
      </c>
      <c r="CE79" s="175">
        <f t="shared" si="91"/>
        <v>2.7777777777777777</v>
      </c>
      <c r="CF79" s="175">
        <f t="shared" si="92"/>
        <v>0</v>
      </c>
      <c r="CG79" s="175">
        <f t="shared" si="93"/>
        <v>2.7777777777777777</v>
      </c>
    </row>
    <row r="80" spans="1:213" s="699" customFormat="1" ht="17.25" thickBot="1">
      <c r="A80" s="807">
        <v>73</v>
      </c>
      <c r="B80" s="711" t="s">
        <v>3243</v>
      </c>
      <c r="C80" s="556"/>
      <c r="D80" s="111" t="s">
        <v>3244</v>
      </c>
      <c r="E80" s="809" t="s">
        <v>3101</v>
      </c>
      <c r="F80" s="871"/>
      <c r="G80" s="872" t="s">
        <v>18</v>
      </c>
      <c r="H80" s="505"/>
      <c r="I80" s="505"/>
      <c r="J80" s="19"/>
      <c r="K80" s="558"/>
      <c r="L80" s="505"/>
      <c r="M80" s="19"/>
      <c r="N80" s="558"/>
      <c r="O80" s="505"/>
      <c r="P80" s="533"/>
      <c r="Q80" s="532"/>
      <c r="R80" s="505"/>
      <c r="S80" s="533"/>
      <c r="T80" s="532"/>
      <c r="U80" s="505"/>
      <c r="V80" s="533"/>
      <c r="W80" s="532"/>
      <c r="X80" s="505"/>
      <c r="Y80" s="556"/>
      <c r="Z80" s="532"/>
      <c r="AA80" s="505"/>
      <c r="AB80" s="556"/>
      <c r="AC80" s="556">
        <v>100</v>
      </c>
      <c r="AD80" s="556">
        <v>52</v>
      </c>
      <c r="AE80" s="701">
        <f t="shared" si="70"/>
        <v>152</v>
      </c>
      <c r="AF80" s="701">
        <v>20</v>
      </c>
      <c r="AG80" s="701"/>
      <c r="AH80" s="701">
        <f t="shared" si="71"/>
        <v>20</v>
      </c>
      <c r="AI80" s="812">
        <v>40</v>
      </c>
      <c r="AJ80" s="701">
        <v>20</v>
      </c>
      <c r="AK80" s="701">
        <f t="shared" si="72"/>
        <v>60</v>
      </c>
      <c r="AL80" s="319"/>
      <c r="AM80" s="19"/>
      <c r="AN80" s="701">
        <f t="shared" si="73"/>
        <v>0</v>
      </c>
      <c r="AO80" s="319">
        <v>100</v>
      </c>
      <c r="AP80" s="19"/>
      <c r="AQ80" s="389">
        <f t="shared" si="74"/>
        <v>100</v>
      </c>
      <c r="AR80" s="387">
        <f t="shared" si="75"/>
        <v>160</v>
      </c>
      <c r="AS80" s="388">
        <f t="shared" si="75"/>
        <v>72</v>
      </c>
      <c r="AT80" s="19">
        <f t="shared" si="76"/>
        <v>232</v>
      </c>
      <c r="AU80" s="702">
        <f t="shared" si="77"/>
        <v>13.333333333333334</v>
      </c>
      <c r="AV80" s="702">
        <f t="shared" si="77"/>
        <v>6</v>
      </c>
      <c r="AW80" s="703">
        <f t="shared" si="78"/>
        <v>19.333333333333336</v>
      </c>
      <c r="AX80" s="703"/>
      <c r="AY80" s="703"/>
      <c r="AZ80" s="704"/>
      <c r="BA80" s="505"/>
      <c r="BB80" s="505"/>
      <c r="BC80" s="813">
        <f t="shared" si="82"/>
        <v>0</v>
      </c>
      <c r="BD80" s="505">
        <v>116</v>
      </c>
      <c r="BE80" s="505"/>
      <c r="BF80" s="813">
        <f t="shared" si="83"/>
        <v>116</v>
      </c>
      <c r="BG80" s="505"/>
      <c r="BH80" s="505"/>
      <c r="BI80" s="813">
        <f t="shared" si="84"/>
        <v>0</v>
      </c>
      <c r="BJ80" s="505">
        <v>58</v>
      </c>
      <c r="BK80" s="505"/>
      <c r="BL80" s="814">
        <f t="shared" si="85"/>
        <v>58</v>
      </c>
      <c r="BM80" s="319">
        <v>80</v>
      </c>
      <c r="BN80" s="19"/>
      <c r="BO80" s="868">
        <f t="shared" si="86"/>
        <v>80</v>
      </c>
      <c r="BP80" s="319"/>
      <c r="BQ80" s="19"/>
      <c r="BR80" s="701">
        <f t="shared" si="87"/>
        <v>0</v>
      </c>
      <c r="BS80" s="319"/>
      <c r="BT80" s="19"/>
      <c r="BU80" s="701">
        <f>BS80+BT80</f>
        <v>0</v>
      </c>
      <c r="BV80" s="701"/>
      <c r="BW80" s="701"/>
      <c r="BX80" s="701">
        <f>BV80+BW80</f>
        <v>0</v>
      </c>
      <c r="BY80" s="701"/>
      <c r="BZ80" s="701"/>
      <c r="CA80" s="701">
        <f>BY80+BZ80</f>
        <v>0</v>
      </c>
      <c r="CB80" s="174">
        <f t="shared" si="88"/>
        <v>254</v>
      </c>
      <c r="CC80" s="174">
        <f t="shared" si="89"/>
        <v>0</v>
      </c>
      <c r="CD80" s="174">
        <f t="shared" si="90"/>
        <v>254</v>
      </c>
      <c r="CE80" s="175">
        <f t="shared" si="91"/>
        <v>28.222222222222221</v>
      </c>
      <c r="CF80" s="175">
        <f t="shared" si="92"/>
        <v>0</v>
      </c>
      <c r="CG80" s="175">
        <f t="shared" si="93"/>
        <v>28.222222222222221</v>
      </c>
      <c r="CH80" s="361"/>
      <c r="CI80" s="361"/>
      <c r="CJ80" s="361"/>
      <c r="CK80" s="361"/>
      <c r="CL80" s="361"/>
      <c r="CM80" s="361"/>
      <c r="CN80" s="361"/>
      <c r="CO80" s="361"/>
      <c r="CP80" s="361"/>
      <c r="CQ80" s="361"/>
      <c r="CR80" s="361"/>
      <c r="CS80" s="361"/>
      <c r="CT80" s="361"/>
      <c r="CU80" s="361"/>
      <c r="CV80" s="361"/>
      <c r="CW80" s="361"/>
      <c r="CX80" s="361"/>
      <c r="CY80" s="361"/>
      <c r="CZ80" s="361"/>
      <c r="DA80" s="361"/>
      <c r="DB80" s="361"/>
      <c r="DC80" s="361"/>
      <c r="DD80" s="361"/>
      <c r="DE80" s="361"/>
      <c r="DF80" s="361"/>
      <c r="DG80" s="361"/>
      <c r="DH80" s="361"/>
      <c r="DI80" s="361"/>
      <c r="DJ80" s="361"/>
      <c r="DK80" s="361"/>
      <c r="DL80" s="361"/>
      <c r="DM80" s="361"/>
      <c r="DN80" s="361"/>
      <c r="DO80" s="361"/>
      <c r="DP80" s="361"/>
      <c r="DQ80" s="361"/>
      <c r="DR80" s="361"/>
      <c r="DS80" s="361"/>
      <c r="DT80" s="361"/>
      <c r="DU80" s="361"/>
      <c r="DV80" s="361"/>
      <c r="DW80" s="361"/>
      <c r="DX80" s="361"/>
      <c r="DY80" s="361"/>
      <c r="DZ80" s="361"/>
      <c r="EA80" s="361"/>
      <c r="EB80" s="361"/>
      <c r="EC80" s="361"/>
      <c r="ED80" s="361"/>
      <c r="EE80" s="361"/>
      <c r="EF80" s="361"/>
      <c r="EG80" s="361"/>
      <c r="EH80" s="361"/>
      <c r="EI80" s="361"/>
      <c r="EJ80" s="361"/>
      <c r="EK80" s="361"/>
      <c r="EL80" s="361"/>
      <c r="EM80" s="361"/>
      <c r="EN80" s="361"/>
      <c r="EO80" s="361"/>
      <c r="EP80" s="361"/>
      <c r="EQ80" s="361"/>
      <c r="ER80" s="361"/>
      <c r="ES80" s="361"/>
      <c r="ET80" s="361"/>
      <c r="EU80" s="361"/>
      <c r="EV80" s="361"/>
      <c r="EW80" s="361"/>
      <c r="EX80" s="361"/>
      <c r="EY80" s="361"/>
      <c r="EZ80" s="361"/>
      <c r="FA80" s="361"/>
      <c r="FB80" s="361"/>
      <c r="FC80" s="361"/>
      <c r="FD80" s="361"/>
      <c r="FE80" s="361"/>
      <c r="FF80" s="361"/>
      <c r="FG80" s="361"/>
      <c r="FH80" s="361"/>
      <c r="FI80" s="361"/>
      <c r="FJ80" s="361"/>
      <c r="FK80" s="361"/>
      <c r="FL80" s="361"/>
      <c r="FM80" s="361"/>
      <c r="FN80" s="361"/>
      <c r="FO80" s="361"/>
      <c r="FP80" s="361"/>
      <c r="FQ80" s="361"/>
      <c r="FR80" s="361"/>
      <c r="FS80" s="361"/>
      <c r="FT80" s="361"/>
      <c r="FU80" s="361"/>
      <c r="FV80" s="361"/>
      <c r="FW80" s="361"/>
      <c r="FX80" s="361"/>
      <c r="FY80" s="361"/>
      <c r="FZ80" s="361"/>
      <c r="GA80" s="361"/>
      <c r="GB80" s="361"/>
      <c r="GC80" s="361"/>
      <c r="GD80" s="361"/>
      <c r="GE80" s="361"/>
      <c r="GF80" s="361"/>
      <c r="GG80" s="361"/>
      <c r="GH80" s="361"/>
      <c r="GI80" s="361"/>
      <c r="GJ80" s="361"/>
      <c r="GK80" s="361"/>
      <c r="GL80" s="361"/>
      <c r="GM80" s="361"/>
      <c r="GN80" s="361"/>
      <c r="GO80" s="361"/>
      <c r="GP80" s="361"/>
      <c r="GQ80" s="361"/>
      <c r="GR80" s="361"/>
      <c r="GS80" s="361"/>
      <c r="GT80" s="361"/>
      <c r="GU80" s="361"/>
      <c r="GV80" s="361"/>
      <c r="GW80" s="361"/>
      <c r="GX80" s="361"/>
      <c r="GY80" s="361"/>
      <c r="GZ80" s="361"/>
      <c r="HA80" s="361"/>
      <c r="HB80" s="361"/>
      <c r="HC80" s="361"/>
      <c r="HD80" s="361"/>
      <c r="HE80" s="361"/>
    </row>
    <row r="81" spans="1:213" ht="17.25" thickBot="1">
      <c r="A81" s="760">
        <v>74</v>
      </c>
      <c r="B81" s="705" t="s">
        <v>3245</v>
      </c>
      <c r="C81" s="706"/>
      <c r="D81" s="15" t="s">
        <v>3246</v>
      </c>
      <c r="E81" s="803" t="s">
        <v>3101</v>
      </c>
      <c r="F81" s="851"/>
      <c r="G81" s="852" t="s">
        <v>18</v>
      </c>
      <c r="H81" s="404"/>
      <c r="I81" s="404"/>
      <c r="J81" s="1"/>
      <c r="K81" s="398"/>
      <c r="L81" s="404"/>
      <c r="M81" s="1"/>
      <c r="N81" s="398"/>
      <c r="O81" s="404"/>
      <c r="P81" s="708"/>
      <c r="Q81" s="397"/>
      <c r="R81" s="404"/>
      <c r="S81" s="708"/>
      <c r="T81" s="397"/>
      <c r="U81" s="404"/>
      <c r="V81" s="708"/>
      <c r="W81" s="397"/>
      <c r="X81" s="404"/>
      <c r="Y81" s="401"/>
      <c r="Z81" s="397"/>
      <c r="AA81" s="404"/>
      <c r="AB81" s="401"/>
      <c r="AC81" s="401"/>
      <c r="AD81" s="401"/>
      <c r="AE81" s="372">
        <f t="shared" si="70"/>
        <v>0</v>
      </c>
      <c r="AF81" s="1">
        <v>10</v>
      </c>
      <c r="AG81" s="1"/>
      <c r="AH81" s="372">
        <f t="shared" si="71"/>
        <v>10</v>
      </c>
      <c r="AI81" s="765"/>
      <c r="AJ81" s="372"/>
      <c r="AK81" s="372">
        <f t="shared" si="72"/>
        <v>0</v>
      </c>
      <c r="AL81" s="382">
        <v>25</v>
      </c>
      <c r="AM81" s="1"/>
      <c r="AN81" s="372">
        <f t="shared" si="73"/>
        <v>25</v>
      </c>
      <c r="AO81" s="78"/>
      <c r="AP81" s="6"/>
      <c r="AQ81" s="697">
        <f t="shared" si="74"/>
        <v>0</v>
      </c>
      <c r="AR81" s="766">
        <f t="shared" si="75"/>
        <v>35</v>
      </c>
      <c r="AS81" s="692">
        <f t="shared" si="75"/>
        <v>0</v>
      </c>
      <c r="AT81" s="6">
        <f t="shared" si="76"/>
        <v>35</v>
      </c>
      <c r="AU81" s="585">
        <f t="shared" si="77"/>
        <v>2.9166666666666665</v>
      </c>
      <c r="AV81" s="585">
        <f t="shared" si="77"/>
        <v>0</v>
      </c>
      <c r="AW81" s="494">
        <f t="shared" si="78"/>
        <v>2.9166666666666665</v>
      </c>
      <c r="AX81" s="709"/>
      <c r="AY81" s="709"/>
      <c r="AZ81" s="710"/>
      <c r="BA81" s="404"/>
      <c r="BB81" s="404"/>
      <c r="BC81" s="769">
        <f t="shared" si="82"/>
        <v>0</v>
      </c>
      <c r="BD81" s="404"/>
      <c r="BE81" s="404"/>
      <c r="BF81" s="769">
        <f t="shared" si="83"/>
        <v>0</v>
      </c>
      <c r="BG81" s="404">
        <v>10</v>
      </c>
      <c r="BH81" s="404"/>
      <c r="BI81" s="769">
        <f t="shared" si="84"/>
        <v>10</v>
      </c>
      <c r="BJ81" s="404">
        <v>10</v>
      </c>
      <c r="BK81" s="404"/>
      <c r="BL81" s="770">
        <f t="shared" si="85"/>
        <v>10</v>
      </c>
      <c r="BM81" s="78">
        <v>10</v>
      </c>
      <c r="BN81" s="6"/>
      <c r="BO81" s="772">
        <f t="shared" si="86"/>
        <v>10</v>
      </c>
      <c r="BP81" s="78"/>
      <c r="BQ81" s="6"/>
      <c r="BR81" s="693">
        <f t="shared" si="87"/>
        <v>0</v>
      </c>
      <c r="BS81" s="78">
        <v>20</v>
      </c>
      <c r="BT81" s="6"/>
      <c r="BU81" s="693">
        <f t="shared" ref="BU81:BU93" si="101">BS81+BT81</f>
        <v>20</v>
      </c>
      <c r="BV81" s="693"/>
      <c r="BW81" s="693"/>
      <c r="BX81" s="693">
        <f t="shared" ref="BX81:BX93" si="102">BV81+BW81</f>
        <v>0</v>
      </c>
      <c r="BY81" s="693"/>
      <c r="BZ81" s="693"/>
      <c r="CA81" s="693">
        <f t="shared" ref="CA81:CA93" si="103">BY81+BZ81</f>
        <v>0</v>
      </c>
      <c r="CB81" s="174">
        <f t="shared" si="88"/>
        <v>50</v>
      </c>
      <c r="CC81" s="174">
        <f t="shared" si="89"/>
        <v>0</v>
      </c>
      <c r="CD81" s="174">
        <f t="shared" si="90"/>
        <v>50</v>
      </c>
      <c r="CE81" s="175">
        <f t="shared" si="91"/>
        <v>5.5555555555555554</v>
      </c>
      <c r="CF81" s="175">
        <f t="shared" si="92"/>
        <v>0</v>
      </c>
      <c r="CG81" s="175">
        <f t="shared" si="93"/>
        <v>5.5555555555555554</v>
      </c>
    </row>
    <row r="82" spans="1:213" ht="17.25" thickBot="1">
      <c r="A82" s="802">
        <v>75</v>
      </c>
      <c r="B82" s="705" t="s">
        <v>3247</v>
      </c>
      <c r="C82" s="706"/>
      <c r="D82" s="15" t="s">
        <v>3248</v>
      </c>
      <c r="E82" s="762" t="s">
        <v>3101</v>
      </c>
      <c r="F82" s="851"/>
      <c r="G82" s="852" t="s">
        <v>15</v>
      </c>
      <c r="H82" s="404"/>
      <c r="I82" s="404"/>
      <c r="J82" s="1"/>
      <c r="K82" s="398"/>
      <c r="L82" s="404"/>
      <c r="M82" s="1"/>
      <c r="N82" s="398"/>
      <c r="O82" s="404"/>
      <c r="P82" s="708"/>
      <c r="Q82" s="397"/>
      <c r="R82" s="404"/>
      <c r="S82" s="708"/>
      <c r="T82" s="397"/>
      <c r="U82" s="404"/>
      <c r="V82" s="708"/>
      <c r="W82" s="397"/>
      <c r="X82" s="404"/>
      <c r="Y82" s="401"/>
      <c r="Z82" s="397"/>
      <c r="AA82" s="404"/>
      <c r="AB82" s="401"/>
      <c r="AC82" s="401"/>
      <c r="AD82" s="401"/>
      <c r="AE82" s="372">
        <f t="shared" si="70"/>
        <v>0</v>
      </c>
      <c r="AF82" s="1">
        <v>10</v>
      </c>
      <c r="AG82" s="1"/>
      <c r="AH82" s="372">
        <f t="shared" si="71"/>
        <v>10</v>
      </c>
      <c r="AI82" s="765"/>
      <c r="AJ82" s="372"/>
      <c r="AK82" s="372">
        <f t="shared" si="72"/>
        <v>0</v>
      </c>
      <c r="AL82" s="382"/>
      <c r="AM82" s="1"/>
      <c r="AN82" s="372">
        <f t="shared" si="73"/>
        <v>0</v>
      </c>
      <c r="AO82" s="78"/>
      <c r="AP82" s="6"/>
      <c r="AQ82" s="697">
        <f t="shared" si="74"/>
        <v>0</v>
      </c>
      <c r="AR82" s="766">
        <f t="shared" si="75"/>
        <v>10</v>
      </c>
      <c r="AS82" s="692">
        <f t="shared" si="75"/>
        <v>0</v>
      </c>
      <c r="AT82" s="6">
        <f t="shared" si="76"/>
        <v>10</v>
      </c>
      <c r="AU82" s="585">
        <f t="shared" si="77"/>
        <v>0.83333333333333337</v>
      </c>
      <c r="AV82" s="585">
        <f t="shared" si="77"/>
        <v>0</v>
      </c>
      <c r="AW82" s="494">
        <f t="shared" si="78"/>
        <v>0.83333333333333337</v>
      </c>
      <c r="AX82" s="709"/>
      <c r="AY82" s="709"/>
      <c r="AZ82" s="710"/>
      <c r="BA82" s="404"/>
      <c r="BB82" s="404"/>
      <c r="BC82" s="769">
        <f t="shared" si="82"/>
        <v>0</v>
      </c>
      <c r="BD82" s="404"/>
      <c r="BE82" s="404"/>
      <c r="BF82" s="769">
        <f t="shared" si="83"/>
        <v>0</v>
      </c>
      <c r="BG82" s="404"/>
      <c r="BH82" s="404"/>
      <c r="BI82" s="769">
        <f t="shared" si="84"/>
        <v>0</v>
      </c>
      <c r="BJ82" s="404"/>
      <c r="BK82" s="404"/>
      <c r="BL82" s="770">
        <f t="shared" si="85"/>
        <v>0</v>
      </c>
      <c r="BM82" s="78"/>
      <c r="BN82" s="6"/>
      <c r="BO82" s="772">
        <f t="shared" si="86"/>
        <v>0</v>
      </c>
      <c r="BP82" s="78"/>
      <c r="BQ82" s="6"/>
      <c r="BR82" s="693">
        <f t="shared" si="87"/>
        <v>0</v>
      </c>
      <c r="BS82" s="78"/>
      <c r="BT82" s="6"/>
      <c r="BU82" s="693">
        <f t="shared" si="101"/>
        <v>0</v>
      </c>
      <c r="BV82" s="693"/>
      <c r="BW82" s="693"/>
      <c r="BX82" s="693">
        <f t="shared" si="102"/>
        <v>0</v>
      </c>
      <c r="BY82" s="693"/>
      <c r="BZ82" s="693"/>
      <c r="CA82" s="693">
        <f t="shared" si="103"/>
        <v>0</v>
      </c>
      <c r="CB82" s="174">
        <f t="shared" si="88"/>
        <v>0</v>
      </c>
      <c r="CC82" s="174">
        <f t="shared" si="89"/>
        <v>0</v>
      </c>
      <c r="CD82" s="174">
        <f t="shared" si="90"/>
        <v>0</v>
      </c>
      <c r="CE82" s="175">
        <f t="shared" si="91"/>
        <v>0</v>
      </c>
      <c r="CF82" s="175">
        <f t="shared" si="92"/>
        <v>0</v>
      </c>
      <c r="CG82" s="175">
        <f t="shared" si="93"/>
        <v>0</v>
      </c>
    </row>
    <row r="83" spans="1:213" ht="17.25" thickBot="1">
      <c r="A83" s="760">
        <v>76</v>
      </c>
      <c r="B83" s="705" t="s">
        <v>3249</v>
      </c>
      <c r="C83" s="706"/>
      <c r="D83" s="15" t="s">
        <v>3250</v>
      </c>
      <c r="E83" s="803" t="s">
        <v>3101</v>
      </c>
      <c r="F83" s="851"/>
      <c r="G83" s="852" t="s">
        <v>15</v>
      </c>
      <c r="H83" s="404"/>
      <c r="I83" s="404"/>
      <c r="J83" s="1"/>
      <c r="K83" s="398"/>
      <c r="L83" s="404"/>
      <c r="M83" s="1"/>
      <c r="N83" s="398"/>
      <c r="O83" s="404"/>
      <c r="P83" s="708"/>
      <c r="Q83" s="397"/>
      <c r="R83" s="404"/>
      <c r="S83" s="708"/>
      <c r="T83" s="397"/>
      <c r="U83" s="404"/>
      <c r="V83" s="708"/>
      <c r="W83" s="397"/>
      <c r="X83" s="404"/>
      <c r="Y83" s="401"/>
      <c r="Z83" s="397"/>
      <c r="AA83" s="404"/>
      <c r="AB83" s="401"/>
      <c r="AC83" s="401"/>
      <c r="AD83" s="401"/>
      <c r="AE83" s="372">
        <f t="shared" si="70"/>
        <v>0</v>
      </c>
      <c r="AF83" s="1">
        <v>10</v>
      </c>
      <c r="AG83" s="1"/>
      <c r="AH83" s="372">
        <f t="shared" si="71"/>
        <v>10</v>
      </c>
      <c r="AI83" s="765"/>
      <c r="AJ83" s="372"/>
      <c r="AK83" s="372">
        <f t="shared" si="72"/>
        <v>0</v>
      </c>
      <c r="AL83" s="382"/>
      <c r="AM83" s="1"/>
      <c r="AN83" s="372">
        <f t="shared" si="73"/>
        <v>0</v>
      </c>
      <c r="AO83" s="78"/>
      <c r="AP83" s="6"/>
      <c r="AQ83" s="697">
        <f t="shared" si="74"/>
        <v>0</v>
      </c>
      <c r="AR83" s="766">
        <f t="shared" si="75"/>
        <v>10</v>
      </c>
      <c r="AS83" s="692">
        <f t="shared" si="75"/>
        <v>0</v>
      </c>
      <c r="AT83" s="6">
        <f t="shared" si="76"/>
        <v>10</v>
      </c>
      <c r="AU83" s="585">
        <f t="shared" si="77"/>
        <v>0.83333333333333337</v>
      </c>
      <c r="AV83" s="585">
        <f t="shared" si="77"/>
        <v>0</v>
      </c>
      <c r="AW83" s="494">
        <f t="shared" si="78"/>
        <v>0.83333333333333337</v>
      </c>
      <c r="AX83" s="709"/>
      <c r="AY83" s="709"/>
      <c r="AZ83" s="710"/>
      <c r="BA83" s="404"/>
      <c r="BB83" s="404"/>
      <c r="BC83" s="769">
        <f t="shared" si="82"/>
        <v>0</v>
      </c>
      <c r="BD83" s="404"/>
      <c r="BE83" s="404"/>
      <c r="BF83" s="769">
        <f t="shared" si="83"/>
        <v>0</v>
      </c>
      <c r="BG83" s="404">
        <v>10</v>
      </c>
      <c r="BH83" s="404"/>
      <c r="BI83" s="769">
        <f t="shared" si="84"/>
        <v>10</v>
      </c>
      <c r="BJ83" s="404"/>
      <c r="BK83" s="404"/>
      <c r="BL83" s="770">
        <f t="shared" si="85"/>
        <v>0</v>
      </c>
      <c r="BM83" s="78"/>
      <c r="BN83" s="6"/>
      <c r="BO83" s="772">
        <f t="shared" si="86"/>
        <v>0</v>
      </c>
      <c r="BP83" s="78"/>
      <c r="BQ83" s="6"/>
      <c r="BR83" s="693">
        <f t="shared" si="87"/>
        <v>0</v>
      </c>
      <c r="BS83" s="78"/>
      <c r="BT83" s="6"/>
      <c r="BU83" s="693">
        <f t="shared" si="101"/>
        <v>0</v>
      </c>
      <c r="BV83" s="693"/>
      <c r="BW83" s="693"/>
      <c r="BX83" s="693">
        <f t="shared" si="102"/>
        <v>0</v>
      </c>
      <c r="BY83" s="693"/>
      <c r="BZ83" s="693"/>
      <c r="CA83" s="693">
        <f t="shared" si="103"/>
        <v>0</v>
      </c>
      <c r="CB83" s="174">
        <f t="shared" si="88"/>
        <v>10</v>
      </c>
      <c r="CC83" s="174">
        <f t="shared" si="89"/>
        <v>0</v>
      </c>
      <c r="CD83" s="174">
        <f t="shared" si="90"/>
        <v>10</v>
      </c>
      <c r="CE83" s="175">
        <f t="shared" si="91"/>
        <v>1.1111111111111112</v>
      </c>
      <c r="CF83" s="175">
        <f t="shared" si="92"/>
        <v>0</v>
      </c>
      <c r="CG83" s="175">
        <f t="shared" si="93"/>
        <v>1.1111111111111112</v>
      </c>
    </row>
    <row r="84" spans="1:213" ht="17.25" thickBot="1">
      <c r="A84" s="760">
        <v>77</v>
      </c>
      <c r="B84" s="705" t="s">
        <v>3251</v>
      </c>
      <c r="C84" s="706"/>
      <c r="D84" s="15" t="s">
        <v>3252</v>
      </c>
      <c r="E84" s="762" t="s">
        <v>3101</v>
      </c>
      <c r="F84" s="851"/>
      <c r="G84" s="852" t="s">
        <v>18</v>
      </c>
      <c r="H84" s="404"/>
      <c r="I84" s="404"/>
      <c r="J84" s="1"/>
      <c r="K84" s="398"/>
      <c r="L84" s="404"/>
      <c r="M84" s="1"/>
      <c r="N84" s="398"/>
      <c r="O84" s="404"/>
      <c r="P84" s="708"/>
      <c r="Q84" s="397"/>
      <c r="R84" s="404"/>
      <c r="S84" s="708"/>
      <c r="T84" s="397"/>
      <c r="U84" s="404"/>
      <c r="V84" s="708"/>
      <c r="W84" s="397"/>
      <c r="X84" s="404"/>
      <c r="Y84" s="401"/>
      <c r="Z84" s="397"/>
      <c r="AA84" s="404"/>
      <c r="AB84" s="401"/>
      <c r="AC84" s="401"/>
      <c r="AD84" s="401"/>
      <c r="AE84" s="372">
        <f t="shared" si="70"/>
        <v>0</v>
      </c>
      <c r="AF84" s="1">
        <v>20</v>
      </c>
      <c r="AG84" s="1"/>
      <c r="AH84" s="372">
        <f t="shared" si="71"/>
        <v>20</v>
      </c>
      <c r="AI84" s="765"/>
      <c r="AJ84" s="372"/>
      <c r="AK84" s="372">
        <f t="shared" si="72"/>
        <v>0</v>
      </c>
      <c r="AL84" s="382"/>
      <c r="AM84" s="1"/>
      <c r="AN84" s="372">
        <f t="shared" si="73"/>
        <v>0</v>
      </c>
      <c r="AO84" s="78"/>
      <c r="AP84" s="6"/>
      <c r="AQ84" s="697">
        <f t="shared" si="74"/>
        <v>0</v>
      </c>
      <c r="AR84" s="766">
        <f t="shared" si="75"/>
        <v>20</v>
      </c>
      <c r="AS84" s="692">
        <f t="shared" si="75"/>
        <v>0</v>
      </c>
      <c r="AT84" s="6">
        <f t="shared" si="76"/>
        <v>20</v>
      </c>
      <c r="AU84" s="585">
        <f t="shared" si="77"/>
        <v>1.6666666666666667</v>
      </c>
      <c r="AV84" s="585">
        <f t="shared" si="77"/>
        <v>0</v>
      </c>
      <c r="AW84" s="494">
        <f t="shared" si="78"/>
        <v>1.6666666666666667</v>
      </c>
      <c r="AX84" s="709"/>
      <c r="AY84" s="709"/>
      <c r="AZ84" s="710"/>
      <c r="BA84" s="404"/>
      <c r="BB84" s="404"/>
      <c r="BC84" s="769">
        <f t="shared" si="82"/>
        <v>0</v>
      </c>
      <c r="BD84" s="404"/>
      <c r="BE84" s="404"/>
      <c r="BF84" s="769">
        <f t="shared" si="83"/>
        <v>0</v>
      </c>
      <c r="BG84" s="404"/>
      <c r="BH84" s="404"/>
      <c r="BI84" s="769">
        <f t="shared" si="84"/>
        <v>0</v>
      </c>
      <c r="BJ84" s="404"/>
      <c r="BK84" s="404"/>
      <c r="BL84" s="770">
        <f t="shared" si="85"/>
        <v>0</v>
      </c>
      <c r="BM84" s="78"/>
      <c r="BN84" s="6"/>
      <c r="BO84" s="772">
        <f t="shared" si="86"/>
        <v>0</v>
      </c>
      <c r="BP84" s="78"/>
      <c r="BQ84" s="6"/>
      <c r="BR84" s="693">
        <f t="shared" si="87"/>
        <v>0</v>
      </c>
      <c r="BS84" s="78"/>
      <c r="BT84" s="6"/>
      <c r="BU84" s="693">
        <f t="shared" si="101"/>
        <v>0</v>
      </c>
      <c r="BV84" s="693"/>
      <c r="BW84" s="693"/>
      <c r="BX84" s="693">
        <f t="shared" si="102"/>
        <v>0</v>
      </c>
      <c r="BY84" s="693"/>
      <c r="BZ84" s="693"/>
      <c r="CA84" s="693">
        <f t="shared" si="103"/>
        <v>0</v>
      </c>
      <c r="CB84" s="174">
        <f t="shared" si="88"/>
        <v>0</v>
      </c>
      <c r="CC84" s="174">
        <f t="shared" si="89"/>
        <v>0</v>
      </c>
      <c r="CD84" s="174">
        <f t="shared" si="90"/>
        <v>0</v>
      </c>
      <c r="CE84" s="175">
        <f t="shared" si="91"/>
        <v>0</v>
      </c>
      <c r="CF84" s="175">
        <f t="shared" si="92"/>
        <v>0</v>
      </c>
      <c r="CG84" s="175">
        <f t="shared" si="93"/>
        <v>0</v>
      </c>
    </row>
    <row r="85" spans="1:213" ht="17.25" thickBot="1">
      <c r="A85" s="853">
        <v>78</v>
      </c>
      <c r="B85" s="715" t="s">
        <v>3253</v>
      </c>
      <c r="C85" s="706"/>
      <c r="D85" s="15" t="s">
        <v>3254</v>
      </c>
      <c r="E85" s="803" t="s">
        <v>3101</v>
      </c>
      <c r="F85" s="851"/>
      <c r="G85" s="852" t="s">
        <v>18</v>
      </c>
      <c r="H85" s="404"/>
      <c r="I85" s="404"/>
      <c r="J85" s="404">
        <f t="shared" si="64"/>
        <v>0</v>
      </c>
      <c r="K85" s="398"/>
      <c r="L85" s="404"/>
      <c r="M85" s="404">
        <f t="shared" si="65"/>
        <v>0</v>
      </c>
      <c r="N85" s="398"/>
      <c r="O85" s="404"/>
      <c r="P85" s="708"/>
      <c r="Q85" s="397"/>
      <c r="R85" s="404"/>
      <c r="S85" s="708"/>
      <c r="T85" s="397"/>
      <c r="U85" s="404"/>
      <c r="V85" s="708"/>
      <c r="W85" s="397"/>
      <c r="X85" s="404"/>
      <c r="Y85" s="401"/>
      <c r="Z85" s="397"/>
      <c r="AA85" s="404"/>
      <c r="AB85" s="401">
        <f t="shared" si="69"/>
        <v>0</v>
      </c>
      <c r="AC85" s="401">
        <v>85</v>
      </c>
      <c r="AD85" s="401"/>
      <c r="AE85" s="404">
        <f t="shared" si="70"/>
        <v>85</v>
      </c>
      <c r="AF85" s="404"/>
      <c r="AG85" s="404"/>
      <c r="AH85" s="401">
        <f t="shared" si="71"/>
        <v>0</v>
      </c>
      <c r="AI85" s="397"/>
      <c r="AJ85" s="404"/>
      <c r="AK85" s="372">
        <f t="shared" si="72"/>
        <v>0</v>
      </c>
      <c r="AL85" s="382">
        <v>78</v>
      </c>
      <c r="AM85" s="1"/>
      <c r="AN85" s="372">
        <f t="shared" si="73"/>
        <v>78</v>
      </c>
      <c r="AO85" s="78"/>
      <c r="AP85" s="6"/>
      <c r="AQ85" s="697">
        <f t="shared" si="74"/>
        <v>0</v>
      </c>
      <c r="AR85" s="766">
        <f t="shared" si="75"/>
        <v>163</v>
      </c>
      <c r="AS85" s="692">
        <f t="shared" si="75"/>
        <v>0</v>
      </c>
      <c r="AT85" s="6">
        <f t="shared" si="76"/>
        <v>163</v>
      </c>
      <c r="AU85" s="585">
        <f t="shared" si="77"/>
        <v>13.583333333333334</v>
      </c>
      <c r="AV85" s="585">
        <f t="shared" si="77"/>
        <v>0</v>
      </c>
      <c r="AW85" s="494">
        <f t="shared" si="78"/>
        <v>13.583333333333334</v>
      </c>
      <c r="AX85" s="709">
        <f t="shared" si="79"/>
        <v>6791.666666666667</v>
      </c>
      <c r="AY85" s="709">
        <f t="shared" si="80"/>
        <v>0</v>
      </c>
      <c r="AZ85" s="710">
        <f t="shared" si="81"/>
        <v>6791.666666666667</v>
      </c>
      <c r="BA85" s="404">
        <v>5</v>
      </c>
      <c r="BB85" s="404"/>
      <c r="BC85" s="769">
        <f t="shared" si="82"/>
        <v>5</v>
      </c>
      <c r="BD85" s="404">
        <v>55</v>
      </c>
      <c r="BE85" s="404"/>
      <c r="BF85" s="769">
        <f t="shared" si="83"/>
        <v>55</v>
      </c>
      <c r="BG85" s="404">
        <v>129</v>
      </c>
      <c r="BH85" s="404"/>
      <c r="BI85" s="769">
        <f t="shared" si="84"/>
        <v>129</v>
      </c>
      <c r="BJ85" s="404"/>
      <c r="BK85" s="404"/>
      <c r="BL85" s="770">
        <f t="shared" si="85"/>
        <v>0</v>
      </c>
      <c r="BM85" s="78"/>
      <c r="BN85" s="6"/>
      <c r="BO85" s="772">
        <f t="shared" si="86"/>
        <v>0</v>
      </c>
      <c r="BP85" s="78"/>
      <c r="BQ85" s="6"/>
      <c r="BR85" s="693">
        <f t="shared" si="87"/>
        <v>0</v>
      </c>
      <c r="BS85" s="78">
        <v>96</v>
      </c>
      <c r="BT85" s="6"/>
      <c r="BU85" s="693">
        <f t="shared" si="101"/>
        <v>96</v>
      </c>
      <c r="BV85" s="693"/>
      <c r="BW85" s="693"/>
      <c r="BX85" s="693">
        <f t="shared" si="102"/>
        <v>0</v>
      </c>
      <c r="BY85" s="693"/>
      <c r="BZ85" s="693"/>
      <c r="CA85" s="693">
        <f t="shared" si="103"/>
        <v>0</v>
      </c>
      <c r="CB85" s="174">
        <f t="shared" si="88"/>
        <v>285</v>
      </c>
      <c r="CC85" s="174">
        <f t="shared" si="89"/>
        <v>0</v>
      </c>
      <c r="CD85" s="174">
        <f t="shared" si="90"/>
        <v>285</v>
      </c>
      <c r="CE85" s="175">
        <f t="shared" si="91"/>
        <v>31.666666666666668</v>
      </c>
      <c r="CF85" s="175">
        <f t="shared" si="92"/>
        <v>0</v>
      </c>
      <c r="CG85" s="175">
        <f t="shared" si="93"/>
        <v>31.666666666666668</v>
      </c>
    </row>
    <row r="86" spans="1:213" s="798" customFormat="1" ht="17.25" thickBot="1">
      <c r="A86" s="825">
        <v>79</v>
      </c>
      <c r="B86" s="788" t="s">
        <v>3255</v>
      </c>
      <c r="C86" s="788"/>
      <c r="D86" s="775" t="s">
        <v>3256</v>
      </c>
      <c r="E86" s="826" t="s">
        <v>3101</v>
      </c>
      <c r="F86" s="793"/>
      <c r="G86" s="854" t="s">
        <v>18</v>
      </c>
      <c r="H86" s="779"/>
      <c r="I86" s="779"/>
      <c r="J86" s="779"/>
      <c r="K86" s="779"/>
      <c r="L86" s="779"/>
      <c r="M86" s="779"/>
      <c r="N86" s="779"/>
      <c r="O86" s="779"/>
      <c r="P86" s="779"/>
      <c r="Q86" s="779"/>
      <c r="R86" s="779"/>
      <c r="S86" s="779"/>
      <c r="T86" s="779"/>
      <c r="U86" s="779"/>
      <c r="V86" s="779"/>
      <c r="W86" s="779"/>
      <c r="X86" s="779"/>
      <c r="Y86" s="779"/>
      <c r="Z86" s="779"/>
      <c r="AA86" s="779"/>
      <c r="AB86" s="779"/>
      <c r="AC86" s="779"/>
      <c r="AD86" s="779"/>
      <c r="AE86" s="855">
        <f t="shared" si="70"/>
        <v>0</v>
      </c>
      <c r="AF86" s="779">
        <v>10</v>
      </c>
      <c r="AG86" s="779"/>
      <c r="AH86" s="856">
        <f t="shared" si="71"/>
        <v>10</v>
      </c>
      <c r="AI86" s="857"/>
      <c r="AJ86" s="855"/>
      <c r="AK86" s="780">
        <f t="shared" si="72"/>
        <v>0</v>
      </c>
      <c r="AL86" s="781"/>
      <c r="AM86" s="779"/>
      <c r="AN86" s="780">
        <f t="shared" si="73"/>
        <v>0</v>
      </c>
      <c r="AO86" s="787"/>
      <c r="AP86" s="788"/>
      <c r="AQ86" s="789">
        <f t="shared" si="74"/>
        <v>0</v>
      </c>
      <c r="AR86" s="790">
        <f t="shared" si="75"/>
        <v>10</v>
      </c>
      <c r="AS86" s="791">
        <f t="shared" si="75"/>
        <v>0</v>
      </c>
      <c r="AT86" s="788">
        <f t="shared" si="76"/>
        <v>10</v>
      </c>
      <c r="AU86" s="792">
        <f t="shared" si="77"/>
        <v>0.83333333333333337</v>
      </c>
      <c r="AV86" s="792">
        <f t="shared" si="77"/>
        <v>0</v>
      </c>
      <c r="AW86" s="793">
        <f t="shared" si="78"/>
        <v>0.83333333333333337</v>
      </c>
      <c r="AX86" s="794"/>
      <c r="AY86" s="794"/>
      <c r="AZ86" s="795"/>
      <c r="BA86" s="779"/>
      <c r="BB86" s="779"/>
      <c r="BC86" s="796">
        <f t="shared" si="82"/>
        <v>0</v>
      </c>
      <c r="BD86" s="855">
        <v>25</v>
      </c>
      <c r="BE86" s="779"/>
      <c r="BF86" s="796">
        <f t="shared" si="83"/>
        <v>25</v>
      </c>
      <c r="BG86" s="855"/>
      <c r="BH86" s="779"/>
      <c r="BI86" s="796">
        <f t="shared" si="84"/>
        <v>0</v>
      </c>
      <c r="BJ86" s="855"/>
      <c r="BK86" s="779"/>
      <c r="BL86" s="797">
        <f t="shared" si="85"/>
        <v>0</v>
      </c>
      <c r="BM86" s="787"/>
      <c r="BN86" s="788"/>
      <c r="BO86" s="772">
        <f t="shared" si="86"/>
        <v>0</v>
      </c>
      <c r="BP86" s="787"/>
      <c r="BQ86" s="788"/>
      <c r="BR86" s="693">
        <f t="shared" si="87"/>
        <v>0</v>
      </c>
      <c r="BS86" s="787"/>
      <c r="BT86" s="788"/>
      <c r="BU86" s="693">
        <f t="shared" si="101"/>
        <v>0</v>
      </c>
      <c r="BV86" s="693"/>
      <c r="BW86" s="693"/>
      <c r="BX86" s="693">
        <f t="shared" si="102"/>
        <v>0</v>
      </c>
      <c r="BY86" s="693"/>
      <c r="BZ86" s="693"/>
      <c r="CA86" s="693">
        <f t="shared" si="103"/>
        <v>0</v>
      </c>
      <c r="CB86" s="174">
        <f t="shared" si="88"/>
        <v>25</v>
      </c>
      <c r="CC86" s="174">
        <f t="shared" si="89"/>
        <v>0</v>
      </c>
      <c r="CD86" s="174">
        <f t="shared" si="90"/>
        <v>25</v>
      </c>
      <c r="CE86" s="175">
        <f t="shared" si="91"/>
        <v>2.7777777777777777</v>
      </c>
      <c r="CF86" s="175">
        <f t="shared" si="92"/>
        <v>0</v>
      </c>
      <c r="CG86" s="175">
        <f t="shared" si="93"/>
        <v>2.7777777777777777</v>
      </c>
      <c r="CH86" s="823"/>
      <c r="CI86" s="823"/>
      <c r="CJ86" s="823"/>
      <c r="CK86" s="823"/>
      <c r="CL86" s="823"/>
      <c r="CM86" s="823"/>
      <c r="CN86" s="823"/>
      <c r="CO86" s="823"/>
      <c r="CP86" s="823"/>
      <c r="CQ86" s="823"/>
      <c r="CR86" s="823"/>
      <c r="CS86" s="823"/>
      <c r="CT86" s="823"/>
      <c r="CU86" s="823"/>
      <c r="CV86" s="823"/>
      <c r="CW86" s="823"/>
      <c r="CX86" s="823"/>
      <c r="CY86" s="823"/>
      <c r="CZ86" s="823"/>
      <c r="DA86" s="823"/>
      <c r="DB86" s="823"/>
      <c r="DC86" s="823"/>
      <c r="DD86" s="823"/>
      <c r="DE86" s="823"/>
      <c r="DF86" s="823"/>
      <c r="DG86" s="823"/>
      <c r="DH86" s="823"/>
      <c r="DI86" s="823"/>
      <c r="DJ86" s="823"/>
      <c r="DK86" s="823"/>
      <c r="DL86" s="823"/>
      <c r="DM86" s="823"/>
      <c r="DN86" s="823"/>
      <c r="DO86" s="823"/>
      <c r="DP86" s="823"/>
      <c r="DQ86" s="823"/>
      <c r="DR86" s="823"/>
      <c r="DS86" s="823"/>
      <c r="DT86" s="823"/>
      <c r="DU86" s="823"/>
      <c r="DV86" s="823"/>
      <c r="DW86" s="823"/>
      <c r="DX86" s="823"/>
      <c r="DY86" s="823"/>
      <c r="DZ86" s="823"/>
      <c r="EA86" s="823"/>
      <c r="EB86" s="823"/>
      <c r="EC86" s="823"/>
      <c r="ED86" s="823"/>
      <c r="EE86" s="823"/>
      <c r="EF86" s="823"/>
      <c r="EG86" s="823"/>
      <c r="EH86" s="823"/>
      <c r="EI86" s="823"/>
      <c r="EJ86" s="823"/>
      <c r="EK86" s="823"/>
      <c r="EL86" s="823"/>
      <c r="EM86" s="823"/>
      <c r="EN86" s="823"/>
      <c r="EO86" s="823"/>
      <c r="EP86" s="823"/>
      <c r="EQ86" s="823"/>
      <c r="ER86" s="823"/>
      <c r="ES86" s="823"/>
      <c r="ET86" s="823"/>
      <c r="EU86" s="823"/>
      <c r="EV86" s="823"/>
      <c r="EW86" s="823"/>
      <c r="EX86" s="823"/>
      <c r="EY86" s="823"/>
      <c r="EZ86" s="823"/>
      <c r="FA86" s="823"/>
      <c r="FB86" s="823"/>
      <c r="FC86" s="823"/>
      <c r="FD86" s="823"/>
      <c r="FE86" s="823"/>
      <c r="FF86" s="823"/>
      <c r="FG86" s="823"/>
      <c r="FH86" s="823"/>
      <c r="FI86" s="823"/>
      <c r="FJ86" s="823"/>
      <c r="FK86" s="823"/>
      <c r="FL86" s="823"/>
      <c r="FM86" s="823"/>
      <c r="FN86" s="823"/>
      <c r="FO86" s="823"/>
      <c r="FP86" s="823"/>
      <c r="FQ86" s="823"/>
      <c r="FR86" s="823"/>
      <c r="FS86" s="823"/>
      <c r="FT86" s="823"/>
      <c r="FU86" s="823"/>
      <c r="FV86" s="823"/>
      <c r="FW86" s="823"/>
      <c r="FX86" s="823"/>
      <c r="FY86" s="823"/>
      <c r="FZ86" s="823"/>
      <c r="GA86" s="823"/>
      <c r="GB86" s="823"/>
      <c r="GC86" s="823"/>
      <c r="GD86" s="823"/>
      <c r="GE86" s="823"/>
      <c r="GF86" s="823"/>
      <c r="GG86" s="823"/>
      <c r="GH86" s="823"/>
      <c r="GI86" s="823"/>
      <c r="GJ86" s="823"/>
      <c r="GK86" s="823"/>
      <c r="GL86" s="823"/>
      <c r="GM86" s="823"/>
      <c r="GN86" s="823"/>
      <c r="GO86" s="823"/>
      <c r="GP86" s="823"/>
      <c r="GQ86" s="823"/>
      <c r="GR86" s="823"/>
      <c r="GS86" s="823"/>
      <c r="GT86" s="823"/>
      <c r="GU86" s="823"/>
      <c r="GV86" s="823"/>
      <c r="GW86" s="823"/>
      <c r="GX86" s="823"/>
      <c r="GY86" s="823"/>
      <c r="GZ86" s="823"/>
      <c r="HA86" s="823"/>
      <c r="HB86" s="823"/>
      <c r="HC86" s="823"/>
      <c r="HD86" s="823"/>
      <c r="HE86" s="823"/>
    </row>
    <row r="87" spans="1:213" ht="17.25" thickBot="1">
      <c r="A87" s="760">
        <v>80</v>
      </c>
      <c r="B87" s="6" t="s">
        <v>3257</v>
      </c>
      <c r="C87" s="6"/>
      <c r="D87" s="15" t="s">
        <v>3258</v>
      </c>
      <c r="E87" s="803" t="s">
        <v>3101</v>
      </c>
      <c r="F87" s="494"/>
      <c r="G87" s="36" t="s">
        <v>18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404">
        <f t="shared" si="70"/>
        <v>0</v>
      </c>
      <c r="AF87" s="1">
        <v>20</v>
      </c>
      <c r="AG87" s="1"/>
      <c r="AH87" s="401">
        <f t="shared" si="71"/>
        <v>20</v>
      </c>
      <c r="AI87" s="397"/>
      <c r="AJ87" s="404"/>
      <c r="AK87" s="372">
        <f t="shared" si="72"/>
        <v>0</v>
      </c>
      <c r="AL87" s="382"/>
      <c r="AM87" s="1"/>
      <c r="AN87" s="372">
        <f t="shared" si="73"/>
        <v>0</v>
      </c>
      <c r="AO87" s="78"/>
      <c r="AP87" s="6"/>
      <c r="AQ87" s="697">
        <f t="shared" si="74"/>
        <v>0</v>
      </c>
      <c r="AR87" s="766">
        <f t="shared" si="75"/>
        <v>20</v>
      </c>
      <c r="AS87" s="692">
        <f t="shared" si="75"/>
        <v>0</v>
      </c>
      <c r="AT87" s="6">
        <f t="shared" si="76"/>
        <v>20</v>
      </c>
      <c r="AU87" s="585">
        <f t="shared" si="77"/>
        <v>1.6666666666666667</v>
      </c>
      <c r="AV87" s="585">
        <f t="shared" si="77"/>
        <v>0</v>
      </c>
      <c r="AW87" s="494">
        <f t="shared" si="78"/>
        <v>1.6666666666666667</v>
      </c>
      <c r="AX87" s="217"/>
      <c r="AY87" s="217"/>
      <c r="AZ87" s="695"/>
      <c r="BA87" s="1"/>
      <c r="BB87" s="1"/>
      <c r="BC87" s="769">
        <f t="shared" si="82"/>
        <v>0</v>
      </c>
      <c r="BD87" s="1"/>
      <c r="BE87" s="1"/>
      <c r="BF87" s="769">
        <f t="shared" si="83"/>
        <v>0</v>
      </c>
      <c r="BG87" s="1"/>
      <c r="BH87" s="1"/>
      <c r="BI87" s="769">
        <f t="shared" si="84"/>
        <v>0</v>
      </c>
      <c r="BJ87" s="1"/>
      <c r="BK87" s="1"/>
      <c r="BL87" s="770">
        <f t="shared" si="85"/>
        <v>0</v>
      </c>
      <c r="BM87" s="78"/>
      <c r="BN87" s="6"/>
      <c r="BO87" s="772">
        <f t="shared" si="86"/>
        <v>0</v>
      </c>
      <c r="BP87" s="78"/>
      <c r="BQ87" s="6"/>
      <c r="BR87" s="693">
        <f t="shared" si="87"/>
        <v>0</v>
      </c>
      <c r="BS87" s="78"/>
      <c r="BT87" s="6"/>
      <c r="BU87" s="693">
        <f t="shared" si="101"/>
        <v>0</v>
      </c>
      <c r="BV87" s="693"/>
      <c r="BW87" s="693"/>
      <c r="BX87" s="693">
        <f t="shared" si="102"/>
        <v>0</v>
      </c>
      <c r="BY87" s="693"/>
      <c r="BZ87" s="693"/>
      <c r="CA87" s="693">
        <f t="shared" si="103"/>
        <v>0</v>
      </c>
      <c r="CB87" s="174">
        <f t="shared" si="88"/>
        <v>0</v>
      </c>
      <c r="CC87" s="174">
        <f t="shared" si="89"/>
        <v>0</v>
      </c>
      <c r="CD87" s="174">
        <f t="shared" si="90"/>
        <v>0</v>
      </c>
      <c r="CE87" s="175">
        <f t="shared" si="91"/>
        <v>0</v>
      </c>
      <c r="CF87" s="175">
        <f t="shared" si="92"/>
        <v>0</v>
      </c>
      <c r="CG87" s="175">
        <f t="shared" si="93"/>
        <v>0</v>
      </c>
    </row>
    <row r="88" spans="1:213" ht="17.25" thickBot="1">
      <c r="A88" s="853">
        <v>81</v>
      </c>
      <c r="B88" s="6" t="s">
        <v>3259</v>
      </c>
      <c r="C88" s="6"/>
      <c r="D88" s="15" t="s">
        <v>3260</v>
      </c>
      <c r="E88" s="762" t="s">
        <v>3101</v>
      </c>
      <c r="F88" s="494"/>
      <c r="G88" s="36" t="s">
        <v>15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404">
        <f t="shared" si="70"/>
        <v>0</v>
      </c>
      <c r="AF88" s="1">
        <v>20</v>
      </c>
      <c r="AG88" s="1"/>
      <c r="AH88" s="401">
        <f t="shared" si="71"/>
        <v>20</v>
      </c>
      <c r="AI88" s="397"/>
      <c r="AJ88" s="404"/>
      <c r="AK88" s="372">
        <f t="shared" si="72"/>
        <v>0</v>
      </c>
      <c r="AL88" s="382">
        <v>25</v>
      </c>
      <c r="AM88" s="1"/>
      <c r="AN88" s="372">
        <f t="shared" si="73"/>
        <v>25</v>
      </c>
      <c r="AO88" s="78"/>
      <c r="AP88" s="6"/>
      <c r="AQ88" s="697">
        <f t="shared" si="74"/>
        <v>0</v>
      </c>
      <c r="AR88" s="766">
        <f t="shared" si="75"/>
        <v>45</v>
      </c>
      <c r="AS88" s="692">
        <f t="shared" si="75"/>
        <v>0</v>
      </c>
      <c r="AT88" s="6">
        <f t="shared" si="76"/>
        <v>45</v>
      </c>
      <c r="AU88" s="585">
        <f t="shared" si="77"/>
        <v>3.75</v>
      </c>
      <c r="AV88" s="585">
        <f t="shared" si="77"/>
        <v>0</v>
      </c>
      <c r="AW88" s="494">
        <f t="shared" si="78"/>
        <v>3.75</v>
      </c>
      <c r="AX88" s="217"/>
      <c r="AY88" s="217"/>
      <c r="AZ88" s="695"/>
      <c r="BA88" s="1"/>
      <c r="BB88" s="1"/>
      <c r="BC88" s="769">
        <f t="shared" si="82"/>
        <v>0</v>
      </c>
      <c r="BD88" s="1"/>
      <c r="BE88" s="1"/>
      <c r="BF88" s="769">
        <f>BE88+BD88</f>
        <v>0</v>
      </c>
      <c r="BG88" s="1">
        <v>25</v>
      </c>
      <c r="BH88" s="1"/>
      <c r="BI88" s="769">
        <f t="shared" si="84"/>
        <v>25</v>
      </c>
      <c r="BJ88" s="1"/>
      <c r="BK88" s="1"/>
      <c r="BL88" s="770">
        <f t="shared" si="85"/>
        <v>0</v>
      </c>
      <c r="BM88" s="78"/>
      <c r="BN88" s="6"/>
      <c r="BO88" s="772">
        <f t="shared" si="86"/>
        <v>0</v>
      </c>
      <c r="BP88" s="78"/>
      <c r="BQ88" s="6"/>
      <c r="BR88" s="693">
        <f t="shared" si="87"/>
        <v>0</v>
      </c>
      <c r="BS88" s="78">
        <v>25</v>
      </c>
      <c r="BT88" s="6"/>
      <c r="BU88" s="693">
        <f t="shared" si="101"/>
        <v>25</v>
      </c>
      <c r="BV88" s="693"/>
      <c r="BW88" s="693"/>
      <c r="BX88" s="693">
        <f t="shared" si="102"/>
        <v>0</v>
      </c>
      <c r="BY88" s="693"/>
      <c r="BZ88" s="693"/>
      <c r="CA88" s="693">
        <f t="shared" si="103"/>
        <v>0</v>
      </c>
      <c r="CB88" s="174">
        <f t="shared" si="88"/>
        <v>50</v>
      </c>
      <c r="CC88" s="174">
        <f t="shared" si="89"/>
        <v>0</v>
      </c>
      <c r="CD88" s="174">
        <f t="shared" si="90"/>
        <v>50</v>
      </c>
      <c r="CE88" s="175">
        <f t="shared" si="91"/>
        <v>5.5555555555555554</v>
      </c>
      <c r="CF88" s="175">
        <f t="shared" si="92"/>
        <v>0</v>
      </c>
      <c r="CG88" s="175">
        <f t="shared" si="93"/>
        <v>5.5555555555555554</v>
      </c>
    </row>
    <row r="89" spans="1:213" ht="17.25" thickBot="1">
      <c r="A89" s="760">
        <v>82</v>
      </c>
      <c r="B89" s="6" t="s">
        <v>3261</v>
      </c>
      <c r="C89" s="6"/>
      <c r="D89" s="15" t="s">
        <v>3262</v>
      </c>
      <c r="E89" s="803" t="s">
        <v>3101</v>
      </c>
      <c r="F89" s="494"/>
      <c r="G89" s="36" t="s">
        <v>18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404">
        <f t="shared" si="70"/>
        <v>0</v>
      </c>
      <c r="AF89" s="1">
        <v>20</v>
      </c>
      <c r="AG89" s="1"/>
      <c r="AH89" s="401">
        <f t="shared" si="71"/>
        <v>20</v>
      </c>
      <c r="AI89" s="397"/>
      <c r="AJ89" s="404"/>
      <c r="AK89" s="372">
        <f t="shared" si="72"/>
        <v>0</v>
      </c>
      <c r="AL89" s="382"/>
      <c r="AM89" s="1"/>
      <c r="AN89" s="372">
        <f t="shared" si="73"/>
        <v>0</v>
      </c>
      <c r="AO89" s="78"/>
      <c r="AP89" s="6"/>
      <c r="AQ89" s="697">
        <f t="shared" si="74"/>
        <v>0</v>
      </c>
      <c r="AR89" s="766">
        <f t="shared" si="75"/>
        <v>20</v>
      </c>
      <c r="AS89" s="692">
        <f t="shared" si="75"/>
        <v>0</v>
      </c>
      <c r="AT89" s="6">
        <f t="shared" si="76"/>
        <v>20</v>
      </c>
      <c r="AU89" s="585">
        <f t="shared" si="77"/>
        <v>1.6666666666666667</v>
      </c>
      <c r="AV89" s="585">
        <f t="shared" si="77"/>
        <v>0</v>
      </c>
      <c r="AW89" s="494">
        <f t="shared" si="78"/>
        <v>1.6666666666666667</v>
      </c>
      <c r="AX89" s="217"/>
      <c r="AY89" s="217"/>
      <c r="AZ89" s="695"/>
      <c r="BA89" s="1">
        <v>20</v>
      </c>
      <c r="BB89" s="1"/>
      <c r="BC89" s="769">
        <f t="shared" si="82"/>
        <v>20</v>
      </c>
      <c r="BD89" s="1">
        <v>20</v>
      </c>
      <c r="BE89" s="1"/>
      <c r="BF89" s="769">
        <f t="shared" si="83"/>
        <v>20</v>
      </c>
      <c r="BG89" s="1"/>
      <c r="BH89" s="1"/>
      <c r="BI89" s="769">
        <f t="shared" si="84"/>
        <v>0</v>
      </c>
      <c r="BJ89" s="1"/>
      <c r="BK89" s="1"/>
      <c r="BL89" s="770">
        <f t="shared" si="85"/>
        <v>0</v>
      </c>
      <c r="BM89" s="78">
        <v>10</v>
      </c>
      <c r="BN89" s="6"/>
      <c r="BO89" s="772">
        <f t="shared" si="86"/>
        <v>10</v>
      </c>
      <c r="BP89" s="78"/>
      <c r="BQ89" s="6"/>
      <c r="BR89" s="693">
        <f t="shared" si="87"/>
        <v>0</v>
      </c>
      <c r="BS89" s="78">
        <v>10</v>
      </c>
      <c r="BT89" s="6"/>
      <c r="BU89" s="693">
        <f t="shared" si="101"/>
        <v>10</v>
      </c>
      <c r="BV89" s="693"/>
      <c r="BW89" s="693"/>
      <c r="BX89" s="693">
        <f t="shared" si="102"/>
        <v>0</v>
      </c>
      <c r="BY89" s="693"/>
      <c r="BZ89" s="693"/>
      <c r="CA89" s="693">
        <f t="shared" si="103"/>
        <v>0</v>
      </c>
      <c r="CB89" s="174">
        <f t="shared" si="88"/>
        <v>60</v>
      </c>
      <c r="CC89" s="174">
        <f t="shared" si="89"/>
        <v>0</v>
      </c>
      <c r="CD89" s="174">
        <f t="shared" si="90"/>
        <v>60</v>
      </c>
      <c r="CE89" s="175">
        <f t="shared" si="91"/>
        <v>6.666666666666667</v>
      </c>
      <c r="CF89" s="175">
        <f t="shared" si="92"/>
        <v>0</v>
      </c>
      <c r="CG89" s="175">
        <f t="shared" si="93"/>
        <v>6.666666666666667</v>
      </c>
    </row>
    <row r="90" spans="1:213" ht="17.25" thickBot="1">
      <c r="A90" s="760">
        <v>83</v>
      </c>
      <c r="B90" s="6" t="s">
        <v>3263</v>
      </c>
      <c r="C90" s="6"/>
      <c r="D90" s="15" t="s">
        <v>3264</v>
      </c>
      <c r="E90" s="762" t="s">
        <v>3101</v>
      </c>
      <c r="F90" s="494"/>
      <c r="G90" s="36" t="s">
        <v>15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404">
        <f t="shared" si="70"/>
        <v>0</v>
      </c>
      <c r="AF90" s="1">
        <v>10</v>
      </c>
      <c r="AG90" s="1"/>
      <c r="AH90" s="401">
        <f t="shared" si="71"/>
        <v>10</v>
      </c>
      <c r="AI90" s="397"/>
      <c r="AJ90" s="404"/>
      <c r="AK90" s="372">
        <f t="shared" si="72"/>
        <v>0</v>
      </c>
      <c r="AL90" s="382"/>
      <c r="AM90" s="1"/>
      <c r="AN90" s="372">
        <f t="shared" si="73"/>
        <v>0</v>
      </c>
      <c r="AO90" s="78"/>
      <c r="AP90" s="6"/>
      <c r="AQ90" s="697">
        <f t="shared" si="74"/>
        <v>0</v>
      </c>
      <c r="AR90" s="766">
        <f t="shared" si="75"/>
        <v>10</v>
      </c>
      <c r="AS90" s="692">
        <f t="shared" si="75"/>
        <v>0</v>
      </c>
      <c r="AT90" s="6">
        <f t="shared" si="76"/>
        <v>10</v>
      </c>
      <c r="AU90" s="585">
        <f t="shared" si="77"/>
        <v>0.83333333333333337</v>
      </c>
      <c r="AV90" s="585">
        <f t="shared" si="77"/>
        <v>0</v>
      </c>
      <c r="AW90" s="494">
        <f t="shared" si="78"/>
        <v>0.83333333333333337</v>
      </c>
      <c r="AX90" s="217"/>
      <c r="AY90" s="217"/>
      <c r="AZ90" s="695"/>
      <c r="BA90" s="1"/>
      <c r="BB90" s="1"/>
      <c r="BC90" s="769">
        <f t="shared" si="82"/>
        <v>0</v>
      </c>
      <c r="BD90" s="1"/>
      <c r="BE90" s="1"/>
      <c r="BF90" s="769">
        <f t="shared" si="83"/>
        <v>0</v>
      </c>
      <c r="BG90" s="1"/>
      <c r="BH90" s="1"/>
      <c r="BI90" s="769">
        <f t="shared" si="84"/>
        <v>0</v>
      </c>
      <c r="BJ90" s="1">
        <v>10</v>
      </c>
      <c r="BK90" s="1"/>
      <c r="BL90" s="770">
        <f t="shared" si="85"/>
        <v>10</v>
      </c>
      <c r="BM90" s="78"/>
      <c r="BN90" s="6"/>
      <c r="BO90" s="772">
        <f t="shared" si="86"/>
        <v>0</v>
      </c>
      <c r="BP90" s="78"/>
      <c r="BQ90" s="6"/>
      <c r="BR90" s="693">
        <f t="shared" si="87"/>
        <v>0</v>
      </c>
      <c r="BS90" s="78"/>
      <c r="BT90" s="6"/>
      <c r="BU90" s="693">
        <f t="shared" si="101"/>
        <v>0</v>
      </c>
      <c r="BV90" s="693"/>
      <c r="BW90" s="693"/>
      <c r="BX90" s="693">
        <f t="shared" si="102"/>
        <v>0</v>
      </c>
      <c r="BY90" s="693"/>
      <c r="BZ90" s="693"/>
      <c r="CA90" s="693">
        <f t="shared" si="103"/>
        <v>0</v>
      </c>
      <c r="CB90" s="174">
        <f t="shared" si="88"/>
        <v>10</v>
      </c>
      <c r="CC90" s="174">
        <f t="shared" si="89"/>
        <v>0</v>
      </c>
      <c r="CD90" s="174">
        <f t="shared" si="90"/>
        <v>10</v>
      </c>
      <c r="CE90" s="175">
        <f t="shared" si="91"/>
        <v>1.1111111111111112</v>
      </c>
      <c r="CF90" s="175">
        <f t="shared" si="92"/>
        <v>0</v>
      </c>
      <c r="CG90" s="175">
        <f t="shared" si="93"/>
        <v>1.1111111111111112</v>
      </c>
    </row>
    <row r="91" spans="1:213" ht="17.25" thickBot="1">
      <c r="A91" s="853">
        <v>84</v>
      </c>
      <c r="B91" s="6" t="s">
        <v>3265</v>
      </c>
      <c r="C91" s="6"/>
      <c r="D91" s="15" t="s">
        <v>3266</v>
      </c>
      <c r="E91" s="803" t="s">
        <v>3101</v>
      </c>
      <c r="F91" s="494"/>
      <c r="G91" s="36" t="s">
        <v>18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404">
        <f t="shared" si="70"/>
        <v>0</v>
      </c>
      <c r="AF91" s="1">
        <v>10</v>
      </c>
      <c r="AG91" s="1"/>
      <c r="AH91" s="401">
        <f t="shared" si="71"/>
        <v>10</v>
      </c>
      <c r="AI91" s="397">
        <v>172</v>
      </c>
      <c r="AJ91" s="404"/>
      <c r="AK91" s="372">
        <f t="shared" si="72"/>
        <v>172</v>
      </c>
      <c r="AL91" s="382"/>
      <c r="AM91" s="1"/>
      <c r="AN91" s="372">
        <f t="shared" si="73"/>
        <v>0</v>
      </c>
      <c r="AO91" s="78"/>
      <c r="AP91" s="6"/>
      <c r="AQ91" s="697">
        <f t="shared" si="74"/>
        <v>0</v>
      </c>
      <c r="AR91" s="766">
        <f t="shared" si="75"/>
        <v>182</v>
      </c>
      <c r="AS91" s="692">
        <f t="shared" si="75"/>
        <v>0</v>
      </c>
      <c r="AT91" s="6">
        <f t="shared" si="76"/>
        <v>182</v>
      </c>
      <c r="AU91" s="585">
        <f t="shared" si="77"/>
        <v>15.166666666666666</v>
      </c>
      <c r="AV91" s="585">
        <f t="shared" si="77"/>
        <v>0</v>
      </c>
      <c r="AW91" s="494">
        <f t="shared" si="78"/>
        <v>15.166666666666666</v>
      </c>
      <c r="AX91" s="217"/>
      <c r="AY91" s="217"/>
      <c r="AZ91" s="695"/>
      <c r="BA91" s="1">
        <v>72</v>
      </c>
      <c r="BB91" s="1"/>
      <c r="BC91" s="769">
        <f t="shared" si="82"/>
        <v>72</v>
      </c>
      <c r="BD91" s="1"/>
      <c r="BE91" s="1"/>
      <c r="BF91" s="769">
        <f t="shared" si="83"/>
        <v>0</v>
      </c>
      <c r="BG91" s="1"/>
      <c r="BH91" s="1"/>
      <c r="BI91" s="769">
        <f t="shared" si="84"/>
        <v>0</v>
      </c>
      <c r="BJ91" s="1"/>
      <c r="BK91" s="1"/>
      <c r="BL91" s="770">
        <f t="shared" si="85"/>
        <v>0</v>
      </c>
      <c r="BM91" s="78"/>
      <c r="BN91" s="6"/>
      <c r="BO91" s="772">
        <f t="shared" si="86"/>
        <v>0</v>
      </c>
      <c r="BP91" s="78"/>
      <c r="BQ91" s="6"/>
      <c r="BR91" s="693">
        <f t="shared" si="87"/>
        <v>0</v>
      </c>
      <c r="BS91" s="78">
        <v>54</v>
      </c>
      <c r="BT91" s="6"/>
      <c r="BU91" s="693">
        <f t="shared" si="101"/>
        <v>54</v>
      </c>
      <c r="BV91" s="693"/>
      <c r="BW91" s="693"/>
      <c r="BX91" s="693">
        <f t="shared" si="102"/>
        <v>0</v>
      </c>
      <c r="BY91" s="693"/>
      <c r="BZ91" s="693"/>
      <c r="CA91" s="693">
        <f t="shared" si="103"/>
        <v>0</v>
      </c>
      <c r="CB91" s="174">
        <f t="shared" si="88"/>
        <v>126</v>
      </c>
      <c r="CC91" s="174">
        <f t="shared" si="89"/>
        <v>0</v>
      </c>
      <c r="CD91" s="174">
        <f t="shared" si="90"/>
        <v>126</v>
      </c>
      <c r="CE91" s="175">
        <f t="shared" si="91"/>
        <v>14</v>
      </c>
      <c r="CF91" s="175">
        <f t="shared" si="92"/>
        <v>0</v>
      </c>
      <c r="CG91" s="175">
        <f t="shared" si="93"/>
        <v>14</v>
      </c>
    </row>
    <row r="92" spans="1:213" ht="17.25" thickBot="1">
      <c r="A92" s="760">
        <v>85</v>
      </c>
      <c r="B92" s="6" t="s">
        <v>3267</v>
      </c>
      <c r="C92" s="6"/>
      <c r="D92" s="15" t="s">
        <v>3268</v>
      </c>
      <c r="E92" s="762" t="s">
        <v>3101</v>
      </c>
      <c r="F92" s="494"/>
      <c r="G92" s="36" t="s">
        <v>15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404">
        <f t="shared" si="70"/>
        <v>0</v>
      </c>
      <c r="AF92" s="1">
        <v>10</v>
      </c>
      <c r="AG92" s="1"/>
      <c r="AH92" s="401">
        <f t="shared" si="71"/>
        <v>10</v>
      </c>
      <c r="AI92" s="397"/>
      <c r="AJ92" s="404"/>
      <c r="AK92" s="372">
        <f t="shared" si="72"/>
        <v>0</v>
      </c>
      <c r="AL92" s="382"/>
      <c r="AM92" s="1"/>
      <c r="AN92" s="372">
        <f t="shared" si="73"/>
        <v>0</v>
      </c>
      <c r="AO92" s="78"/>
      <c r="AP92" s="6"/>
      <c r="AQ92" s="697">
        <f t="shared" si="74"/>
        <v>0</v>
      </c>
      <c r="AR92" s="766">
        <f t="shared" si="75"/>
        <v>10</v>
      </c>
      <c r="AS92" s="692">
        <f t="shared" si="75"/>
        <v>0</v>
      </c>
      <c r="AT92" s="6">
        <f t="shared" si="76"/>
        <v>10</v>
      </c>
      <c r="AU92" s="585">
        <f t="shared" si="77"/>
        <v>0.83333333333333337</v>
      </c>
      <c r="AV92" s="585">
        <f t="shared" si="77"/>
        <v>0</v>
      </c>
      <c r="AW92" s="494">
        <f t="shared" si="78"/>
        <v>0.83333333333333337</v>
      </c>
      <c r="AX92" s="217"/>
      <c r="AY92" s="217"/>
      <c r="AZ92" s="695"/>
      <c r="BA92" s="1"/>
      <c r="BB92" s="1"/>
      <c r="BC92" s="769">
        <f t="shared" si="82"/>
        <v>0</v>
      </c>
      <c r="BD92" s="1">
        <v>10</v>
      </c>
      <c r="BE92" s="1"/>
      <c r="BF92" s="769">
        <f t="shared" si="83"/>
        <v>10</v>
      </c>
      <c r="BG92" s="1"/>
      <c r="BH92" s="1"/>
      <c r="BI92" s="769">
        <f t="shared" si="84"/>
        <v>0</v>
      </c>
      <c r="BJ92" s="1"/>
      <c r="BK92" s="1"/>
      <c r="BL92" s="770">
        <f t="shared" si="85"/>
        <v>0</v>
      </c>
      <c r="BM92" s="78">
        <v>54</v>
      </c>
      <c r="BN92" s="6"/>
      <c r="BO92" s="772">
        <f t="shared" si="86"/>
        <v>54</v>
      </c>
      <c r="BP92" s="78"/>
      <c r="BQ92" s="6"/>
      <c r="BR92" s="693">
        <f t="shared" si="87"/>
        <v>0</v>
      </c>
      <c r="BS92" s="78"/>
      <c r="BT92" s="6"/>
      <c r="BU92" s="693">
        <f t="shared" si="101"/>
        <v>0</v>
      </c>
      <c r="BV92" s="693"/>
      <c r="BW92" s="693"/>
      <c r="BX92" s="693">
        <f t="shared" si="102"/>
        <v>0</v>
      </c>
      <c r="BY92" s="693"/>
      <c r="BZ92" s="693"/>
      <c r="CA92" s="693">
        <f t="shared" si="103"/>
        <v>0</v>
      </c>
      <c r="CB92" s="174">
        <f t="shared" si="88"/>
        <v>64</v>
      </c>
      <c r="CC92" s="174">
        <f t="shared" si="89"/>
        <v>0</v>
      </c>
      <c r="CD92" s="174">
        <f t="shared" si="90"/>
        <v>64</v>
      </c>
      <c r="CE92" s="175">
        <f t="shared" si="91"/>
        <v>7.1111111111111107</v>
      </c>
      <c r="CF92" s="175">
        <f t="shared" si="92"/>
        <v>0</v>
      </c>
      <c r="CG92" s="175">
        <f t="shared" si="93"/>
        <v>7.1111111111111107</v>
      </c>
    </row>
    <row r="93" spans="1:213" ht="17.25" thickBot="1">
      <c r="A93" s="760">
        <v>86</v>
      </c>
      <c r="B93" s="6" t="s">
        <v>3269</v>
      </c>
      <c r="C93" s="6"/>
      <c r="D93" s="15" t="s">
        <v>3270</v>
      </c>
      <c r="E93" s="803" t="s">
        <v>3101</v>
      </c>
      <c r="F93" s="494"/>
      <c r="G93" s="36" t="s">
        <v>15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404">
        <f t="shared" si="70"/>
        <v>0</v>
      </c>
      <c r="AF93" s="1"/>
      <c r="AG93" s="1"/>
      <c r="AH93" s="401">
        <f t="shared" si="71"/>
        <v>0</v>
      </c>
      <c r="AI93" s="397">
        <v>20</v>
      </c>
      <c r="AJ93" s="404"/>
      <c r="AK93" s="372">
        <f t="shared" si="72"/>
        <v>20</v>
      </c>
      <c r="AL93" s="382"/>
      <c r="AM93" s="1"/>
      <c r="AN93" s="372">
        <f t="shared" si="73"/>
        <v>0</v>
      </c>
      <c r="AO93" s="78"/>
      <c r="AP93" s="6"/>
      <c r="AQ93" s="697">
        <f t="shared" si="74"/>
        <v>0</v>
      </c>
      <c r="AR93" s="766">
        <f t="shared" si="75"/>
        <v>20</v>
      </c>
      <c r="AS93" s="692">
        <f t="shared" si="75"/>
        <v>0</v>
      </c>
      <c r="AT93" s="6">
        <f t="shared" si="76"/>
        <v>20</v>
      </c>
      <c r="AU93" s="585">
        <f t="shared" si="77"/>
        <v>1.6666666666666667</v>
      </c>
      <c r="AV93" s="585">
        <f t="shared" si="77"/>
        <v>0</v>
      </c>
      <c r="AW93" s="494">
        <f t="shared" si="78"/>
        <v>1.6666666666666667</v>
      </c>
      <c r="AX93" s="217"/>
      <c r="AY93" s="217"/>
      <c r="AZ93" s="695"/>
      <c r="BA93" s="1"/>
      <c r="BB93" s="1"/>
      <c r="BC93" s="769">
        <f t="shared" si="82"/>
        <v>0</v>
      </c>
      <c r="BD93" s="1"/>
      <c r="BE93" s="1"/>
      <c r="BF93" s="769">
        <f t="shared" si="83"/>
        <v>0</v>
      </c>
      <c r="BG93" s="1"/>
      <c r="BH93" s="1"/>
      <c r="BI93" s="769">
        <f t="shared" si="84"/>
        <v>0</v>
      </c>
      <c r="BJ93" s="1"/>
      <c r="BK93" s="1"/>
      <c r="BL93" s="770">
        <f t="shared" si="85"/>
        <v>0</v>
      </c>
      <c r="BM93" s="78"/>
      <c r="BN93" s="6"/>
      <c r="BO93" s="772">
        <f t="shared" si="86"/>
        <v>0</v>
      </c>
      <c r="BP93" s="78"/>
      <c r="BQ93" s="6"/>
      <c r="BR93" s="693">
        <f t="shared" si="87"/>
        <v>0</v>
      </c>
      <c r="BS93" s="78"/>
      <c r="BT93" s="6"/>
      <c r="BU93" s="693">
        <f t="shared" si="101"/>
        <v>0</v>
      </c>
      <c r="BV93" s="693"/>
      <c r="BW93" s="693"/>
      <c r="BX93" s="693">
        <f t="shared" si="102"/>
        <v>0</v>
      </c>
      <c r="BY93" s="693"/>
      <c r="BZ93" s="693"/>
      <c r="CA93" s="693">
        <f t="shared" si="103"/>
        <v>0</v>
      </c>
      <c r="CB93" s="174">
        <f t="shared" si="88"/>
        <v>0</v>
      </c>
      <c r="CC93" s="174">
        <f t="shared" si="89"/>
        <v>0</v>
      </c>
      <c r="CD93" s="174">
        <f t="shared" si="90"/>
        <v>0</v>
      </c>
      <c r="CE93" s="175">
        <f t="shared" si="91"/>
        <v>0</v>
      </c>
      <c r="CF93" s="175">
        <f t="shared" si="92"/>
        <v>0</v>
      </c>
      <c r="CG93" s="175">
        <f t="shared" si="93"/>
        <v>0</v>
      </c>
    </row>
    <row r="94" spans="1:213" s="699" customFormat="1" ht="17.25" thickBot="1">
      <c r="A94" s="873">
        <v>87</v>
      </c>
      <c r="B94" s="19" t="s">
        <v>3271</v>
      </c>
      <c r="C94" s="19"/>
      <c r="D94" s="111" t="s">
        <v>3272</v>
      </c>
      <c r="E94" s="809" t="s">
        <v>3101</v>
      </c>
      <c r="F94" s="703"/>
      <c r="G94" s="60" t="s">
        <v>18</v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505">
        <f t="shared" si="70"/>
        <v>0</v>
      </c>
      <c r="AF94" s="19"/>
      <c r="AG94" s="19"/>
      <c r="AH94" s="556">
        <f t="shared" si="71"/>
        <v>0</v>
      </c>
      <c r="AI94" s="532">
        <v>10</v>
      </c>
      <c r="AJ94" s="505">
        <v>15</v>
      </c>
      <c r="AK94" s="701">
        <f t="shared" si="72"/>
        <v>25</v>
      </c>
      <c r="AL94" s="319"/>
      <c r="AM94" s="19"/>
      <c r="AN94" s="701">
        <f t="shared" si="73"/>
        <v>0</v>
      </c>
      <c r="AO94" s="319"/>
      <c r="AP94" s="19"/>
      <c r="AQ94" s="389">
        <f t="shared" si="74"/>
        <v>0</v>
      </c>
      <c r="AR94" s="387">
        <f t="shared" si="75"/>
        <v>10</v>
      </c>
      <c r="AS94" s="388">
        <f t="shared" si="75"/>
        <v>15</v>
      </c>
      <c r="AT94" s="19">
        <f t="shared" si="76"/>
        <v>25</v>
      </c>
      <c r="AU94" s="702">
        <f t="shared" si="77"/>
        <v>0.83333333333333337</v>
      </c>
      <c r="AV94" s="702">
        <f t="shared" si="77"/>
        <v>1.25</v>
      </c>
      <c r="AW94" s="703">
        <f t="shared" si="78"/>
        <v>2.0833333333333335</v>
      </c>
      <c r="AX94" s="703"/>
      <c r="AY94" s="703"/>
      <c r="AZ94" s="704"/>
      <c r="BA94" s="19"/>
      <c r="BB94" s="19"/>
      <c r="BC94" s="813">
        <f t="shared" si="82"/>
        <v>0</v>
      </c>
      <c r="BD94" s="19">
        <v>18</v>
      </c>
      <c r="BE94" s="19"/>
      <c r="BF94" s="813">
        <f t="shared" si="83"/>
        <v>18</v>
      </c>
      <c r="BG94" s="19"/>
      <c r="BH94" s="19"/>
      <c r="BI94" s="813">
        <f t="shared" si="84"/>
        <v>0</v>
      </c>
      <c r="BJ94" s="19"/>
      <c r="BK94" s="19"/>
      <c r="BL94" s="814">
        <f t="shared" si="85"/>
        <v>0</v>
      </c>
      <c r="BM94" s="319">
        <v>5</v>
      </c>
      <c r="BN94" s="19"/>
      <c r="BO94" s="868">
        <f t="shared" si="86"/>
        <v>5</v>
      </c>
      <c r="BP94" s="319"/>
      <c r="BQ94" s="19"/>
      <c r="BR94" s="701">
        <f t="shared" si="87"/>
        <v>0</v>
      </c>
      <c r="BS94" s="319"/>
      <c r="BT94" s="19"/>
      <c r="BU94" s="701">
        <f>BS94+BT94</f>
        <v>0</v>
      </c>
      <c r="BV94" s="701"/>
      <c r="BW94" s="701"/>
      <c r="BX94" s="701">
        <f>BV94+BW94</f>
        <v>0</v>
      </c>
      <c r="BY94" s="701"/>
      <c r="BZ94" s="701"/>
      <c r="CA94" s="701">
        <f>BY94+BZ94</f>
        <v>0</v>
      </c>
      <c r="CB94" s="174">
        <f t="shared" si="88"/>
        <v>23</v>
      </c>
      <c r="CC94" s="174">
        <f t="shared" si="89"/>
        <v>0</v>
      </c>
      <c r="CD94" s="174">
        <f t="shared" si="90"/>
        <v>23</v>
      </c>
      <c r="CE94" s="175">
        <f t="shared" si="91"/>
        <v>2.5555555555555554</v>
      </c>
      <c r="CF94" s="175">
        <f t="shared" si="92"/>
        <v>0</v>
      </c>
      <c r="CG94" s="175">
        <f t="shared" si="93"/>
        <v>2.5555555555555554</v>
      </c>
      <c r="CH94" s="361"/>
      <c r="CI94" s="361"/>
      <c r="CJ94" s="361"/>
      <c r="CK94" s="361"/>
      <c r="CL94" s="361"/>
      <c r="CM94" s="361"/>
      <c r="CN94" s="361"/>
      <c r="CO94" s="361"/>
      <c r="CP94" s="361"/>
      <c r="CQ94" s="361"/>
      <c r="CR94" s="361"/>
      <c r="CS94" s="361"/>
      <c r="CT94" s="361"/>
      <c r="CU94" s="361"/>
      <c r="CV94" s="361"/>
      <c r="CW94" s="361"/>
      <c r="CX94" s="361"/>
      <c r="CY94" s="361"/>
      <c r="CZ94" s="361"/>
      <c r="DA94" s="361"/>
      <c r="DB94" s="361"/>
      <c r="DC94" s="361"/>
      <c r="DD94" s="361"/>
      <c r="DE94" s="361"/>
      <c r="DF94" s="361"/>
      <c r="DG94" s="361"/>
      <c r="DH94" s="361"/>
      <c r="DI94" s="361"/>
      <c r="DJ94" s="361"/>
      <c r="DK94" s="361"/>
      <c r="DL94" s="361"/>
      <c r="DM94" s="361"/>
      <c r="DN94" s="361"/>
      <c r="DO94" s="361"/>
      <c r="DP94" s="361"/>
      <c r="DQ94" s="361"/>
      <c r="DR94" s="361"/>
      <c r="DS94" s="361"/>
      <c r="DT94" s="361"/>
      <c r="DU94" s="361"/>
      <c r="DV94" s="361"/>
      <c r="DW94" s="361"/>
      <c r="DX94" s="361"/>
      <c r="DY94" s="361"/>
      <c r="DZ94" s="361"/>
      <c r="EA94" s="361"/>
      <c r="EB94" s="361"/>
      <c r="EC94" s="361"/>
      <c r="ED94" s="361"/>
      <c r="EE94" s="361"/>
      <c r="EF94" s="361"/>
      <c r="EG94" s="361"/>
      <c r="EH94" s="361"/>
      <c r="EI94" s="361"/>
      <c r="EJ94" s="361"/>
      <c r="EK94" s="361"/>
      <c r="EL94" s="361"/>
      <c r="EM94" s="361"/>
      <c r="EN94" s="361"/>
      <c r="EO94" s="361"/>
      <c r="EP94" s="361"/>
      <c r="EQ94" s="361"/>
      <c r="ER94" s="361"/>
      <c r="ES94" s="361"/>
      <c r="ET94" s="361"/>
      <c r="EU94" s="361"/>
      <c r="EV94" s="361"/>
      <c r="EW94" s="361"/>
      <c r="EX94" s="361"/>
      <c r="EY94" s="361"/>
      <c r="EZ94" s="361"/>
      <c r="FA94" s="361"/>
      <c r="FB94" s="361"/>
      <c r="FC94" s="361"/>
      <c r="FD94" s="361"/>
      <c r="FE94" s="361"/>
      <c r="FF94" s="361"/>
      <c r="FG94" s="361"/>
      <c r="FH94" s="361"/>
      <c r="FI94" s="361"/>
      <c r="FJ94" s="361"/>
      <c r="FK94" s="361"/>
      <c r="FL94" s="361"/>
      <c r="FM94" s="361"/>
      <c r="FN94" s="361"/>
      <c r="FO94" s="361"/>
      <c r="FP94" s="361"/>
      <c r="FQ94" s="361"/>
      <c r="FR94" s="361"/>
      <c r="FS94" s="361"/>
      <c r="FT94" s="361"/>
      <c r="FU94" s="361"/>
      <c r="FV94" s="361"/>
      <c r="FW94" s="361"/>
      <c r="FX94" s="361"/>
      <c r="FY94" s="361"/>
      <c r="FZ94" s="361"/>
      <c r="GA94" s="361"/>
      <c r="GB94" s="361"/>
      <c r="GC94" s="361"/>
      <c r="GD94" s="361"/>
      <c r="GE94" s="361"/>
      <c r="GF94" s="361"/>
      <c r="GG94" s="361"/>
      <c r="GH94" s="361"/>
      <c r="GI94" s="361"/>
      <c r="GJ94" s="361"/>
      <c r="GK94" s="361"/>
      <c r="GL94" s="361"/>
      <c r="GM94" s="361"/>
      <c r="GN94" s="361"/>
      <c r="GO94" s="361"/>
      <c r="GP94" s="361"/>
      <c r="GQ94" s="361"/>
      <c r="GR94" s="361"/>
      <c r="GS94" s="361"/>
      <c r="GT94" s="361"/>
      <c r="GU94" s="361"/>
      <c r="GV94" s="361"/>
      <c r="GW94" s="361"/>
      <c r="GX94" s="361"/>
      <c r="GY94" s="361"/>
      <c r="GZ94" s="361"/>
      <c r="HA94" s="361"/>
      <c r="HB94" s="361"/>
      <c r="HC94" s="361"/>
      <c r="HD94" s="361"/>
      <c r="HE94" s="361"/>
    </row>
    <row r="95" spans="1:213" ht="17.25" thickBot="1">
      <c r="A95" s="760">
        <v>88</v>
      </c>
      <c r="B95" s="6" t="s">
        <v>3273</v>
      </c>
      <c r="C95" s="6"/>
      <c r="D95" s="15" t="s">
        <v>3274</v>
      </c>
      <c r="E95" s="803" t="s">
        <v>3101</v>
      </c>
      <c r="F95" s="494"/>
      <c r="G95" s="36" t="s">
        <v>18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404">
        <f t="shared" si="70"/>
        <v>0</v>
      </c>
      <c r="AF95" s="1"/>
      <c r="AG95" s="1"/>
      <c r="AH95" s="401">
        <f t="shared" si="71"/>
        <v>0</v>
      </c>
      <c r="AI95" s="397">
        <v>18</v>
      </c>
      <c r="AJ95" s="404"/>
      <c r="AK95" s="372">
        <f t="shared" si="72"/>
        <v>18</v>
      </c>
      <c r="AL95" s="382"/>
      <c r="AM95" s="1"/>
      <c r="AN95" s="372">
        <f t="shared" si="73"/>
        <v>0</v>
      </c>
      <c r="AO95" s="78"/>
      <c r="AP95" s="6"/>
      <c r="AQ95" s="697">
        <f t="shared" si="74"/>
        <v>0</v>
      </c>
      <c r="AR95" s="766">
        <f t="shared" si="75"/>
        <v>18</v>
      </c>
      <c r="AS95" s="692">
        <f t="shared" si="75"/>
        <v>0</v>
      </c>
      <c r="AT95" s="6">
        <f t="shared" si="76"/>
        <v>18</v>
      </c>
      <c r="AU95" s="585">
        <f t="shared" si="77"/>
        <v>1.5</v>
      </c>
      <c r="AV95" s="585">
        <f t="shared" si="77"/>
        <v>0</v>
      </c>
      <c r="AW95" s="494">
        <f t="shared" si="78"/>
        <v>1.5</v>
      </c>
      <c r="AX95" s="217"/>
      <c r="AY95" s="217"/>
      <c r="AZ95" s="695"/>
      <c r="BA95" s="1">
        <v>18</v>
      </c>
      <c r="BB95" s="1"/>
      <c r="BC95" s="769">
        <f t="shared" si="82"/>
        <v>18</v>
      </c>
      <c r="BD95" s="1"/>
      <c r="BE95" s="1"/>
      <c r="BF95" s="769">
        <f t="shared" si="83"/>
        <v>0</v>
      </c>
      <c r="BG95" s="1"/>
      <c r="BH95" s="1"/>
      <c r="BI95" s="769">
        <f t="shared" si="84"/>
        <v>0</v>
      </c>
      <c r="BJ95" s="1"/>
      <c r="BK95" s="1"/>
      <c r="BL95" s="770">
        <f t="shared" si="85"/>
        <v>0</v>
      </c>
      <c r="BM95" s="78"/>
      <c r="BN95" s="6"/>
      <c r="BO95" s="772">
        <f t="shared" si="86"/>
        <v>0</v>
      </c>
      <c r="BP95" s="78"/>
      <c r="BQ95" s="6"/>
      <c r="BR95" s="693">
        <f t="shared" si="87"/>
        <v>0</v>
      </c>
      <c r="BS95" s="78"/>
      <c r="BT95" s="6"/>
      <c r="BU95" s="693">
        <f t="shared" ref="BU95:BU111" si="104">BS95+BT95</f>
        <v>0</v>
      </c>
      <c r="BV95" s="693"/>
      <c r="BW95" s="693"/>
      <c r="BX95" s="693">
        <f t="shared" ref="BX95:BX111" si="105">BV95+BW95</f>
        <v>0</v>
      </c>
      <c r="BY95" s="693"/>
      <c r="BZ95" s="693"/>
      <c r="CA95" s="693">
        <f t="shared" ref="CA95:CA111" si="106">BY95+BZ95</f>
        <v>0</v>
      </c>
      <c r="CB95" s="174">
        <f t="shared" si="88"/>
        <v>18</v>
      </c>
      <c r="CC95" s="174">
        <f t="shared" si="89"/>
        <v>0</v>
      </c>
      <c r="CD95" s="174">
        <f t="shared" si="90"/>
        <v>18</v>
      </c>
      <c r="CE95" s="175">
        <f t="shared" si="91"/>
        <v>2</v>
      </c>
      <c r="CF95" s="175">
        <f t="shared" si="92"/>
        <v>0</v>
      </c>
      <c r="CG95" s="175">
        <f t="shared" si="93"/>
        <v>2</v>
      </c>
    </row>
    <row r="96" spans="1:213" ht="17.25" thickBot="1">
      <c r="A96" s="760">
        <v>89</v>
      </c>
      <c r="B96" s="6" t="s">
        <v>3275</v>
      </c>
      <c r="C96" s="6"/>
      <c r="D96" s="15" t="s">
        <v>3276</v>
      </c>
      <c r="E96" s="762" t="s">
        <v>3101</v>
      </c>
      <c r="F96" s="494"/>
      <c r="G96" s="36" t="s">
        <v>15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404">
        <f t="shared" si="70"/>
        <v>0</v>
      </c>
      <c r="AF96" s="1"/>
      <c r="AG96" s="1"/>
      <c r="AH96" s="401">
        <f t="shared" si="71"/>
        <v>0</v>
      </c>
      <c r="AI96" s="397">
        <v>126</v>
      </c>
      <c r="AJ96" s="404"/>
      <c r="AK96" s="372">
        <f t="shared" si="72"/>
        <v>126</v>
      </c>
      <c r="AL96" s="382"/>
      <c r="AM96" s="1"/>
      <c r="AN96" s="372">
        <f t="shared" si="73"/>
        <v>0</v>
      </c>
      <c r="AO96" s="78"/>
      <c r="AP96" s="6"/>
      <c r="AQ96" s="697">
        <f t="shared" si="74"/>
        <v>0</v>
      </c>
      <c r="AR96" s="766">
        <f t="shared" si="75"/>
        <v>126</v>
      </c>
      <c r="AS96" s="692">
        <f t="shared" si="75"/>
        <v>0</v>
      </c>
      <c r="AT96" s="6">
        <f t="shared" si="76"/>
        <v>126</v>
      </c>
      <c r="AU96" s="585">
        <f t="shared" si="77"/>
        <v>10.5</v>
      </c>
      <c r="AV96" s="585">
        <f t="shared" si="77"/>
        <v>0</v>
      </c>
      <c r="AW96" s="494">
        <f t="shared" si="78"/>
        <v>10.5</v>
      </c>
      <c r="AX96" s="217"/>
      <c r="AY96" s="217"/>
      <c r="AZ96" s="695"/>
      <c r="BA96" s="1"/>
      <c r="BB96" s="1"/>
      <c r="BC96" s="769">
        <f t="shared" si="82"/>
        <v>0</v>
      </c>
      <c r="BD96" s="1"/>
      <c r="BE96" s="1"/>
      <c r="BF96" s="769">
        <f t="shared" si="83"/>
        <v>0</v>
      </c>
      <c r="BG96" s="1"/>
      <c r="BH96" s="1"/>
      <c r="BI96" s="769">
        <f t="shared" si="84"/>
        <v>0</v>
      </c>
      <c r="BJ96" s="1"/>
      <c r="BK96" s="1"/>
      <c r="BL96" s="770">
        <f t="shared" si="85"/>
        <v>0</v>
      </c>
      <c r="BM96" s="78"/>
      <c r="BN96" s="6"/>
      <c r="BO96" s="772">
        <f t="shared" si="86"/>
        <v>0</v>
      </c>
      <c r="BP96" s="78"/>
      <c r="BQ96" s="6"/>
      <c r="BR96" s="693">
        <f t="shared" si="87"/>
        <v>0</v>
      </c>
      <c r="BS96" s="78"/>
      <c r="BT96" s="6"/>
      <c r="BU96" s="693">
        <f t="shared" si="104"/>
        <v>0</v>
      </c>
      <c r="BV96" s="693"/>
      <c r="BW96" s="693"/>
      <c r="BX96" s="693">
        <f t="shared" si="105"/>
        <v>0</v>
      </c>
      <c r="BY96" s="693"/>
      <c r="BZ96" s="693"/>
      <c r="CA96" s="693">
        <f t="shared" si="106"/>
        <v>0</v>
      </c>
      <c r="CB96" s="174">
        <f t="shared" si="88"/>
        <v>0</v>
      </c>
      <c r="CC96" s="174">
        <f t="shared" si="89"/>
        <v>0</v>
      </c>
      <c r="CD96" s="174">
        <f t="shared" si="90"/>
        <v>0</v>
      </c>
      <c r="CE96" s="175">
        <f t="shared" si="91"/>
        <v>0</v>
      </c>
      <c r="CF96" s="175">
        <f t="shared" si="92"/>
        <v>0</v>
      </c>
      <c r="CG96" s="175">
        <f t="shared" si="93"/>
        <v>0</v>
      </c>
    </row>
    <row r="97" spans="1:213" s="798" customFormat="1" ht="17.25" thickBot="1">
      <c r="A97" s="858">
        <v>90</v>
      </c>
      <c r="B97" s="788" t="s">
        <v>3277</v>
      </c>
      <c r="C97" s="788"/>
      <c r="D97" s="775" t="s">
        <v>3278</v>
      </c>
      <c r="E97" s="776" t="s">
        <v>3101</v>
      </c>
      <c r="F97" s="793"/>
      <c r="G97" s="854" t="s">
        <v>15</v>
      </c>
      <c r="H97" s="855"/>
      <c r="I97" s="855"/>
      <c r="J97" s="855"/>
      <c r="K97" s="855"/>
      <c r="L97" s="855"/>
      <c r="M97" s="855"/>
      <c r="N97" s="855"/>
      <c r="O97" s="855"/>
      <c r="P97" s="855"/>
      <c r="Q97" s="855"/>
      <c r="R97" s="855"/>
      <c r="S97" s="855"/>
      <c r="T97" s="855"/>
      <c r="U97" s="855"/>
      <c r="V97" s="855"/>
      <c r="W97" s="855"/>
      <c r="X97" s="855"/>
      <c r="Y97" s="855"/>
      <c r="Z97" s="855"/>
      <c r="AA97" s="855"/>
      <c r="AB97" s="855"/>
      <c r="AC97" s="855"/>
      <c r="AD97" s="855"/>
      <c r="AE97" s="855"/>
      <c r="AF97" s="855"/>
      <c r="AG97" s="855"/>
      <c r="AH97" s="856"/>
      <c r="AI97" s="857"/>
      <c r="AJ97" s="855"/>
      <c r="AK97" s="780"/>
      <c r="AL97" s="781">
        <v>10</v>
      </c>
      <c r="AM97" s="779"/>
      <c r="AN97" s="780">
        <f t="shared" si="73"/>
        <v>10</v>
      </c>
      <c r="AO97" s="787"/>
      <c r="AP97" s="788"/>
      <c r="AQ97" s="789">
        <f t="shared" si="74"/>
        <v>0</v>
      </c>
      <c r="AR97" s="790">
        <f t="shared" si="75"/>
        <v>10</v>
      </c>
      <c r="AS97" s="791">
        <f t="shared" si="75"/>
        <v>0</v>
      </c>
      <c r="AT97" s="788">
        <f t="shared" si="76"/>
        <v>10</v>
      </c>
      <c r="AU97" s="792">
        <f t="shared" si="77"/>
        <v>0.83333333333333337</v>
      </c>
      <c r="AV97" s="792">
        <f t="shared" si="77"/>
        <v>0</v>
      </c>
      <c r="AW97" s="793">
        <f t="shared" si="78"/>
        <v>0.83333333333333337</v>
      </c>
      <c r="AX97" s="859"/>
      <c r="AY97" s="859"/>
      <c r="AZ97" s="860"/>
      <c r="BA97" s="855"/>
      <c r="BB97" s="855"/>
      <c r="BC97" s="796">
        <f t="shared" si="82"/>
        <v>0</v>
      </c>
      <c r="BD97" s="855"/>
      <c r="BE97" s="855"/>
      <c r="BF97" s="796">
        <f t="shared" si="83"/>
        <v>0</v>
      </c>
      <c r="BG97" s="855"/>
      <c r="BH97" s="855"/>
      <c r="BI97" s="796">
        <f t="shared" si="84"/>
        <v>0</v>
      </c>
      <c r="BJ97" s="855"/>
      <c r="BK97" s="855"/>
      <c r="BL97" s="797">
        <f t="shared" si="85"/>
        <v>0</v>
      </c>
      <c r="BM97" s="787"/>
      <c r="BN97" s="788"/>
      <c r="BO97" s="772">
        <f t="shared" si="86"/>
        <v>0</v>
      </c>
      <c r="BP97" s="787"/>
      <c r="BQ97" s="788"/>
      <c r="BR97" s="693">
        <f t="shared" si="87"/>
        <v>0</v>
      </c>
      <c r="BS97" s="787"/>
      <c r="BT97" s="788"/>
      <c r="BU97" s="693">
        <f t="shared" si="104"/>
        <v>0</v>
      </c>
      <c r="BV97" s="693"/>
      <c r="BW97" s="693"/>
      <c r="BX97" s="693">
        <f t="shared" si="105"/>
        <v>0</v>
      </c>
      <c r="BY97" s="693"/>
      <c r="BZ97" s="693"/>
      <c r="CA97" s="693">
        <f t="shared" si="106"/>
        <v>0</v>
      </c>
      <c r="CB97" s="174">
        <f t="shared" si="88"/>
        <v>0</v>
      </c>
      <c r="CC97" s="174">
        <f t="shared" si="89"/>
        <v>0</v>
      </c>
      <c r="CD97" s="174">
        <f t="shared" si="90"/>
        <v>0</v>
      </c>
      <c r="CE97" s="175">
        <f t="shared" si="91"/>
        <v>0</v>
      </c>
      <c r="CF97" s="175">
        <f t="shared" si="92"/>
        <v>0</v>
      </c>
      <c r="CG97" s="175">
        <f t="shared" si="93"/>
        <v>0</v>
      </c>
      <c r="CH97" s="823"/>
      <c r="CI97" s="823"/>
      <c r="CJ97" s="823"/>
      <c r="CK97" s="823"/>
      <c r="CL97" s="823"/>
      <c r="CM97" s="823"/>
      <c r="CN97" s="823"/>
      <c r="CO97" s="823"/>
      <c r="CP97" s="823"/>
      <c r="CQ97" s="823"/>
      <c r="CR97" s="823"/>
      <c r="CS97" s="823"/>
      <c r="CT97" s="823"/>
      <c r="CU97" s="823"/>
      <c r="CV97" s="823"/>
      <c r="CW97" s="823"/>
      <c r="CX97" s="823"/>
      <c r="CY97" s="823"/>
      <c r="CZ97" s="823"/>
      <c r="DA97" s="823"/>
      <c r="DB97" s="823"/>
      <c r="DC97" s="823"/>
      <c r="DD97" s="823"/>
      <c r="DE97" s="823"/>
      <c r="DF97" s="823"/>
      <c r="DG97" s="823"/>
      <c r="DH97" s="823"/>
      <c r="DI97" s="823"/>
      <c r="DJ97" s="823"/>
      <c r="DK97" s="823"/>
      <c r="DL97" s="823"/>
      <c r="DM97" s="823"/>
      <c r="DN97" s="823"/>
      <c r="DO97" s="823"/>
      <c r="DP97" s="823"/>
      <c r="DQ97" s="823"/>
      <c r="DR97" s="823"/>
      <c r="DS97" s="823"/>
      <c r="DT97" s="823"/>
      <c r="DU97" s="823"/>
      <c r="DV97" s="823"/>
      <c r="DW97" s="823"/>
      <c r="DX97" s="823"/>
      <c r="DY97" s="823"/>
      <c r="DZ97" s="823"/>
      <c r="EA97" s="823"/>
      <c r="EB97" s="823"/>
      <c r="EC97" s="823"/>
      <c r="ED97" s="823"/>
      <c r="EE97" s="823"/>
      <c r="EF97" s="823"/>
      <c r="EG97" s="823"/>
      <c r="EH97" s="823"/>
      <c r="EI97" s="823"/>
      <c r="EJ97" s="823"/>
      <c r="EK97" s="823"/>
      <c r="EL97" s="823"/>
      <c r="EM97" s="823"/>
      <c r="EN97" s="823"/>
      <c r="EO97" s="823"/>
      <c r="EP97" s="823"/>
      <c r="EQ97" s="823"/>
      <c r="ER97" s="823"/>
      <c r="ES97" s="823"/>
      <c r="ET97" s="823"/>
      <c r="EU97" s="823"/>
      <c r="EV97" s="823"/>
      <c r="EW97" s="823"/>
      <c r="EX97" s="823"/>
      <c r="EY97" s="823"/>
      <c r="EZ97" s="823"/>
      <c r="FA97" s="823"/>
      <c r="FB97" s="823"/>
      <c r="FC97" s="823"/>
      <c r="FD97" s="823"/>
      <c r="FE97" s="823"/>
      <c r="FF97" s="823"/>
      <c r="FG97" s="823"/>
      <c r="FH97" s="823"/>
      <c r="FI97" s="823"/>
      <c r="FJ97" s="823"/>
      <c r="FK97" s="823"/>
      <c r="FL97" s="823"/>
      <c r="FM97" s="823"/>
      <c r="FN97" s="823"/>
      <c r="FO97" s="823"/>
      <c r="FP97" s="823"/>
      <c r="FQ97" s="823"/>
      <c r="FR97" s="823"/>
      <c r="FS97" s="823"/>
      <c r="FT97" s="823"/>
      <c r="FU97" s="823"/>
      <c r="FV97" s="823"/>
      <c r="FW97" s="823"/>
      <c r="FX97" s="823"/>
      <c r="FY97" s="823"/>
      <c r="FZ97" s="823"/>
      <c r="GA97" s="823"/>
      <c r="GB97" s="823"/>
      <c r="GC97" s="823"/>
      <c r="GD97" s="823"/>
      <c r="GE97" s="823"/>
      <c r="GF97" s="823"/>
      <c r="GG97" s="823"/>
      <c r="GH97" s="823"/>
      <c r="GI97" s="823"/>
      <c r="GJ97" s="823"/>
      <c r="GK97" s="823"/>
      <c r="GL97" s="823"/>
      <c r="GM97" s="823"/>
      <c r="GN97" s="823"/>
      <c r="GO97" s="823"/>
      <c r="GP97" s="823"/>
      <c r="GQ97" s="823"/>
      <c r="GR97" s="823"/>
      <c r="GS97" s="823"/>
      <c r="GT97" s="823"/>
      <c r="GU97" s="823"/>
      <c r="GV97" s="823"/>
      <c r="GW97" s="823"/>
      <c r="GX97" s="823"/>
      <c r="GY97" s="823"/>
      <c r="GZ97" s="823"/>
      <c r="HA97" s="823"/>
      <c r="HB97" s="823"/>
      <c r="HC97" s="823"/>
      <c r="HD97" s="823"/>
      <c r="HE97" s="823"/>
    </row>
    <row r="98" spans="1:213" ht="17.25" thickBot="1">
      <c r="A98" s="853">
        <v>91</v>
      </c>
      <c r="B98" s="6" t="s">
        <v>3279</v>
      </c>
      <c r="C98" s="6"/>
      <c r="D98" s="15" t="s">
        <v>3280</v>
      </c>
      <c r="E98" s="762" t="s">
        <v>3101</v>
      </c>
      <c r="F98" s="494"/>
      <c r="G98" s="36" t="s">
        <v>15</v>
      </c>
      <c r="H98" s="404"/>
      <c r="I98" s="404"/>
      <c r="J98" s="404"/>
      <c r="K98" s="404"/>
      <c r="L98" s="404"/>
      <c r="M98" s="404"/>
      <c r="N98" s="404"/>
      <c r="O98" s="404"/>
      <c r="P98" s="404"/>
      <c r="Q98" s="404"/>
      <c r="R98" s="404"/>
      <c r="S98" s="404"/>
      <c r="T98" s="404"/>
      <c r="U98" s="404"/>
      <c r="V98" s="404"/>
      <c r="W98" s="404"/>
      <c r="X98" s="404"/>
      <c r="Y98" s="404"/>
      <c r="Z98" s="404"/>
      <c r="AA98" s="404"/>
      <c r="AB98" s="404"/>
      <c r="AC98" s="404"/>
      <c r="AD98" s="404"/>
      <c r="AE98" s="404"/>
      <c r="AF98" s="404"/>
      <c r="AG98" s="404"/>
      <c r="AH98" s="401"/>
      <c r="AI98" s="397"/>
      <c r="AJ98" s="404"/>
      <c r="AK98" s="372"/>
      <c r="AL98" s="382">
        <v>56</v>
      </c>
      <c r="AM98" s="1"/>
      <c r="AN98" s="372">
        <f t="shared" si="73"/>
        <v>56</v>
      </c>
      <c r="AO98" s="78"/>
      <c r="AP98" s="6"/>
      <c r="AQ98" s="697">
        <f t="shared" si="74"/>
        <v>0</v>
      </c>
      <c r="AR98" s="766">
        <f t="shared" si="75"/>
        <v>56</v>
      </c>
      <c r="AS98" s="692">
        <f t="shared" si="75"/>
        <v>0</v>
      </c>
      <c r="AT98" s="6">
        <f t="shared" si="76"/>
        <v>56</v>
      </c>
      <c r="AU98" s="585">
        <f t="shared" si="77"/>
        <v>4.666666666666667</v>
      </c>
      <c r="AV98" s="585">
        <f t="shared" si="77"/>
        <v>0</v>
      </c>
      <c r="AW98" s="494">
        <f t="shared" si="78"/>
        <v>4.666666666666667</v>
      </c>
      <c r="AX98" s="709"/>
      <c r="AY98" s="709"/>
      <c r="AZ98" s="710"/>
      <c r="BA98" s="404"/>
      <c r="BB98" s="404"/>
      <c r="BC98" s="769">
        <f t="shared" si="82"/>
        <v>0</v>
      </c>
      <c r="BD98" s="404"/>
      <c r="BE98" s="404"/>
      <c r="BF98" s="769">
        <f t="shared" si="83"/>
        <v>0</v>
      </c>
      <c r="BG98" s="404"/>
      <c r="BH98" s="404"/>
      <c r="BI98" s="769">
        <f t="shared" si="84"/>
        <v>0</v>
      </c>
      <c r="BJ98" s="404"/>
      <c r="BK98" s="404"/>
      <c r="BL98" s="770">
        <f t="shared" si="85"/>
        <v>0</v>
      </c>
      <c r="BM98" s="78"/>
      <c r="BN98" s="6"/>
      <c r="BO98" s="772">
        <f t="shared" si="86"/>
        <v>0</v>
      </c>
      <c r="BP98" s="78"/>
      <c r="BQ98" s="6"/>
      <c r="BR98" s="693">
        <f t="shared" si="87"/>
        <v>0</v>
      </c>
      <c r="BS98" s="78"/>
      <c r="BT98" s="6"/>
      <c r="BU98" s="693">
        <f t="shared" si="104"/>
        <v>0</v>
      </c>
      <c r="BV98" s="693"/>
      <c r="BW98" s="693"/>
      <c r="BX98" s="693">
        <f t="shared" si="105"/>
        <v>0</v>
      </c>
      <c r="BY98" s="693"/>
      <c r="BZ98" s="693"/>
      <c r="CA98" s="693">
        <f t="shared" si="106"/>
        <v>0</v>
      </c>
      <c r="CB98" s="174">
        <f t="shared" si="88"/>
        <v>0</v>
      </c>
      <c r="CC98" s="174">
        <f t="shared" si="89"/>
        <v>0</v>
      </c>
      <c r="CD98" s="174">
        <f t="shared" si="90"/>
        <v>0</v>
      </c>
      <c r="CE98" s="175">
        <f t="shared" si="91"/>
        <v>0</v>
      </c>
      <c r="CF98" s="175">
        <f t="shared" si="92"/>
        <v>0</v>
      </c>
      <c r="CG98" s="175">
        <f t="shared" si="93"/>
        <v>0</v>
      </c>
    </row>
    <row r="99" spans="1:213" s="798" customFormat="1" ht="17.25" thickBot="1">
      <c r="A99" s="858">
        <v>92</v>
      </c>
      <c r="B99" s="788" t="s">
        <v>3281</v>
      </c>
      <c r="C99" s="788"/>
      <c r="D99" s="775" t="s">
        <v>3282</v>
      </c>
      <c r="E99" s="776" t="s">
        <v>3101</v>
      </c>
      <c r="F99" s="793"/>
      <c r="G99" s="854" t="s">
        <v>15</v>
      </c>
      <c r="H99" s="855"/>
      <c r="I99" s="855"/>
      <c r="J99" s="855"/>
      <c r="K99" s="855"/>
      <c r="L99" s="855"/>
      <c r="M99" s="855"/>
      <c r="N99" s="855"/>
      <c r="O99" s="855"/>
      <c r="P99" s="855"/>
      <c r="Q99" s="855"/>
      <c r="R99" s="855"/>
      <c r="S99" s="855"/>
      <c r="T99" s="855"/>
      <c r="U99" s="855"/>
      <c r="V99" s="855"/>
      <c r="W99" s="855"/>
      <c r="X99" s="855"/>
      <c r="Y99" s="855"/>
      <c r="Z99" s="855"/>
      <c r="AA99" s="855"/>
      <c r="AB99" s="855"/>
      <c r="AC99" s="855"/>
      <c r="AD99" s="855"/>
      <c r="AE99" s="855"/>
      <c r="AF99" s="855"/>
      <c r="AG99" s="855"/>
      <c r="AH99" s="856"/>
      <c r="AI99" s="857"/>
      <c r="AJ99" s="855"/>
      <c r="AK99" s="780"/>
      <c r="AL99" s="781"/>
      <c r="AM99" s="779"/>
      <c r="AN99" s="780"/>
      <c r="AO99" s="861">
        <v>10</v>
      </c>
      <c r="AP99" s="862"/>
      <c r="AQ99" s="789">
        <f t="shared" si="74"/>
        <v>10</v>
      </c>
      <c r="AR99" s="790"/>
      <c r="AS99" s="791"/>
      <c r="AT99" s="788">
        <f t="shared" si="76"/>
        <v>0</v>
      </c>
      <c r="AU99" s="792">
        <f t="shared" si="77"/>
        <v>0</v>
      </c>
      <c r="AV99" s="792">
        <f t="shared" si="77"/>
        <v>0</v>
      </c>
      <c r="AW99" s="793">
        <f t="shared" si="78"/>
        <v>0</v>
      </c>
      <c r="AX99" s="859"/>
      <c r="AY99" s="859"/>
      <c r="AZ99" s="860"/>
      <c r="BA99" s="855"/>
      <c r="BB99" s="855"/>
      <c r="BC99" s="796">
        <f t="shared" si="82"/>
        <v>0</v>
      </c>
      <c r="BD99" s="855"/>
      <c r="BE99" s="855"/>
      <c r="BF99" s="796">
        <f t="shared" si="83"/>
        <v>0</v>
      </c>
      <c r="BG99" s="855"/>
      <c r="BH99" s="855"/>
      <c r="BI99" s="796">
        <f t="shared" si="84"/>
        <v>0</v>
      </c>
      <c r="BJ99" s="855"/>
      <c r="BK99" s="855"/>
      <c r="BL99" s="797">
        <f t="shared" si="85"/>
        <v>0</v>
      </c>
      <c r="BM99" s="787"/>
      <c r="BN99" s="788"/>
      <c r="BO99" s="772">
        <f t="shared" si="86"/>
        <v>0</v>
      </c>
      <c r="BP99" s="787"/>
      <c r="BQ99" s="788"/>
      <c r="BR99" s="693">
        <f t="shared" si="87"/>
        <v>0</v>
      </c>
      <c r="BS99" s="787"/>
      <c r="BT99" s="788"/>
      <c r="BU99" s="693">
        <f t="shared" si="104"/>
        <v>0</v>
      </c>
      <c r="BV99" s="693"/>
      <c r="BW99" s="693"/>
      <c r="BX99" s="693">
        <f t="shared" si="105"/>
        <v>0</v>
      </c>
      <c r="BY99" s="693"/>
      <c r="BZ99" s="693"/>
      <c r="CA99" s="693">
        <f t="shared" si="106"/>
        <v>0</v>
      </c>
      <c r="CB99" s="174">
        <f t="shared" si="88"/>
        <v>0</v>
      </c>
      <c r="CC99" s="174">
        <f t="shared" si="89"/>
        <v>0</v>
      </c>
      <c r="CD99" s="174">
        <f t="shared" si="90"/>
        <v>0</v>
      </c>
      <c r="CE99" s="175">
        <f t="shared" si="91"/>
        <v>0</v>
      </c>
      <c r="CF99" s="175">
        <f t="shared" si="92"/>
        <v>0</v>
      </c>
      <c r="CG99" s="175">
        <f t="shared" si="93"/>
        <v>0</v>
      </c>
      <c r="CH99" s="823"/>
      <c r="CI99" s="823"/>
      <c r="CJ99" s="823"/>
      <c r="CK99" s="823"/>
      <c r="CL99" s="823"/>
      <c r="CM99" s="823"/>
      <c r="CN99" s="823"/>
      <c r="CO99" s="823"/>
      <c r="CP99" s="823"/>
      <c r="CQ99" s="823"/>
      <c r="CR99" s="823"/>
      <c r="CS99" s="823"/>
      <c r="CT99" s="823"/>
      <c r="CU99" s="823"/>
      <c r="CV99" s="823"/>
      <c r="CW99" s="823"/>
      <c r="CX99" s="823"/>
      <c r="CY99" s="823"/>
      <c r="CZ99" s="823"/>
      <c r="DA99" s="823"/>
      <c r="DB99" s="823"/>
      <c r="DC99" s="823"/>
      <c r="DD99" s="823"/>
      <c r="DE99" s="823"/>
      <c r="DF99" s="823"/>
      <c r="DG99" s="823"/>
      <c r="DH99" s="823"/>
      <c r="DI99" s="823"/>
      <c r="DJ99" s="823"/>
      <c r="DK99" s="823"/>
      <c r="DL99" s="823"/>
      <c r="DM99" s="823"/>
      <c r="DN99" s="823"/>
      <c r="DO99" s="823"/>
      <c r="DP99" s="823"/>
      <c r="DQ99" s="823"/>
      <c r="DR99" s="823"/>
      <c r="DS99" s="823"/>
      <c r="DT99" s="823"/>
      <c r="DU99" s="823"/>
      <c r="DV99" s="823"/>
      <c r="DW99" s="823"/>
      <c r="DX99" s="823"/>
      <c r="DY99" s="823"/>
      <c r="DZ99" s="823"/>
      <c r="EA99" s="823"/>
      <c r="EB99" s="823"/>
      <c r="EC99" s="823"/>
      <c r="ED99" s="823"/>
      <c r="EE99" s="823"/>
      <c r="EF99" s="823"/>
      <c r="EG99" s="823"/>
      <c r="EH99" s="823"/>
      <c r="EI99" s="823"/>
      <c r="EJ99" s="823"/>
      <c r="EK99" s="823"/>
      <c r="EL99" s="823"/>
      <c r="EM99" s="823"/>
      <c r="EN99" s="823"/>
      <c r="EO99" s="823"/>
      <c r="EP99" s="823"/>
      <c r="EQ99" s="823"/>
      <c r="ER99" s="823"/>
      <c r="ES99" s="823"/>
      <c r="ET99" s="823"/>
      <c r="EU99" s="823"/>
      <c r="EV99" s="823"/>
      <c r="EW99" s="823"/>
      <c r="EX99" s="823"/>
      <c r="EY99" s="823"/>
      <c r="EZ99" s="823"/>
      <c r="FA99" s="823"/>
      <c r="FB99" s="823"/>
      <c r="FC99" s="823"/>
      <c r="FD99" s="823"/>
      <c r="FE99" s="823"/>
      <c r="FF99" s="823"/>
      <c r="FG99" s="823"/>
      <c r="FH99" s="823"/>
      <c r="FI99" s="823"/>
      <c r="FJ99" s="823"/>
      <c r="FK99" s="823"/>
      <c r="FL99" s="823"/>
      <c r="FM99" s="823"/>
      <c r="FN99" s="823"/>
      <c r="FO99" s="823"/>
      <c r="FP99" s="823"/>
      <c r="FQ99" s="823"/>
      <c r="FR99" s="823"/>
      <c r="FS99" s="823"/>
      <c r="FT99" s="823"/>
      <c r="FU99" s="823"/>
      <c r="FV99" s="823"/>
      <c r="FW99" s="823"/>
      <c r="FX99" s="823"/>
      <c r="FY99" s="823"/>
      <c r="FZ99" s="823"/>
      <c r="GA99" s="823"/>
      <c r="GB99" s="823"/>
      <c r="GC99" s="823"/>
      <c r="GD99" s="823"/>
      <c r="GE99" s="823"/>
      <c r="GF99" s="823"/>
      <c r="GG99" s="823"/>
      <c r="GH99" s="823"/>
      <c r="GI99" s="823"/>
      <c r="GJ99" s="823"/>
      <c r="GK99" s="823"/>
      <c r="GL99" s="823"/>
      <c r="GM99" s="823"/>
      <c r="GN99" s="823"/>
      <c r="GO99" s="823"/>
      <c r="GP99" s="823"/>
      <c r="GQ99" s="823"/>
      <c r="GR99" s="823"/>
      <c r="GS99" s="823"/>
      <c r="GT99" s="823"/>
      <c r="GU99" s="823"/>
      <c r="GV99" s="823"/>
      <c r="GW99" s="823"/>
      <c r="GX99" s="823"/>
      <c r="GY99" s="823"/>
      <c r="GZ99" s="823"/>
      <c r="HA99" s="823"/>
      <c r="HB99" s="823"/>
      <c r="HC99" s="823"/>
      <c r="HD99" s="823"/>
      <c r="HE99" s="823"/>
    </row>
    <row r="100" spans="1:213" ht="17.25" thickBot="1">
      <c r="A100" s="853">
        <v>93</v>
      </c>
      <c r="B100" s="6" t="s">
        <v>3283</v>
      </c>
      <c r="C100" s="6"/>
      <c r="D100" s="15" t="s">
        <v>3284</v>
      </c>
      <c r="E100" s="762" t="s">
        <v>3101</v>
      </c>
      <c r="F100" s="494"/>
      <c r="G100" s="36" t="s">
        <v>18</v>
      </c>
      <c r="H100" s="404"/>
      <c r="I100" s="404"/>
      <c r="J100" s="404"/>
      <c r="K100" s="404"/>
      <c r="L100" s="404"/>
      <c r="M100" s="404"/>
      <c r="N100" s="404"/>
      <c r="O100" s="404"/>
      <c r="P100" s="404"/>
      <c r="Q100" s="404"/>
      <c r="R100" s="404"/>
      <c r="S100" s="404"/>
      <c r="T100" s="404"/>
      <c r="U100" s="404"/>
      <c r="V100" s="404"/>
      <c r="W100" s="404"/>
      <c r="X100" s="404"/>
      <c r="Y100" s="404"/>
      <c r="Z100" s="404"/>
      <c r="AA100" s="404"/>
      <c r="AB100" s="404"/>
      <c r="AC100" s="404"/>
      <c r="AD100" s="404"/>
      <c r="AE100" s="404"/>
      <c r="AF100" s="404"/>
      <c r="AG100" s="404"/>
      <c r="AH100" s="401"/>
      <c r="AI100" s="397"/>
      <c r="AJ100" s="404"/>
      <c r="AK100" s="372"/>
      <c r="AL100" s="382"/>
      <c r="AM100" s="1"/>
      <c r="AN100" s="372"/>
      <c r="AO100" s="714">
        <v>121</v>
      </c>
      <c r="AP100" s="715"/>
      <c r="AQ100" s="697">
        <f t="shared" si="74"/>
        <v>121</v>
      </c>
      <c r="AR100" s="766"/>
      <c r="AS100" s="692"/>
      <c r="AT100" s="6">
        <f t="shared" si="76"/>
        <v>0</v>
      </c>
      <c r="AU100" s="585">
        <f t="shared" si="77"/>
        <v>0</v>
      </c>
      <c r="AV100" s="585">
        <f t="shared" si="77"/>
        <v>0</v>
      </c>
      <c r="AW100" s="494">
        <f t="shared" si="78"/>
        <v>0</v>
      </c>
      <c r="AX100" s="709"/>
      <c r="AY100" s="709"/>
      <c r="AZ100" s="710"/>
      <c r="BA100" s="404"/>
      <c r="BB100" s="404"/>
      <c r="BC100" s="769">
        <f t="shared" si="82"/>
        <v>0</v>
      </c>
      <c r="BD100" s="404"/>
      <c r="BE100" s="404"/>
      <c r="BF100" s="769">
        <f t="shared" si="83"/>
        <v>0</v>
      </c>
      <c r="BG100" s="404"/>
      <c r="BH100" s="404"/>
      <c r="BI100" s="769">
        <f t="shared" si="84"/>
        <v>0</v>
      </c>
      <c r="BJ100" s="404"/>
      <c r="BK100" s="404"/>
      <c r="BL100" s="770">
        <f t="shared" si="85"/>
        <v>0</v>
      </c>
      <c r="BM100" s="78"/>
      <c r="BN100" s="6"/>
      <c r="BO100" s="772">
        <f t="shared" si="86"/>
        <v>0</v>
      </c>
      <c r="BP100" s="78"/>
      <c r="BQ100" s="6"/>
      <c r="BR100" s="693">
        <f t="shared" si="87"/>
        <v>0</v>
      </c>
      <c r="BS100" s="78"/>
      <c r="BT100" s="6"/>
      <c r="BU100" s="693">
        <f t="shared" si="104"/>
        <v>0</v>
      </c>
      <c r="BV100" s="693"/>
      <c r="BW100" s="693"/>
      <c r="BX100" s="693">
        <f t="shared" si="105"/>
        <v>0</v>
      </c>
      <c r="BY100" s="693"/>
      <c r="BZ100" s="693"/>
      <c r="CA100" s="693">
        <f t="shared" si="106"/>
        <v>0</v>
      </c>
      <c r="CB100" s="174">
        <f t="shared" si="88"/>
        <v>0</v>
      </c>
      <c r="CC100" s="174">
        <f t="shared" si="89"/>
        <v>0</v>
      </c>
      <c r="CD100" s="174">
        <f t="shared" si="90"/>
        <v>0</v>
      </c>
      <c r="CE100" s="175">
        <f t="shared" si="91"/>
        <v>0</v>
      </c>
      <c r="CF100" s="175">
        <f t="shared" si="92"/>
        <v>0</v>
      </c>
      <c r="CG100" s="175">
        <f t="shared" si="93"/>
        <v>0</v>
      </c>
    </row>
    <row r="101" spans="1:213" s="798" customFormat="1" ht="17.25" thickBot="1">
      <c r="A101" s="858">
        <v>94</v>
      </c>
      <c r="B101" s="788" t="s">
        <v>3285</v>
      </c>
      <c r="C101" s="788"/>
      <c r="D101" s="775" t="s">
        <v>3286</v>
      </c>
      <c r="E101" s="776" t="s">
        <v>3101</v>
      </c>
      <c r="F101" s="793"/>
      <c r="G101" s="854" t="s">
        <v>15</v>
      </c>
      <c r="H101" s="855"/>
      <c r="I101" s="855"/>
      <c r="J101" s="855"/>
      <c r="K101" s="855"/>
      <c r="L101" s="855"/>
      <c r="M101" s="855"/>
      <c r="N101" s="855"/>
      <c r="O101" s="855"/>
      <c r="P101" s="855"/>
      <c r="Q101" s="855"/>
      <c r="R101" s="855"/>
      <c r="S101" s="855"/>
      <c r="T101" s="855"/>
      <c r="U101" s="855"/>
      <c r="V101" s="855"/>
      <c r="W101" s="855"/>
      <c r="X101" s="855"/>
      <c r="Y101" s="855"/>
      <c r="Z101" s="855"/>
      <c r="AA101" s="855"/>
      <c r="AB101" s="855"/>
      <c r="AC101" s="855"/>
      <c r="AD101" s="855"/>
      <c r="AE101" s="855"/>
      <c r="AF101" s="855"/>
      <c r="AG101" s="855"/>
      <c r="AH101" s="856"/>
      <c r="AI101" s="857"/>
      <c r="AJ101" s="855"/>
      <c r="AK101" s="780"/>
      <c r="AL101" s="781"/>
      <c r="AM101" s="779"/>
      <c r="AN101" s="780"/>
      <c r="AO101" s="861">
        <v>60</v>
      </c>
      <c r="AP101" s="862"/>
      <c r="AQ101" s="789">
        <f t="shared" si="74"/>
        <v>60</v>
      </c>
      <c r="AR101" s="790"/>
      <c r="AS101" s="791"/>
      <c r="AT101" s="788">
        <f t="shared" si="76"/>
        <v>0</v>
      </c>
      <c r="AU101" s="792">
        <f t="shared" si="77"/>
        <v>0</v>
      </c>
      <c r="AV101" s="792">
        <f t="shared" si="77"/>
        <v>0</v>
      </c>
      <c r="AW101" s="793">
        <f t="shared" si="78"/>
        <v>0</v>
      </c>
      <c r="AX101" s="859"/>
      <c r="AY101" s="859"/>
      <c r="AZ101" s="860"/>
      <c r="BA101" s="855"/>
      <c r="BB101" s="855"/>
      <c r="BC101" s="796">
        <f t="shared" si="82"/>
        <v>0</v>
      </c>
      <c r="BD101" s="855"/>
      <c r="BE101" s="855"/>
      <c r="BF101" s="796">
        <f t="shared" si="83"/>
        <v>0</v>
      </c>
      <c r="BG101" s="855"/>
      <c r="BH101" s="855"/>
      <c r="BI101" s="796">
        <f t="shared" si="84"/>
        <v>0</v>
      </c>
      <c r="BJ101" s="855"/>
      <c r="BK101" s="855"/>
      <c r="BL101" s="797">
        <f t="shared" si="85"/>
        <v>0</v>
      </c>
      <c r="BM101" s="787"/>
      <c r="BN101" s="788"/>
      <c r="BO101" s="772">
        <f t="shared" si="86"/>
        <v>0</v>
      </c>
      <c r="BP101" s="787"/>
      <c r="BQ101" s="788"/>
      <c r="BR101" s="693">
        <f t="shared" si="87"/>
        <v>0</v>
      </c>
      <c r="BS101" s="787"/>
      <c r="BT101" s="788"/>
      <c r="BU101" s="693">
        <f t="shared" si="104"/>
        <v>0</v>
      </c>
      <c r="BV101" s="693"/>
      <c r="BW101" s="693"/>
      <c r="BX101" s="693">
        <f t="shared" si="105"/>
        <v>0</v>
      </c>
      <c r="BY101" s="693"/>
      <c r="BZ101" s="693"/>
      <c r="CA101" s="693">
        <f t="shared" si="106"/>
        <v>0</v>
      </c>
      <c r="CB101" s="174">
        <f t="shared" si="88"/>
        <v>0</v>
      </c>
      <c r="CC101" s="174">
        <f t="shared" si="89"/>
        <v>0</v>
      </c>
      <c r="CD101" s="174">
        <f t="shared" si="90"/>
        <v>0</v>
      </c>
      <c r="CE101" s="175">
        <f t="shared" si="91"/>
        <v>0</v>
      </c>
      <c r="CF101" s="175">
        <f t="shared" si="92"/>
        <v>0</v>
      </c>
      <c r="CG101" s="175">
        <f t="shared" si="93"/>
        <v>0</v>
      </c>
      <c r="CH101" s="823"/>
      <c r="CI101" s="823"/>
      <c r="CJ101" s="823"/>
      <c r="CK101" s="823"/>
      <c r="CL101" s="823"/>
      <c r="CM101" s="823"/>
      <c r="CN101" s="823"/>
      <c r="CO101" s="823"/>
      <c r="CP101" s="823"/>
      <c r="CQ101" s="823"/>
      <c r="CR101" s="823"/>
      <c r="CS101" s="823"/>
      <c r="CT101" s="823"/>
      <c r="CU101" s="823"/>
      <c r="CV101" s="823"/>
      <c r="CW101" s="823"/>
      <c r="CX101" s="823"/>
      <c r="CY101" s="823"/>
      <c r="CZ101" s="823"/>
      <c r="DA101" s="823"/>
      <c r="DB101" s="823"/>
      <c r="DC101" s="823"/>
      <c r="DD101" s="823"/>
      <c r="DE101" s="823"/>
      <c r="DF101" s="823"/>
      <c r="DG101" s="823"/>
      <c r="DH101" s="823"/>
      <c r="DI101" s="823"/>
      <c r="DJ101" s="823"/>
      <c r="DK101" s="823"/>
      <c r="DL101" s="823"/>
      <c r="DM101" s="823"/>
      <c r="DN101" s="823"/>
      <c r="DO101" s="823"/>
      <c r="DP101" s="823"/>
      <c r="DQ101" s="823"/>
      <c r="DR101" s="823"/>
      <c r="DS101" s="823"/>
      <c r="DT101" s="823"/>
      <c r="DU101" s="823"/>
      <c r="DV101" s="823"/>
      <c r="DW101" s="823"/>
      <c r="DX101" s="823"/>
      <c r="DY101" s="823"/>
      <c r="DZ101" s="823"/>
      <c r="EA101" s="823"/>
      <c r="EB101" s="823"/>
      <c r="EC101" s="823"/>
      <c r="ED101" s="823"/>
      <c r="EE101" s="823"/>
      <c r="EF101" s="823"/>
      <c r="EG101" s="823"/>
      <c r="EH101" s="823"/>
      <c r="EI101" s="823"/>
      <c r="EJ101" s="823"/>
      <c r="EK101" s="823"/>
      <c r="EL101" s="823"/>
      <c r="EM101" s="823"/>
      <c r="EN101" s="823"/>
      <c r="EO101" s="823"/>
      <c r="EP101" s="823"/>
      <c r="EQ101" s="823"/>
      <c r="ER101" s="823"/>
      <c r="ES101" s="823"/>
      <c r="ET101" s="823"/>
      <c r="EU101" s="823"/>
      <c r="EV101" s="823"/>
      <c r="EW101" s="823"/>
      <c r="EX101" s="823"/>
      <c r="EY101" s="823"/>
      <c r="EZ101" s="823"/>
      <c r="FA101" s="823"/>
      <c r="FB101" s="823"/>
      <c r="FC101" s="823"/>
      <c r="FD101" s="823"/>
      <c r="FE101" s="823"/>
      <c r="FF101" s="823"/>
      <c r="FG101" s="823"/>
      <c r="FH101" s="823"/>
      <c r="FI101" s="823"/>
      <c r="FJ101" s="823"/>
      <c r="FK101" s="823"/>
      <c r="FL101" s="823"/>
      <c r="FM101" s="823"/>
      <c r="FN101" s="823"/>
      <c r="FO101" s="823"/>
      <c r="FP101" s="823"/>
      <c r="FQ101" s="823"/>
      <c r="FR101" s="823"/>
      <c r="FS101" s="823"/>
      <c r="FT101" s="823"/>
      <c r="FU101" s="823"/>
      <c r="FV101" s="823"/>
      <c r="FW101" s="823"/>
      <c r="FX101" s="823"/>
      <c r="FY101" s="823"/>
      <c r="FZ101" s="823"/>
      <c r="GA101" s="823"/>
      <c r="GB101" s="823"/>
      <c r="GC101" s="823"/>
      <c r="GD101" s="823"/>
      <c r="GE101" s="823"/>
      <c r="GF101" s="823"/>
      <c r="GG101" s="823"/>
      <c r="GH101" s="823"/>
      <c r="GI101" s="823"/>
      <c r="GJ101" s="823"/>
      <c r="GK101" s="823"/>
      <c r="GL101" s="823"/>
      <c r="GM101" s="823"/>
      <c r="GN101" s="823"/>
      <c r="GO101" s="823"/>
      <c r="GP101" s="823"/>
      <c r="GQ101" s="823"/>
      <c r="GR101" s="823"/>
      <c r="GS101" s="823"/>
      <c r="GT101" s="823"/>
      <c r="GU101" s="823"/>
      <c r="GV101" s="823"/>
      <c r="GW101" s="823"/>
      <c r="GX101" s="823"/>
      <c r="GY101" s="823"/>
      <c r="GZ101" s="823"/>
      <c r="HA101" s="823"/>
      <c r="HB101" s="823"/>
      <c r="HC101" s="823"/>
      <c r="HD101" s="823"/>
      <c r="HE101" s="823"/>
    </row>
    <row r="102" spans="1:213" ht="17.25" thickBot="1">
      <c r="A102" s="853">
        <v>95</v>
      </c>
      <c r="B102" s="6" t="s">
        <v>3287</v>
      </c>
      <c r="C102" s="6"/>
      <c r="D102" s="15" t="s">
        <v>3288</v>
      </c>
      <c r="E102" s="762" t="s">
        <v>3101</v>
      </c>
      <c r="F102" s="494"/>
      <c r="G102" s="36" t="s">
        <v>15</v>
      </c>
      <c r="H102" s="404"/>
      <c r="I102" s="404"/>
      <c r="J102" s="404"/>
      <c r="K102" s="404"/>
      <c r="L102" s="404"/>
      <c r="M102" s="404"/>
      <c r="N102" s="404"/>
      <c r="O102" s="404"/>
      <c r="P102" s="404"/>
      <c r="Q102" s="404"/>
      <c r="R102" s="404"/>
      <c r="S102" s="404"/>
      <c r="T102" s="404"/>
      <c r="U102" s="404"/>
      <c r="V102" s="404"/>
      <c r="W102" s="404"/>
      <c r="X102" s="404"/>
      <c r="Y102" s="404"/>
      <c r="Z102" s="404"/>
      <c r="AA102" s="404"/>
      <c r="AB102" s="404"/>
      <c r="AC102" s="404"/>
      <c r="AD102" s="404"/>
      <c r="AE102" s="404"/>
      <c r="AF102" s="404"/>
      <c r="AG102" s="404"/>
      <c r="AH102" s="401"/>
      <c r="AI102" s="397"/>
      <c r="AJ102" s="404"/>
      <c r="AK102" s="372"/>
      <c r="AL102" s="382"/>
      <c r="AM102" s="1"/>
      <c r="AN102" s="372"/>
      <c r="AO102" s="714">
        <v>108</v>
      </c>
      <c r="AP102" s="715"/>
      <c r="AQ102" s="863">
        <f t="shared" si="74"/>
        <v>108</v>
      </c>
      <c r="AR102" s="766"/>
      <c r="AS102" s="692"/>
      <c r="AT102" s="6">
        <f t="shared" si="76"/>
        <v>0</v>
      </c>
      <c r="AU102" s="585">
        <f t="shared" si="77"/>
        <v>0</v>
      </c>
      <c r="AV102" s="585">
        <f t="shared" si="77"/>
        <v>0</v>
      </c>
      <c r="AW102" s="494">
        <f t="shared" si="78"/>
        <v>0</v>
      </c>
      <c r="AX102" s="709"/>
      <c r="AY102" s="709"/>
      <c r="AZ102" s="710"/>
      <c r="BA102" s="404"/>
      <c r="BB102" s="404"/>
      <c r="BC102" s="769">
        <f t="shared" si="82"/>
        <v>0</v>
      </c>
      <c r="BD102" s="404"/>
      <c r="BE102" s="404"/>
      <c r="BF102" s="769">
        <f t="shared" si="83"/>
        <v>0</v>
      </c>
      <c r="BG102" s="404"/>
      <c r="BH102" s="404"/>
      <c r="BI102" s="769">
        <f t="shared" si="84"/>
        <v>0</v>
      </c>
      <c r="BJ102" s="404"/>
      <c r="BK102" s="404"/>
      <c r="BL102" s="770">
        <f t="shared" si="85"/>
        <v>0</v>
      </c>
      <c r="BM102" s="78"/>
      <c r="BN102" s="6"/>
      <c r="BO102" s="772">
        <f t="shared" si="86"/>
        <v>0</v>
      </c>
      <c r="BP102" s="78"/>
      <c r="BQ102" s="6"/>
      <c r="BR102" s="693">
        <f t="shared" si="87"/>
        <v>0</v>
      </c>
      <c r="BS102" s="78"/>
      <c r="BT102" s="6"/>
      <c r="BU102" s="693">
        <f t="shared" si="104"/>
        <v>0</v>
      </c>
      <c r="BV102" s="693"/>
      <c r="BW102" s="693"/>
      <c r="BX102" s="693">
        <f t="shared" si="105"/>
        <v>0</v>
      </c>
      <c r="BY102" s="693"/>
      <c r="BZ102" s="693"/>
      <c r="CA102" s="693">
        <f t="shared" si="106"/>
        <v>0</v>
      </c>
      <c r="CB102" s="174">
        <f t="shared" si="88"/>
        <v>0</v>
      </c>
      <c r="CC102" s="174">
        <f t="shared" si="89"/>
        <v>0</v>
      </c>
      <c r="CD102" s="174">
        <f t="shared" si="90"/>
        <v>0</v>
      </c>
      <c r="CE102" s="175">
        <f t="shared" si="91"/>
        <v>0</v>
      </c>
      <c r="CF102" s="175">
        <f t="shared" si="92"/>
        <v>0</v>
      </c>
      <c r="CG102" s="175">
        <f t="shared" si="93"/>
        <v>0</v>
      </c>
    </row>
    <row r="103" spans="1:213" s="798" customFormat="1" ht="17.25" thickBot="1">
      <c r="A103" s="858">
        <v>96</v>
      </c>
      <c r="B103" s="788" t="s">
        <v>3289</v>
      </c>
      <c r="C103" s="788"/>
      <c r="D103" s="775" t="s">
        <v>3290</v>
      </c>
      <c r="E103" s="776" t="s">
        <v>3101</v>
      </c>
      <c r="F103" s="793"/>
      <c r="G103" s="854" t="s">
        <v>15</v>
      </c>
      <c r="H103" s="855"/>
      <c r="I103" s="855"/>
      <c r="J103" s="855"/>
      <c r="K103" s="855"/>
      <c r="L103" s="855"/>
      <c r="M103" s="855"/>
      <c r="N103" s="855"/>
      <c r="O103" s="855"/>
      <c r="P103" s="855"/>
      <c r="Q103" s="855"/>
      <c r="R103" s="855"/>
      <c r="S103" s="855"/>
      <c r="T103" s="855"/>
      <c r="U103" s="855"/>
      <c r="V103" s="855"/>
      <c r="W103" s="855"/>
      <c r="X103" s="855"/>
      <c r="Y103" s="855"/>
      <c r="Z103" s="855"/>
      <c r="AA103" s="855"/>
      <c r="AB103" s="855"/>
      <c r="AC103" s="855"/>
      <c r="AD103" s="855"/>
      <c r="AE103" s="855"/>
      <c r="AF103" s="855"/>
      <c r="AG103" s="855"/>
      <c r="AH103" s="856"/>
      <c r="AI103" s="857"/>
      <c r="AJ103" s="855"/>
      <c r="AK103" s="780"/>
      <c r="AL103" s="781"/>
      <c r="AM103" s="779"/>
      <c r="AN103" s="780"/>
      <c r="AO103" s="861">
        <v>20</v>
      </c>
      <c r="AP103" s="862"/>
      <c r="AQ103" s="864">
        <f t="shared" si="74"/>
        <v>20</v>
      </c>
      <c r="AR103" s="790"/>
      <c r="AS103" s="791"/>
      <c r="AT103" s="788">
        <f t="shared" si="76"/>
        <v>0</v>
      </c>
      <c r="AU103" s="792">
        <f t="shared" si="77"/>
        <v>0</v>
      </c>
      <c r="AV103" s="792">
        <f t="shared" si="77"/>
        <v>0</v>
      </c>
      <c r="AW103" s="793">
        <f t="shared" si="78"/>
        <v>0</v>
      </c>
      <c r="AX103" s="859"/>
      <c r="AY103" s="859"/>
      <c r="AZ103" s="860"/>
      <c r="BA103" s="855"/>
      <c r="BB103" s="855"/>
      <c r="BC103" s="796">
        <f t="shared" si="82"/>
        <v>0</v>
      </c>
      <c r="BD103" s="855"/>
      <c r="BE103" s="855"/>
      <c r="BF103" s="796">
        <f t="shared" si="83"/>
        <v>0</v>
      </c>
      <c r="BG103" s="855"/>
      <c r="BH103" s="855"/>
      <c r="BI103" s="796">
        <f t="shared" si="84"/>
        <v>0</v>
      </c>
      <c r="BJ103" s="855"/>
      <c r="BK103" s="855"/>
      <c r="BL103" s="797">
        <f t="shared" si="85"/>
        <v>0</v>
      </c>
      <c r="BM103" s="787"/>
      <c r="BN103" s="788"/>
      <c r="BO103" s="772">
        <f t="shared" si="86"/>
        <v>0</v>
      </c>
      <c r="BP103" s="787">
        <v>10</v>
      </c>
      <c r="BQ103" s="788"/>
      <c r="BR103" s="693">
        <f t="shared" si="87"/>
        <v>10</v>
      </c>
      <c r="BS103" s="787"/>
      <c r="BT103" s="788"/>
      <c r="BU103" s="693">
        <f t="shared" si="104"/>
        <v>0</v>
      </c>
      <c r="BV103" s="693"/>
      <c r="BW103" s="693"/>
      <c r="BX103" s="693">
        <f t="shared" si="105"/>
        <v>0</v>
      </c>
      <c r="BY103" s="693"/>
      <c r="BZ103" s="693"/>
      <c r="CA103" s="693">
        <f t="shared" si="106"/>
        <v>0</v>
      </c>
      <c r="CB103" s="174">
        <f t="shared" si="88"/>
        <v>10</v>
      </c>
      <c r="CC103" s="174">
        <f t="shared" si="89"/>
        <v>0</v>
      </c>
      <c r="CD103" s="174">
        <f t="shared" si="90"/>
        <v>10</v>
      </c>
      <c r="CE103" s="175">
        <f t="shared" si="91"/>
        <v>1.1111111111111112</v>
      </c>
      <c r="CF103" s="175">
        <f t="shared" si="92"/>
        <v>0</v>
      </c>
      <c r="CG103" s="175">
        <f t="shared" si="93"/>
        <v>1.1111111111111112</v>
      </c>
      <c r="CH103" s="823"/>
      <c r="CI103" s="823"/>
      <c r="CJ103" s="823"/>
      <c r="CK103" s="823"/>
      <c r="CL103" s="823"/>
      <c r="CM103" s="823"/>
      <c r="CN103" s="823"/>
      <c r="CO103" s="823"/>
      <c r="CP103" s="823"/>
      <c r="CQ103" s="823"/>
      <c r="CR103" s="823"/>
      <c r="CS103" s="823"/>
      <c r="CT103" s="823"/>
      <c r="CU103" s="823"/>
      <c r="CV103" s="823"/>
      <c r="CW103" s="823"/>
      <c r="CX103" s="823"/>
      <c r="CY103" s="823"/>
      <c r="CZ103" s="823"/>
      <c r="DA103" s="823"/>
      <c r="DB103" s="823"/>
      <c r="DC103" s="823"/>
      <c r="DD103" s="823"/>
      <c r="DE103" s="823"/>
      <c r="DF103" s="823"/>
      <c r="DG103" s="823"/>
      <c r="DH103" s="823"/>
      <c r="DI103" s="823"/>
      <c r="DJ103" s="823"/>
      <c r="DK103" s="823"/>
      <c r="DL103" s="823"/>
      <c r="DM103" s="823"/>
      <c r="DN103" s="823"/>
      <c r="DO103" s="823"/>
      <c r="DP103" s="823"/>
      <c r="DQ103" s="823"/>
      <c r="DR103" s="823"/>
      <c r="DS103" s="823"/>
      <c r="DT103" s="823"/>
      <c r="DU103" s="823"/>
      <c r="DV103" s="823"/>
      <c r="DW103" s="823"/>
      <c r="DX103" s="823"/>
      <c r="DY103" s="823"/>
      <c r="DZ103" s="823"/>
      <c r="EA103" s="823"/>
      <c r="EB103" s="823"/>
      <c r="EC103" s="823"/>
      <c r="ED103" s="823"/>
      <c r="EE103" s="823"/>
      <c r="EF103" s="823"/>
      <c r="EG103" s="823"/>
      <c r="EH103" s="823"/>
      <c r="EI103" s="823"/>
      <c r="EJ103" s="823"/>
      <c r="EK103" s="823"/>
      <c r="EL103" s="823"/>
      <c r="EM103" s="823"/>
      <c r="EN103" s="823"/>
      <c r="EO103" s="823"/>
      <c r="EP103" s="823"/>
      <c r="EQ103" s="823"/>
      <c r="ER103" s="823"/>
      <c r="ES103" s="823"/>
      <c r="ET103" s="823"/>
      <c r="EU103" s="823"/>
      <c r="EV103" s="823"/>
      <c r="EW103" s="823"/>
      <c r="EX103" s="823"/>
      <c r="EY103" s="823"/>
      <c r="EZ103" s="823"/>
      <c r="FA103" s="823"/>
      <c r="FB103" s="823"/>
      <c r="FC103" s="823"/>
      <c r="FD103" s="823"/>
      <c r="FE103" s="823"/>
      <c r="FF103" s="823"/>
      <c r="FG103" s="823"/>
      <c r="FH103" s="823"/>
      <c r="FI103" s="823"/>
      <c r="FJ103" s="823"/>
      <c r="FK103" s="823"/>
      <c r="FL103" s="823"/>
      <c r="FM103" s="823"/>
      <c r="FN103" s="823"/>
      <c r="FO103" s="823"/>
      <c r="FP103" s="823"/>
      <c r="FQ103" s="823"/>
      <c r="FR103" s="823"/>
      <c r="FS103" s="823"/>
      <c r="FT103" s="823"/>
      <c r="FU103" s="823"/>
      <c r="FV103" s="823"/>
      <c r="FW103" s="823"/>
      <c r="FX103" s="823"/>
      <c r="FY103" s="823"/>
      <c r="FZ103" s="823"/>
      <c r="GA103" s="823"/>
      <c r="GB103" s="823"/>
      <c r="GC103" s="823"/>
      <c r="GD103" s="823"/>
      <c r="GE103" s="823"/>
      <c r="GF103" s="823"/>
      <c r="GG103" s="823"/>
      <c r="GH103" s="823"/>
      <c r="GI103" s="823"/>
      <c r="GJ103" s="823"/>
      <c r="GK103" s="823"/>
      <c r="GL103" s="823"/>
      <c r="GM103" s="823"/>
      <c r="GN103" s="823"/>
      <c r="GO103" s="823"/>
      <c r="GP103" s="823"/>
      <c r="GQ103" s="823"/>
      <c r="GR103" s="823"/>
      <c r="GS103" s="823"/>
      <c r="GT103" s="823"/>
      <c r="GU103" s="823"/>
      <c r="GV103" s="823"/>
      <c r="GW103" s="823"/>
      <c r="GX103" s="823"/>
      <c r="GY103" s="823"/>
      <c r="GZ103" s="823"/>
      <c r="HA103" s="823"/>
      <c r="HB103" s="823"/>
      <c r="HC103" s="823"/>
      <c r="HD103" s="823"/>
      <c r="HE103" s="823"/>
    </row>
    <row r="104" spans="1:213" ht="17.25" thickBot="1">
      <c r="A104" s="853">
        <v>97</v>
      </c>
      <c r="B104" s="6" t="s">
        <v>3291</v>
      </c>
      <c r="C104" s="6"/>
      <c r="D104" s="15" t="s">
        <v>3292</v>
      </c>
      <c r="E104" s="762" t="s">
        <v>3101</v>
      </c>
      <c r="F104" s="494"/>
      <c r="G104" s="36" t="s">
        <v>15</v>
      </c>
      <c r="H104" s="404"/>
      <c r="I104" s="404"/>
      <c r="J104" s="404"/>
      <c r="K104" s="404"/>
      <c r="L104" s="404"/>
      <c r="M104" s="404"/>
      <c r="N104" s="404"/>
      <c r="O104" s="404"/>
      <c r="P104" s="404"/>
      <c r="Q104" s="404"/>
      <c r="R104" s="404"/>
      <c r="S104" s="404"/>
      <c r="T104" s="404"/>
      <c r="U104" s="404"/>
      <c r="V104" s="404"/>
      <c r="W104" s="404"/>
      <c r="X104" s="404"/>
      <c r="Y104" s="404"/>
      <c r="Z104" s="404"/>
      <c r="AA104" s="404"/>
      <c r="AB104" s="404"/>
      <c r="AC104" s="404"/>
      <c r="AD104" s="404"/>
      <c r="AE104" s="404"/>
      <c r="AF104" s="404"/>
      <c r="AG104" s="404"/>
      <c r="AH104" s="401"/>
      <c r="AI104" s="397"/>
      <c r="AJ104" s="404"/>
      <c r="AK104" s="372"/>
      <c r="AL104" s="382"/>
      <c r="AM104" s="1"/>
      <c r="AN104" s="372"/>
      <c r="AO104" s="714">
        <v>86</v>
      </c>
      <c r="AP104" s="715"/>
      <c r="AQ104" s="863">
        <f t="shared" si="74"/>
        <v>86</v>
      </c>
      <c r="AR104" s="766"/>
      <c r="AS104" s="692"/>
      <c r="AT104" s="6">
        <f t="shared" si="76"/>
        <v>0</v>
      </c>
      <c r="AU104" s="585">
        <f t="shared" si="77"/>
        <v>0</v>
      </c>
      <c r="AV104" s="585">
        <f t="shared" si="77"/>
        <v>0</v>
      </c>
      <c r="AW104" s="494">
        <f t="shared" si="78"/>
        <v>0</v>
      </c>
      <c r="AX104" s="709"/>
      <c r="AY104" s="709"/>
      <c r="AZ104" s="710"/>
      <c r="BA104" s="404"/>
      <c r="BB104" s="404"/>
      <c r="BC104" s="769">
        <f t="shared" si="82"/>
        <v>0</v>
      </c>
      <c r="BD104" s="404"/>
      <c r="BE104" s="404"/>
      <c r="BF104" s="769">
        <f t="shared" si="83"/>
        <v>0</v>
      </c>
      <c r="BG104" s="404">
        <v>58</v>
      </c>
      <c r="BH104" s="404"/>
      <c r="BI104" s="769">
        <f t="shared" si="84"/>
        <v>58</v>
      </c>
      <c r="BJ104" s="404"/>
      <c r="BK104" s="404"/>
      <c r="BL104" s="770">
        <f t="shared" si="85"/>
        <v>0</v>
      </c>
      <c r="BM104" s="78">
        <v>96</v>
      </c>
      <c r="BN104" s="6"/>
      <c r="BO104" s="772">
        <f t="shared" si="86"/>
        <v>96</v>
      </c>
      <c r="BP104" s="78"/>
      <c r="BQ104" s="6"/>
      <c r="BR104" s="693">
        <f t="shared" si="87"/>
        <v>0</v>
      </c>
      <c r="BS104" s="78"/>
      <c r="BT104" s="6"/>
      <c r="BU104" s="693">
        <f t="shared" si="104"/>
        <v>0</v>
      </c>
      <c r="BV104" s="693"/>
      <c r="BW104" s="693"/>
      <c r="BX104" s="693">
        <f t="shared" si="105"/>
        <v>0</v>
      </c>
      <c r="BY104" s="693"/>
      <c r="BZ104" s="693"/>
      <c r="CA104" s="693">
        <f t="shared" si="106"/>
        <v>0</v>
      </c>
      <c r="CB104" s="174">
        <f t="shared" si="88"/>
        <v>154</v>
      </c>
      <c r="CC104" s="174">
        <f t="shared" si="89"/>
        <v>0</v>
      </c>
      <c r="CD104" s="174">
        <f t="shared" si="90"/>
        <v>154</v>
      </c>
      <c r="CE104" s="175">
        <f t="shared" si="91"/>
        <v>17.111111111111111</v>
      </c>
      <c r="CF104" s="175">
        <f t="shared" si="92"/>
        <v>0</v>
      </c>
      <c r="CG104" s="175">
        <f t="shared" si="93"/>
        <v>17.111111111111111</v>
      </c>
    </row>
    <row r="105" spans="1:213" ht="17.25" thickBot="1">
      <c r="A105" s="853">
        <v>98</v>
      </c>
      <c r="B105" s="6" t="s">
        <v>3293</v>
      </c>
      <c r="C105" s="6"/>
      <c r="D105" s="15" t="s">
        <v>3294</v>
      </c>
      <c r="E105" s="762" t="s">
        <v>3295</v>
      </c>
      <c r="F105" s="494"/>
      <c r="G105" s="36"/>
      <c r="H105" s="404"/>
      <c r="I105" s="404"/>
      <c r="J105" s="404"/>
      <c r="K105" s="404"/>
      <c r="L105" s="404"/>
      <c r="M105" s="404"/>
      <c r="N105" s="404"/>
      <c r="O105" s="404"/>
      <c r="P105" s="404"/>
      <c r="Q105" s="404"/>
      <c r="R105" s="404"/>
      <c r="S105" s="404"/>
      <c r="T105" s="404"/>
      <c r="U105" s="404"/>
      <c r="V105" s="404"/>
      <c r="W105" s="404"/>
      <c r="X105" s="404"/>
      <c r="Y105" s="404"/>
      <c r="Z105" s="404"/>
      <c r="AA105" s="404"/>
      <c r="AB105" s="404"/>
      <c r="AC105" s="404"/>
      <c r="AD105" s="404"/>
      <c r="AE105" s="404"/>
      <c r="AF105" s="404"/>
      <c r="AG105" s="404"/>
      <c r="AH105" s="401"/>
      <c r="AI105" s="397"/>
      <c r="AJ105" s="404"/>
      <c r="AK105" s="372"/>
      <c r="AL105" s="382"/>
      <c r="AM105" s="1"/>
      <c r="AN105" s="372"/>
      <c r="AO105" s="714"/>
      <c r="AP105" s="715"/>
      <c r="AQ105" s="863"/>
      <c r="AR105" s="766"/>
      <c r="AS105" s="692"/>
      <c r="AT105" s="6"/>
      <c r="AU105" s="585"/>
      <c r="AV105" s="585"/>
      <c r="AW105" s="494"/>
      <c r="AX105" s="709"/>
      <c r="AY105" s="709"/>
      <c r="AZ105" s="710"/>
      <c r="BA105" s="404"/>
      <c r="BB105" s="404"/>
      <c r="BC105" s="769"/>
      <c r="BD105" s="404">
        <v>60</v>
      </c>
      <c r="BE105" s="404"/>
      <c r="BF105" s="769">
        <f t="shared" si="83"/>
        <v>60</v>
      </c>
      <c r="BG105" s="404"/>
      <c r="BH105" s="404"/>
      <c r="BI105" s="769">
        <f t="shared" si="84"/>
        <v>0</v>
      </c>
      <c r="BJ105" s="404"/>
      <c r="BK105" s="404"/>
      <c r="BL105" s="770">
        <f t="shared" si="85"/>
        <v>0</v>
      </c>
      <c r="BM105" s="78"/>
      <c r="BN105" s="6"/>
      <c r="BO105" s="772">
        <f t="shared" si="86"/>
        <v>0</v>
      </c>
      <c r="BP105" s="78"/>
      <c r="BQ105" s="6"/>
      <c r="BR105" s="693">
        <f t="shared" si="87"/>
        <v>0</v>
      </c>
      <c r="BS105" s="78"/>
      <c r="BT105" s="6"/>
      <c r="BU105" s="693">
        <f t="shared" si="104"/>
        <v>0</v>
      </c>
      <c r="BV105" s="693"/>
      <c r="BW105" s="693"/>
      <c r="BX105" s="693">
        <f t="shared" si="105"/>
        <v>0</v>
      </c>
      <c r="BY105" s="693"/>
      <c r="BZ105" s="693"/>
      <c r="CA105" s="693">
        <f t="shared" si="106"/>
        <v>0</v>
      </c>
      <c r="CB105" s="174">
        <f t="shared" si="88"/>
        <v>60</v>
      </c>
      <c r="CC105" s="174">
        <f t="shared" si="89"/>
        <v>0</v>
      </c>
      <c r="CD105" s="174">
        <f t="shared" si="90"/>
        <v>60</v>
      </c>
      <c r="CE105" s="175">
        <f t="shared" si="91"/>
        <v>6.666666666666667</v>
      </c>
      <c r="CF105" s="175">
        <f t="shared" si="92"/>
        <v>0</v>
      </c>
      <c r="CG105" s="175">
        <f t="shared" si="93"/>
        <v>6.666666666666667</v>
      </c>
    </row>
    <row r="106" spans="1:213" ht="17.25" thickBot="1">
      <c r="A106" s="865">
        <v>99</v>
      </c>
      <c r="B106" s="6" t="s">
        <v>3296</v>
      </c>
      <c r="C106" s="6"/>
      <c r="D106" s="15" t="s">
        <v>3297</v>
      </c>
      <c r="E106" s="762" t="s">
        <v>3298</v>
      </c>
      <c r="F106" s="494"/>
      <c r="G106" s="36"/>
      <c r="H106" s="404"/>
      <c r="I106" s="404"/>
      <c r="J106" s="404"/>
      <c r="K106" s="404"/>
      <c r="L106" s="404"/>
      <c r="M106" s="404"/>
      <c r="N106" s="404"/>
      <c r="O106" s="404"/>
      <c r="P106" s="404"/>
      <c r="Q106" s="404"/>
      <c r="R106" s="404"/>
      <c r="S106" s="404"/>
      <c r="T106" s="404"/>
      <c r="U106" s="404"/>
      <c r="V106" s="404"/>
      <c r="W106" s="404"/>
      <c r="X106" s="404"/>
      <c r="Y106" s="404"/>
      <c r="Z106" s="404"/>
      <c r="AA106" s="404"/>
      <c r="AB106" s="404"/>
      <c r="AC106" s="404"/>
      <c r="AD106" s="404"/>
      <c r="AE106" s="404"/>
      <c r="AF106" s="404"/>
      <c r="AG106" s="404"/>
      <c r="AH106" s="401"/>
      <c r="AI106" s="397"/>
      <c r="AJ106" s="404"/>
      <c r="AK106" s="372"/>
      <c r="AL106" s="382"/>
      <c r="AM106" s="1"/>
      <c r="AN106" s="372"/>
      <c r="AO106" s="714"/>
      <c r="AP106" s="715"/>
      <c r="AQ106" s="863"/>
      <c r="AR106" s="766"/>
      <c r="AS106" s="692"/>
      <c r="AT106" s="6"/>
      <c r="AU106" s="585"/>
      <c r="AV106" s="585"/>
      <c r="AW106" s="494"/>
      <c r="AX106" s="709"/>
      <c r="AY106" s="709"/>
      <c r="AZ106" s="710"/>
      <c r="BA106" s="404"/>
      <c r="BB106" s="404"/>
      <c r="BC106" s="769"/>
      <c r="BD106" s="404">
        <v>60</v>
      </c>
      <c r="BE106" s="404"/>
      <c r="BF106" s="769">
        <f t="shared" si="83"/>
        <v>60</v>
      </c>
      <c r="BG106" s="404"/>
      <c r="BH106" s="404"/>
      <c r="BI106" s="769">
        <f t="shared" si="84"/>
        <v>0</v>
      </c>
      <c r="BJ106" s="404"/>
      <c r="BK106" s="404"/>
      <c r="BL106" s="770">
        <f t="shared" si="85"/>
        <v>0</v>
      </c>
      <c r="BM106" s="78"/>
      <c r="BN106" s="6"/>
      <c r="BO106" s="772">
        <f t="shared" si="86"/>
        <v>0</v>
      </c>
      <c r="BP106" s="78"/>
      <c r="BQ106" s="6"/>
      <c r="BR106" s="693">
        <f t="shared" si="87"/>
        <v>0</v>
      </c>
      <c r="BS106" s="78"/>
      <c r="BT106" s="6"/>
      <c r="BU106" s="693">
        <f t="shared" si="104"/>
        <v>0</v>
      </c>
      <c r="BV106" s="693"/>
      <c r="BW106" s="693"/>
      <c r="BX106" s="693">
        <f t="shared" si="105"/>
        <v>0</v>
      </c>
      <c r="BY106" s="693"/>
      <c r="BZ106" s="693"/>
      <c r="CA106" s="693">
        <f t="shared" si="106"/>
        <v>0</v>
      </c>
      <c r="CB106" s="174">
        <f t="shared" si="88"/>
        <v>60</v>
      </c>
      <c r="CC106" s="174">
        <f t="shared" si="89"/>
        <v>0</v>
      </c>
      <c r="CD106" s="174">
        <f t="shared" si="90"/>
        <v>60</v>
      </c>
      <c r="CE106" s="175">
        <f t="shared" si="91"/>
        <v>6.666666666666667</v>
      </c>
      <c r="CF106" s="175">
        <f t="shared" si="92"/>
        <v>0</v>
      </c>
      <c r="CG106" s="175">
        <f t="shared" si="93"/>
        <v>6.666666666666667</v>
      </c>
    </row>
    <row r="107" spans="1:213" s="798" customFormat="1" ht="17.25" thickBot="1">
      <c r="A107" s="866">
        <v>100</v>
      </c>
      <c r="B107" s="788" t="s">
        <v>3299</v>
      </c>
      <c r="C107" s="788"/>
      <c r="D107" s="775" t="s">
        <v>3300</v>
      </c>
      <c r="E107" s="826" t="s">
        <v>3301</v>
      </c>
      <c r="F107" s="793"/>
      <c r="G107" s="854"/>
      <c r="H107" s="855"/>
      <c r="I107" s="855"/>
      <c r="J107" s="855"/>
      <c r="K107" s="855"/>
      <c r="L107" s="855"/>
      <c r="M107" s="855"/>
      <c r="N107" s="855"/>
      <c r="O107" s="855"/>
      <c r="P107" s="855"/>
      <c r="Q107" s="855"/>
      <c r="R107" s="855"/>
      <c r="S107" s="855"/>
      <c r="T107" s="855"/>
      <c r="U107" s="855"/>
      <c r="V107" s="855"/>
      <c r="W107" s="855"/>
      <c r="X107" s="855"/>
      <c r="Y107" s="855"/>
      <c r="Z107" s="855"/>
      <c r="AA107" s="855"/>
      <c r="AB107" s="855"/>
      <c r="AC107" s="855"/>
      <c r="AD107" s="855"/>
      <c r="AE107" s="855"/>
      <c r="AF107" s="855"/>
      <c r="AG107" s="855"/>
      <c r="AH107" s="856"/>
      <c r="AI107" s="857"/>
      <c r="AJ107" s="855"/>
      <c r="AK107" s="780"/>
      <c r="AL107" s="781"/>
      <c r="AM107" s="779"/>
      <c r="AN107" s="780"/>
      <c r="AO107" s="861"/>
      <c r="AP107" s="862"/>
      <c r="AQ107" s="864"/>
      <c r="AR107" s="790"/>
      <c r="AS107" s="791"/>
      <c r="AT107" s="788"/>
      <c r="AU107" s="792"/>
      <c r="AV107" s="792"/>
      <c r="AW107" s="793"/>
      <c r="AX107" s="859"/>
      <c r="AY107" s="859"/>
      <c r="AZ107" s="860"/>
      <c r="BA107" s="855"/>
      <c r="BB107" s="855"/>
      <c r="BC107" s="796"/>
      <c r="BD107" s="855">
        <v>10</v>
      </c>
      <c r="BE107" s="855"/>
      <c r="BF107" s="796">
        <f t="shared" si="83"/>
        <v>10</v>
      </c>
      <c r="BG107" s="855"/>
      <c r="BH107" s="855"/>
      <c r="BI107" s="796">
        <f t="shared" si="84"/>
        <v>0</v>
      </c>
      <c r="BJ107" s="855"/>
      <c r="BK107" s="855"/>
      <c r="BL107" s="797">
        <f t="shared" si="85"/>
        <v>0</v>
      </c>
      <c r="BM107" s="787"/>
      <c r="BN107" s="788"/>
      <c r="BO107" s="772">
        <f t="shared" si="86"/>
        <v>0</v>
      </c>
      <c r="BP107" s="787">
        <v>10</v>
      </c>
      <c r="BQ107" s="788"/>
      <c r="BR107" s="693">
        <f t="shared" si="87"/>
        <v>10</v>
      </c>
      <c r="BS107" s="787"/>
      <c r="BT107" s="788"/>
      <c r="BU107" s="693">
        <f t="shared" si="104"/>
        <v>0</v>
      </c>
      <c r="BV107" s="693"/>
      <c r="BW107" s="693"/>
      <c r="BX107" s="693">
        <f t="shared" si="105"/>
        <v>0</v>
      </c>
      <c r="BY107" s="693"/>
      <c r="BZ107" s="693"/>
      <c r="CA107" s="693">
        <f t="shared" si="106"/>
        <v>0</v>
      </c>
      <c r="CB107" s="174">
        <f t="shared" si="88"/>
        <v>20</v>
      </c>
      <c r="CC107" s="174">
        <f t="shared" si="89"/>
        <v>0</v>
      </c>
      <c r="CD107" s="174">
        <f t="shared" si="90"/>
        <v>20</v>
      </c>
      <c r="CE107" s="175">
        <f t="shared" si="91"/>
        <v>2.2222222222222223</v>
      </c>
      <c r="CF107" s="175">
        <f t="shared" si="92"/>
        <v>0</v>
      </c>
      <c r="CG107" s="175">
        <f t="shared" si="93"/>
        <v>2.2222222222222223</v>
      </c>
      <c r="CH107" s="823"/>
      <c r="CI107" s="823"/>
      <c r="CJ107" s="823"/>
      <c r="CK107" s="823"/>
      <c r="CL107" s="823"/>
      <c r="CM107" s="823"/>
      <c r="CN107" s="823"/>
      <c r="CO107" s="823"/>
      <c r="CP107" s="823"/>
      <c r="CQ107" s="823"/>
      <c r="CR107" s="823"/>
      <c r="CS107" s="823"/>
      <c r="CT107" s="823"/>
      <c r="CU107" s="823"/>
      <c r="CV107" s="823"/>
      <c r="CW107" s="823"/>
      <c r="CX107" s="823"/>
      <c r="CY107" s="823"/>
      <c r="CZ107" s="823"/>
      <c r="DA107" s="823"/>
      <c r="DB107" s="823"/>
      <c r="DC107" s="823"/>
      <c r="DD107" s="823"/>
      <c r="DE107" s="823"/>
      <c r="DF107" s="823"/>
      <c r="DG107" s="823"/>
      <c r="DH107" s="823"/>
      <c r="DI107" s="823"/>
      <c r="DJ107" s="823"/>
      <c r="DK107" s="823"/>
      <c r="DL107" s="823"/>
      <c r="DM107" s="823"/>
      <c r="DN107" s="823"/>
      <c r="DO107" s="823"/>
      <c r="DP107" s="823"/>
      <c r="DQ107" s="823"/>
      <c r="DR107" s="823"/>
      <c r="DS107" s="823"/>
      <c r="DT107" s="823"/>
      <c r="DU107" s="823"/>
      <c r="DV107" s="823"/>
      <c r="DW107" s="823"/>
      <c r="DX107" s="823"/>
      <c r="DY107" s="823"/>
      <c r="DZ107" s="823"/>
      <c r="EA107" s="823"/>
      <c r="EB107" s="823"/>
      <c r="EC107" s="823"/>
      <c r="ED107" s="823"/>
      <c r="EE107" s="823"/>
      <c r="EF107" s="823"/>
      <c r="EG107" s="823"/>
      <c r="EH107" s="823"/>
      <c r="EI107" s="823"/>
      <c r="EJ107" s="823"/>
      <c r="EK107" s="823"/>
      <c r="EL107" s="823"/>
      <c r="EM107" s="823"/>
      <c r="EN107" s="823"/>
      <c r="EO107" s="823"/>
      <c r="EP107" s="823"/>
      <c r="EQ107" s="823"/>
      <c r="ER107" s="823"/>
      <c r="ES107" s="823"/>
      <c r="ET107" s="823"/>
      <c r="EU107" s="823"/>
      <c r="EV107" s="823"/>
      <c r="EW107" s="823"/>
      <c r="EX107" s="823"/>
      <c r="EY107" s="823"/>
      <c r="EZ107" s="823"/>
      <c r="FA107" s="823"/>
      <c r="FB107" s="823"/>
      <c r="FC107" s="823"/>
      <c r="FD107" s="823"/>
      <c r="FE107" s="823"/>
      <c r="FF107" s="823"/>
      <c r="FG107" s="823"/>
      <c r="FH107" s="823"/>
      <c r="FI107" s="823"/>
      <c r="FJ107" s="823"/>
      <c r="FK107" s="823"/>
      <c r="FL107" s="823"/>
      <c r="FM107" s="823"/>
      <c r="FN107" s="823"/>
      <c r="FO107" s="823"/>
      <c r="FP107" s="823"/>
      <c r="FQ107" s="823"/>
      <c r="FR107" s="823"/>
      <c r="FS107" s="823"/>
      <c r="FT107" s="823"/>
      <c r="FU107" s="823"/>
      <c r="FV107" s="823"/>
      <c r="FW107" s="823"/>
      <c r="FX107" s="823"/>
      <c r="FY107" s="823"/>
      <c r="FZ107" s="823"/>
      <c r="GA107" s="823"/>
      <c r="GB107" s="823"/>
      <c r="GC107" s="823"/>
      <c r="GD107" s="823"/>
      <c r="GE107" s="823"/>
      <c r="GF107" s="823"/>
      <c r="GG107" s="823"/>
      <c r="GH107" s="823"/>
      <c r="GI107" s="823"/>
      <c r="GJ107" s="823"/>
      <c r="GK107" s="823"/>
      <c r="GL107" s="823"/>
      <c r="GM107" s="823"/>
      <c r="GN107" s="823"/>
      <c r="GO107" s="823"/>
      <c r="GP107" s="823"/>
      <c r="GQ107" s="823"/>
      <c r="GR107" s="823"/>
      <c r="GS107" s="823"/>
      <c r="GT107" s="823"/>
      <c r="GU107" s="823"/>
      <c r="GV107" s="823"/>
      <c r="GW107" s="823"/>
      <c r="GX107" s="823"/>
      <c r="GY107" s="823"/>
      <c r="GZ107" s="823"/>
      <c r="HA107" s="823"/>
      <c r="HB107" s="823"/>
      <c r="HC107" s="823"/>
      <c r="HD107" s="823"/>
      <c r="HE107" s="823"/>
    </row>
    <row r="108" spans="1:213" ht="17.25" thickBot="1">
      <c r="A108" s="865">
        <v>101</v>
      </c>
      <c r="B108" s="6" t="s">
        <v>3302</v>
      </c>
      <c r="C108" s="6"/>
      <c r="D108" s="713" t="s">
        <v>3303</v>
      </c>
      <c r="E108" s="829" t="s">
        <v>3304</v>
      </c>
      <c r="F108" s="494"/>
      <c r="G108" s="36"/>
      <c r="H108" s="404"/>
      <c r="I108" s="404"/>
      <c r="J108" s="404"/>
      <c r="K108" s="404"/>
      <c r="L108" s="404"/>
      <c r="M108" s="404"/>
      <c r="N108" s="404"/>
      <c r="O108" s="404"/>
      <c r="P108" s="404"/>
      <c r="Q108" s="404"/>
      <c r="R108" s="404"/>
      <c r="S108" s="404"/>
      <c r="T108" s="404"/>
      <c r="U108" s="404"/>
      <c r="V108" s="404"/>
      <c r="W108" s="404"/>
      <c r="X108" s="404"/>
      <c r="Y108" s="404"/>
      <c r="Z108" s="404"/>
      <c r="AA108" s="404"/>
      <c r="AB108" s="404"/>
      <c r="AC108" s="404"/>
      <c r="AD108" s="404"/>
      <c r="AE108" s="404"/>
      <c r="AF108" s="404"/>
      <c r="AG108" s="404"/>
      <c r="AH108" s="401"/>
      <c r="AI108" s="397"/>
      <c r="AJ108" s="404"/>
      <c r="AK108" s="372"/>
      <c r="AL108" s="382"/>
      <c r="AM108" s="1"/>
      <c r="AN108" s="372"/>
      <c r="AO108" s="714"/>
      <c r="AP108" s="715"/>
      <c r="AQ108" s="863"/>
      <c r="AR108" s="766"/>
      <c r="AS108" s="692"/>
      <c r="AT108" s="6"/>
      <c r="AU108" s="585"/>
      <c r="AV108" s="585"/>
      <c r="AW108" s="494"/>
      <c r="AX108" s="709"/>
      <c r="AY108" s="709"/>
      <c r="AZ108" s="710"/>
      <c r="BA108" s="404"/>
      <c r="BB108" s="404"/>
      <c r="BC108" s="769"/>
      <c r="BD108" s="404"/>
      <c r="BE108" s="404"/>
      <c r="BF108" s="769"/>
      <c r="BG108" s="404">
        <v>40</v>
      </c>
      <c r="BH108" s="404"/>
      <c r="BI108" s="769">
        <f t="shared" si="84"/>
        <v>40</v>
      </c>
      <c r="BJ108" s="404"/>
      <c r="BK108" s="404"/>
      <c r="BL108" s="770">
        <f t="shared" si="85"/>
        <v>0</v>
      </c>
      <c r="BM108" s="78"/>
      <c r="BN108" s="6"/>
      <c r="BO108" s="772">
        <f t="shared" si="86"/>
        <v>0</v>
      </c>
      <c r="BP108" s="78"/>
      <c r="BQ108" s="6"/>
      <c r="BR108" s="693">
        <f t="shared" si="87"/>
        <v>0</v>
      </c>
      <c r="BS108" s="78"/>
      <c r="BT108" s="6"/>
      <c r="BU108" s="693">
        <f t="shared" si="104"/>
        <v>0</v>
      </c>
      <c r="BV108" s="693"/>
      <c r="BW108" s="693"/>
      <c r="BX108" s="693">
        <f t="shared" si="105"/>
        <v>0</v>
      </c>
      <c r="BY108" s="693"/>
      <c r="BZ108" s="693"/>
      <c r="CA108" s="693">
        <f t="shared" si="106"/>
        <v>0</v>
      </c>
      <c r="CB108" s="174">
        <f t="shared" si="88"/>
        <v>40</v>
      </c>
      <c r="CC108" s="174">
        <f t="shared" si="89"/>
        <v>0</v>
      </c>
      <c r="CD108" s="174">
        <f t="shared" si="90"/>
        <v>40</v>
      </c>
      <c r="CE108" s="175">
        <f t="shared" si="91"/>
        <v>4.4444444444444446</v>
      </c>
      <c r="CF108" s="175">
        <f t="shared" si="92"/>
        <v>0</v>
      </c>
      <c r="CG108" s="175">
        <f t="shared" si="93"/>
        <v>4.4444444444444446</v>
      </c>
    </row>
    <row r="109" spans="1:213" ht="17.25" thickBot="1">
      <c r="A109" s="866">
        <v>102</v>
      </c>
      <c r="B109" s="6" t="s">
        <v>3305</v>
      </c>
      <c r="C109" s="6"/>
      <c r="D109" s="713"/>
      <c r="E109" s="829"/>
      <c r="F109" s="494"/>
      <c r="G109" s="36"/>
      <c r="H109" s="404"/>
      <c r="I109" s="404"/>
      <c r="J109" s="404"/>
      <c r="K109" s="404"/>
      <c r="L109" s="404"/>
      <c r="M109" s="404"/>
      <c r="N109" s="404"/>
      <c r="O109" s="404"/>
      <c r="P109" s="404"/>
      <c r="Q109" s="404"/>
      <c r="R109" s="404"/>
      <c r="S109" s="404"/>
      <c r="T109" s="404"/>
      <c r="U109" s="404"/>
      <c r="V109" s="404"/>
      <c r="W109" s="404"/>
      <c r="X109" s="404"/>
      <c r="Y109" s="404"/>
      <c r="Z109" s="404"/>
      <c r="AA109" s="404"/>
      <c r="AB109" s="404"/>
      <c r="AC109" s="404"/>
      <c r="AD109" s="404"/>
      <c r="AE109" s="404"/>
      <c r="AF109" s="404"/>
      <c r="AG109" s="404"/>
      <c r="AH109" s="401"/>
      <c r="AI109" s="397"/>
      <c r="AJ109" s="404"/>
      <c r="AK109" s="372"/>
      <c r="AL109" s="382"/>
      <c r="AM109" s="1"/>
      <c r="AN109" s="372"/>
      <c r="AO109" s="714"/>
      <c r="AP109" s="715"/>
      <c r="AQ109" s="863"/>
      <c r="AR109" s="766"/>
      <c r="AS109" s="692"/>
      <c r="AT109" s="6"/>
      <c r="AU109" s="585"/>
      <c r="AV109" s="585"/>
      <c r="AW109" s="494"/>
      <c r="AX109" s="709"/>
      <c r="AY109" s="709"/>
      <c r="AZ109" s="710"/>
      <c r="BA109" s="404"/>
      <c r="BB109" s="404"/>
      <c r="BC109" s="769"/>
      <c r="BD109" s="404"/>
      <c r="BE109" s="404"/>
      <c r="BF109" s="769"/>
      <c r="BG109" s="404">
        <v>10</v>
      </c>
      <c r="BH109" s="404"/>
      <c r="BI109" s="769">
        <f t="shared" si="84"/>
        <v>10</v>
      </c>
      <c r="BJ109" s="404"/>
      <c r="BK109" s="404"/>
      <c r="BL109" s="770">
        <f t="shared" si="85"/>
        <v>0</v>
      </c>
      <c r="BM109" s="78"/>
      <c r="BN109" s="6"/>
      <c r="BO109" s="772">
        <f t="shared" si="86"/>
        <v>0</v>
      </c>
      <c r="BP109" s="78"/>
      <c r="BQ109" s="6"/>
      <c r="BR109" s="693">
        <f t="shared" si="87"/>
        <v>0</v>
      </c>
      <c r="BS109" s="78"/>
      <c r="BT109" s="6"/>
      <c r="BU109" s="693">
        <f t="shared" si="104"/>
        <v>0</v>
      </c>
      <c r="BV109" s="693"/>
      <c r="BW109" s="693"/>
      <c r="BX109" s="693">
        <f t="shared" si="105"/>
        <v>0</v>
      </c>
      <c r="BY109" s="693"/>
      <c r="BZ109" s="693"/>
      <c r="CA109" s="693">
        <f t="shared" si="106"/>
        <v>0</v>
      </c>
      <c r="CB109" s="174">
        <f t="shared" si="88"/>
        <v>10</v>
      </c>
      <c r="CC109" s="174">
        <f t="shared" si="89"/>
        <v>0</v>
      </c>
      <c r="CD109" s="174">
        <f t="shared" si="90"/>
        <v>10</v>
      </c>
      <c r="CE109" s="175">
        <f t="shared" si="91"/>
        <v>1.1111111111111112</v>
      </c>
      <c r="CF109" s="175">
        <f t="shared" si="92"/>
        <v>0</v>
      </c>
      <c r="CG109" s="175">
        <f t="shared" si="93"/>
        <v>1.1111111111111112</v>
      </c>
    </row>
    <row r="110" spans="1:213" ht="17.25" thickBot="1">
      <c r="A110" s="865">
        <v>103</v>
      </c>
      <c r="B110" s="6" t="s">
        <v>3306</v>
      </c>
      <c r="C110" s="6"/>
      <c r="D110" s="713"/>
      <c r="E110" s="829"/>
      <c r="F110" s="494"/>
      <c r="G110" s="36"/>
      <c r="H110" s="404"/>
      <c r="I110" s="404"/>
      <c r="J110" s="404"/>
      <c r="K110" s="404"/>
      <c r="L110" s="404"/>
      <c r="M110" s="404"/>
      <c r="N110" s="404"/>
      <c r="O110" s="404"/>
      <c r="P110" s="404"/>
      <c r="Q110" s="404"/>
      <c r="R110" s="404"/>
      <c r="S110" s="404"/>
      <c r="T110" s="404"/>
      <c r="U110" s="404"/>
      <c r="V110" s="404"/>
      <c r="W110" s="404"/>
      <c r="X110" s="404"/>
      <c r="Y110" s="404"/>
      <c r="Z110" s="404"/>
      <c r="AA110" s="404"/>
      <c r="AB110" s="404"/>
      <c r="AC110" s="404"/>
      <c r="AD110" s="404"/>
      <c r="AE110" s="404"/>
      <c r="AF110" s="404"/>
      <c r="AG110" s="404"/>
      <c r="AH110" s="401"/>
      <c r="AI110" s="397"/>
      <c r="AJ110" s="404"/>
      <c r="AK110" s="372"/>
      <c r="AL110" s="382"/>
      <c r="AM110" s="1"/>
      <c r="AN110" s="372"/>
      <c r="AO110" s="714"/>
      <c r="AP110" s="715"/>
      <c r="AQ110" s="863"/>
      <c r="AR110" s="766"/>
      <c r="AS110" s="692"/>
      <c r="AT110" s="6"/>
      <c r="AU110" s="585"/>
      <c r="AV110" s="585"/>
      <c r="AW110" s="494"/>
      <c r="AX110" s="709"/>
      <c r="AY110" s="709"/>
      <c r="AZ110" s="710"/>
      <c r="BA110" s="404"/>
      <c r="BB110" s="404"/>
      <c r="BC110" s="769"/>
      <c r="BD110" s="404"/>
      <c r="BE110" s="404"/>
      <c r="BF110" s="769"/>
      <c r="BG110" s="404">
        <v>10</v>
      </c>
      <c r="BH110" s="404"/>
      <c r="BI110" s="769">
        <f t="shared" si="84"/>
        <v>10</v>
      </c>
      <c r="BJ110" s="404"/>
      <c r="BK110" s="404"/>
      <c r="BL110" s="770">
        <f t="shared" si="85"/>
        <v>0</v>
      </c>
      <c r="BM110" s="78"/>
      <c r="BN110" s="6"/>
      <c r="BO110" s="772">
        <f t="shared" si="86"/>
        <v>0</v>
      </c>
      <c r="BP110" s="78"/>
      <c r="BQ110" s="6"/>
      <c r="BR110" s="693">
        <f t="shared" si="87"/>
        <v>0</v>
      </c>
      <c r="BS110" s="78"/>
      <c r="BT110" s="6"/>
      <c r="BU110" s="693">
        <f t="shared" si="104"/>
        <v>0</v>
      </c>
      <c r="BV110" s="693"/>
      <c r="BW110" s="693"/>
      <c r="BX110" s="693">
        <f t="shared" si="105"/>
        <v>0</v>
      </c>
      <c r="BY110" s="693"/>
      <c r="BZ110" s="693"/>
      <c r="CA110" s="693">
        <f t="shared" si="106"/>
        <v>0</v>
      </c>
      <c r="CB110" s="174">
        <f t="shared" si="88"/>
        <v>10</v>
      </c>
      <c r="CC110" s="174">
        <f t="shared" si="89"/>
        <v>0</v>
      </c>
      <c r="CD110" s="174">
        <f t="shared" si="90"/>
        <v>10</v>
      </c>
      <c r="CE110" s="175">
        <f t="shared" si="91"/>
        <v>1.1111111111111112</v>
      </c>
      <c r="CF110" s="175">
        <f t="shared" si="92"/>
        <v>0</v>
      </c>
      <c r="CG110" s="175">
        <f t="shared" si="93"/>
        <v>1.1111111111111112</v>
      </c>
    </row>
    <row r="111" spans="1:213" ht="17.25" thickBot="1">
      <c r="A111" s="866">
        <v>104</v>
      </c>
      <c r="B111" s="715" t="s">
        <v>3307</v>
      </c>
      <c r="C111" s="715"/>
      <c r="D111" s="706" t="s">
        <v>3308</v>
      </c>
      <c r="E111" s="874" t="s">
        <v>3309</v>
      </c>
      <c r="F111" s="589"/>
      <c r="G111" s="875" t="s">
        <v>15</v>
      </c>
      <c r="H111" s="404"/>
      <c r="I111" s="404"/>
      <c r="J111" s="404"/>
      <c r="K111" s="404"/>
      <c r="L111" s="404"/>
      <c r="M111" s="404"/>
      <c r="N111" s="404"/>
      <c r="O111" s="404"/>
      <c r="P111" s="404"/>
      <c r="Q111" s="404"/>
      <c r="R111" s="404"/>
      <c r="S111" s="404"/>
      <c r="T111" s="404"/>
      <c r="U111" s="404"/>
      <c r="V111" s="404"/>
      <c r="W111" s="404"/>
      <c r="X111" s="404"/>
      <c r="Y111" s="404"/>
      <c r="Z111" s="404"/>
      <c r="AA111" s="404"/>
      <c r="AB111" s="404"/>
      <c r="AC111" s="404"/>
      <c r="AD111" s="404"/>
      <c r="AE111" s="404">
        <f t="shared" si="70"/>
        <v>0</v>
      </c>
      <c r="AF111" s="404"/>
      <c r="AG111" s="404"/>
      <c r="AH111" s="401">
        <f t="shared" si="71"/>
        <v>0</v>
      </c>
      <c r="AI111" s="397">
        <v>260</v>
      </c>
      <c r="AJ111" s="404"/>
      <c r="AK111" s="707">
        <f t="shared" si="72"/>
        <v>260</v>
      </c>
      <c r="AL111" s="397"/>
      <c r="AM111" s="404"/>
      <c r="AN111" s="707">
        <f t="shared" si="73"/>
        <v>0</v>
      </c>
      <c r="AO111" s="714"/>
      <c r="AP111" s="715"/>
      <c r="AQ111" s="863">
        <f t="shared" si="74"/>
        <v>0</v>
      </c>
      <c r="AR111" s="876">
        <f t="shared" si="75"/>
        <v>260</v>
      </c>
      <c r="AS111" s="712">
        <f t="shared" si="75"/>
        <v>0</v>
      </c>
      <c r="AT111" s="715">
        <f t="shared" si="76"/>
        <v>260</v>
      </c>
      <c r="AU111" s="877">
        <f t="shared" si="77"/>
        <v>21.666666666666668</v>
      </c>
      <c r="AV111" s="877">
        <f t="shared" si="77"/>
        <v>0</v>
      </c>
      <c r="AW111" s="589">
        <f t="shared" si="78"/>
        <v>21.666666666666668</v>
      </c>
      <c r="AX111" s="709"/>
      <c r="AY111" s="709"/>
      <c r="AZ111" s="710"/>
      <c r="BA111" s="404">
        <v>40</v>
      </c>
      <c r="BB111" s="404"/>
      <c r="BC111" s="878">
        <f t="shared" si="82"/>
        <v>40</v>
      </c>
      <c r="BD111" s="404"/>
      <c r="BE111" s="404"/>
      <c r="BF111" s="878">
        <f t="shared" si="83"/>
        <v>0</v>
      </c>
      <c r="BG111" s="404">
        <v>115</v>
      </c>
      <c r="BH111" s="404"/>
      <c r="BI111" s="878">
        <f t="shared" si="84"/>
        <v>115</v>
      </c>
      <c r="BJ111" s="404"/>
      <c r="BK111" s="404"/>
      <c r="BL111" s="879">
        <f t="shared" si="85"/>
        <v>0</v>
      </c>
      <c r="BM111" s="714"/>
      <c r="BN111" s="715"/>
      <c r="BO111" s="880">
        <f t="shared" si="86"/>
        <v>0</v>
      </c>
      <c r="BP111" s="714"/>
      <c r="BQ111" s="715"/>
      <c r="BR111" s="881">
        <f t="shared" si="87"/>
        <v>0</v>
      </c>
      <c r="BS111" s="714"/>
      <c r="BT111" s="715"/>
      <c r="BU111" s="693">
        <f t="shared" si="104"/>
        <v>0</v>
      </c>
      <c r="BV111" s="881"/>
      <c r="BW111" s="881"/>
      <c r="BX111" s="693">
        <f t="shared" si="105"/>
        <v>0</v>
      </c>
      <c r="BY111" s="881"/>
      <c r="BZ111" s="881"/>
      <c r="CA111" s="693">
        <f t="shared" si="106"/>
        <v>0</v>
      </c>
      <c r="CB111" s="174">
        <f t="shared" si="88"/>
        <v>155</v>
      </c>
      <c r="CC111" s="174">
        <f t="shared" si="89"/>
        <v>0</v>
      </c>
      <c r="CD111" s="174">
        <f t="shared" si="90"/>
        <v>155</v>
      </c>
      <c r="CE111" s="175">
        <f t="shared" si="91"/>
        <v>17.222222222222221</v>
      </c>
      <c r="CF111" s="175">
        <f t="shared" si="92"/>
        <v>0</v>
      </c>
      <c r="CG111" s="175">
        <f t="shared" si="93"/>
        <v>17.222222222222221</v>
      </c>
    </row>
    <row r="112" spans="1:213" ht="14.65" thickBot="1">
      <c r="A112" s="1041" t="s">
        <v>11</v>
      </c>
      <c r="B112" s="1042"/>
      <c r="C112" s="888"/>
      <c r="D112" s="888"/>
      <c r="E112" s="889"/>
      <c r="F112" s="890">
        <f>SUM(F8:F85)</f>
        <v>9193.239999999998</v>
      </c>
      <c r="G112" s="891"/>
      <c r="H112" s="892">
        <f t="shared" ref="H112:U112" si="107">SUM(H8:H85)</f>
        <v>9699</v>
      </c>
      <c r="I112" s="888">
        <f t="shared" si="107"/>
        <v>858</v>
      </c>
      <c r="J112" s="889">
        <f t="shared" si="107"/>
        <v>10557</v>
      </c>
      <c r="K112" s="891">
        <f t="shared" si="107"/>
        <v>9681</v>
      </c>
      <c r="L112" s="891">
        <f t="shared" si="107"/>
        <v>960</v>
      </c>
      <c r="M112" s="891">
        <f t="shared" si="107"/>
        <v>10641</v>
      </c>
      <c r="N112" s="892">
        <f t="shared" si="107"/>
        <v>15004</v>
      </c>
      <c r="O112" s="892">
        <f t="shared" si="107"/>
        <v>1030</v>
      </c>
      <c r="P112" s="892">
        <f t="shared" si="107"/>
        <v>16034</v>
      </c>
      <c r="Q112" s="892">
        <f t="shared" si="107"/>
        <v>3458</v>
      </c>
      <c r="R112" s="892">
        <f t="shared" si="107"/>
        <v>800</v>
      </c>
      <c r="S112" s="893">
        <f t="shared" si="107"/>
        <v>4258</v>
      </c>
      <c r="T112" s="892">
        <f t="shared" si="107"/>
        <v>11339</v>
      </c>
      <c r="U112" s="882">
        <f t="shared" si="107"/>
        <v>1601</v>
      </c>
      <c r="V112" s="893"/>
      <c r="W112" s="892">
        <f t="shared" ref="W112:AD112" si="108">SUM(W8:W85)</f>
        <v>7227</v>
      </c>
      <c r="X112" s="892">
        <f t="shared" si="108"/>
        <v>1036</v>
      </c>
      <c r="Y112" s="894">
        <f t="shared" si="108"/>
        <v>8263</v>
      </c>
      <c r="Z112" s="892">
        <f t="shared" si="108"/>
        <v>5018</v>
      </c>
      <c r="AA112" s="892">
        <f t="shared" si="108"/>
        <v>830</v>
      </c>
      <c r="AB112" s="894">
        <f t="shared" si="108"/>
        <v>5848</v>
      </c>
      <c r="AC112" s="894">
        <f t="shared" si="108"/>
        <v>7309</v>
      </c>
      <c r="AD112" s="894">
        <f t="shared" si="108"/>
        <v>858</v>
      </c>
      <c r="AE112" s="888">
        <f t="shared" si="70"/>
        <v>8167</v>
      </c>
      <c r="AF112" s="888">
        <f>SUM(AF8:AF92)</f>
        <v>8151.5</v>
      </c>
      <c r="AG112" s="888">
        <f>SUM(AG8:AG85)</f>
        <v>1232</v>
      </c>
      <c r="AH112" s="888">
        <f t="shared" si="71"/>
        <v>9383.5</v>
      </c>
      <c r="AI112" s="888">
        <f>SUM(AI8:AI111)</f>
        <v>6440</v>
      </c>
      <c r="AJ112" s="888">
        <f>SUM(AJ8:AJ111)</f>
        <v>579</v>
      </c>
      <c r="AK112" s="888">
        <f>SUM(AK8:AK111)</f>
        <v>7019</v>
      </c>
      <c r="AL112" s="892">
        <f>SUM(AL8:AL111)</f>
        <v>6210</v>
      </c>
      <c r="AM112" s="892">
        <f>SUM(AM8:AM111)</f>
        <v>850</v>
      </c>
      <c r="AN112" s="888">
        <f t="shared" si="73"/>
        <v>7060</v>
      </c>
      <c r="AO112" s="892">
        <f>SUM(AO8:AO111)</f>
        <v>8099</v>
      </c>
      <c r="AP112" s="892">
        <f>SUM(AP8:AP111)</f>
        <v>838</v>
      </c>
      <c r="AQ112" s="893">
        <f>SUM(AQ8:AQ111)</f>
        <v>8937</v>
      </c>
      <c r="AR112" s="895">
        <f t="shared" si="75"/>
        <v>89536.5</v>
      </c>
      <c r="AS112" s="882">
        <f t="shared" si="75"/>
        <v>10634</v>
      </c>
      <c r="AT112" s="882">
        <f t="shared" si="76"/>
        <v>100170.5</v>
      </c>
      <c r="AU112" s="884">
        <f t="shared" si="77"/>
        <v>7461.375</v>
      </c>
      <c r="AV112" s="884">
        <f t="shared" si="77"/>
        <v>886.16666666666663</v>
      </c>
      <c r="AW112" s="884">
        <f>SUM(AU112:AV112)</f>
        <v>8347.5416666666661</v>
      </c>
      <c r="AX112" s="884">
        <f t="shared" si="79"/>
        <v>3730687.5</v>
      </c>
      <c r="AY112" s="884">
        <f t="shared" si="80"/>
        <v>531700</v>
      </c>
      <c r="AZ112" s="896">
        <f t="shared" si="81"/>
        <v>4262387.5</v>
      </c>
      <c r="BA112" s="892">
        <f t="shared" ref="BA112:BU112" si="109">SUM(BA8:BA111)</f>
        <v>9547</v>
      </c>
      <c r="BB112" s="882">
        <f t="shared" si="109"/>
        <v>995</v>
      </c>
      <c r="BC112" s="893">
        <f t="shared" si="109"/>
        <v>10542</v>
      </c>
      <c r="BD112" s="892">
        <f t="shared" si="109"/>
        <v>11040</v>
      </c>
      <c r="BE112" s="882">
        <f t="shared" si="109"/>
        <v>988</v>
      </c>
      <c r="BF112" s="893">
        <f t="shared" si="109"/>
        <v>12028</v>
      </c>
      <c r="BG112" s="892">
        <f t="shared" si="109"/>
        <v>9679</v>
      </c>
      <c r="BH112" s="882">
        <f t="shared" si="109"/>
        <v>821</v>
      </c>
      <c r="BI112" s="893">
        <f t="shared" si="109"/>
        <v>10500</v>
      </c>
      <c r="BJ112" s="892">
        <f t="shared" si="109"/>
        <v>6752</v>
      </c>
      <c r="BK112" s="882">
        <f t="shared" si="109"/>
        <v>807</v>
      </c>
      <c r="BL112" s="888">
        <f t="shared" si="109"/>
        <v>7559</v>
      </c>
      <c r="BM112" s="892">
        <f t="shared" si="109"/>
        <v>9243</v>
      </c>
      <c r="BN112" s="892">
        <f t="shared" si="109"/>
        <v>1197</v>
      </c>
      <c r="BO112" s="888">
        <f t="shared" si="109"/>
        <v>10440</v>
      </c>
      <c r="BP112" s="892">
        <f t="shared" si="109"/>
        <v>8399</v>
      </c>
      <c r="BQ112" s="892">
        <f t="shared" si="109"/>
        <v>1046</v>
      </c>
      <c r="BR112" s="888">
        <f t="shared" si="109"/>
        <v>9445</v>
      </c>
      <c r="BS112" s="892">
        <f t="shared" si="109"/>
        <v>5377</v>
      </c>
      <c r="BT112" s="892">
        <f t="shared" si="109"/>
        <v>830</v>
      </c>
      <c r="BU112" s="888">
        <f t="shared" si="109"/>
        <v>6207</v>
      </c>
      <c r="BV112" s="892">
        <f t="shared" ref="BV112:CA112" si="110">SUM(BV8:BV111)</f>
        <v>0</v>
      </c>
      <c r="BW112" s="892">
        <f t="shared" si="110"/>
        <v>0</v>
      </c>
      <c r="BX112" s="888">
        <f t="shared" si="110"/>
        <v>0</v>
      </c>
      <c r="BY112" s="892">
        <f t="shared" si="110"/>
        <v>0</v>
      </c>
      <c r="BZ112" s="892">
        <f t="shared" si="110"/>
        <v>0</v>
      </c>
      <c r="CA112" s="888">
        <f t="shared" si="110"/>
        <v>0</v>
      </c>
      <c r="CB112" s="885">
        <f t="shared" ref="CB112" si="111">BA112+BD112+BG112+BJ112+BM112+BP112</f>
        <v>54660</v>
      </c>
      <c r="CC112" s="885">
        <f t="shared" ref="CC112" si="112">BB112+BE112+BH112+BK112+BN112+BQ112</f>
        <v>5854</v>
      </c>
      <c r="CD112" s="885">
        <f t="shared" ref="CD112" si="113">BC112+BF112+BI112+BL112+BO112+BR112</f>
        <v>60514</v>
      </c>
      <c r="CE112" s="886">
        <f t="shared" ref="CE112" si="114">CB112/6</f>
        <v>9110</v>
      </c>
      <c r="CF112" s="886">
        <f t="shared" ref="CF112" si="115">CC112/6</f>
        <v>975.66666666666663</v>
      </c>
      <c r="CG112" s="887">
        <f t="shared" ref="CG112" si="116">CD112/6</f>
        <v>10085.666666666666</v>
      </c>
    </row>
    <row r="113" spans="1:85" ht="14.65" thickBot="1"/>
    <row r="114" spans="1:85" ht="15.75">
      <c r="A114" s="104"/>
      <c r="B114" s="202" t="s">
        <v>338</v>
      </c>
      <c r="C114" s="203"/>
      <c r="D114" s="204"/>
      <c r="E114" s="731"/>
      <c r="F114" s="731"/>
      <c r="G114" s="731"/>
      <c r="H114" s="731"/>
      <c r="I114" s="731"/>
      <c r="J114" s="731"/>
      <c r="K114" s="731"/>
      <c r="L114" s="731"/>
      <c r="M114" s="731"/>
      <c r="N114" s="731"/>
      <c r="O114" s="731"/>
      <c r="P114" s="731"/>
      <c r="Q114" s="731"/>
      <c r="R114" s="731"/>
      <c r="S114" s="731"/>
      <c r="T114" s="731"/>
      <c r="U114" s="731"/>
      <c r="V114" s="731"/>
      <c r="W114" s="731"/>
      <c r="X114" s="731"/>
      <c r="Y114" s="731"/>
      <c r="Z114" s="731"/>
      <c r="AA114" s="731"/>
      <c r="AB114" s="731"/>
      <c r="AC114" s="731"/>
      <c r="AD114" s="731"/>
      <c r="AE114" s="731"/>
      <c r="AF114" s="731"/>
      <c r="AG114" s="731"/>
      <c r="AH114" s="731"/>
      <c r="AI114" s="731"/>
      <c r="AJ114" s="731"/>
      <c r="AK114" s="731"/>
      <c r="AL114" s="731"/>
      <c r="AM114" s="731"/>
      <c r="AN114" s="731"/>
      <c r="AO114" s="731"/>
      <c r="AP114" s="731"/>
      <c r="AQ114" s="731"/>
      <c r="AR114" s="731"/>
      <c r="AS114" s="731"/>
      <c r="AT114" s="731"/>
      <c r="AU114" s="731"/>
      <c r="AV114" s="731"/>
      <c r="AW114" s="210">
        <v>7133</v>
      </c>
      <c r="BA114" s="206">
        <f>BA14+BA28+BA37+BA39+BA40+BA42+BA48+BA50+BA51+BA52+BA53+BA54+BA55+BA59+BA63+BA64+BA65+BA69+BA70+BA73+BA76+BA80+BA94</f>
        <v>7708</v>
      </c>
      <c r="BB114" s="206">
        <f>BB14+BB28+BB37+BB39+BB40+BB42+BB48+BB50+BB51+BB52+BB53+BB54+BB55+BB59+BB63+BB64+BB65+BB69+BB70+BB73+BB76+BB80+BB94</f>
        <v>867</v>
      </c>
      <c r="BC114" s="206">
        <f>BA114+BB114</f>
        <v>8575</v>
      </c>
      <c r="BD114" s="206">
        <f>BD14+BD28+BD37+BD39+BD40+BD42+BD48+BD50+BD51+BD52+BD53+BD54+BD55+BD59+BD63+BD64+BD65+BD69+BD70+BD73+BD76+BD80+BD94</f>
        <v>9788</v>
      </c>
      <c r="BE114" s="206">
        <f>BE14+BE28+BE37+BE39+BE40+BE42+BE48+BE50+BE51+BE52+BE53+BE54+BE55+BE59+BE63+BE64+BE65+BE69+BE70+BE73+BE76+BE80+BE94</f>
        <v>802</v>
      </c>
      <c r="BF114" s="206">
        <f>BD114+BE114</f>
        <v>10590</v>
      </c>
      <c r="BG114" s="206">
        <f>BG14+BG28+BG37+BG39+BG40+BG42+BG48+BG50+BG51+BG52+BG53+BG54+BG55+BG59+BG63+BG64+BG65+BG69+BG70+BG73+BG76+BG80+BG94</f>
        <v>7666</v>
      </c>
      <c r="BH114" s="206">
        <f>BH14+BH28+BH37+BH39+BH40+BH42+BH48+BH50+BH51+BH52+BH53+BH54+BH55+BH59+BH63+BH64+BH65+BH69+BH70+BH73+BH76+BH80+BH94</f>
        <v>686</v>
      </c>
      <c r="BI114" s="206">
        <f>BG114+BH114</f>
        <v>8352</v>
      </c>
      <c r="BJ114" s="206">
        <f>BJ14+BJ28+BJ37+BJ39+BJ40+BJ42+BJ48+BJ50+BJ51+BJ52+BJ53+BJ54+BJ55+BJ59+BJ63+BJ64+BJ65+BJ69+BJ70+BJ73+BJ76+BJ80+BJ94</f>
        <v>6399</v>
      </c>
      <c r="BK114" s="206">
        <f>BK14+BK28+BK37+BK39+BK40+BK42+BK48+BK50+BK51+BK52+BK53+BK54+BK55+BK59+BK63+BK64+BK65+BK69+BK70+BK73+BK76+BK80+BK94</f>
        <v>693</v>
      </c>
      <c r="BL114" s="206">
        <f>BJ114+BK114</f>
        <v>7092</v>
      </c>
      <c r="BM114" s="206">
        <f>BM14+BM28+BM37+BM39+BM40+BM42+BM48+BM50+BM51+BM52+BM53+BM54+BM55+BM59+BM63+BM64+BM65+BM69+BM70+BM73+BM76+BM80+BM94</f>
        <v>7556</v>
      </c>
      <c r="BN114" s="206">
        <f>BN14+BN28+BN37+BN39+BN40+BN42+BN48+BN50+BN51+BN52+BN53+BN54+BN55+BN59+BN63+BN64+BN65+BN69+BN70+BN73+BN76+BN80+BN94</f>
        <v>1078</v>
      </c>
      <c r="BO114" s="206">
        <f>BM114+BN114</f>
        <v>8634</v>
      </c>
      <c r="BP114" s="206">
        <f>BP14+BP28+BP37+BP39+BP40+BP42+BP48+BP50+BP51+BP52+BP53+BP54+BP55+BP59+BP63+BP64+BP65+BP69+BP70+BP73+BP76+BP80+BP94</f>
        <v>7179</v>
      </c>
      <c r="BQ114" s="206">
        <f>BQ14+BQ28+BQ37+BQ39+BQ40+BQ42+BQ48+BQ50+BQ51+BQ52+BQ53+BQ54+BQ55+BQ59+BQ63+BQ64+BQ65+BQ69+BQ70+BQ73+BQ76+BQ80+BQ94</f>
        <v>808</v>
      </c>
      <c r="BR114" s="206">
        <f>BP114+BQ114</f>
        <v>7987</v>
      </c>
      <c r="BS114" s="206">
        <f>BS14+BS28+BS37+BS39+BS40+BS42+BS48+BS50+BS51+BS52+BS53+BS54+BS55+BS59+BS63+BS64+BS65+BS69+BS70+BS73+BS76+BS80+BS94</f>
        <v>4006</v>
      </c>
      <c r="BT114" s="206">
        <f>BT14+BT28+BT37+BT39+BT40+BT42+BT48+BT50+BT51+BT52+BT53+BT54+BT55+BT59+BT63+BT64+BT65+BT69+BT70+BT73+BT76+BT80+BT94</f>
        <v>607</v>
      </c>
      <c r="BU114" s="206">
        <f>BS114+BT114</f>
        <v>4613</v>
      </c>
      <c r="BV114" s="206">
        <f>BV14+BV28+BV37+BV39+BV40+BV42+BV48+BV50+BV51+BV52+BV53+BV54+BV55+BV59+BV63+BV64+BV65+BV69+BV70+BV73+BV76+BV80+BV94</f>
        <v>0</v>
      </c>
      <c r="BW114" s="206">
        <f>BW14+BW28+BW37+BW39+BW40+BW42+BW48+BW50+BW51+BW52+BW53+BW54+BW55+BW59+BW63+BW64+BW65+BW69+BW70+BW73+BW76+BW80+BW94</f>
        <v>0</v>
      </c>
      <c r="BX114" s="206">
        <f>BV114+BW114</f>
        <v>0</v>
      </c>
      <c r="BY114" s="206">
        <f>BY14+BY28+BY37+BY39+BY40+BY42+BY48+BY50+BY51+BY52+BY53+BY54+BY55+BY59+BY63+BY64+BY65+BY69+BY70+BY73+BY76+BY80+BY94</f>
        <v>0</v>
      </c>
      <c r="BZ114" s="206">
        <f>BZ14+BZ28+BZ37+BZ39+BZ40+BZ42+BZ48+BZ50+BZ51+BZ52+BZ53+BZ54+BZ55+BZ59+BZ63+BZ64+BZ65+BZ69+BZ70+BZ73+BZ76+BZ80+BZ94</f>
        <v>0</v>
      </c>
      <c r="CA114" s="206">
        <f>BY114+BZ114</f>
        <v>0</v>
      </c>
      <c r="CB114" s="915">
        <f t="shared" ref="CB114:CB115" si="117">BA114+BD114+BG114+BJ114+BM114+BP114+BS114+BV114+BY114</f>
        <v>50302</v>
      </c>
      <c r="CC114" s="916">
        <f t="shared" ref="CC114:CC115" si="118">BB114+BE114+BH114+BK114+BN114+BQ114+BT114+BW114+BZ114</f>
        <v>5541</v>
      </c>
      <c r="CD114" s="916">
        <f t="shared" ref="CD114:CD115" si="119">BC114+BF114+BI114+BL114+BO114+BR114+BU114+BX114+CA114</f>
        <v>55843</v>
      </c>
      <c r="CE114" s="732">
        <f t="shared" ref="CE114:CG115" si="120">CB114/9</f>
        <v>5589.1111111111113</v>
      </c>
      <c r="CF114" s="732">
        <f t="shared" si="120"/>
        <v>615.66666666666663</v>
      </c>
      <c r="CG114" s="733">
        <f t="shared" si="120"/>
        <v>6204.7777777777774</v>
      </c>
    </row>
    <row r="115" spans="1:85">
      <c r="A115" s="78"/>
      <c r="B115" s="7" t="s">
        <v>339</v>
      </c>
      <c r="C115" s="6"/>
      <c r="D115" s="15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730">
        <f>AW112-AW114</f>
        <v>1214.5416666666661</v>
      </c>
      <c r="BA115" s="102">
        <f t="shared" ref="BA115:BO115" si="121">BA112-BA114</f>
        <v>1839</v>
      </c>
      <c r="BB115" s="102">
        <f t="shared" si="121"/>
        <v>128</v>
      </c>
      <c r="BC115" s="102">
        <f t="shared" si="121"/>
        <v>1967</v>
      </c>
      <c r="BD115" s="102">
        <f t="shared" si="121"/>
        <v>1252</v>
      </c>
      <c r="BE115" s="102">
        <f t="shared" si="121"/>
        <v>186</v>
      </c>
      <c r="BF115" s="102">
        <f t="shared" si="121"/>
        <v>1438</v>
      </c>
      <c r="BG115" s="102">
        <f t="shared" si="121"/>
        <v>2013</v>
      </c>
      <c r="BH115" s="102">
        <f t="shared" si="121"/>
        <v>135</v>
      </c>
      <c r="BI115" s="102">
        <f t="shared" si="121"/>
        <v>2148</v>
      </c>
      <c r="BJ115" s="102">
        <f t="shared" si="121"/>
        <v>353</v>
      </c>
      <c r="BK115" s="102">
        <f t="shared" si="121"/>
        <v>114</v>
      </c>
      <c r="BL115" s="102">
        <f t="shared" si="121"/>
        <v>467</v>
      </c>
      <c r="BM115" s="102">
        <f t="shared" si="121"/>
        <v>1687</v>
      </c>
      <c r="BN115" s="102">
        <f t="shared" si="121"/>
        <v>119</v>
      </c>
      <c r="BO115" s="102">
        <f t="shared" si="121"/>
        <v>1806</v>
      </c>
      <c r="BP115" s="102">
        <f t="shared" ref="BP115:CA115" si="122">BP112-BP114</f>
        <v>1220</v>
      </c>
      <c r="BQ115" s="102">
        <f t="shared" si="122"/>
        <v>238</v>
      </c>
      <c r="BR115" s="102">
        <f t="shared" si="122"/>
        <v>1458</v>
      </c>
      <c r="BS115" s="102">
        <f t="shared" si="122"/>
        <v>1371</v>
      </c>
      <c r="BT115" s="102">
        <f t="shared" si="122"/>
        <v>223</v>
      </c>
      <c r="BU115" s="102">
        <f t="shared" si="122"/>
        <v>1594</v>
      </c>
      <c r="BV115" s="102">
        <f t="shared" si="122"/>
        <v>0</v>
      </c>
      <c r="BW115" s="102">
        <f t="shared" si="122"/>
        <v>0</v>
      </c>
      <c r="BX115" s="102">
        <f t="shared" si="122"/>
        <v>0</v>
      </c>
      <c r="BY115" s="102">
        <f t="shared" si="122"/>
        <v>0</v>
      </c>
      <c r="BZ115" s="102">
        <f t="shared" si="122"/>
        <v>0</v>
      </c>
      <c r="CA115" s="102">
        <f t="shared" si="122"/>
        <v>0</v>
      </c>
      <c r="CB115" s="917">
        <f t="shared" si="117"/>
        <v>9735</v>
      </c>
      <c r="CC115" s="174">
        <f t="shared" si="118"/>
        <v>1143</v>
      </c>
      <c r="CD115" s="174">
        <f t="shared" si="119"/>
        <v>10878</v>
      </c>
      <c r="CE115" s="914">
        <f t="shared" si="120"/>
        <v>1081.6666666666667</v>
      </c>
      <c r="CF115" s="914">
        <f t="shared" si="120"/>
        <v>127</v>
      </c>
      <c r="CG115" s="918">
        <f t="shared" si="120"/>
        <v>1208.6666666666667</v>
      </c>
    </row>
    <row r="116" spans="1:85">
      <c r="A116" s="78"/>
      <c r="B116" s="7" t="s">
        <v>340</v>
      </c>
      <c r="C116" s="6"/>
      <c r="D116" s="15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86">
        <f>AW115/AW112%</f>
        <v>14.549692773820629</v>
      </c>
      <c r="BA116" s="96">
        <f t="shared" ref="BA116:CG116" si="123">BA115/BA112%</f>
        <v>19.262595579763278</v>
      </c>
      <c r="BB116" s="96">
        <f t="shared" si="123"/>
        <v>12.864321608040202</v>
      </c>
      <c r="BC116" s="96">
        <f t="shared" si="123"/>
        <v>18.658698539176626</v>
      </c>
      <c r="BD116" s="96">
        <f t="shared" si="123"/>
        <v>11.340579710144928</v>
      </c>
      <c r="BE116" s="96">
        <f t="shared" si="123"/>
        <v>18.825910931174089</v>
      </c>
      <c r="BF116" s="96">
        <f t="shared" si="123"/>
        <v>11.955437312936482</v>
      </c>
      <c r="BG116" s="96">
        <f t="shared" si="123"/>
        <v>20.797603058167166</v>
      </c>
      <c r="BH116" s="96">
        <f t="shared" si="123"/>
        <v>16.443361753958584</v>
      </c>
      <c r="BI116" s="96">
        <f t="shared" si="123"/>
        <v>20.457142857142856</v>
      </c>
      <c r="BJ116" s="96">
        <f t="shared" si="123"/>
        <v>5.2280805687203795</v>
      </c>
      <c r="BK116" s="96">
        <f t="shared" si="123"/>
        <v>14.12639405204461</v>
      </c>
      <c r="BL116" s="96">
        <f t="shared" si="123"/>
        <v>6.1780658817303875</v>
      </c>
      <c r="BM116" s="96">
        <f t="shared" si="123"/>
        <v>18.251649897219515</v>
      </c>
      <c r="BN116" s="96">
        <f t="shared" si="123"/>
        <v>9.9415204678362574</v>
      </c>
      <c r="BO116" s="96">
        <f t="shared" si="123"/>
        <v>17.298850574712642</v>
      </c>
      <c r="BP116" s="96">
        <f t="shared" si="123"/>
        <v>14.525538754613645</v>
      </c>
      <c r="BQ116" s="96">
        <f t="shared" si="123"/>
        <v>22.753346080305924</v>
      </c>
      <c r="BR116" s="96">
        <f t="shared" si="123"/>
        <v>15.436739015352037</v>
      </c>
      <c r="BS116" s="96">
        <f t="shared" ref="BS116:CA116" si="124">BS115/BS112%</f>
        <v>25.49748930630463</v>
      </c>
      <c r="BT116" s="96">
        <f t="shared" si="124"/>
        <v>26.867469879518069</v>
      </c>
      <c r="BU116" s="96">
        <f t="shared" si="124"/>
        <v>25.680683099726117</v>
      </c>
      <c r="BV116" s="96" t="e">
        <f t="shared" si="124"/>
        <v>#DIV/0!</v>
      </c>
      <c r="BW116" s="96" t="e">
        <f t="shared" si="124"/>
        <v>#DIV/0!</v>
      </c>
      <c r="BX116" s="96" t="e">
        <f t="shared" si="124"/>
        <v>#DIV/0!</v>
      </c>
      <c r="BY116" s="96" t="e">
        <f t="shared" si="124"/>
        <v>#DIV/0!</v>
      </c>
      <c r="BZ116" s="96" t="e">
        <f t="shared" si="124"/>
        <v>#DIV/0!</v>
      </c>
      <c r="CA116" s="96" t="e">
        <f t="shared" si="124"/>
        <v>#DIV/0!</v>
      </c>
      <c r="CB116" s="219">
        <f>CB115/CB112%</f>
        <v>17.810098792535673</v>
      </c>
      <c r="CC116" s="217">
        <f t="shared" si="123"/>
        <v>19.525111035189614</v>
      </c>
      <c r="CD116" s="217">
        <f t="shared" si="123"/>
        <v>17.976005552434149</v>
      </c>
      <c r="CE116" s="217">
        <f>CE115/CE112%</f>
        <v>11.873399195023785</v>
      </c>
      <c r="CF116" s="217">
        <f t="shared" si="123"/>
        <v>13.01674069012641</v>
      </c>
      <c r="CG116" s="218">
        <f t="shared" si="123"/>
        <v>11.984003701622767</v>
      </c>
    </row>
    <row r="117" spans="1:85" ht="14.65" thickBot="1">
      <c r="A117" s="80"/>
      <c r="B117" s="81" t="s">
        <v>341</v>
      </c>
      <c r="C117" s="82"/>
      <c r="D117" s="85"/>
      <c r="E117" s="716"/>
      <c r="F117" s="716"/>
      <c r="G117" s="716"/>
      <c r="H117" s="716"/>
      <c r="I117" s="716"/>
      <c r="J117" s="716"/>
      <c r="K117" s="716"/>
      <c r="L117" s="716"/>
      <c r="M117" s="716"/>
      <c r="N117" s="716"/>
      <c r="O117" s="716"/>
      <c r="P117" s="716"/>
      <c r="Q117" s="716"/>
      <c r="R117" s="716"/>
      <c r="S117" s="716"/>
      <c r="T117" s="716"/>
      <c r="U117" s="716"/>
      <c r="V117" s="716"/>
      <c r="W117" s="716"/>
      <c r="X117" s="716"/>
      <c r="Y117" s="716"/>
      <c r="Z117" s="716"/>
      <c r="AA117" s="716"/>
      <c r="AB117" s="716"/>
      <c r="AC117" s="716"/>
      <c r="AD117" s="716"/>
      <c r="AE117" s="716"/>
      <c r="AF117" s="716"/>
      <c r="AG117" s="716"/>
      <c r="AH117" s="716"/>
      <c r="AI117" s="716"/>
      <c r="AJ117" s="716"/>
      <c r="AK117" s="716"/>
      <c r="AL117" s="716"/>
      <c r="AM117" s="716"/>
      <c r="AN117" s="716"/>
      <c r="AO117" s="716"/>
      <c r="AP117" s="716"/>
      <c r="AQ117" s="716"/>
      <c r="AR117" s="716"/>
      <c r="AS117" s="716"/>
      <c r="AT117" s="716"/>
      <c r="AU117" s="716"/>
      <c r="AV117" s="716"/>
      <c r="AW117" s="87">
        <f>AW114/AW112%</f>
        <v>85.450307226179376</v>
      </c>
      <c r="BA117" s="97">
        <f t="shared" ref="BA117:CG117" si="125">BA114/BA112%</f>
        <v>80.737404420236729</v>
      </c>
      <c r="BB117" s="97">
        <f t="shared" si="125"/>
        <v>87.1356783919598</v>
      </c>
      <c r="BC117" s="97">
        <f t="shared" si="125"/>
        <v>81.341301460823374</v>
      </c>
      <c r="BD117" s="97">
        <f t="shared" si="125"/>
        <v>88.659420289855063</v>
      </c>
      <c r="BE117" s="97">
        <f t="shared" si="125"/>
        <v>81.174089068825907</v>
      </c>
      <c r="BF117" s="97">
        <f t="shared" si="125"/>
        <v>88.044562687063518</v>
      </c>
      <c r="BG117" s="97">
        <f t="shared" si="125"/>
        <v>79.202396941832831</v>
      </c>
      <c r="BH117" s="97">
        <f t="shared" si="125"/>
        <v>83.556638246041402</v>
      </c>
      <c r="BI117" s="97">
        <f t="shared" si="125"/>
        <v>79.542857142857144</v>
      </c>
      <c r="BJ117" s="97">
        <f t="shared" si="125"/>
        <v>94.771919431279628</v>
      </c>
      <c r="BK117" s="97">
        <f t="shared" si="125"/>
        <v>85.873605947955383</v>
      </c>
      <c r="BL117" s="97">
        <f t="shared" si="125"/>
        <v>93.82193411826961</v>
      </c>
      <c r="BM117" s="97">
        <f t="shared" si="125"/>
        <v>81.748350102780478</v>
      </c>
      <c r="BN117" s="97">
        <f t="shared" si="125"/>
        <v>90.058479532163744</v>
      </c>
      <c r="BO117" s="97">
        <f t="shared" si="125"/>
        <v>82.701149425287355</v>
      </c>
      <c r="BP117" s="97">
        <f t="shared" si="125"/>
        <v>85.474461245386365</v>
      </c>
      <c r="BQ117" s="97">
        <f t="shared" si="125"/>
        <v>77.246653919694069</v>
      </c>
      <c r="BR117" s="97">
        <f t="shared" si="125"/>
        <v>84.563260984647954</v>
      </c>
      <c r="BS117" s="97">
        <f t="shared" ref="BS117:CA117" si="126">BS114/BS112%</f>
        <v>74.50251069369537</v>
      </c>
      <c r="BT117" s="97">
        <f t="shared" si="126"/>
        <v>73.132530120481917</v>
      </c>
      <c r="BU117" s="97">
        <f t="shared" si="126"/>
        <v>74.31931690027389</v>
      </c>
      <c r="BV117" s="97" t="e">
        <f t="shared" si="126"/>
        <v>#DIV/0!</v>
      </c>
      <c r="BW117" s="97" t="e">
        <f t="shared" si="126"/>
        <v>#DIV/0!</v>
      </c>
      <c r="BX117" s="97" t="e">
        <f t="shared" si="126"/>
        <v>#DIV/0!</v>
      </c>
      <c r="BY117" s="97" t="e">
        <f t="shared" si="126"/>
        <v>#DIV/0!</v>
      </c>
      <c r="BZ117" s="97" t="e">
        <f t="shared" si="126"/>
        <v>#DIV/0!</v>
      </c>
      <c r="CA117" s="97" t="e">
        <f t="shared" si="126"/>
        <v>#DIV/0!</v>
      </c>
      <c r="CB117" s="229">
        <f>CB114/CB112%</f>
        <v>92.027076472740575</v>
      </c>
      <c r="CC117" s="227">
        <f t="shared" si="125"/>
        <v>94.653228561667234</v>
      </c>
      <c r="CD117" s="227">
        <f t="shared" si="125"/>
        <v>92.281125028918936</v>
      </c>
      <c r="CE117" s="227">
        <f t="shared" si="125"/>
        <v>61.351384315160388</v>
      </c>
      <c r="CF117" s="227">
        <f t="shared" si="125"/>
        <v>63.102152374444827</v>
      </c>
      <c r="CG117" s="228">
        <f t="shared" si="125"/>
        <v>61.520750019279291</v>
      </c>
    </row>
    <row r="119" spans="1:85" ht="19.5">
      <c r="H119" s="867"/>
      <c r="I119" s="867"/>
    </row>
  </sheetData>
  <autoFilter ref="A7:DC112"/>
  <mergeCells count="28">
    <mergeCell ref="AU6:AW6"/>
    <mergeCell ref="BS6:BU6"/>
    <mergeCell ref="A1:AZ1"/>
    <mergeCell ref="AU5:AW5"/>
    <mergeCell ref="H6:J6"/>
    <mergeCell ref="K6:M6"/>
    <mergeCell ref="N6:P6"/>
    <mergeCell ref="Q6:S6"/>
    <mergeCell ref="T6:V6"/>
    <mergeCell ref="W6:Y6"/>
    <mergeCell ref="Z6:AB6"/>
    <mergeCell ref="AC6:AE6"/>
    <mergeCell ref="BV6:BX6"/>
    <mergeCell ref="BY6:CA6"/>
    <mergeCell ref="CB6:CD6"/>
    <mergeCell ref="A112:B112"/>
    <mergeCell ref="CE6:CG6"/>
    <mergeCell ref="BA6:BC6"/>
    <mergeCell ref="BD6:BF6"/>
    <mergeCell ref="BG6:BI6"/>
    <mergeCell ref="BJ6:BL6"/>
    <mergeCell ref="BM6:BO6"/>
    <mergeCell ref="BP6:BR6"/>
    <mergeCell ref="AF6:AH6"/>
    <mergeCell ref="AI6:AK6"/>
    <mergeCell ref="AL6:AN6"/>
    <mergeCell ref="AO6:AQ6"/>
    <mergeCell ref="AR6:AT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P45"/>
  <sheetViews>
    <sheetView topLeftCell="A26" workbookViewId="0">
      <selection activeCell="A41" sqref="A41"/>
    </sheetView>
  </sheetViews>
  <sheetFormatPr defaultRowHeight="14.25"/>
  <cols>
    <col min="2" max="2" width="18.73046875" bestFit="1" customWidth="1"/>
    <col min="3" max="3" width="11.59765625" bestFit="1" customWidth="1"/>
    <col min="4" max="4" width="11.59765625" customWidth="1"/>
    <col min="5" max="5" width="11.265625" bestFit="1" customWidth="1"/>
    <col min="6" max="6" width="10.3984375" customWidth="1"/>
    <col min="7" max="7" width="10.59765625" customWidth="1"/>
    <col min="8" max="8" width="10" customWidth="1"/>
    <col min="9" max="10" width="10.3984375" customWidth="1"/>
    <col min="11" max="11" width="12.59765625" bestFit="1" customWidth="1"/>
  </cols>
  <sheetData>
    <row r="1" spans="1:16" ht="14.65" thickBot="1"/>
    <row r="2" spans="1:16" ht="21.4" thickBot="1">
      <c r="A2" s="1074" t="s">
        <v>2800</v>
      </c>
      <c r="B2" s="1075"/>
      <c r="C2" s="1075"/>
      <c r="D2" s="1075"/>
      <c r="E2" s="1075"/>
      <c r="F2" s="1075"/>
      <c r="G2" s="1075"/>
      <c r="H2" s="1075"/>
      <c r="I2" s="1075"/>
      <c r="J2" s="1075"/>
      <c r="K2" s="1076"/>
      <c r="L2" s="648"/>
      <c r="M2" s="648"/>
      <c r="N2" s="648"/>
      <c r="O2" s="648"/>
      <c r="P2" s="648"/>
    </row>
    <row r="3" spans="1:16" ht="18.399999999999999" thickBot="1">
      <c r="A3" s="649" t="s">
        <v>2821</v>
      </c>
      <c r="B3" s="650" t="s">
        <v>2798</v>
      </c>
      <c r="C3" s="650"/>
      <c r="D3" s="650"/>
      <c r="E3" s="650"/>
      <c r="F3" s="650"/>
      <c r="G3" s="650"/>
      <c r="H3" s="650"/>
      <c r="I3" s="650"/>
      <c r="J3" s="650"/>
      <c r="K3" s="651"/>
      <c r="L3" s="648"/>
      <c r="M3" s="648"/>
      <c r="N3" s="648"/>
      <c r="O3" s="648"/>
      <c r="P3" s="648"/>
    </row>
    <row r="4" spans="1:16" ht="43.15" thickBot="1">
      <c r="A4" s="677" t="s">
        <v>2774</v>
      </c>
      <c r="B4" s="645" t="s">
        <v>2801</v>
      </c>
      <c r="C4" s="1081" t="s">
        <v>2814</v>
      </c>
      <c r="D4" s="1081"/>
      <c r="E4" s="1081"/>
      <c r="F4" s="646" t="s">
        <v>2808</v>
      </c>
      <c r="G4" s="646" t="s">
        <v>2809</v>
      </c>
      <c r="H4" s="646" t="s">
        <v>2810</v>
      </c>
      <c r="I4" s="646" t="s">
        <v>2811</v>
      </c>
      <c r="J4" s="646" t="s">
        <v>2812</v>
      </c>
      <c r="K4" s="647" t="s">
        <v>2813</v>
      </c>
    </row>
    <row r="5" spans="1:16">
      <c r="A5" s="1078">
        <v>1</v>
      </c>
      <c r="B5" s="1071" t="s">
        <v>2807</v>
      </c>
      <c r="C5" s="625" t="s">
        <v>2806</v>
      </c>
      <c r="D5" s="625">
        <v>58</v>
      </c>
      <c r="E5" s="625" t="s">
        <v>2802</v>
      </c>
      <c r="F5" s="625">
        <v>3516</v>
      </c>
      <c r="G5" s="625">
        <v>257</v>
      </c>
      <c r="H5" s="625">
        <f>F5+G5</f>
        <v>3773</v>
      </c>
      <c r="I5" s="658">
        <f>F5*30%+F5</f>
        <v>4570.8</v>
      </c>
      <c r="J5" s="653">
        <v>308</v>
      </c>
      <c r="K5" s="655">
        <f>I5+J5</f>
        <v>4878.8</v>
      </c>
      <c r="L5" s="176"/>
      <c r="M5" s="176"/>
    </row>
    <row r="6" spans="1:16">
      <c r="A6" s="1079"/>
      <c r="B6" s="1072"/>
      <c r="C6" s="262" t="s">
        <v>2806</v>
      </c>
      <c r="D6" s="262">
        <v>19</v>
      </c>
      <c r="E6" s="262" t="s">
        <v>2803</v>
      </c>
      <c r="F6" s="262">
        <v>2372</v>
      </c>
      <c r="G6" s="262">
        <v>151</v>
      </c>
      <c r="H6" s="262">
        <f>F6+G6</f>
        <v>2523</v>
      </c>
      <c r="I6" s="36">
        <f>F6*30%+F6</f>
        <v>3083.6</v>
      </c>
      <c r="J6" s="36">
        <v>180</v>
      </c>
      <c r="K6" s="659">
        <f t="shared" ref="K6:K8" si="0">I6+J6</f>
        <v>3263.6</v>
      </c>
    </row>
    <row r="7" spans="1:16">
      <c r="A7" s="1079"/>
      <c r="B7" s="1072"/>
      <c r="C7" s="262" t="s">
        <v>2806</v>
      </c>
      <c r="D7" s="262">
        <v>20</v>
      </c>
      <c r="E7" s="262" t="s">
        <v>2804</v>
      </c>
      <c r="F7" s="262">
        <v>4896</v>
      </c>
      <c r="G7" s="262">
        <v>423</v>
      </c>
      <c r="H7" s="262">
        <f>F7+G7</f>
        <v>5319</v>
      </c>
      <c r="I7" s="262">
        <v>5962</v>
      </c>
      <c r="J7" s="262">
        <v>507</v>
      </c>
      <c r="K7" s="626">
        <f t="shared" si="0"/>
        <v>6469</v>
      </c>
    </row>
    <row r="8" spans="1:16" ht="14.65" thickBot="1">
      <c r="A8" s="1079"/>
      <c r="B8" s="1072"/>
      <c r="C8" s="587" t="s">
        <v>2806</v>
      </c>
      <c r="D8" s="587">
        <v>7</v>
      </c>
      <c r="E8" s="587" t="s">
        <v>2805</v>
      </c>
      <c r="F8" s="587">
        <v>6000</v>
      </c>
      <c r="G8" s="587">
        <v>549</v>
      </c>
      <c r="H8" s="587">
        <f>F8+G8</f>
        <v>6549</v>
      </c>
      <c r="I8" s="587">
        <v>7135</v>
      </c>
      <c r="J8" s="587">
        <v>659</v>
      </c>
      <c r="K8" s="627">
        <f t="shared" si="0"/>
        <v>7794</v>
      </c>
    </row>
    <row r="9" spans="1:16" ht="14.65" thickBot="1">
      <c r="A9" s="1080"/>
      <c r="B9" s="1073"/>
      <c r="C9" s="643" t="s">
        <v>2780</v>
      </c>
      <c r="D9" s="644">
        <f>D5+D6+D7+D8</f>
        <v>104</v>
      </c>
      <c r="E9" s="644" t="s">
        <v>2820</v>
      </c>
      <c r="F9" s="644">
        <f t="shared" ref="F9:K9" si="1">F5+F6+F7+F8</f>
        <v>16784</v>
      </c>
      <c r="G9" s="644">
        <f t="shared" si="1"/>
        <v>1380</v>
      </c>
      <c r="H9" s="644">
        <f t="shared" si="1"/>
        <v>18164</v>
      </c>
      <c r="I9" s="660">
        <f t="shared" si="1"/>
        <v>20751.400000000001</v>
      </c>
      <c r="J9" s="660">
        <f t="shared" si="1"/>
        <v>1654</v>
      </c>
      <c r="K9" s="656">
        <f t="shared" si="1"/>
        <v>22405.4</v>
      </c>
    </row>
    <row r="10" spans="1:16" ht="43.15" thickBot="1">
      <c r="A10" s="368" t="s">
        <v>2774</v>
      </c>
      <c r="B10" s="365" t="s">
        <v>2801</v>
      </c>
      <c r="C10" s="1077" t="s">
        <v>2814</v>
      </c>
      <c r="D10" s="1077"/>
      <c r="E10" s="1077"/>
      <c r="F10" s="623" t="s">
        <v>2808</v>
      </c>
      <c r="G10" s="623" t="s">
        <v>2809</v>
      </c>
      <c r="H10" s="623" t="s">
        <v>2810</v>
      </c>
      <c r="I10" s="623" t="s">
        <v>2811</v>
      </c>
      <c r="J10" s="623" t="s">
        <v>2812</v>
      </c>
      <c r="K10" s="624" t="s">
        <v>2813</v>
      </c>
    </row>
    <row r="11" spans="1:16">
      <c r="A11" s="1078">
        <v>2</v>
      </c>
      <c r="B11" s="1071" t="s">
        <v>2815</v>
      </c>
      <c r="C11" s="625" t="s">
        <v>2806</v>
      </c>
      <c r="D11" s="625">
        <v>11</v>
      </c>
      <c r="E11" s="625" t="s">
        <v>2802</v>
      </c>
      <c r="F11" s="625">
        <v>936</v>
      </c>
      <c r="G11" s="625">
        <v>12</v>
      </c>
      <c r="H11" s="625">
        <f>F11+G11</f>
        <v>948</v>
      </c>
      <c r="I11" s="658">
        <f>F11*30%+F11</f>
        <v>1216.8</v>
      </c>
      <c r="J11" s="653">
        <v>14</v>
      </c>
      <c r="K11" s="655">
        <f>I11+J11</f>
        <v>1230.8</v>
      </c>
    </row>
    <row r="12" spans="1:16">
      <c r="A12" s="1079"/>
      <c r="B12" s="1072"/>
      <c r="C12" s="262" t="s">
        <v>2806</v>
      </c>
      <c r="D12" s="262">
        <v>14</v>
      </c>
      <c r="E12" s="262" t="s">
        <v>2803</v>
      </c>
      <c r="F12" s="262">
        <v>1759</v>
      </c>
      <c r="G12" s="262">
        <v>216</v>
      </c>
      <c r="H12" s="262">
        <f>F12+G12</f>
        <v>1975</v>
      </c>
      <c r="I12" s="36">
        <f>F12*30%+F12</f>
        <v>2286.6999999999998</v>
      </c>
      <c r="J12" s="36">
        <v>260</v>
      </c>
      <c r="K12" s="659">
        <f t="shared" ref="K12:K14" si="2">I12+J12</f>
        <v>2546.6999999999998</v>
      </c>
    </row>
    <row r="13" spans="1:16">
      <c r="A13" s="1079"/>
      <c r="B13" s="1072"/>
      <c r="C13" s="262" t="s">
        <v>2806</v>
      </c>
      <c r="D13" s="262">
        <v>4</v>
      </c>
      <c r="E13" s="262" t="s">
        <v>2804</v>
      </c>
      <c r="F13" s="262">
        <v>1126</v>
      </c>
      <c r="G13" s="262">
        <v>161</v>
      </c>
      <c r="H13" s="262">
        <f>F13+G13</f>
        <v>1287</v>
      </c>
      <c r="I13" s="262">
        <v>1351</v>
      </c>
      <c r="J13" s="262">
        <v>193</v>
      </c>
      <c r="K13" s="626">
        <f t="shared" si="2"/>
        <v>1544</v>
      </c>
    </row>
    <row r="14" spans="1:16" ht="14.65" thickBot="1">
      <c r="A14" s="1079"/>
      <c r="B14" s="1072"/>
      <c r="C14" s="587" t="s">
        <v>2806</v>
      </c>
      <c r="D14" s="587">
        <v>4</v>
      </c>
      <c r="E14" s="587" t="s">
        <v>2805</v>
      </c>
      <c r="F14" s="587">
        <v>3011</v>
      </c>
      <c r="G14" s="587">
        <v>371</v>
      </c>
      <c r="H14" s="587">
        <f>F14+G14</f>
        <v>3382</v>
      </c>
      <c r="I14" s="587">
        <v>3614</v>
      </c>
      <c r="J14" s="587">
        <v>445</v>
      </c>
      <c r="K14" s="627">
        <f t="shared" si="2"/>
        <v>4059</v>
      </c>
    </row>
    <row r="15" spans="1:16" ht="14.65" thickBot="1">
      <c r="A15" s="1080"/>
      <c r="B15" s="1073"/>
      <c r="C15" s="643" t="s">
        <v>2780</v>
      </c>
      <c r="D15" s="644">
        <f>D11+D12+D13+D14</f>
        <v>33</v>
      </c>
      <c r="E15" s="644" t="s">
        <v>2820</v>
      </c>
      <c r="F15" s="644">
        <f t="shared" ref="F15:K15" si="3">F11+F12+F13+F14</f>
        <v>6832</v>
      </c>
      <c r="G15" s="644">
        <f t="shared" si="3"/>
        <v>760</v>
      </c>
      <c r="H15" s="644">
        <f t="shared" si="3"/>
        <v>7592</v>
      </c>
      <c r="I15" s="660">
        <f t="shared" si="3"/>
        <v>8468.5</v>
      </c>
      <c r="J15" s="660">
        <f t="shared" si="3"/>
        <v>912</v>
      </c>
      <c r="K15" s="656">
        <f t="shared" si="3"/>
        <v>9380.5</v>
      </c>
    </row>
    <row r="16" spans="1:16" ht="43.15" thickBot="1">
      <c r="A16" s="368" t="s">
        <v>2774</v>
      </c>
      <c r="B16" s="365" t="s">
        <v>2801</v>
      </c>
      <c r="C16" s="1077" t="s">
        <v>2814</v>
      </c>
      <c r="D16" s="1077"/>
      <c r="E16" s="1077"/>
      <c r="F16" s="623" t="s">
        <v>2808</v>
      </c>
      <c r="G16" s="623" t="s">
        <v>2809</v>
      </c>
      <c r="H16" s="623" t="s">
        <v>2810</v>
      </c>
      <c r="I16" s="623" t="s">
        <v>2811</v>
      </c>
      <c r="J16" s="623" t="s">
        <v>2812</v>
      </c>
      <c r="K16" s="624" t="s">
        <v>2813</v>
      </c>
    </row>
    <row r="17" spans="1:11">
      <c r="A17" s="1078">
        <v>3</v>
      </c>
      <c r="B17" s="1071" t="s">
        <v>2816</v>
      </c>
      <c r="C17" s="625" t="s">
        <v>2806</v>
      </c>
      <c r="D17" s="625">
        <v>25</v>
      </c>
      <c r="E17" s="625" t="s">
        <v>2802</v>
      </c>
      <c r="F17" s="625">
        <v>1544</v>
      </c>
      <c r="G17" s="625">
        <v>152</v>
      </c>
      <c r="H17" s="625">
        <f>F17+G17</f>
        <v>1696</v>
      </c>
      <c r="I17" s="658">
        <f>F17*30%+F17</f>
        <v>2007.2</v>
      </c>
      <c r="J17" s="653">
        <v>183</v>
      </c>
      <c r="K17" s="655">
        <f>I17+J17</f>
        <v>2190.1999999999998</v>
      </c>
    </row>
    <row r="18" spans="1:11">
      <c r="A18" s="1079"/>
      <c r="B18" s="1072"/>
      <c r="C18" s="262" t="s">
        <v>2806</v>
      </c>
      <c r="D18" s="262">
        <v>15</v>
      </c>
      <c r="E18" s="262" t="s">
        <v>2803</v>
      </c>
      <c r="F18" s="262">
        <v>1650</v>
      </c>
      <c r="G18" s="262">
        <v>107</v>
      </c>
      <c r="H18" s="262">
        <f>F18+G18</f>
        <v>1757</v>
      </c>
      <c r="I18" s="262">
        <f>F18*30%+F18</f>
        <v>2145</v>
      </c>
      <c r="J18" s="262">
        <v>129</v>
      </c>
      <c r="K18" s="626">
        <f t="shared" ref="K18:K20" si="4">I18+J18</f>
        <v>2274</v>
      </c>
    </row>
    <row r="19" spans="1:11">
      <c r="A19" s="1079"/>
      <c r="B19" s="1072"/>
      <c r="C19" s="262" t="s">
        <v>2806</v>
      </c>
      <c r="D19" s="262">
        <v>6</v>
      </c>
      <c r="E19" s="262" t="s">
        <v>2804</v>
      </c>
      <c r="F19" s="262">
        <v>1685</v>
      </c>
      <c r="G19" s="262">
        <v>92</v>
      </c>
      <c r="H19" s="262">
        <f>F19+G19</f>
        <v>1777</v>
      </c>
      <c r="I19" s="262">
        <v>2021</v>
      </c>
      <c r="J19" s="262">
        <v>111</v>
      </c>
      <c r="K19" s="626">
        <f t="shared" si="4"/>
        <v>2132</v>
      </c>
    </row>
    <row r="20" spans="1:11" ht="14.65" thickBot="1">
      <c r="A20" s="1079"/>
      <c r="B20" s="1072"/>
      <c r="C20" s="587" t="s">
        <v>2806</v>
      </c>
      <c r="D20" s="587">
        <v>1</v>
      </c>
      <c r="E20" s="587" t="s">
        <v>2805</v>
      </c>
      <c r="F20" s="587">
        <v>754</v>
      </c>
      <c r="G20" s="587">
        <v>119</v>
      </c>
      <c r="H20" s="587">
        <f>F20+G20</f>
        <v>873</v>
      </c>
      <c r="I20" s="587">
        <v>904</v>
      </c>
      <c r="J20" s="587">
        <v>143</v>
      </c>
      <c r="K20" s="627">
        <f t="shared" si="4"/>
        <v>1047</v>
      </c>
    </row>
    <row r="21" spans="1:11" ht="14.65" thickBot="1">
      <c r="A21" s="1080"/>
      <c r="B21" s="1073"/>
      <c r="C21" s="643" t="s">
        <v>2780</v>
      </c>
      <c r="D21" s="644">
        <f>D17+D18+D19+D20</f>
        <v>47</v>
      </c>
      <c r="E21" s="644" t="s">
        <v>2820</v>
      </c>
      <c r="F21" s="644">
        <f t="shared" ref="F21:K21" si="5">F17+F18+F19+F20</f>
        <v>5633</v>
      </c>
      <c r="G21" s="644">
        <f t="shared" si="5"/>
        <v>470</v>
      </c>
      <c r="H21" s="644">
        <f t="shared" si="5"/>
        <v>6103</v>
      </c>
      <c r="I21" s="660">
        <f t="shared" si="5"/>
        <v>7077.2</v>
      </c>
      <c r="J21" s="660">
        <f t="shared" si="5"/>
        <v>566</v>
      </c>
      <c r="K21" s="656">
        <f t="shared" si="5"/>
        <v>7643.2</v>
      </c>
    </row>
    <row r="22" spans="1:11" ht="43.15" thickBot="1">
      <c r="A22" s="368" t="s">
        <v>2774</v>
      </c>
      <c r="B22" s="365" t="s">
        <v>2801</v>
      </c>
      <c r="C22" s="1077" t="s">
        <v>2814</v>
      </c>
      <c r="D22" s="1077"/>
      <c r="E22" s="1077"/>
      <c r="F22" s="623" t="s">
        <v>2808</v>
      </c>
      <c r="G22" s="623" t="s">
        <v>2809</v>
      </c>
      <c r="H22" s="623" t="s">
        <v>2810</v>
      </c>
      <c r="I22" s="623" t="s">
        <v>2811</v>
      </c>
      <c r="J22" s="623" t="s">
        <v>2812</v>
      </c>
      <c r="K22" s="624" t="s">
        <v>2813</v>
      </c>
    </row>
    <row r="23" spans="1:11">
      <c r="A23" s="1068">
        <v>4</v>
      </c>
      <c r="B23" s="1071" t="s">
        <v>2817</v>
      </c>
      <c r="C23" s="625" t="s">
        <v>2806</v>
      </c>
      <c r="D23" s="625">
        <v>25</v>
      </c>
      <c r="E23" s="625" t="s">
        <v>2802</v>
      </c>
      <c r="F23" s="625">
        <v>1554</v>
      </c>
      <c r="G23" s="625">
        <v>6</v>
      </c>
      <c r="H23" s="625">
        <f>F23+G23</f>
        <v>1560</v>
      </c>
      <c r="I23" s="658">
        <f>F23*30%+F23</f>
        <v>2020.2</v>
      </c>
      <c r="J23" s="653">
        <v>8</v>
      </c>
      <c r="K23" s="655">
        <f>I23+J23</f>
        <v>2028.2</v>
      </c>
    </row>
    <row r="24" spans="1:11">
      <c r="A24" s="1069"/>
      <c r="B24" s="1072"/>
      <c r="C24" s="262" t="s">
        <v>2806</v>
      </c>
      <c r="D24" s="262">
        <v>12</v>
      </c>
      <c r="E24" s="262" t="s">
        <v>2803</v>
      </c>
      <c r="F24" s="262">
        <v>1462</v>
      </c>
      <c r="G24" s="262">
        <v>5</v>
      </c>
      <c r="H24" s="262">
        <f>F24+G24</f>
        <v>1467</v>
      </c>
      <c r="I24" s="36">
        <f>F24*30%+F24</f>
        <v>1900.6</v>
      </c>
      <c r="J24" s="36">
        <v>6</v>
      </c>
      <c r="K24" s="659">
        <f t="shared" ref="K24:K26" si="6">I24+J24</f>
        <v>1906.6</v>
      </c>
    </row>
    <row r="25" spans="1:11">
      <c r="A25" s="1069"/>
      <c r="B25" s="1072"/>
      <c r="C25" s="262" t="s">
        <v>2806</v>
      </c>
      <c r="D25" s="262">
        <v>15</v>
      </c>
      <c r="E25" s="262" t="s">
        <v>2804</v>
      </c>
      <c r="F25" s="262">
        <v>3979</v>
      </c>
      <c r="G25" s="262">
        <v>54</v>
      </c>
      <c r="H25" s="262">
        <f>F25+G25</f>
        <v>4033</v>
      </c>
      <c r="I25" s="262">
        <v>4775</v>
      </c>
      <c r="J25" s="262">
        <v>65</v>
      </c>
      <c r="K25" s="626">
        <f t="shared" si="6"/>
        <v>4840</v>
      </c>
    </row>
    <row r="26" spans="1:11" ht="14.65" thickBot="1">
      <c r="A26" s="1069"/>
      <c r="B26" s="1072"/>
      <c r="C26" s="587" t="s">
        <v>2806</v>
      </c>
      <c r="D26" s="587">
        <v>5</v>
      </c>
      <c r="E26" s="587" t="s">
        <v>2805</v>
      </c>
      <c r="F26" s="587">
        <v>3956</v>
      </c>
      <c r="G26" s="587">
        <v>0</v>
      </c>
      <c r="H26" s="587">
        <f>F26+G26</f>
        <v>3956</v>
      </c>
      <c r="I26" s="587">
        <v>4747</v>
      </c>
      <c r="J26" s="587">
        <v>0</v>
      </c>
      <c r="K26" s="627">
        <f t="shared" si="6"/>
        <v>4747</v>
      </c>
    </row>
    <row r="27" spans="1:11" ht="14.65" thickBot="1">
      <c r="A27" s="1070"/>
      <c r="B27" s="1073"/>
      <c r="C27" s="643" t="s">
        <v>2780</v>
      </c>
      <c r="D27" s="644">
        <f>D23+D24+D25+D26</f>
        <v>57</v>
      </c>
      <c r="E27" s="644" t="s">
        <v>2820</v>
      </c>
      <c r="F27" s="644">
        <f t="shared" ref="F27:K27" si="7">F23+F24+F25+F26</f>
        <v>10951</v>
      </c>
      <c r="G27" s="644">
        <f t="shared" si="7"/>
        <v>65</v>
      </c>
      <c r="H27" s="644">
        <f t="shared" si="7"/>
        <v>11016</v>
      </c>
      <c r="I27" s="660">
        <f t="shared" si="7"/>
        <v>13442.8</v>
      </c>
      <c r="J27" s="660">
        <f t="shared" si="7"/>
        <v>79</v>
      </c>
      <c r="K27" s="656">
        <f t="shared" si="7"/>
        <v>13521.8</v>
      </c>
    </row>
    <row r="28" spans="1:11" ht="43.15" thickBot="1">
      <c r="A28" s="368" t="s">
        <v>2774</v>
      </c>
      <c r="B28" s="365" t="s">
        <v>2801</v>
      </c>
      <c r="C28" s="1077" t="s">
        <v>2814</v>
      </c>
      <c r="D28" s="1077"/>
      <c r="E28" s="1077"/>
      <c r="F28" s="623" t="s">
        <v>2808</v>
      </c>
      <c r="G28" s="623" t="s">
        <v>2809</v>
      </c>
      <c r="H28" s="623" t="s">
        <v>2810</v>
      </c>
      <c r="I28" s="623" t="s">
        <v>2811</v>
      </c>
      <c r="J28" s="623" t="s">
        <v>2812</v>
      </c>
      <c r="K28" s="624" t="s">
        <v>2813</v>
      </c>
    </row>
    <row r="29" spans="1:11">
      <c r="A29" s="1068">
        <v>5</v>
      </c>
      <c r="B29" s="1071" t="s">
        <v>2818</v>
      </c>
      <c r="C29" s="625" t="s">
        <v>2806</v>
      </c>
      <c r="D29" s="625">
        <v>8</v>
      </c>
      <c r="E29" s="625" t="s">
        <v>2802</v>
      </c>
      <c r="F29" s="625">
        <v>549</v>
      </c>
      <c r="G29" s="625">
        <v>214</v>
      </c>
      <c r="H29" s="625">
        <f>F29+G29</f>
        <v>763</v>
      </c>
      <c r="I29" s="658">
        <f>F29*30%+F29</f>
        <v>713.7</v>
      </c>
      <c r="J29" s="653">
        <v>257</v>
      </c>
      <c r="K29" s="655">
        <f>I29+J29</f>
        <v>970.7</v>
      </c>
    </row>
    <row r="30" spans="1:11">
      <c r="A30" s="1069"/>
      <c r="B30" s="1072"/>
      <c r="C30" s="262" t="s">
        <v>2806</v>
      </c>
      <c r="D30" s="262">
        <v>7</v>
      </c>
      <c r="E30" s="262" t="s">
        <v>2803</v>
      </c>
      <c r="F30" s="262">
        <v>984</v>
      </c>
      <c r="G30" s="262">
        <v>196</v>
      </c>
      <c r="H30" s="262">
        <f>F30+G30</f>
        <v>1180</v>
      </c>
      <c r="I30" s="36">
        <f>F30*30%+F30</f>
        <v>1279.2</v>
      </c>
      <c r="J30" s="36">
        <v>235</v>
      </c>
      <c r="K30" s="659">
        <f t="shared" ref="K30:K32" si="8">I30+J30</f>
        <v>1514.2</v>
      </c>
    </row>
    <row r="31" spans="1:11">
      <c r="A31" s="1069"/>
      <c r="B31" s="1072"/>
      <c r="C31" s="262" t="s">
        <v>2806</v>
      </c>
      <c r="D31" s="262">
        <v>5</v>
      </c>
      <c r="E31" s="262" t="s">
        <v>2804</v>
      </c>
      <c r="F31" s="262">
        <v>1168</v>
      </c>
      <c r="G31" s="262">
        <v>148</v>
      </c>
      <c r="H31" s="262">
        <f>F31+G31</f>
        <v>1316</v>
      </c>
      <c r="I31" s="262">
        <v>1501</v>
      </c>
      <c r="J31" s="262">
        <v>177</v>
      </c>
      <c r="K31" s="626">
        <f t="shared" si="8"/>
        <v>1678</v>
      </c>
    </row>
    <row r="32" spans="1:11" ht="14.65" thickBot="1">
      <c r="A32" s="1069"/>
      <c r="B32" s="1072"/>
      <c r="C32" s="587" t="s">
        <v>2806</v>
      </c>
      <c r="D32" s="587">
        <v>2</v>
      </c>
      <c r="E32" s="587" t="s">
        <v>2805</v>
      </c>
      <c r="F32" s="587">
        <v>1969</v>
      </c>
      <c r="G32" s="587">
        <v>397</v>
      </c>
      <c r="H32" s="587">
        <f>F32+G32</f>
        <v>2366</v>
      </c>
      <c r="I32" s="587">
        <v>2363</v>
      </c>
      <c r="J32" s="587">
        <v>477</v>
      </c>
      <c r="K32" s="627">
        <f t="shared" si="8"/>
        <v>2840</v>
      </c>
    </row>
    <row r="33" spans="1:11" ht="14.65" thickBot="1">
      <c r="A33" s="1070"/>
      <c r="B33" s="1073"/>
      <c r="C33" s="643" t="s">
        <v>2780</v>
      </c>
      <c r="D33" s="644">
        <f>D29+D30+D31+D32</f>
        <v>22</v>
      </c>
      <c r="E33" s="644" t="s">
        <v>2820</v>
      </c>
      <c r="F33" s="644">
        <f t="shared" ref="F33:K33" si="9">F29+F30+F31+F32</f>
        <v>4670</v>
      </c>
      <c r="G33" s="644">
        <f t="shared" si="9"/>
        <v>955</v>
      </c>
      <c r="H33" s="644">
        <f t="shared" si="9"/>
        <v>5625</v>
      </c>
      <c r="I33" s="660">
        <f t="shared" si="9"/>
        <v>5856.9</v>
      </c>
      <c r="J33" s="660">
        <f t="shared" si="9"/>
        <v>1146</v>
      </c>
      <c r="K33" s="656">
        <f t="shared" si="9"/>
        <v>7002.9</v>
      </c>
    </row>
    <row r="34" spans="1:11" ht="43.15" thickBot="1">
      <c r="A34" s="676" t="s">
        <v>2774</v>
      </c>
      <c r="B34" s="675" t="s">
        <v>2801</v>
      </c>
      <c r="C34" s="1061" t="s">
        <v>2814</v>
      </c>
      <c r="D34" s="1061"/>
      <c r="E34" s="1061"/>
      <c r="F34" s="641" t="s">
        <v>2808</v>
      </c>
      <c r="G34" s="641" t="s">
        <v>2809</v>
      </c>
      <c r="H34" s="641" t="s">
        <v>2810</v>
      </c>
      <c r="I34" s="641" t="s">
        <v>2811</v>
      </c>
      <c r="J34" s="641" t="s">
        <v>2812</v>
      </c>
      <c r="K34" s="642" t="s">
        <v>2813</v>
      </c>
    </row>
    <row r="35" spans="1:11" ht="18" customHeight="1">
      <c r="A35" s="1062">
        <v>5</v>
      </c>
      <c r="B35" s="1065" t="s">
        <v>2819</v>
      </c>
      <c r="C35" s="638" t="s">
        <v>2806</v>
      </c>
      <c r="D35" s="638">
        <f>D5+D11+D17+D23+D29</f>
        <v>127</v>
      </c>
      <c r="E35" s="638" t="s">
        <v>2802</v>
      </c>
      <c r="F35" s="638">
        <f t="shared" ref="F35:G38" si="10">F5+F11+F17+F23+F29</f>
        <v>8099</v>
      </c>
      <c r="G35" s="638">
        <f t="shared" si="10"/>
        <v>641</v>
      </c>
      <c r="H35" s="638">
        <f>F35+G35</f>
        <v>8740</v>
      </c>
      <c r="I35" s="652">
        <f t="shared" ref="I35:J38" si="11">I5+I11+I17+I23+I29</f>
        <v>10528.7</v>
      </c>
      <c r="J35" s="638">
        <f t="shared" si="11"/>
        <v>770</v>
      </c>
      <c r="K35" s="654">
        <f>I35+J35</f>
        <v>11298.7</v>
      </c>
    </row>
    <row r="36" spans="1:11" ht="18" customHeight="1">
      <c r="A36" s="1063"/>
      <c r="B36" s="1066"/>
      <c r="C36" s="639" t="s">
        <v>2806</v>
      </c>
      <c r="D36" s="639">
        <f>D6+D12+D18+D24+D30</f>
        <v>67</v>
      </c>
      <c r="E36" s="639" t="s">
        <v>2803</v>
      </c>
      <c r="F36" s="639">
        <f t="shared" si="10"/>
        <v>8227</v>
      </c>
      <c r="G36" s="639">
        <f t="shared" si="10"/>
        <v>675</v>
      </c>
      <c r="H36" s="639">
        <f>F36+G36</f>
        <v>8902</v>
      </c>
      <c r="I36" s="661">
        <f t="shared" si="11"/>
        <v>10695.1</v>
      </c>
      <c r="J36" s="661">
        <f t="shared" si="11"/>
        <v>810</v>
      </c>
      <c r="K36" s="662">
        <f t="shared" ref="K36:K38" si="12">I36+J36</f>
        <v>11505.1</v>
      </c>
    </row>
    <row r="37" spans="1:11" ht="18" customHeight="1">
      <c r="A37" s="1063"/>
      <c r="B37" s="1066"/>
      <c r="C37" s="639" t="s">
        <v>2806</v>
      </c>
      <c r="D37" s="639">
        <f>D7+D13+D19+D25+D31</f>
        <v>50</v>
      </c>
      <c r="E37" s="639" t="s">
        <v>2804</v>
      </c>
      <c r="F37" s="639">
        <f t="shared" si="10"/>
        <v>12854</v>
      </c>
      <c r="G37" s="639">
        <f t="shared" si="10"/>
        <v>878</v>
      </c>
      <c r="H37" s="639">
        <f>F37+G37</f>
        <v>13732</v>
      </c>
      <c r="I37" s="639">
        <f t="shared" si="11"/>
        <v>15610</v>
      </c>
      <c r="J37" s="639">
        <f t="shared" si="11"/>
        <v>1053</v>
      </c>
      <c r="K37" s="640">
        <f t="shared" si="12"/>
        <v>16663</v>
      </c>
    </row>
    <row r="38" spans="1:11" ht="18" customHeight="1" thickBot="1">
      <c r="A38" s="1063"/>
      <c r="B38" s="1066"/>
      <c r="C38" s="663" t="s">
        <v>2806</v>
      </c>
      <c r="D38" s="663">
        <f>D8+D14+D20+D26+D32</f>
        <v>19</v>
      </c>
      <c r="E38" s="663" t="s">
        <v>2805</v>
      </c>
      <c r="F38" s="663">
        <f t="shared" si="10"/>
        <v>15690</v>
      </c>
      <c r="G38" s="663">
        <f t="shared" si="10"/>
        <v>1436</v>
      </c>
      <c r="H38" s="663">
        <f>F38+G38</f>
        <v>17126</v>
      </c>
      <c r="I38" s="663">
        <f t="shared" si="11"/>
        <v>18763</v>
      </c>
      <c r="J38" s="663">
        <f t="shared" si="11"/>
        <v>1724</v>
      </c>
      <c r="K38" s="664">
        <f t="shared" si="12"/>
        <v>20487</v>
      </c>
    </row>
    <row r="39" spans="1:11" ht="18" customHeight="1" thickBot="1">
      <c r="A39" s="1064"/>
      <c r="B39" s="1067"/>
      <c r="C39" s="665" t="s">
        <v>2780</v>
      </c>
      <c r="D39" s="666">
        <f>D35+D36+D37+D38</f>
        <v>263</v>
      </c>
      <c r="E39" s="644" t="s">
        <v>2820</v>
      </c>
      <c r="F39" s="666">
        <f>F9+F15+F21+F27+F33</f>
        <v>44870</v>
      </c>
      <c r="G39" s="666">
        <f>G35+G36+G37+G38</f>
        <v>3630</v>
      </c>
      <c r="H39" s="666">
        <f>H35+H36+H37+H38</f>
        <v>48500</v>
      </c>
      <c r="I39" s="667">
        <f>I35+I36+I37+I38</f>
        <v>55596.800000000003</v>
      </c>
      <c r="J39" s="666">
        <f>J35+J36+J37+J38</f>
        <v>4357</v>
      </c>
      <c r="K39" s="668">
        <f>K35+K36+K37+K38</f>
        <v>59953.8</v>
      </c>
    </row>
    <row r="41" spans="1:11">
      <c r="D41" s="176"/>
      <c r="I41" s="201"/>
      <c r="J41" s="201"/>
      <c r="K41" s="201"/>
    </row>
    <row r="42" spans="1:11">
      <c r="D42" s="176"/>
    </row>
    <row r="43" spans="1:11">
      <c r="H43" s="201"/>
      <c r="K43" s="657"/>
    </row>
    <row r="45" spans="1:11">
      <c r="K45" s="201"/>
    </row>
  </sheetData>
  <mergeCells count="19">
    <mergeCell ref="A2:K2"/>
    <mergeCell ref="C22:E22"/>
    <mergeCell ref="A23:A27"/>
    <mergeCell ref="B23:B27"/>
    <mergeCell ref="C28:E28"/>
    <mergeCell ref="C10:E10"/>
    <mergeCell ref="A11:A15"/>
    <mergeCell ref="B11:B15"/>
    <mergeCell ref="C16:E16"/>
    <mergeCell ref="A17:A21"/>
    <mergeCell ref="B17:B21"/>
    <mergeCell ref="C4:E4"/>
    <mergeCell ref="B5:B9"/>
    <mergeCell ref="A5:A9"/>
    <mergeCell ref="C34:E34"/>
    <mergeCell ref="A35:A39"/>
    <mergeCell ref="B35:B39"/>
    <mergeCell ref="A29:A33"/>
    <mergeCell ref="B29:B33"/>
  </mergeCells>
  <pageMargins left="0" right="0" top="0" bottom="0" header="0" footer="0"/>
  <pageSetup paperSize="9" scale="7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G125"/>
  <sheetViews>
    <sheetView workbookViewId="0">
      <pane xSplit="4" ySplit="4" topLeftCell="Z5" activePane="bottomRight" state="frozen"/>
      <selection pane="topRight" activeCell="E1" sqref="E1"/>
      <selection pane="bottomLeft" activeCell="A5" sqref="A5"/>
      <selection pane="bottomRight" activeCell="AE1" sqref="AE1"/>
    </sheetView>
  </sheetViews>
  <sheetFormatPr defaultRowHeight="14.25"/>
  <cols>
    <col min="1" max="1" width="6.265625" customWidth="1"/>
    <col min="2" max="2" width="34.59765625" customWidth="1"/>
    <col min="3" max="3" width="26.59765625" bestFit="1" customWidth="1"/>
    <col min="4" max="4" width="10.265625" customWidth="1"/>
    <col min="5" max="25" width="0" hidden="1" customWidth="1"/>
    <col min="26" max="26" width="10.59765625" customWidth="1"/>
    <col min="27" max="27" width="9.59765625" customWidth="1"/>
    <col min="28" max="28" width="9.3984375" customWidth="1"/>
  </cols>
  <sheetData>
    <row r="1" spans="1:31" ht="14.65" thickBot="1"/>
    <row r="2" spans="1:31" ht="18.399999999999999" thickBot="1">
      <c r="A2" s="1091" t="s">
        <v>2791</v>
      </c>
      <c r="B2" s="1092"/>
      <c r="C2" s="1092"/>
      <c r="D2" s="1092"/>
      <c r="E2" s="1092"/>
      <c r="F2" s="1092"/>
      <c r="G2" s="1092"/>
      <c r="H2" s="1092"/>
      <c r="I2" s="1092"/>
      <c r="J2" s="1092"/>
      <c r="K2" s="1092"/>
      <c r="L2" s="1092"/>
      <c r="M2" s="1092"/>
      <c r="N2" s="1092"/>
      <c r="O2" s="1092"/>
      <c r="P2" s="1092"/>
      <c r="Q2" s="1092"/>
      <c r="R2" s="1092"/>
      <c r="S2" s="1092"/>
      <c r="T2" s="1092"/>
      <c r="U2" s="1092"/>
      <c r="V2" s="1092"/>
      <c r="W2" s="1092"/>
      <c r="X2" s="1092"/>
      <c r="Y2" s="1092"/>
      <c r="Z2" s="1092"/>
      <c r="AA2" s="1092"/>
      <c r="AB2" s="1092"/>
      <c r="AC2" s="1092"/>
      <c r="AD2" s="1092"/>
      <c r="AE2" s="1093"/>
    </row>
    <row r="3" spans="1:31" ht="14.65" thickBot="1">
      <c r="A3" t="s">
        <v>2797</v>
      </c>
      <c r="B3" t="s">
        <v>2798</v>
      </c>
      <c r="Z3" s="577" t="s">
        <v>9</v>
      </c>
      <c r="AA3" s="586" t="s">
        <v>2792</v>
      </c>
      <c r="AB3" s="578" t="s">
        <v>2780</v>
      </c>
      <c r="AC3" s="586" t="s">
        <v>9</v>
      </c>
      <c r="AD3" s="586" t="s">
        <v>2792</v>
      </c>
      <c r="AE3" s="578" t="s">
        <v>2780</v>
      </c>
    </row>
    <row r="4" spans="1:31" ht="34.5" customHeight="1" thickBot="1">
      <c r="A4" s="583" t="s">
        <v>2774</v>
      </c>
      <c r="B4" s="584" t="s">
        <v>2773</v>
      </c>
      <c r="C4" s="584" t="s">
        <v>2772</v>
      </c>
      <c r="D4" s="584" t="s">
        <v>2775</v>
      </c>
      <c r="E4" s="1086" t="s">
        <v>883</v>
      </c>
      <c r="F4" s="1087"/>
      <c r="G4" s="1088"/>
      <c r="H4" s="1086" t="s">
        <v>889</v>
      </c>
      <c r="I4" s="1087"/>
      <c r="J4" s="1088"/>
      <c r="K4" s="1086" t="s">
        <v>895</v>
      </c>
      <c r="L4" s="1087"/>
      <c r="M4" s="1088"/>
      <c r="N4" s="1086" t="s">
        <v>896</v>
      </c>
      <c r="O4" s="1087"/>
      <c r="P4" s="1088"/>
      <c r="Q4" s="1086" t="s">
        <v>897</v>
      </c>
      <c r="R4" s="1087"/>
      <c r="S4" s="1088"/>
      <c r="T4" s="1094" t="s">
        <v>898</v>
      </c>
      <c r="U4" s="1094"/>
      <c r="V4" s="1094"/>
      <c r="W4" s="1095" t="s">
        <v>901</v>
      </c>
      <c r="X4" s="1095"/>
      <c r="Y4" s="1096"/>
      <c r="Z4" s="1097" t="s">
        <v>2799</v>
      </c>
      <c r="AA4" s="1098"/>
      <c r="AB4" s="1099"/>
      <c r="AC4" s="1089" t="s">
        <v>2793</v>
      </c>
      <c r="AD4" s="1061"/>
      <c r="AE4" s="1090"/>
    </row>
    <row r="5" spans="1:31" ht="15.95" customHeight="1">
      <c r="A5" s="370">
        <v>1</v>
      </c>
      <c r="B5" s="579" t="s">
        <v>84</v>
      </c>
      <c r="C5" s="388" t="s">
        <v>13</v>
      </c>
      <c r="D5" s="388" t="s">
        <v>2776</v>
      </c>
      <c r="E5" s="388">
        <v>112</v>
      </c>
      <c r="F5" s="388"/>
      <c r="G5" s="388">
        <v>112</v>
      </c>
      <c r="H5" s="388">
        <v>200</v>
      </c>
      <c r="I5" s="388">
        <v>118</v>
      </c>
      <c r="J5" s="388">
        <v>318</v>
      </c>
      <c r="K5" s="388">
        <v>262</v>
      </c>
      <c r="L5" s="388">
        <v>18</v>
      </c>
      <c r="M5" s="388">
        <v>280</v>
      </c>
      <c r="N5" s="388">
        <v>330</v>
      </c>
      <c r="O5" s="388"/>
      <c r="P5" s="388">
        <v>330</v>
      </c>
      <c r="Q5" s="388">
        <v>0</v>
      </c>
      <c r="R5" s="388"/>
      <c r="S5" s="388">
        <v>0</v>
      </c>
      <c r="T5" s="110">
        <v>390</v>
      </c>
      <c r="U5" s="388">
        <v>76</v>
      </c>
      <c r="V5" s="388">
        <v>466</v>
      </c>
      <c r="W5" s="580">
        <v>1294</v>
      </c>
      <c r="X5" s="581">
        <v>212</v>
      </c>
      <c r="Y5" s="581">
        <v>1506</v>
      </c>
      <c r="Z5" s="582">
        <v>215.66666666666666</v>
      </c>
      <c r="AA5" s="582">
        <v>35.333333333333336</v>
      </c>
      <c r="AB5" s="582">
        <v>251</v>
      </c>
      <c r="AC5" s="585">
        <f>Z5*20%+Z5</f>
        <v>258.8</v>
      </c>
      <c r="AD5" s="585">
        <f>AA5*20%+AA5</f>
        <v>42.400000000000006</v>
      </c>
      <c r="AE5" s="585">
        <f>AB5*20%+AB5</f>
        <v>301.2</v>
      </c>
    </row>
    <row r="6" spans="1:31" ht="15.95" customHeight="1">
      <c r="A6" s="262">
        <v>2</v>
      </c>
      <c r="B6" s="43" t="s">
        <v>86</v>
      </c>
      <c r="C6" s="19" t="s">
        <v>13</v>
      </c>
      <c r="D6" s="19" t="s">
        <v>2776</v>
      </c>
      <c r="E6" s="19">
        <v>264</v>
      </c>
      <c r="F6" s="19"/>
      <c r="G6" s="19">
        <v>264</v>
      </c>
      <c r="H6" s="19">
        <v>272</v>
      </c>
      <c r="I6" s="19"/>
      <c r="J6" s="19">
        <v>272</v>
      </c>
      <c r="K6" s="19">
        <v>194</v>
      </c>
      <c r="L6" s="19">
        <v>58</v>
      </c>
      <c r="M6" s="19">
        <v>252</v>
      </c>
      <c r="N6" s="19">
        <v>280</v>
      </c>
      <c r="O6" s="19"/>
      <c r="P6" s="19">
        <v>280</v>
      </c>
      <c r="Q6" s="19">
        <v>536</v>
      </c>
      <c r="R6" s="19"/>
      <c r="S6" s="19">
        <v>536</v>
      </c>
      <c r="T6" s="110">
        <v>128</v>
      </c>
      <c r="U6" s="19"/>
      <c r="V6" s="19">
        <v>128</v>
      </c>
      <c r="W6" s="89">
        <v>1674</v>
      </c>
      <c r="X6" s="44">
        <v>58</v>
      </c>
      <c r="Y6" s="44">
        <v>1732</v>
      </c>
      <c r="Z6" s="45">
        <v>279</v>
      </c>
      <c r="AA6" s="45">
        <v>9.6666666666666661</v>
      </c>
      <c r="AB6" s="45">
        <v>288.66666666666669</v>
      </c>
      <c r="AC6" s="494">
        <f>Z6*15%+Z6</f>
        <v>320.85000000000002</v>
      </c>
      <c r="AD6" s="494">
        <f t="shared" ref="AD6:AD62" si="0">AA6*20%+AA6</f>
        <v>11.6</v>
      </c>
      <c r="AE6" s="494">
        <f t="shared" ref="AE6:AE62" si="1">AB6*20%+AB6</f>
        <v>346.40000000000003</v>
      </c>
    </row>
    <row r="7" spans="1:31" ht="15.95" customHeight="1">
      <c r="A7" s="370">
        <v>3</v>
      </c>
      <c r="B7" s="43" t="s">
        <v>178</v>
      </c>
      <c r="C7" s="19" t="s">
        <v>128</v>
      </c>
      <c r="D7" s="19" t="s">
        <v>2776</v>
      </c>
      <c r="E7" s="19">
        <v>400</v>
      </c>
      <c r="F7" s="19"/>
      <c r="G7" s="19">
        <v>400</v>
      </c>
      <c r="H7" s="19">
        <v>408</v>
      </c>
      <c r="I7" s="19"/>
      <c r="J7" s="19">
        <v>408</v>
      </c>
      <c r="K7" s="19">
        <v>90</v>
      </c>
      <c r="L7" s="19"/>
      <c r="M7" s="19">
        <v>90</v>
      </c>
      <c r="N7" s="19">
        <v>480</v>
      </c>
      <c r="O7" s="19"/>
      <c r="P7" s="19">
        <v>480</v>
      </c>
      <c r="Q7" s="19"/>
      <c r="R7" s="19"/>
      <c r="S7" s="19">
        <v>0</v>
      </c>
      <c r="T7" s="110">
        <v>0</v>
      </c>
      <c r="U7" s="19"/>
      <c r="V7" s="19">
        <v>0</v>
      </c>
      <c r="W7" s="89">
        <v>1378</v>
      </c>
      <c r="X7" s="44">
        <v>0</v>
      </c>
      <c r="Y7" s="44">
        <v>1378</v>
      </c>
      <c r="Z7" s="45">
        <v>229.66666666666666</v>
      </c>
      <c r="AA7" s="45">
        <v>0</v>
      </c>
      <c r="AB7" s="45">
        <v>229.66666666666666</v>
      </c>
      <c r="AC7" s="494">
        <f t="shared" ref="AC7:AC59" si="2">Z7*20%+Z7</f>
        <v>275.60000000000002</v>
      </c>
      <c r="AD7" s="494">
        <f t="shared" si="0"/>
        <v>0</v>
      </c>
      <c r="AE7" s="494">
        <f t="shared" si="1"/>
        <v>275.60000000000002</v>
      </c>
    </row>
    <row r="8" spans="1:31" ht="15.95" customHeight="1">
      <c r="A8" s="262">
        <v>4</v>
      </c>
      <c r="B8" s="47" t="s">
        <v>180</v>
      </c>
      <c r="C8" s="19" t="s">
        <v>128</v>
      </c>
      <c r="D8" s="19" t="s">
        <v>2776</v>
      </c>
      <c r="E8" s="19">
        <v>350</v>
      </c>
      <c r="F8" s="19"/>
      <c r="G8" s="19">
        <v>350</v>
      </c>
      <c r="H8" s="19"/>
      <c r="I8" s="19"/>
      <c r="J8" s="19">
        <v>0</v>
      </c>
      <c r="K8" s="19">
        <v>0</v>
      </c>
      <c r="L8" s="19"/>
      <c r="M8" s="19">
        <v>0</v>
      </c>
      <c r="N8" s="19">
        <v>349</v>
      </c>
      <c r="O8" s="19"/>
      <c r="P8" s="19">
        <v>349</v>
      </c>
      <c r="Q8" s="19"/>
      <c r="R8" s="19"/>
      <c r="S8" s="19">
        <v>0</v>
      </c>
      <c r="T8" s="110"/>
      <c r="U8" s="19"/>
      <c r="V8" s="19">
        <v>0</v>
      </c>
      <c r="W8" s="89">
        <v>699</v>
      </c>
      <c r="X8" s="44">
        <v>0</v>
      </c>
      <c r="Y8" s="44">
        <v>699</v>
      </c>
      <c r="Z8" s="45">
        <v>116.5</v>
      </c>
      <c r="AA8" s="45">
        <v>0</v>
      </c>
      <c r="AB8" s="45">
        <v>116.5</v>
      </c>
      <c r="AC8" s="494">
        <f t="shared" si="2"/>
        <v>139.80000000000001</v>
      </c>
      <c r="AD8" s="494">
        <f t="shared" si="0"/>
        <v>0</v>
      </c>
      <c r="AE8" s="494">
        <f t="shared" si="1"/>
        <v>139.80000000000001</v>
      </c>
    </row>
    <row r="9" spans="1:31" ht="15.95" customHeight="1">
      <c r="A9" s="370">
        <v>5</v>
      </c>
      <c r="B9" s="47" t="s">
        <v>182</v>
      </c>
      <c r="C9" s="19" t="s">
        <v>128</v>
      </c>
      <c r="D9" s="19" t="s">
        <v>2776</v>
      </c>
      <c r="E9" s="19">
        <v>203</v>
      </c>
      <c r="F9" s="19"/>
      <c r="G9" s="19">
        <v>203</v>
      </c>
      <c r="H9" s="19">
        <v>208</v>
      </c>
      <c r="I9" s="19"/>
      <c r="J9" s="19">
        <v>208</v>
      </c>
      <c r="K9" s="19">
        <v>156</v>
      </c>
      <c r="L9" s="19"/>
      <c r="M9" s="19">
        <v>156</v>
      </c>
      <c r="N9" s="19">
        <v>208</v>
      </c>
      <c r="O9" s="19"/>
      <c r="P9" s="19">
        <v>208</v>
      </c>
      <c r="Q9" s="19">
        <v>260</v>
      </c>
      <c r="R9" s="19"/>
      <c r="S9" s="19">
        <v>260</v>
      </c>
      <c r="T9" s="110">
        <v>304</v>
      </c>
      <c r="U9" s="19"/>
      <c r="V9" s="19">
        <v>304</v>
      </c>
      <c r="W9" s="89">
        <v>1339</v>
      </c>
      <c r="X9" s="44">
        <v>0</v>
      </c>
      <c r="Y9" s="44">
        <v>1339</v>
      </c>
      <c r="Z9" s="45">
        <v>223.16666666666666</v>
      </c>
      <c r="AA9" s="45">
        <v>0</v>
      </c>
      <c r="AB9" s="45">
        <v>223.16666666666666</v>
      </c>
      <c r="AC9" s="494">
        <f t="shared" si="2"/>
        <v>267.8</v>
      </c>
      <c r="AD9" s="494">
        <f t="shared" si="0"/>
        <v>0</v>
      </c>
      <c r="AE9" s="494">
        <f t="shared" si="1"/>
        <v>267.8</v>
      </c>
    </row>
    <row r="10" spans="1:31" ht="15.95" customHeight="1">
      <c r="A10" s="262">
        <v>6</v>
      </c>
      <c r="B10" s="43" t="s">
        <v>243</v>
      </c>
      <c r="C10" s="19" t="s">
        <v>185</v>
      </c>
      <c r="D10" s="19" t="s">
        <v>2776</v>
      </c>
      <c r="E10" s="19">
        <v>635</v>
      </c>
      <c r="F10" s="19"/>
      <c r="G10" s="19">
        <v>635</v>
      </c>
      <c r="H10" s="19">
        <v>76</v>
      </c>
      <c r="I10" s="19"/>
      <c r="J10" s="19">
        <v>76</v>
      </c>
      <c r="K10" s="19">
        <v>184</v>
      </c>
      <c r="L10" s="19"/>
      <c r="M10" s="19">
        <v>184</v>
      </c>
      <c r="N10" s="19">
        <v>166</v>
      </c>
      <c r="O10" s="19"/>
      <c r="P10" s="19">
        <v>166</v>
      </c>
      <c r="Q10" s="19"/>
      <c r="R10" s="19"/>
      <c r="S10" s="19">
        <v>0</v>
      </c>
      <c r="T10" s="110">
        <v>1960</v>
      </c>
      <c r="U10" s="19"/>
      <c r="V10" s="19">
        <v>1960</v>
      </c>
      <c r="W10" s="89">
        <v>3021</v>
      </c>
      <c r="X10" s="44">
        <v>0</v>
      </c>
      <c r="Y10" s="44">
        <v>3021</v>
      </c>
      <c r="Z10" s="45">
        <v>503.5</v>
      </c>
      <c r="AA10" s="45">
        <v>0</v>
      </c>
      <c r="AB10" s="45">
        <v>503.5</v>
      </c>
      <c r="AC10" s="494">
        <f t="shared" si="2"/>
        <v>604.20000000000005</v>
      </c>
      <c r="AD10" s="494">
        <f t="shared" si="0"/>
        <v>0</v>
      </c>
      <c r="AE10" s="494">
        <f t="shared" si="1"/>
        <v>604.20000000000005</v>
      </c>
    </row>
    <row r="11" spans="1:31" ht="15.95" customHeight="1">
      <c r="A11" s="370">
        <v>7</v>
      </c>
      <c r="B11" s="43" t="s">
        <v>245</v>
      </c>
      <c r="C11" s="19" t="s">
        <v>185</v>
      </c>
      <c r="D11" s="19" t="s">
        <v>2776</v>
      </c>
      <c r="E11" s="19">
        <v>1340</v>
      </c>
      <c r="F11" s="19"/>
      <c r="G11" s="19">
        <v>1340</v>
      </c>
      <c r="H11" s="19"/>
      <c r="I11" s="19"/>
      <c r="J11" s="19">
        <v>0</v>
      </c>
      <c r="K11" s="19">
        <v>1000</v>
      </c>
      <c r="L11" s="19"/>
      <c r="M11" s="19">
        <v>1000</v>
      </c>
      <c r="N11" s="19">
        <v>290</v>
      </c>
      <c r="O11" s="19"/>
      <c r="P11" s="19">
        <v>290</v>
      </c>
      <c r="Q11" s="19">
        <v>584</v>
      </c>
      <c r="R11" s="19"/>
      <c r="S11" s="19">
        <v>584</v>
      </c>
      <c r="T11" s="110">
        <v>3074</v>
      </c>
      <c r="U11" s="19"/>
      <c r="V11" s="19">
        <v>3074</v>
      </c>
      <c r="W11" s="89">
        <v>6288</v>
      </c>
      <c r="X11" s="44">
        <v>0</v>
      </c>
      <c r="Y11" s="44">
        <v>6288</v>
      </c>
      <c r="Z11" s="45">
        <v>1048</v>
      </c>
      <c r="AA11" s="45">
        <v>0</v>
      </c>
      <c r="AB11" s="45">
        <v>1048</v>
      </c>
      <c r="AC11" s="494">
        <f t="shared" si="2"/>
        <v>1257.5999999999999</v>
      </c>
      <c r="AD11" s="494">
        <f t="shared" si="0"/>
        <v>0</v>
      </c>
      <c r="AE11" s="494">
        <f t="shared" si="1"/>
        <v>1257.5999999999999</v>
      </c>
    </row>
    <row r="12" spans="1:31" ht="15.95" customHeight="1">
      <c r="A12" s="262">
        <v>8</v>
      </c>
      <c r="B12" s="43" t="s">
        <v>290</v>
      </c>
      <c r="C12" s="19" t="s">
        <v>247</v>
      </c>
      <c r="D12" s="19" t="s">
        <v>2776</v>
      </c>
      <c r="E12" s="19">
        <v>454</v>
      </c>
      <c r="F12" s="19"/>
      <c r="G12" s="19">
        <v>454</v>
      </c>
      <c r="H12" s="19">
        <v>428</v>
      </c>
      <c r="I12" s="19">
        <v>36</v>
      </c>
      <c r="J12" s="19">
        <v>464</v>
      </c>
      <c r="K12" s="19">
        <v>418</v>
      </c>
      <c r="L12" s="19">
        <v>36</v>
      </c>
      <c r="M12" s="19">
        <v>454</v>
      </c>
      <c r="N12" s="19">
        <v>292</v>
      </c>
      <c r="O12" s="19">
        <v>15</v>
      </c>
      <c r="P12" s="19">
        <v>307</v>
      </c>
      <c r="Q12" s="19">
        <v>600</v>
      </c>
      <c r="R12" s="19">
        <v>6</v>
      </c>
      <c r="S12" s="19">
        <v>606</v>
      </c>
      <c r="T12" s="110">
        <v>512</v>
      </c>
      <c r="U12" s="19"/>
      <c r="V12" s="19">
        <v>512</v>
      </c>
      <c r="W12" s="89">
        <v>2704</v>
      </c>
      <c r="X12" s="44">
        <v>93</v>
      </c>
      <c r="Y12" s="44">
        <v>2797</v>
      </c>
      <c r="Z12" s="45">
        <v>450.66666666666669</v>
      </c>
      <c r="AA12" s="45">
        <v>15.5</v>
      </c>
      <c r="AB12" s="45">
        <v>466.16666666666669</v>
      </c>
      <c r="AC12" s="494">
        <f t="shared" si="2"/>
        <v>540.80000000000007</v>
      </c>
      <c r="AD12" s="494">
        <f t="shared" si="0"/>
        <v>18.600000000000001</v>
      </c>
      <c r="AE12" s="494">
        <f t="shared" si="1"/>
        <v>559.40000000000009</v>
      </c>
    </row>
    <row r="13" spans="1:31" ht="15.95" customHeight="1">
      <c r="A13" s="370">
        <v>4</v>
      </c>
      <c r="B13" s="55" t="s">
        <v>415</v>
      </c>
      <c r="C13" s="54" t="s">
        <v>345</v>
      </c>
      <c r="D13" s="19" t="s">
        <v>2777</v>
      </c>
      <c r="E13" s="54">
        <v>200</v>
      </c>
      <c r="F13" s="54"/>
      <c r="G13" s="19">
        <v>200</v>
      </c>
      <c r="H13" s="54"/>
      <c r="I13" s="54"/>
      <c r="J13" s="19">
        <v>0</v>
      </c>
      <c r="K13" s="19">
        <v>90</v>
      </c>
      <c r="L13" s="19"/>
      <c r="M13" s="19">
        <v>90</v>
      </c>
      <c r="N13" s="19"/>
      <c r="O13" s="19"/>
      <c r="P13" s="19">
        <v>0</v>
      </c>
      <c r="Q13" s="19">
        <v>134</v>
      </c>
      <c r="R13" s="19"/>
      <c r="S13" s="19">
        <v>134</v>
      </c>
      <c r="T13" s="19"/>
      <c r="U13" s="19"/>
      <c r="V13" s="19">
        <v>0</v>
      </c>
      <c r="W13" s="89">
        <v>424</v>
      </c>
      <c r="X13" s="44">
        <v>0</v>
      </c>
      <c r="Y13" s="44">
        <v>424</v>
      </c>
      <c r="Z13" s="45">
        <v>70.666666666666671</v>
      </c>
      <c r="AA13" s="45">
        <v>0</v>
      </c>
      <c r="AB13" s="45">
        <v>70.666666666666671</v>
      </c>
      <c r="AC13" s="494">
        <f t="shared" si="2"/>
        <v>84.800000000000011</v>
      </c>
      <c r="AD13" s="494">
        <f t="shared" si="0"/>
        <v>0</v>
      </c>
      <c r="AE13" s="494">
        <f t="shared" si="1"/>
        <v>84.800000000000011</v>
      </c>
    </row>
    <row r="14" spans="1:31" ht="15.95" customHeight="1">
      <c r="A14" s="262">
        <v>10</v>
      </c>
      <c r="B14" s="55" t="s">
        <v>417</v>
      </c>
      <c r="C14" s="54" t="s">
        <v>345</v>
      </c>
      <c r="D14" s="19" t="s">
        <v>2777</v>
      </c>
      <c r="E14" s="54"/>
      <c r="F14" s="54"/>
      <c r="G14" s="19">
        <v>0</v>
      </c>
      <c r="H14" s="54">
        <v>211</v>
      </c>
      <c r="I14" s="54"/>
      <c r="J14" s="19">
        <v>211</v>
      </c>
      <c r="K14" s="19">
        <v>0</v>
      </c>
      <c r="L14" s="19"/>
      <c r="M14" s="19">
        <v>0</v>
      </c>
      <c r="N14" s="19"/>
      <c r="O14" s="19"/>
      <c r="P14" s="19">
        <v>0</v>
      </c>
      <c r="Q14" s="19">
        <v>0</v>
      </c>
      <c r="R14" s="19"/>
      <c r="S14" s="19">
        <v>0</v>
      </c>
      <c r="T14" s="19"/>
      <c r="U14" s="19"/>
      <c r="V14" s="19">
        <v>0</v>
      </c>
      <c r="W14" s="89">
        <v>211</v>
      </c>
      <c r="X14" s="44">
        <v>0</v>
      </c>
      <c r="Y14" s="44">
        <v>211</v>
      </c>
      <c r="Z14" s="45">
        <v>35.166666666666664</v>
      </c>
      <c r="AA14" s="45">
        <v>0</v>
      </c>
      <c r="AB14" s="45">
        <v>35.166666666666664</v>
      </c>
      <c r="AC14" s="494">
        <f t="shared" si="2"/>
        <v>42.199999999999996</v>
      </c>
      <c r="AD14" s="494">
        <f t="shared" si="0"/>
        <v>0</v>
      </c>
      <c r="AE14" s="494">
        <f t="shared" si="1"/>
        <v>42.199999999999996</v>
      </c>
    </row>
    <row r="15" spans="1:31" ht="15.95" customHeight="1">
      <c r="A15" s="370">
        <v>5</v>
      </c>
      <c r="B15" s="55" t="s">
        <v>419</v>
      </c>
      <c r="C15" s="54" t="s">
        <v>345</v>
      </c>
      <c r="D15" s="19" t="s">
        <v>2777</v>
      </c>
      <c r="E15" s="54">
        <v>401</v>
      </c>
      <c r="F15" s="54"/>
      <c r="G15" s="19">
        <v>401</v>
      </c>
      <c r="H15" s="54">
        <v>300</v>
      </c>
      <c r="I15" s="54"/>
      <c r="J15" s="19">
        <v>300</v>
      </c>
      <c r="K15" s="19">
        <v>312</v>
      </c>
      <c r="L15" s="19"/>
      <c r="M15" s="19">
        <v>312</v>
      </c>
      <c r="N15" s="19"/>
      <c r="O15" s="19"/>
      <c r="P15" s="19">
        <v>0</v>
      </c>
      <c r="Q15" s="19">
        <v>448</v>
      </c>
      <c r="R15" s="19"/>
      <c r="S15" s="19">
        <v>448</v>
      </c>
      <c r="T15" s="19"/>
      <c r="U15" s="19"/>
      <c r="V15" s="19">
        <v>0</v>
      </c>
      <c r="W15" s="89">
        <v>1461</v>
      </c>
      <c r="X15" s="44">
        <v>0</v>
      </c>
      <c r="Y15" s="44">
        <v>1461</v>
      </c>
      <c r="Z15" s="45">
        <v>243.5</v>
      </c>
      <c r="AA15" s="45">
        <v>0</v>
      </c>
      <c r="AB15" s="45">
        <v>243.5</v>
      </c>
      <c r="AC15" s="494">
        <f t="shared" si="2"/>
        <v>292.2</v>
      </c>
      <c r="AD15" s="494">
        <f t="shared" si="0"/>
        <v>0</v>
      </c>
      <c r="AE15" s="494">
        <f t="shared" si="1"/>
        <v>292.2</v>
      </c>
    </row>
    <row r="16" spans="1:31" ht="15.95" customHeight="1">
      <c r="A16" s="262">
        <v>6</v>
      </c>
      <c r="B16" s="55" t="s">
        <v>421</v>
      </c>
      <c r="C16" s="54" t="s">
        <v>345</v>
      </c>
      <c r="D16" s="19" t="s">
        <v>2777</v>
      </c>
      <c r="E16" s="54"/>
      <c r="F16" s="54"/>
      <c r="G16" s="19">
        <v>0</v>
      </c>
      <c r="H16" s="54"/>
      <c r="I16" s="54"/>
      <c r="J16" s="19">
        <v>0</v>
      </c>
      <c r="K16" s="19">
        <v>950</v>
      </c>
      <c r="L16" s="19">
        <v>36</v>
      </c>
      <c r="M16" s="19">
        <v>986</v>
      </c>
      <c r="N16" s="19"/>
      <c r="O16" s="19"/>
      <c r="P16" s="19">
        <v>0</v>
      </c>
      <c r="Q16" s="19">
        <v>0</v>
      </c>
      <c r="R16" s="19"/>
      <c r="S16" s="19">
        <v>0</v>
      </c>
      <c r="T16" s="19">
        <v>944</v>
      </c>
      <c r="U16" s="19">
        <v>72</v>
      </c>
      <c r="V16" s="19">
        <v>1016</v>
      </c>
      <c r="W16" s="89">
        <v>1894</v>
      </c>
      <c r="X16" s="44">
        <v>108</v>
      </c>
      <c r="Y16" s="44">
        <v>2002</v>
      </c>
      <c r="Z16" s="45">
        <v>315.66666666666669</v>
      </c>
      <c r="AA16" s="45">
        <v>18</v>
      </c>
      <c r="AB16" s="45">
        <v>333.66666666666669</v>
      </c>
      <c r="AC16" s="494">
        <f t="shared" si="2"/>
        <v>378.8</v>
      </c>
      <c r="AD16" s="494">
        <f t="shared" si="0"/>
        <v>21.6</v>
      </c>
      <c r="AE16" s="494">
        <f t="shared" si="1"/>
        <v>400.40000000000003</v>
      </c>
    </row>
    <row r="17" spans="1:31" ht="15.95" customHeight="1">
      <c r="A17" s="370">
        <v>7</v>
      </c>
      <c r="B17" s="55" t="s">
        <v>462</v>
      </c>
      <c r="C17" s="54" t="s">
        <v>425</v>
      </c>
      <c r="D17" s="19" t="s">
        <v>2777</v>
      </c>
      <c r="E17" s="54">
        <v>114</v>
      </c>
      <c r="F17" s="54">
        <v>76</v>
      </c>
      <c r="G17" s="19">
        <v>190</v>
      </c>
      <c r="H17" s="54"/>
      <c r="I17" s="54"/>
      <c r="J17" s="19">
        <v>0</v>
      </c>
      <c r="K17" s="19"/>
      <c r="L17" s="19"/>
      <c r="M17" s="19">
        <v>0</v>
      </c>
      <c r="N17" s="19"/>
      <c r="O17" s="19"/>
      <c r="P17" s="19">
        <v>0</v>
      </c>
      <c r="Q17" s="19">
        <v>158</v>
      </c>
      <c r="R17" s="19">
        <v>36</v>
      </c>
      <c r="S17" s="19">
        <v>194</v>
      </c>
      <c r="T17" s="19">
        <v>282</v>
      </c>
      <c r="U17" s="19">
        <v>60</v>
      </c>
      <c r="V17" s="19">
        <v>342</v>
      </c>
      <c r="W17" s="89">
        <v>554</v>
      </c>
      <c r="X17" s="44">
        <v>172</v>
      </c>
      <c r="Y17" s="44">
        <v>726</v>
      </c>
      <c r="Z17" s="45">
        <v>92.333333333333329</v>
      </c>
      <c r="AA17" s="45">
        <v>28.666666666666668</v>
      </c>
      <c r="AB17" s="45">
        <v>121</v>
      </c>
      <c r="AC17" s="494">
        <f t="shared" si="2"/>
        <v>110.8</v>
      </c>
      <c r="AD17" s="494">
        <f t="shared" si="0"/>
        <v>34.400000000000006</v>
      </c>
      <c r="AE17" s="494">
        <f t="shared" si="1"/>
        <v>145.19999999999999</v>
      </c>
    </row>
    <row r="18" spans="1:31" ht="15.95" customHeight="1">
      <c r="A18" s="262">
        <v>14</v>
      </c>
      <c r="B18" s="55" t="s">
        <v>464</v>
      </c>
      <c r="C18" s="54" t="s">
        <v>425</v>
      </c>
      <c r="D18" s="19" t="s">
        <v>2777</v>
      </c>
      <c r="E18" s="54"/>
      <c r="F18" s="54"/>
      <c r="G18" s="19">
        <v>0</v>
      </c>
      <c r="H18" s="54">
        <v>500</v>
      </c>
      <c r="I18" s="54">
        <v>56</v>
      </c>
      <c r="J18" s="19">
        <v>556</v>
      </c>
      <c r="K18" s="19"/>
      <c r="L18" s="19"/>
      <c r="M18" s="19">
        <v>0</v>
      </c>
      <c r="N18" s="19"/>
      <c r="O18" s="19"/>
      <c r="P18" s="19">
        <v>0</v>
      </c>
      <c r="Q18" s="19">
        <v>576</v>
      </c>
      <c r="R18" s="19">
        <v>32</v>
      </c>
      <c r="S18" s="19">
        <v>608</v>
      </c>
      <c r="T18" s="19"/>
      <c r="U18" s="19"/>
      <c r="V18" s="19">
        <v>0</v>
      </c>
      <c r="W18" s="89">
        <v>1076</v>
      </c>
      <c r="X18" s="44">
        <v>88</v>
      </c>
      <c r="Y18" s="44">
        <v>1164</v>
      </c>
      <c r="Z18" s="45">
        <v>179.33333333333334</v>
      </c>
      <c r="AA18" s="45">
        <v>14.666666666666666</v>
      </c>
      <c r="AB18" s="45">
        <v>194</v>
      </c>
      <c r="AC18" s="494">
        <f t="shared" si="2"/>
        <v>215.20000000000002</v>
      </c>
      <c r="AD18" s="494">
        <f t="shared" si="0"/>
        <v>17.600000000000001</v>
      </c>
      <c r="AE18" s="494">
        <f t="shared" si="1"/>
        <v>232.8</v>
      </c>
    </row>
    <row r="19" spans="1:31" ht="15.95" customHeight="1">
      <c r="A19" s="370">
        <v>8</v>
      </c>
      <c r="B19" s="55" t="s">
        <v>466</v>
      </c>
      <c r="C19" s="54" t="s">
        <v>425</v>
      </c>
      <c r="D19" s="19" t="s">
        <v>2777</v>
      </c>
      <c r="E19" s="54">
        <v>130</v>
      </c>
      <c r="F19" s="54">
        <v>18</v>
      </c>
      <c r="G19" s="19">
        <v>148</v>
      </c>
      <c r="H19" s="54"/>
      <c r="I19" s="54"/>
      <c r="J19" s="19">
        <v>0</v>
      </c>
      <c r="K19" s="19">
        <v>50</v>
      </c>
      <c r="L19" s="19">
        <v>36</v>
      </c>
      <c r="M19" s="19">
        <v>86</v>
      </c>
      <c r="N19" s="19"/>
      <c r="O19" s="19"/>
      <c r="P19" s="19">
        <v>0</v>
      </c>
      <c r="Q19" s="19">
        <v>100</v>
      </c>
      <c r="R19" s="19">
        <v>18</v>
      </c>
      <c r="S19" s="19">
        <v>118</v>
      </c>
      <c r="T19" s="19"/>
      <c r="U19" s="19"/>
      <c r="V19" s="19">
        <v>0</v>
      </c>
      <c r="W19" s="89">
        <v>280</v>
      </c>
      <c r="X19" s="44">
        <v>72</v>
      </c>
      <c r="Y19" s="44">
        <v>352</v>
      </c>
      <c r="Z19" s="45">
        <v>46.666666666666664</v>
      </c>
      <c r="AA19" s="45">
        <v>12</v>
      </c>
      <c r="AB19" s="45">
        <v>58.666666666666664</v>
      </c>
      <c r="AC19" s="494">
        <f t="shared" si="2"/>
        <v>56</v>
      </c>
      <c r="AD19" s="494">
        <f t="shared" si="0"/>
        <v>14.4</v>
      </c>
      <c r="AE19" s="494">
        <f t="shared" si="1"/>
        <v>70.400000000000006</v>
      </c>
    </row>
    <row r="20" spans="1:31" ht="15.95" customHeight="1">
      <c r="A20" s="262">
        <v>16</v>
      </c>
      <c r="B20" s="55" t="s">
        <v>469</v>
      </c>
      <c r="C20" s="54" t="s">
        <v>425</v>
      </c>
      <c r="D20" s="19" t="s">
        <v>2777</v>
      </c>
      <c r="E20" s="54"/>
      <c r="F20" s="54"/>
      <c r="G20" s="19">
        <v>0</v>
      </c>
      <c r="H20" s="54">
        <v>3940</v>
      </c>
      <c r="I20" s="54"/>
      <c r="J20" s="19">
        <v>3940</v>
      </c>
      <c r="K20" s="19">
        <v>4220</v>
      </c>
      <c r="L20" s="19"/>
      <c r="M20" s="19">
        <v>4220</v>
      </c>
      <c r="N20" s="19">
        <v>4798</v>
      </c>
      <c r="O20" s="19"/>
      <c r="P20" s="19">
        <v>4798</v>
      </c>
      <c r="Q20" s="19"/>
      <c r="R20" s="19"/>
      <c r="S20" s="19">
        <v>0</v>
      </c>
      <c r="T20" s="19"/>
      <c r="U20" s="19"/>
      <c r="V20" s="19">
        <v>0</v>
      </c>
      <c r="W20" s="89">
        <v>12958</v>
      </c>
      <c r="X20" s="44">
        <v>0</v>
      </c>
      <c r="Y20" s="44">
        <v>12958</v>
      </c>
      <c r="Z20" s="45">
        <v>2159.6666666666665</v>
      </c>
      <c r="AA20" s="45">
        <v>0</v>
      </c>
      <c r="AB20" s="45">
        <v>2159.6666666666665</v>
      </c>
      <c r="AC20" s="494">
        <f t="shared" si="2"/>
        <v>2591.6</v>
      </c>
      <c r="AD20" s="494">
        <f t="shared" si="0"/>
        <v>0</v>
      </c>
      <c r="AE20" s="494">
        <f t="shared" si="1"/>
        <v>2591.6</v>
      </c>
    </row>
    <row r="21" spans="1:31" ht="15.95" customHeight="1">
      <c r="A21" s="370">
        <v>9</v>
      </c>
      <c r="B21" s="55" t="s">
        <v>471</v>
      </c>
      <c r="C21" s="54" t="s">
        <v>425</v>
      </c>
      <c r="D21" s="19" t="s">
        <v>2777</v>
      </c>
      <c r="E21" s="54"/>
      <c r="F21" s="54"/>
      <c r="G21" s="19">
        <v>0</v>
      </c>
      <c r="H21" s="54">
        <v>504</v>
      </c>
      <c r="I21" s="54">
        <v>90</v>
      </c>
      <c r="J21" s="19">
        <v>594</v>
      </c>
      <c r="K21" s="19"/>
      <c r="L21" s="19"/>
      <c r="M21" s="19">
        <v>0</v>
      </c>
      <c r="N21" s="19"/>
      <c r="O21" s="19"/>
      <c r="P21" s="19">
        <v>0</v>
      </c>
      <c r="Q21" s="19"/>
      <c r="R21" s="19"/>
      <c r="S21" s="19">
        <v>0</v>
      </c>
      <c r="T21" s="19">
        <v>1094</v>
      </c>
      <c r="U21" s="19">
        <v>36</v>
      </c>
      <c r="V21" s="19">
        <v>1130</v>
      </c>
      <c r="W21" s="89">
        <v>1598</v>
      </c>
      <c r="X21" s="44">
        <v>126</v>
      </c>
      <c r="Y21" s="44">
        <v>1724</v>
      </c>
      <c r="Z21" s="45">
        <v>266.33333333333331</v>
      </c>
      <c r="AA21" s="45">
        <v>21</v>
      </c>
      <c r="AB21" s="45">
        <v>287.33333333333331</v>
      </c>
      <c r="AC21" s="494">
        <f t="shared" si="2"/>
        <v>319.59999999999997</v>
      </c>
      <c r="AD21" s="494">
        <f t="shared" si="0"/>
        <v>25.2</v>
      </c>
      <c r="AE21" s="494">
        <f t="shared" si="1"/>
        <v>344.79999999999995</v>
      </c>
    </row>
    <row r="22" spans="1:31" ht="15.95" customHeight="1">
      <c r="A22" s="262">
        <v>18</v>
      </c>
      <c r="B22" s="55" t="s">
        <v>494</v>
      </c>
      <c r="C22" s="54" t="s">
        <v>474</v>
      </c>
      <c r="D22" s="19" t="s">
        <v>2777</v>
      </c>
      <c r="E22" s="54">
        <v>271</v>
      </c>
      <c r="F22" s="54"/>
      <c r="G22" s="19">
        <v>271</v>
      </c>
      <c r="H22" s="54">
        <v>266</v>
      </c>
      <c r="I22" s="54"/>
      <c r="J22" s="19">
        <v>266</v>
      </c>
      <c r="K22" s="19">
        <v>96</v>
      </c>
      <c r="L22" s="19"/>
      <c r="M22" s="19">
        <v>96</v>
      </c>
      <c r="N22" s="19"/>
      <c r="O22" s="19"/>
      <c r="P22" s="19">
        <v>0</v>
      </c>
      <c r="Q22" s="19">
        <v>201</v>
      </c>
      <c r="R22" s="19"/>
      <c r="S22" s="19">
        <v>201</v>
      </c>
      <c r="T22" s="19">
        <v>221</v>
      </c>
      <c r="U22" s="19"/>
      <c r="V22" s="19">
        <v>221</v>
      </c>
      <c r="W22" s="89">
        <v>1055</v>
      </c>
      <c r="X22" s="44">
        <v>0</v>
      </c>
      <c r="Y22" s="44">
        <v>1055</v>
      </c>
      <c r="Z22" s="45">
        <v>175.83333333333334</v>
      </c>
      <c r="AA22" s="45">
        <v>0</v>
      </c>
      <c r="AB22" s="45">
        <v>175.83333333333334</v>
      </c>
      <c r="AC22" s="494">
        <f t="shared" si="2"/>
        <v>211</v>
      </c>
      <c r="AD22" s="494">
        <f t="shared" si="0"/>
        <v>0</v>
      </c>
      <c r="AE22" s="494">
        <f t="shared" si="1"/>
        <v>211</v>
      </c>
    </row>
    <row r="23" spans="1:31" ht="15.95" customHeight="1">
      <c r="A23" s="370">
        <v>19</v>
      </c>
      <c r="B23" s="55" t="s">
        <v>496</v>
      </c>
      <c r="C23" s="54" t="s">
        <v>474</v>
      </c>
      <c r="D23" s="19" t="s">
        <v>2777</v>
      </c>
      <c r="E23" s="54"/>
      <c r="F23" s="54"/>
      <c r="G23" s="19">
        <v>0</v>
      </c>
      <c r="H23" s="54">
        <v>319</v>
      </c>
      <c r="I23" s="54"/>
      <c r="J23" s="19">
        <v>319</v>
      </c>
      <c r="K23" s="19">
        <v>319</v>
      </c>
      <c r="L23" s="19"/>
      <c r="M23" s="19">
        <v>319</v>
      </c>
      <c r="N23" s="19">
        <v>312</v>
      </c>
      <c r="O23" s="19"/>
      <c r="P23" s="19">
        <v>312</v>
      </c>
      <c r="Q23" s="19"/>
      <c r="R23" s="19"/>
      <c r="S23" s="19">
        <v>0</v>
      </c>
      <c r="T23" s="19">
        <v>348</v>
      </c>
      <c r="U23" s="19"/>
      <c r="V23" s="19">
        <v>348</v>
      </c>
      <c r="W23" s="89">
        <v>1298</v>
      </c>
      <c r="X23" s="44">
        <v>0</v>
      </c>
      <c r="Y23" s="44">
        <v>1298</v>
      </c>
      <c r="Z23" s="45">
        <v>216.33333333333334</v>
      </c>
      <c r="AA23" s="45">
        <v>0</v>
      </c>
      <c r="AB23" s="45">
        <v>216.33333333333334</v>
      </c>
      <c r="AC23" s="494">
        <f t="shared" si="2"/>
        <v>259.60000000000002</v>
      </c>
      <c r="AD23" s="494">
        <f t="shared" si="0"/>
        <v>0</v>
      </c>
      <c r="AE23" s="494">
        <f t="shared" si="1"/>
        <v>259.60000000000002</v>
      </c>
    </row>
    <row r="24" spans="1:31" ht="15.95" customHeight="1">
      <c r="A24" s="262">
        <v>20</v>
      </c>
      <c r="B24" s="55" t="s">
        <v>498</v>
      </c>
      <c r="C24" s="54" t="s">
        <v>474</v>
      </c>
      <c r="D24" s="19" t="s">
        <v>2777</v>
      </c>
      <c r="E24" s="54">
        <v>368</v>
      </c>
      <c r="F24" s="54"/>
      <c r="G24" s="19">
        <v>368</v>
      </c>
      <c r="H24" s="54">
        <v>300</v>
      </c>
      <c r="I24" s="54"/>
      <c r="J24" s="19">
        <v>300</v>
      </c>
      <c r="K24" s="19">
        <v>60</v>
      </c>
      <c r="L24" s="19"/>
      <c r="M24" s="19">
        <v>60</v>
      </c>
      <c r="N24" s="19">
        <v>164</v>
      </c>
      <c r="O24" s="19"/>
      <c r="P24" s="19">
        <v>164</v>
      </c>
      <c r="Q24" s="19">
        <v>194</v>
      </c>
      <c r="R24" s="19"/>
      <c r="S24" s="19">
        <v>194</v>
      </c>
      <c r="T24" s="19"/>
      <c r="U24" s="19"/>
      <c r="V24" s="19">
        <v>0</v>
      </c>
      <c r="W24" s="89">
        <v>1086</v>
      </c>
      <c r="X24" s="44">
        <v>0</v>
      </c>
      <c r="Y24" s="44">
        <v>1086</v>
      </c>
      <c r="Z24" s="45">
        <v>181</v>
      </c>
      <c r="AA24" s="45">
        <v>0</v>
      </c>
      <c r="AB24" s="45">
        <v>181</v>
      </c>
      <c r="AC24" s="494">
        <f t="shared" si="2"/>
        <v>217.2</v>
      </c>
      <c r="AD24" s="494">
        <f t="shared" si="0"/>
        <v>0</v>
      </c>
      <c r="AE24" s="494">
        <f t="shared" si="1"/>
        <v>217.2</v>
      </c>
    </row>
    <row r="25" spans="1:31" ht="15.95" customHeight="1">
      <c r="A25" s="370">
        <v>21</v>
      </c>
      <c r="B25" s="55" t="s">
        <v>500</v>
      </c>
      <c r="C25" s="54" t="s">
        <v>474</v>
      </c>
      <c r="D25" s="19" t="s">
        <v>2777</v>
      </c>
      <c r="E25" s="54">
        <v>307</v>
      </c>
      <c r="F25" s="54"/>
      <c r="G25" s="19">
        <v>307</v>
      </c>
      <c r="H25" s="54">
        <v>300</v>
      </c>
      <c r="I25" s="54"/>
      <c r="J25" s="19">
        <v>300</v>
      </c>
      <c r="K25" s="19">
        <v>222</v>
      </c>
      <c r="L25" s="19">
        <v>56</v>
      </c>
      <c r="M25" s="19">
        <v>278</v>
      </c>
      <c r="N25" s="19">
        <v>295</v>
      </c>
      <c r="O25" s="19"/>
      <c r="P25" s="19">
        <v>295</v>
      </c>
      <c r="Q25" s="19">
        <v>364</v>
      </c>
      <c r="R25" s="19">
        <v>56</v>
      </c>
      <c r="S25" s="19">
        <v>420</v>
      </c>
      <c r="T25" s="19">
        <v>262</v>
      </c>
      <c r="U25" s="19">
        <v>56</v>
      </c>
      <c r="V25" s="19">
        <v>318</v>
      </c>
      <c r="W25" s="89">
        <v>1750</v>
      </c>
      <c r="X25" s="44">
        <v>168</v>
      </c>
      <c r="Y25" s="44">
        <v>1918</v>
      </c>
      <c r="Z25" s="45">
        <v>291.66666666666669</v>
      </c>
      <c r="AA25" s="45">
        <v>28</v>
      </c>
      <c r="AB25" s="45">
        <v>319.66666666666669</v>
      </c>
      <c r="AC25" s="494">
        <f t="shared" si="2"/>
        <v>350</v>
      </c>
      <c r="AD25" s="494">
        <f t="shared" si="0"/>
        <v>33.6</v>
      </c>
      <c r="AE25" s="494">
        <f t="shared" si="1"/>
        <v>383.6</v>
      </c>
    </row>
    <row r="26" spans="1:31" ht="15.95" customHeight="1">
      <c r="A26" s="262">
        <v>22</v>
      </c>
      <c r="B26" s="59" t="s">
        <v>534</v>
      </c>
      <c r="C26" s="19" t="s">
        <v>510</v>
      </c>
      <c r="D26" s="19" t="s">
        <v>2778</v>
      </c>
      <c r="E26" s="19">
        <v>90</v>
      </c>
      <c r="F26" s="19"/>
      <c r="G26" s="19">
        <v>90</v>
      </c>
      <c r="H26" s="19">
        <v>146</v>
      </c>
      <c r="I26" s="19">
        <v>18</v>
      </c>
      <c r="J26" s="19">
        <v>164</v>
      </c>
      <c r="K26" s="19">
        <v>106</v>
      </c>
      <c r="L26" s="19"/>
      <c r="M26" s="19">
        <v>106</v>
      </c>
      <c r="N26" s="19"/>
      <c r="O26" s="19"/>
      <c r="P26" s="19">
        <v>0</v>
      </c>
      <c r="Q26" s="19">
        <v>106</v>
      </c>
      <c r="R26" s="19"/>
      <c r="S26" s="19">
        <v>106</v>
      </c>
      <c r="T26" s="19"/>
      <c r="U26" s="19"/>
      <c r="V26" s="100">
        <v>0</v>
      </c>
      <c r="W26" s="19">
        <v>448</v>
      </c>
      <c r="X26" s="19">
        <v>18</v>
      </c>
      <c r="Y26" s="19">
        <v>466</v>
      </c>
      <c r="Z26" s="60">
        <v>74.666666666666671</v>
      </c>
      <c r="AA26" s="60">
        <v>3</v>
      </c>
      <c r="AB26" s="60">
        <v>77.666666666666671</v>
      </c>
      <c r="AC26" s="494">
        <f t="shared" si="2"/>
        <v>89.600000000000009</v>
      </c>
      <c r="AD26" s="494">
        <f t="shared" si="0"/>
        <v>3.6</v>
      </c>
      <c r="AE26" s="494">
        <f t="shared" si="1"/>
        <v>93.2</v>
      </c>
    </row>
    <row r="27" spans="1:31" ht="15.95" customHeight="1">
      <c r="A27" s="370">
        <v>23</v>
      </c>
      <c r="B27" s="59" t="s">
        <v>536</v>
      </c>
      <c r="C27" s="19" t="s">
        <v>510</v>
      </c>
      <c r="D27" s="19" t="s">
        <v>2778</v>
      </c>
      <c r="E27" s="19">
        <v>150</v>
      </c>
      <c r="F27" s="19"/>
      <c r="G27" s="19">
        <v>150</v>
      </c>
      <c r="H27" s="19"/>
      <c r="I27" s="19"/>
      <c r="J27" s="19">
        <v>0</v>
      </c>
      <c r="K27" s="19"/>
      <c r="L27" s="19"/>
      <c r="M27" s="19">
        <v>0</v>
      </c>
      <c r="N27" s="19"/>
      <c r="O27" s="19"/>
      <c r="P27" s="19">
        <v>0</v>
      </c>
      <c r="Q27" s="19"/>
      <c r="R27" s="19"/>
      <c r="S27" s="19">
        <v>0</v>
      </c>
      <c r="T27" s="19"/>
      <c r="U27" s="19"/>
      <c r="V27" s="100">
        <v>0</v>
      </c>
      <c r="W27" s="19">
        <v>150</v>
      </c>
      <c r="X27" s="19">
        <v>0</v>
      </c>
      <c r="Y27" s="19">
        <v>150</v>
      </c>
      <c r="Z27" s="60">
        <v>25</v>
      </c>
      <c r="AA27" s="60">
        <v>0</v>
      </c>
      <c r="AB27" s="60">
        <v>25</v>
      </c>
      <c r="AC27" s="494">
        <f t="shared" si="2"/>
        <v>30</v>
      </c>
      <c r="AD27" s="494">
        <f t="shared" si="0"/>
        <v>0</v>
      </c>
      <c r="AE27" s="494">
        <f t="shared" si="1"/>
        <v>30</v>
      </c>
    </row>
    <row r="28" spans="1:31" ht="15.95" customHeight="1">
      <c r="A28" s="262">
        <v>24</v>
      </c>
      <c r="B28" s="59" t="s">
        <v>538</v>
      </c>
      <c r="C28" s="19" t="s">
        <v>510</v>
      </c>
      <c r="D28" s="19" t="s">
        <v>2778</v>
      </c>
      <c r="E28" s="19">
        <v>45</v>
      </c>
      <c r="F28" s="19"/>
      <c r="G28" s="19">
        <v>45</v>
      </c>
      <c r="H28" s="19"/>
      <c r="I28" s="19"/>
      <c r="J28" s="19">
        <v>0</v>
      </c>
      <c r="K28" s="19"/>
      <c r="L28" s="19"/>
      <c r="M28" s="19">
        <v>0</v>
      </c>
      <c r="N28" s="19"/>
      <c r="O28" s="19"/>
      <c r="P28" s="19">
        <v>0</v>
      </c>
      <c r="Q28" s="19"/>
      <c r="R28" s="19"/>
      <c r="S28" s="19">
        <v>0</v>
      </c>
      <c r="T28" s="19"/>
      <c r="U28" s="19"/>
      <c r="V28" s="100">
        <v>0</v>
      </c>
      <c r="W28" s="19">
        <v>45</v>
      </c>
      <c r="X28" s="19">
        <v>0</v>
      </c>
      <c r="Y28" s="19">
        <v>45</v>
      </c>
      <c r="Z28" s="60">
        <v>7.5</v>
      </c>
      <c r="AA28" s="60">
        <v>0</v>
      </c>
      <c r="AB28" s="60">
        <v>7.5</v>
      </c>
      <c r="AC28" s="494">
        <f t="shared" si="2"/>
        <v>9</v>
      </c>
      <c r="AD28" s="494">
        <f t="shared" si="0"/>
        <v>0</v>
      </c>
      <c r="AE28" s="494">
        <f t="shared" si="1"/>
        <v>9</v>
      </c>
    </row>
    <row r="29" spans="1:31" ht="15.95" customHeight="1">
      <c r="A29" s="370">
        <v>10</v>
      </c>
      <c r="B29" s="59" t="s">
        <v>540</v>
      </c>
      <c r="C29" s="19" t="s">
        <v>510</v>
      </c>
      <c r="D29" s="19" t="s">
        <v>2778</v>
      </c>
      <c r="E29" s="19"/>
      <c r="F29" s="19"/>
      <c r="G29" s="19">
        <v>0</v>
      </c>
      <c r="H29" s="19">
        <v>301</v>
      </c>
      <c r="I29" s="19"/>
      <c r="J29" s="19">
        <v>301</v>
      </c>
      <c r="K29" s="19"/>
      <c r="L29" s="19"/>
      <c r="M29" s="19">
        <v>0</v>
      </c>
      <c r="N29" s="19"/>
      <c r="O29" s="19"/>
      <c r="P29" s="19">
        <v>0</v>
      </c>
      <c r="Q29" s="19"/>
      <c r="R29" s="19"/>
      <c r="S29" s="19">
        <v>0</v>
      </c>
      <c r="T29" s="19">
        <v>150</v>
      </c>
      <c r="U29" s="19"/>
      <c r="V29" s="100">
        <v>150</v>
      </c>
      <c r="W29" s="19">
        <v>451</v>
      </c>
      <c r="X29" s="19">
        <v>0</v>
      </c>
      <c r="Y29" s="19">
        <v>451</v>
      </c>
      <c r="Z29" s="60">
        <v>75.166666666666671</v>
      </c>
      <c r="AA29" s="60">
        <v>0</v>
      </c>
      <c r="AB29" s="60">
        <v>75.166666666666671</v>
      </c>
      <c r="AC29" s="494">
        <f t="shared" si="2"/>
        <v>90.2</v>
      </c>
      <c r="AD29" s="494">
        <f t="shared" si="0"/>
        <v>0</v>
      </c>
      <c r="AE29" s="494">
        <f t="shared" si="1"/>
        <v>90.2</v>
      </c>
    </row>
    <row r="30" spans="1:31" ht="15.95" customHeight="1">
      <c r="A30" s="262">
        <v>11</v>
      </c>
      <c r="B30" s="59" t="s">
        <v>542</v>
      </c>
      <c r="C30" s="19" t="s">
        <v>510</v>
      </c>
      <c r="D30" s="19" t="s">
        <v>2778</v>
      </c>
      <c r="E30" s="19"/>
      <c r="F30" s="19"/>
      <c r="G30" s="19">
        <v>0</v>
      </c>
      <c r="H30" s="19"/>
      <c r="I30" s="19"/>
      <c r="J30" s="19">
        <v>0</v>
      </c>
      <c r="K30" s="19">
        <v>676</v>
      </c>
      <c r="L30" s="19"/>
      <c r="M30" s="19">
        <v>676</v>
      </c>
      <c r="N30" s="19"/>
      <c r="O30" s="19"/>
      <c r="P30" s="19">
        <v>0</v>
      </c>
      <c r="Q30" s="19"/>
      <c r="R30" s="19"/>
      <c r="S30" s="19">
        <v>0</v>
      </c>
      <c r="T30" s="19"/>
      <c r="U30" s="19"/>
      <c r="V30" s="100">
        <v>0</v>
      </c>
      <c r="W30" s="19">
        <v>676</v>
      </c>
      <c r="X30" s="19">
        <v>0</v>
      </c>
      <c r="Y30" s="19">
        <v>676</v>
      </c>
      <c r="Z30" s="60">
        <v>112.66666666666667</v>
      </c>
      <c r="AA30" s="60">
        <v>0</v>
      </c>
      <c r="AB30" s="60">
        <v>112.66666666666667</v>
      </c>
      <c r="AC30" s="494">
        <f t="shared" si="2"/>
        <v>135.20000000000002</v>
      </c>
      <c r="AD30" s="494">
        <f t="shared" si="0"/>
        <v>0</v>
      </c>
      <c r="AE30" s="494">
        <f t="shared" si="1"/>
        <v>135.20000000000002</v>
      </c>
    </row>
    <row r="31" spans="1:31" ht="15.95" customHeight="1">
      <c r="A31" s="370">
        <v>27</v>
      </c>
      <c r="B31" s="59" t="s">
        <v>559</v>
      </c>
      <c r="C31" s="19" t="s">
        <v>545</v>
      </c>
      <c r="D31" s="19" t="s">
        <v>2778</v>
      </c>
      <c r="E31" s="19"/>
      <c r="F31" s="19"/>
      <c r="G31" s="19">
        <v>0</v>
      </c>
      <c r="H31" s="19"/>
      <c r="I31" s="19"/>
      <c r="J31" s="19">
        <v>0</v>
      </c>
      <c r="K31" s="19"/>
      <c r="L31" s="19"/>
      <c r="M31" s="19">
        <v>0</v>
      </c>
      <c r="N31" s="19"/>
      <c r="O31" s="19"/>
      <c r="P31" s="19">
        <v>0</v>
      </c>
      <c r="Q31" s="19"/>
      <c r="R31" s="19"/>
      <c r="S31" s="19">
        <v>0</v>
      </c>
      <c r="T31" s="19"/>
      <c r="U31" s="19"/>
      <c r="V31" s="100">
        <v>0</v>
      </c>
      <c r="W31" s="19">
        <v>0</v>
      </c>
      <c r="X31" s="19">
        <v>0</v>
      </c>
      <c r="Y31" s="19">
        <v>0</v>
      </c>
      <c r="Z31" s="60">
        <v>0</v>
      </c>
      <c r="AA31" s="60">
        <v>0</v>
      </c>
      <c r="AB31" s="60">
        <v>0</v>
      </c>
      <c r="AC31" s="494">
        <f t="shared" si="2"/>
        <v>0</v>
      </c>
      <c r="AD31" s="494">
        <f t="shared" si="0"/>
        <v>0</v>
      </c>
      <c r="AE31" s="494">
        <f t="shared" si="1"/>
        <v>0</v>
      </c>
    </row>
    <row r="32" spans="1:31" ht="15.95" customHeight="1">
      <c r="A32" s="262">
        <v>12</v>
      </c>
      <c r="B32" s="59" t="s">
        <v>585</v>
      </c>
      <c r="C32" s="19" t="s">
        <v>562</v>
      </c>
      <c r="D32" s="19" t="s">
        <v>2778</v>
      </c>
      <c r="E32" s="19">
        <v>55</v>
      </c>
      <c r="F32" s="19"/>
      <c r="G32" s="19">
        <v>55</v>
      </c>
      <c r="H32" s="19">
        <v>106</v>
      </c>
      <c r="I32" s="19">
        <v>18</v>
      </c>
      <c r="J32" s="19">
        <v>124</v>
      </c>
      <c r="K32" s="19">
        <v>38</v>
      </c>
      <c r="L32" s="19">
        <v>18</v>
      </c>
      <c r="M32" s="19">
        <v>56</v>
      </c>
      <c r="N32" s="19">
        <v>34</v>
      </c>
      <c r="O32" s="19">
        <v>14</v>
      </c>
      <c r="P32" s="19">
        <v>48</v>
      </c>
      <c r="Q32" s="19">
        <v>60</v>
      </c>
      <c r="R32" s="19">
        <v>15</v>
      </c>
      <c r="S32" s="19">
        <v>75</v>
      </c>
      <c r="T32" s="19"/>
      <c r="U32" s="19"/>
      <c r="V32" s="100">
        <v>0</v>
      </c>
      <c r="W32" s="19">
        <v>293</v>
      </c>
      <c r="X32" s="19">
        <v>65</v>
      </c>
      <c r="Y32" s="19">
        <v>358</v>
      </c>
      <c r="Z32" s="60">
        <v>48.833333333333336</v>
      </c>
      <c r="AA32" s="60">
        <v>10.833333333333334</v>
      </c>
      <c r="AB32" s="60">
        <v>59.666666666666664</v>
      </c>
      <c r="AC32" s="494">
        <f t="shared" si="2"/>
        <v>58.6</v>
      </c>
      <c r="AD32" s="494">
        <f t="shared" si="0"/>
        <v>13</v>
      </c>
      <c r="AE32" s="494">
        <f t="shared" si="1"/>
        <v>71.599999999999994</v>
      </c>
    </row>
    <row r="33" spans="1:31" ht="15.95" customHeight="1">
      <c r="A33" s="370">
        <v>13</v>
      </c>
      <c r="B33" s="59" t="s">
        <v>587</v>
      </c>
      <c r="C33" s="19" t="s">
        <v>562</v>
      </c>
      <c r="D33" s="19" t="s">
        <v>2778</v>
      </c>
      <c r="E33" s="19"/>
      <c r="F33" s="19"/>
      <c r="G33" s="19">
        <v>0</v>
      </c>
      <c r="H33" s="19">
        <v>908</v>
      </c>
      <c r="I33" s="19">
        <v>90</v>
      </c>
      <c r="J33" s="19">
        <v>998</v>
      </c>
      <c r="K33" s="19"/>
      <c r="L33" s="19"/>
      <c r="M33" s="19">
        <v>0</v>
      </c>
      <c r="N33" s="19"/>
      <c r="O33" s="19"/>
      <c r="P33" s="19">
        <v>0</v>
      </c>
      <c r="Q33" s="19"/>
      <c r="R33" s="19"/>
      <c r="S33" s="19">
        <v>0</v>
      </c>
      <c r="T33" s="19">
        <v>986</v>
      </c>
      <c r="U33" s="19">
        <v>244</v>
      </c>
      <c r="V33" s="100">
        <v>1230</v>
      </c>
      <c r="W33" s="19">
        <v>1894</v>
      </c>
      <c r="X33" s="19">
        <v>334</v>
      </c>
      <c r="Y33" s="19">
        <v>2228</v>
      </c>
      <c r="Z33" s="60">
        <v>315.66666666666669</v>
      </c>
      <c r="AA33" s="60">
        <v>55.666666666666664</v>
      </c>
      <c r="AB33" s="60">
        <v>371.33333333333331</v>
      </c>
      <c r="AC33" s="494">
        <f t="shared" si="2"/>
        <v>378.8</v>
      </c>
      <c r="AD33" s="494">
        <f t="shared" si="0"/>
        <v>66.8</v>
      </c>
      <c r="AE33" s="494">
        <f t="shared" si="1"/>
        <v>445.59999999999997</v>
      </c>
    </row>
    <row r="34" spans="1:31" ht="15.95" customHeight="1">
      <c r="A34" s="262">
        <v>30</v>
      </c>
      <c r="B34" s="59" t="s">
        <v>610</v>
      </c>
      <c r="C34" s="19" t="s">
        <v>590</v>
      </c>
      <c r="D34" s="19" t="s">
        <v>2778</v>
      </c>
      <c r="E34" s="19">
        <v>60</v>
      </c>
      <c r="F34" s="19"/>
      <c r="G34" s="19">
        <v>60</v>
      </c>
      <c r="H34" s="19"/>
      <c r="I34" s="19"/>
      <c r="J34" s="19">
        <v>0</v>
      </c>
      <c r="K34" s="19">
        <v>25</v>
      </c>
      <c r="L34" s="19">
        <v>18</v>
      </c>
      <c r="M34" s="19">
        <v>43</v>
      </c>
      <c r="N34" s="19"/>
      <c r="O34" s="19"/>
      <c r="P34" s="19">
        <v>0</v>
      </c>
      <c r="Q34" s="19"/>
      <c r="R34" s="19">
        <v>36</v>
      </c>
      <c r="S34" s="19">
        <v>36</v>
      </c>
      <c r="T34" s="19"/>
      <c r="U34" s="19"/>
      <c r="V34" s="100">
        <v>0</v>
      </c>
      <c r="W34" s="19">
        <v>85</v>
      </c>
      <c r="X34" s="19">
        <v>54</v>
      </c>
      <c r="Y34" s="19">
        <v>139</v>
      </c>
      <c r="Z34" s="60">
        <v>14.166666666666666</v>
      </c>
      <c r="AA34" s="60">
        <v>9</v>
      </c>
      <c r="AB34" s="60">
        <v>23.166666666666668</v>
      </c>
      <c r="AC34" s="494">
        <f t="shared" si="2"/>
        <v>17</v>
      </c>
      <c r="AD34" s="494">
        <f t="shared" si="0"/>
        <v>10.8</v>
      </c>
      <c r="AE34" s="494">
        <f t="shared" si="1"/>
        <v>27.8</v>
      </c>
    </row>
    <row r="35" spans="1:31" ht="15.95" customHeight="1">
      <c r="A35" s="370">
        <v>31</v>
      </c>
      <c r="B35" s="59" t="s">
        <v>612</v>
      </c>
      <c r="C35" s="19" t="s">
        <v>590</v>
      </c>
      <c r="D35" s="19" t="s">
        <v>2778</v>
      </c>
      <c r="E35" s="19"/>
      <c r="F35" s="19"/>
      <c r="G35" s="19">
        <v>0</v>
      </c>
      <c r="H35" s="19"/>
      <c r="I35" s="19"/>
      <c r="J35" s="19">
        <v>0</v>
      </c>
      <c r="K35" s="19"/>
      <c r="L35" s="19"/>
      <c r="M35" s="19">
        <v>0</v>
      </c>
      <c r="N35" s="19"/>
      <c r="O35" s="19">
        <v>36</v>
      </c>
      <c r="P35" s="19">
        <v>36</v>
      </c>
      <c r="Q35" s="19"/>
      <c r="R35" s="19"/>
      <c r="S35" s="19">
        <v>0</v>
      </c>
      <c r="T35" s="19"/>
      <c r="U35" s="19"/>
      <c r="V35" s="100">
        <v>0</v>
      </c>
      <c r="W35" s="19">
        <v>0</v>
      </c>
      <c r="X35" s="19">
        <v>36</v>
      </c>
      <c r="Y35" s="19">
        <v>36</v>
      </c>
      <c r="Z35" s="60">
        <v>0</v>
      </c>
      <c r="AA35" s="60">
        <v>6</v>
      </c>
      <c r="AB35" s="60">
        <v>6</v>
      </c>
      <c r="AC35" s="494">
        <f t="shared" si="2"/>
        <v>0</v>
      </c>
      <c r="AD35" s="494">
        <f t="shared" si="0"/>
        <v>7.2</v>
      </c>
      <c r="AE35" s="494">
        <f t="shared" si="1"/>
        <v>7.2</v>
      </c>
    </row>
    <row r="36" spans="1:31" ht="15.95" customHeight="1">
      <c r="A36" s="262">
        <v>32</v>
      </c>
      <c r="B36" s="59" t="s">
        <v>706</v>
      </c>
      <c r="C36" s="19" t="s">
        <v>675</v>
      </c>
      <c r="D36" s="19" t="s">
        <v>2779</v>
      </c>
      <c r="E36" s="19">
        <v>158</v>
      </c>
      <c r="F36" s="19"/>
      <c r="G36" s="19">
        <v>158</v>
      </c>
      <c r="H36" s="19"/>
      <c r="I36" s="19"/>
      <c r="J36" s="19">
        <v>0</v>
      </c>
      <c r="K36" s="19"/>
      <c r="L36" s="19"/>
      <c r="M36" s="19">
        <v>0</v>
      </c>
      <c r="N36" s="19"/>
      <c r="O36" s="19"/>
      <c r="P36" s="19">
        <v>0</v>
      </c>
      <c r="Q36" s="19"/>
      <c r="R36" s="19"/>
      <c r="S36" s="19">
        <v>0</v>
      </c>
      <c r="T36" s="19"/>
      <c r="U36" s="19"/>
      <c r="V36" s="19">
        <v>0</v>
      </c>
      <c r="W36" s="100">
        <v>158</v>
      </c>
      <c r="X36" s="19">
        <v>0</v>
      </c>
      <c r="Y36" s="19">
        <v>158</v>
      </c>
      <c r="Z36" s="60">
        <v>26.333333333333332</v>
      </c>
      <c r="AA36" s="60">
        <v>0</v>
      </c>
      <c r="AB36" s="60">
        <v>26.333333333333332</v>
      </c>
      <c r="AC36" s="494">
        <f t="shared" si="2"/>
        <v>31.599999999999998</v>
      </c>
      <c r="AD36" s="494">
        <f t="shared" si="0"/>
        <v>0</v>
      </c>
      <c r="AE36" s="494">
        <f t="shared" si="1"/>
        <v>31.599999999999998</v>
      </c>
    </row>
    <row r="37" spans="1:31" ht="15.95" customHeight="1">
      <c r="A37" s="370">
        <v>14</v>
      </c>
      <c r="B37" s="59" t="s">
        <v>708</v>
      </c>
      <c r="C37" s="19" t="s">
        <v>675</v>
      </c>
      <c r="D37" s="19" t="s">
        <v>2779</v>
      </c>
      <c r="E37" s="19"/>
      <c r="F37" s="19"/>
      <c r="G37" s="19">
        <v>0</v>
      </c>
      <c r="H37" s="19"/>
      <c r="I37" s="19"/>
      <c r="J37" s="19">
        <v>0</v>
      </c>
      <c r="K37" s="19"/>
      <c r="L37" s="19"/>
      <c r="M37" s="19">
        <v>0</v>
      </c>
      <c r="N37" s="19">
        <v>106</v>
      </c>
      <c r="O37" s="19">
        <v>16</v>
      </c>
      <c r="P37" s="19">
        <v>122</v>
      </c>
      <c r="Q37" s="19"/>
      <c r="R37" s="19"/>
      <c r="S37" s="19">
        <v>0</v>
      </c>
      <c r="T37" s="19">
        <v>214</v>
      </c>
      <c r="U37" s="19">
        <v>38</v>
      </c>
      <c r="V37" s="19">
        <v>252</v>
      </c>
      <c r="W37" s="100">
        <v>320</v>
      </c>
      <c r="X37" s="19">
        <v>54</v>
      </c>
      <c r="Y37" s="19">
        <v>374</v>
      </c>
      <c r="Z37" s="60">
        <v>53.333333333333336</v>
      </c>
      <c r="AA37" s="60">
        <v>9</v>
      </c>
      <c r="AB37" s="60">
        <v>62.333333333333336</v>
      </c>
      <c r="AC37" s="494">
        <f t="shared" si="2"/>
        <v>64</v>
      </c>
      <c r="AD37" s="494">
        <f t="shared" si="0"/>
        <v>10.8</v>
      </c>
      <c r="AE37" s="494">
        <f t="shared" si="1"/>
        <v>74.800000000000011</v>
      </c>
    </row>
    <row r="38" spans="1:31" ht="15.95" customHeight="1">
      <c r="A38" s="262">
        <v>15</v>
      </c>
      <c r="B38" s="59" t="s">
        <v>710</v>
      </c>
      <c r="C38" s="19" t="s">
        <v>675</v>
      </c>
      <c r="D38" s="19" t="s">
        <v>2779</v>
      </c>
      <c r="E38" s="19">
        <v>148</v>
      </c>
      <c r="F38" s="19"/>
      <c r="G38" s="19">
        <v>148</v>
      </c>
      <c r="H38" s="19"/>
      <c r="I38" s="19"/>
      <c r="J38" s="19">
        <v>0</v>
      </c>
      <c r="K38" s="19">
        <v>194</v>
      </c>
      <c r="L38" s="19"/>
      <c r="M38" s="19">
        <v>194</v>
      </c>
      <c r="N38" s="19"/>
      <c r="O38" s="19"/>
      <c r="P38" s="19">
        <v>0</v>
      </c>
      <c r="Q38" s="19"/>
      <c r="R38" s="19"/>
      <c r="S38" s="19">
        <v>0</v>
      </c>
      <c r="T38" s="19">
        <v>110</v>
      </c>
      <c r="U38" s="19"/>
      <c r="V38" s="19">
        <v>110</v>
      </c>
      <c r="W38" s="100">
        <v>452</v>
      </c>
      <c r="X38" s="19">
        <v>0</v>
      </c>
      <c r="Y38" s="19">
        <v>452</v>
      </c>
      <c r="Z38" s="60">
        <v>75.333333333333329</v>
      </c>
      <c r="AA38" s="60">
        <v>0</v>
      </c>
      <c r="AB38" s="60">
        <v>75.333333333333329</v>
      </c>
      <c r="AC38" s="494">
        <f t="shared" si="2"/>
        <v>90.399999999999991</v>
      </c>
      <c r="AD38" s="494">
        <f t="shared" si="0"/>
        <v>0</v>
      </c>
      <c r="AE38" s="494">
        <f t="shared" si="1"/>
        <v>90.399999999999991</v>
      </c>
    </row>
    <row r="39" spans="1:31" ht="15.95" customHeight="1">
      <c r="A39" s="370">
        <v>35</v>
      </c>
      <c r="B39" s="59" t="s">
        <v>712</v>
      </c>
      <c r="C39" s="19" t="s">
        <v>675</v>
      </c>
      <c r="D39" s="19" t="s">
        <v>2779</v>
      </c>
      <c r="E39" s="19"/>
      <c r="F39" s="19"/>
      <c r="G39" s="19">
        <v>0</v>
      </c>
      <c r="H39" s="19"/>
      <c r="I39" s="19"/>
      <c r="J39" s="19">
        <v>0</v>
      </c>
      <c r="K39" s="19"/>
      <c r="L39" s="19"/>
      <c r="M39" s="19">
        <v>0</v>
      </c>
      <c r="N39" s="19"/>
      <c r="O39" s="19"/>
      <c r="P39" s="19">
        <v>0</v>
      </c>
      <c r="Q39" s="19"/>
      <c r="R39" s="19"/>
      <c r="S39" s="19">
        <v>0</v>
      </c>
      <c r="T39" s="19"/>
      <c r="U39" s="19"/>
      <c r="V39" s="19">
        <v>0</v>
      </c>
      <c r="W39" s="100">
        <v>0</v>
      </c>
      <c r="X39" s="19">
        <v>0</v>
      </c>
      <c r="Y39" s="19">
        <v>0</v>
      </c>
      <c r="Z39" s="60">
        <v>0</v>
      </c>
      <c r="AA39" s="60">
        <v>0</v>
      </c>
      <c r="AB39" s="60">
        <v>0</v>
      </c>
      <c r="AC39" s="494">
        <f t="shared" si="2"/>
        <v>0</v>
      </c>
      <c r="AD39" s="494">
        <f t="shared" si="0"/>
        <v>0</v>
      </c>
      <c r="AE39" s="494">
        <f t="shared" si="1"/>
        <v>0</v>
      </c>
    </row>
    <row r="40" spans="1:31" ht="15.95" customHeight="1">
      <c r="A40" s="262">
        <v>16</v>
      </c>
      <c r="B40" s="59" t="s">
        <v>714</v>
      </c>
      <c r="C40" s="19" t="s">
        <v>675</v>
      </c>
      <c r="D40" s="19" t="s">
        <v>2779</v>
      </c>
      <c r="E40" s="19">
        <v>138</v>
      </c>
      <c r="F40" s="19"/>
      <c r="G40" s="19">
        <v>138</v>
      </c>
      <c r="H40" s="19"/>
      <c r="I40" s="19"/>
      <c r="J40" s="19">
        <v>0</v>
      </c>
      <c r="K40" s="19">
        <v>114</v>
      </c>
      <c r="L40" s="19"/>
      <c r="M40" s="19">
        <v>114</v>
      </c>
      <c r="N40" s="19"/>
      <c r="O40" s="19"/>
      <c r="P40" s="19">
        <v>0</v>
      </c>
      <c r="Q40" s="19"/>
      <c r="R40" s="19"/>
      <c r="S40" s="19">
        <v>0</v>
      </c>
      <c r="T40" s="19">
        <v>168</v>
      </c>
      <c r="U40" s="19"/>
      <c r="V40" s="19">
        <v>168</v>
      </c>
      <c r="W40" s="100">
        <v>420</v>
      </c>
      <c r="X40" s="19">
        <v>0</v>
      </c>
      <c r="Y40" s="19">
        <v>420</v>
      </c>
      <c r="Z40" s="60">
        <v>70</v>
      </c>
      <c r="AA40" s="60">
        <v>0</v>
      </c>
      <c r="AB40" s="60">
        <v>70</v>
      </c>
      <c r="AC40" s="494">
        <f t="shared" si="2"/>
        <v>84</v>
      </c>
      <c r="AD40" s="494">
        <f t="shared" si="0"/>
        <v>0</v>
      </c>
      <c r="AE40" s="494">
        <f t="shared" si="1"/>
        <v>84</v>
      </c>
    </row>
    <row r="41" spans="1:31" ht="15.95" customHeight="1">
      <c r="A41" s="370">
        <v>37</v>
      </c>
      <c r="B41" s="59" t="s">
        <v>742</v>
      </c>
      <c r="C41" s="19" t="s">
        <v>717</v>
      </c>
      <c r="D41" s="19" t="s">
        <v>2779</v>
      </c>
      <c r="E41" s="19"/>
      <c r="F41" s="19"/>
      <c r="G41" s="19">
        <v>0</v>
      </c>
      <c r="H41" s="19"/>
      <c r="I41" s="19"/>
      <c r="J41" s="19">
        <v>0</v>
      </c>
      <c r="K41" s="19"/>
      <c r="L41" s="19"/>
      <c r="M41" s="19">
        <v>0</v>
      </c>
      <c r="N41" s="19">
        <v>40</v>
      </c>
      <c r="O41" s="19"/>
      <c r="P41" s="19">
        <v>40</v>
      </c>
      <c r="Q41" s="19"/>
      <c r="R41" s="19"/>
      <c r="S41" s="19">
        <v>0</v>
      </c>
      <c r="T41" s="19">
        <v>50</v>
      </c>
      <c r="U41" s="19"/>
      <c r="V41" s="19">
        <v>50</v>
      </c>
      <c r="W41" s="100">
        <v>90</v>
      </c>
      <c r="X41" s="19">
        <v>0</v>
      </c>
      <c r="Y41" s="19">
        <v>90</v>
      </c>
      <c r="Z41" s="60">
        <v>15</v>
      </c>
      <c r="AA41" s="60">
        <v>0</v>
      </c>
      <c r="AB41" s="60">
        <v>15</v>
      </c>
      <c r="AC41" s="494">
        <f t="shared" si="2"/>
        <v>18</v>
      </c>
      <c r="AD41" s="494">
        <f t="shared" si="0"/>
        <v>0</v>
      </c>
      <c r="AE41" s="494">
        <f t="shared" si="1"/>
        <v>18</v>
      </c>
    </row>
    <row r="42" spans="1:31" ht="15.95" customHeight="1">
      <c r="A42" s="262">
        <v>38</v>
      </c>
      <c r="B42" s="59" t="s">
        <v>744</v>
      </c>
      <c r="C42" s="19" t="s">
        <v>717</v>
      </c>
      <c r="D42" s="19" t="s">
        <v>2779</v>
      </c>
      <c r="E42" s="19">
        <v>40</v>
      </c>
      <c r="F42" s="19"/>
      <c r="G42" s="19">
        <v>40</v>
      </c>
      <c r="H42" s="19">
        <v>80</v>
      </c>
      <c r="I42" s="19"/>
      <c r="J42" s="19">
        <v>80</v>
      </c>
      <c r="K42" s="19"/>
      <c r="L42" s="19"/>
      <c r="M42" s="19">
        <v>0</v>
      </c>
      <c r="N42" s="19"/>
      <c r="O42" s="19"/>
      <c r="P42" s="19">
        <v>0</v>
      </c>
      <c r="Q42" s="19"/>
      <c r="R42" s="19"/>
      <c r="S42" s="19">
        <v>0</v>
      </c>
      <c r="T42" s="19">
        <v>38</v>
      </c>
      <c r="U42" s="19"/>
      <c r="V42" s="19">
        <v>38</v>
      </c>
      <c r="W42" s="100">
        <v>158</v>
      </c>
      <c r="X42" s="19">
        <v>0</v>
      </c>
      <c r="Y42" s="19">
        <v>158</v>
      </c>
      <c r="Z42" s="60">
        <v>26.333333333333332</v>
      </c>
      <c r="AA42" s="60">
        <v>0</v>
      </c>
      <c r="AB42" s="60">
        <v>26.333333333333332</v>
      </c>
      <c r="AC42" s="494">
        <f t="shared" si="2"/>
        <v>31.599999999999998</v>
      </c>
      <c r="AD42" s="494">
        <f t="shared" si="0"/>
        <v>0</v>
      </c>
      <c r="AE42" s="494">
        <f t="shared" si="1"/>
        <v>31.599999999999998</v>
      </c>
    </row>
    <row r="43" spans="1:31" ht="15.95" customHeight="1">
      <c r="A43" s="370">
        <v>17</v>
      </c>
      <c r="B43" s="59" t="s">
        <v>746</v>
      </c>
      <c r="C43" s="19" t="s">
        <v>717</v>
      </c>
      <c r="D43" s="19" t="s">
        <v>2779</v>
      </c>
      <c r="E43" s="19">
        <v>300</v>
      </c>
      <c r="F43" s="19"/>
      <c r="G43" s="19">
        <v>300</v>
      </c>
      <c r="H43" s="19"/>
      <c r="I43" s="19"/>
      <c r="J43" s="19">
        <v>0</v>
      </c>
      <c r="K43" s="19"/>
      <c r="L43" s="19"/>
      <c r="M43" s="19">
        <v>0</v>
      </c>
      <c r="N43" s="19"/>
      <c r="O43" s="19"/>
      <c r="P43" s="19">
        <v>0</v>
      </c>
      <c r="Q43" s="19"/>
      <c r="R43" s="19"/>
      <c r="S43" s="19">
        <v>0</v>
      </c>
      <c r="T43" s="19">
        <v>120</v>
      </c>
      <c r="U43" s="19">
        <v>18</v>
      </c>
      <c r="V43" s="19">
        <v>138</v>
      </c>
      <c r="W43" s="100">
        <v>420</v>
      </c>
      <c r="X43" s="19">
        <v>18</v>
      </c>
      <c r="Y43" s="19">
        <v>438</v>
      </c>
      <c r="Z43" s="60">
        <v>70</v>
      </c>
      <c r="AA43" s="60">
        <v>3</v>
      </c>
      <c r="AB43" s="60">
        <v>73</v>
      </c>
      <c r="AC43" s="494">
        <f t="shared" si="2"/>
        <v>84</v>
      </c>
      <c r="AD43" s="494">
        <f t="shared" si="0"/>
        <v>3.6</v>
      </c>
      <c r="AE43" s="494">
        <f t="shared" si="1"/>
        <v>87.6</v>
      </c>
    </row>
    <row r="44" spans="1:31" ht="15.95" customHeight="1">
      <c r="A44" s="262">
        <v>18</v>
      </c>
      <c r="B44" s="59" t="s">
        <v>748</v>
      </c>
      <c r="C44" s="19" t="s">
        <v>717</v>
      </c>
      <c r="D44" s="19" t="s">
        <v>2779</v>
      </c>
      <c r="E44" s="19">
        <v>160</v>
      </c>
      <c r="F44" s="19"/>
      <c r="G44" s="19">
        <v>160</v>
      </c>
      <c r="H44" s="19"/>
      <c r="I44" s="19"/>
      <c r="J44" s="19">
        <v>0</v>
      </c>
      <c r="K44" s="19"/>
      <c r="L44" s="19"/>
      <c r="M44" s="19">
        <v>0</v>
      </c>
      <c r="N44" s="19"/>
      <c r="O44" s="19"/>
      <c r="P44" s="19">
        <v>0</v>
      </c>
      <c r="Q44" s="19"/>
      <c r="R44" s="19"/>
      <c r="S44" s="19">
        <v>0</v>
      </c>
      <c r="T44" s="19">
        <v>120</v>
      </c>
      <c r="U44" s="19"/>
      <c r="V44" s="19">
        <v>120</v>
      </c>
      <c r="W44" s="100">
        <v>280</v>
      </c>
      <c r="X44" s="19">
        <v>0</v>
      </c>
      <c r="Y44" s="19">
        <v>280</v>
      </c>
      <c r="Z44" s="60">
        <v>46.666666666666664</v>
      </c>
      <c r="AA44" s="60">
        <v>0</v>
      </c>
      <c r="AB44" s="60">
        <v>46.666666666666664</v>
      </c>
      <c r="AC44" s="494">
        <f t="shared" si="2"/>
        <v>56</v>
      </c>
      <c r="AD44" s="494">
        <f t="shared" si="0"/>
        <v>0</v>
      </c>
      <c r="AE44" s="494">
        <f t="shared" si="1"/>
        <v>56</v>
      </c>
    </row>
    <row r="45" spans="1:31" ht="15.95" customHeight="1">
      <c r="A45" s="491">
        <v>41</v>
      </c>
      <c r="B45" s="59" t="s">
        <v>775</v>
      </c>
      <c r="C45" s="19" t="s">
        <v>751</v>
      </c>
      <c r="D45" s="19" t="s">
        <v>2779</v>
      </c>
      <c r="E45" s="19">
        <v>200</v>
      </c>
      <c r="F45" s="19"/>
      <c r="G45" s="19">
        <v>200</v>
      </c>
      <c r="H45" s="19"/>
      <c r="I45" s="19"/>
      <c r="J45" s="19">
        <v>0</v>
      </c>
      <c r="K45" s="19"/>
      <c r="L45" s="19"/>
      <c r="M45" s="19">
        <v>0</v>
      </c>
      <c r="N45" s="19"/>
      <c r="O45" s="19"/>
      <c r="P45" s="19">
        <v>0</v>
      </c>
      <c r="Q45" s="19">
        <v>0</v>
      </c>
      <c r="R45" s="19"/>
      <c r="S45" s="19">
        <v>0</v>
      </c>
      <c r="T45" s="19"/>
      <c r="U45" s="19"/>
      <c r="V45" s="19">
        <v>0</v>
      </c>
      <c r="W45" s="100">
        <v>200</v>
      </c>
      <c r="X45" s="19">
        <v>0</v>
      </c>
      <c r="Y45" s="19">
        <v>200</v>
      </c>
      <c r="Z45" s="60">
        <v>33.333333333333336</v>
      </c>
      <c r="AA45" s="60">
        <v>0</v>
      </c>
      <c r="AB45" s="60">
        <v>33.333333333333336</v>
      </c>
      <c r="AC45" s="494">
        <f t="shared" si="2"/>
        <v>40</v>
      </c>
      <c r="AD45" s="494">
        <f t="shared" si="0"/>
        <v>0</v>
      </c>
      <c r="AE45" s="494">
        <f t="shared" si="1"/>
        <v>40</v>
      </c>
    </row>
    <row r="46" spans="1:31" ht="15.95" customHeight="1">
      <c r="A46" s="262">
        <v>42</v>
      </c>
      <c r="B46" s="59" t="s">
        <v>777</v>
      </c>
      <c r="C46" s="19" t="s">
        <v>751</v>
      </c>
      <c r="D46" s="19" t="s">
        <v>2779</v>
      </c>
      <c r="E46" s="19"/>
      <c r="F46" s="19"/>
      <c r="G46" s="19">
        <v>0</v>
      </c>
      <c r="H46" s="19">
        <v>78</v>
      </c>
      <c r="I46" s="19"/>
      <c r="J46" s="19">
        <v>78</v>
      </c>
      <c r="K46" s="19"/>
      <c r="L46" s="19"/>
      <c r="M46" s="19">
        <v>0</v>
      </c>
      <c r="N46" s="19"/>
      <c r="O46" s="19"/>
      <c r="P46" s="19">
        <v>0</v>
      </c>
      <c r="Q46" s="19">
        <v>76</v>
      </c>
      <c r="R46" s="19"/>
      <c r="S46" s="19">
        <v>76</v>
      </c>
      <c r="T46" s="19"/>
      <c r="U46" s="19"/>
      <c r="V46" s="19">
        <v>0</v>
      </c>
      <c r="W46" s="100">
        <v>154</v>
      </c>
      <c r="X46" s="19">
        <v>0</v>
      </c>
      <c r="Y46" s="19">
        <v>154</v>
      </c>
      <c r="Z46" s="60">
        <v>25.666666666666668</v>
      </c>
      <c r="AA46" s="60">
        <v>0</v>
      </c>
      <c r="AB46" s="60">
        <v>25.666666666666668</v>
      </c>
      <c r="AC46" s="494">
        <f t="shared" si="2"/>
        <v>30.8</v>
      </c>
      <c r="AD46" s="494">
        <f t="shared" si="0"/>
        <v>0</v>
      </c>
      <c r="AE46" s="494">
        <f t="shared" si="1"/>
        <v>30.8</v>
      </c>
    </row>
    <row r="47" spans="1:31" ht="15.95" customHeight="1">
      <c r="A47" s="491">
        <v>43</v>
      </c>
      <c r="B47" s="59" t="s">
        <v>801</v>
      </c>
      <c r="C47" s="19" t="s">
        <v>780</v>
      </c>
      <c r="D47" s="19" t="s">
        <v>2779</v>
      </c>
      <c r="E47" s="19">
        <v>312</v>
      </c>
      <c r="F47" s="19">
        <v>15</v>
      </c>
      <c r="G47" s="19">
        <v>327</v>
      </c>
      <c r="H47" s="19">
        <v>804</v>
      </c>
      <c r="I47" s="19">
        <v>125</v>
      </c>
      <c r="J47" s="19">
        <v>929</v>
      </c>
      <c r="K47" s="19">
        <v>354</v>
      </c>
      <c r="L47" s="19">
        <v>35</v>
      </c>
      <c r="M47" s="19">
        <v>389</v>
      </c>
      <c r="N47" s="19"/>
      <c r="O47" s="19"/>
      <c r="P47" s="19">
        <v>0</v>
      </c>
      <c r="Q47" s="19">
        <v>330</v>
      </c>
      <c r="R47" s="19">
        <v>35</v>
      </c>
      <c r="S47" s="19">
        <v>365</v>
      </c>
      <c r="T47" s="19">
        <v>540</v>
      </c>
      <c r="U47" s="19">
        <v>43</v>
      </c>
      <c r="V47" s="19">
        <v>583</v>
      </c>
      <c r="W47" s="100">
        <v>2340</v>
      </c>
      <c r="X47" s="19">
        <v>253</v>
      </c>
      <c r="Y47" s="19">
        <v>2593</v>
      </c>
      <c r="Z47" s="60">
        <v>390</v>
      </c>
      <c r="AA47" s="60">
        <v>42.166666666666664</v>
      </c>
      <c r="AB47" s="60">
        <v>432.16666666666669</v>
      </c>
      <c r="AC47" s="494">
        <f t="shared" si="2"/>
        <v>468</v>
      </c>
      <c r="AD47" s="494">
        <f t="shared" si="0"/>
        <v>50.599999999999994</v>
      </c>
      <c r="AE47" s="494">
        <f t="shared" si="1"/>
        <v>518.6</v>
      </c>
    </row>
    <row r="48" spans="1:31" ht="15.95" customHeight="1">
      <c r="A48" s="262">
        <v>44</v>
      </c>
      <c r="B48" s="59" t="s">
        <v>2822</v>
      </c>
      <c r="C48" s="19" t="s">
        <v>780</v>
      </c>
      <c r="D48" s="19" t="s">
        <v>2779</v>
      </c>
      <c r="E48" s="19"/>
      <c r="F48" s="19"/>
      <c r="G48" s="19">
        <v>0</v>
      </c>
      <c r="H48" s="19"/>
      <c r="I48" s="19"/>
      <c r="J48" s="19">
        <v>0</v>
      </c>
      <c r="K48" s="19"/>
      <c r="L48" s="19"/>
      <c r="M48" s="19">
        <v>0</v>
      </c>
      <c r="N48" s="19"/>
      <c r="O48" s="19"/>
      <c r="P48" s="19">
        <v>0</v>
      </c>
      <c r="Q48" s="19">
        <v>166</v>
      </c>
      <c r="R48" s="19"/>
      <c r="S48" s="19">
        <v>166</v>
      </c>
      <c r="T48" s="19"/>
      <c r="U48" s="19"/>
      <c r="V48" s="19">
        <v>0</v>
      </c>
      <c r="W48" s="100">
        <v>166</v>
      </c>
      <c r="X48" s="19">
        <v>0</v>
      </c>
      <c r="Y48" s="19">
        <v>166</v>
      </c>
      <c r="Z48" s="60">
        <v>27.666666666666668</v>
      </c>
      <c r="AA48" s="60">
        <v>0</v>
      </c>
      <c r="AB48" s="60">
        <v>27.666666666666668</v>
      </c>
      <c r="AC48" s="494">
        <f t="shared" si="2"/>
        <v>33.200000000000003</v>
      </c>
      <c r="AD48" s="494">
        <f t="shared" si="0"/>
        <v>0</v>
      </c>
      <c r="AE48" s="494">
        <f t="shared" si="1"/>
        <v>33.200000000000003</v>
      </c>
    </row>
    <row r="49" spans="1:31" ht="15.95" customHeight="1">
      <c r="A49" s="491">
        <v>19</v>
      </c>
      <c r="B49" s="59" t="s">
        <v>828</v>
      </c>
      <c r="C49" s="19" t="s">
        <v>805</v>
      </c>
      <c r="D49" s="19" t="s">
        <v>2779</v>
      </c>
      <c r="E49" s="19"/>
      <c r="F49" s="19"/>
      <c r="G49" s="19">
        <v>0</v>
      </c>
      <c r="H49" s="19">
        <v>60</v>
      </c>
      <c r="I49" s="19"/>
      <c r="J49" s="19">
        <v>60</v>
      </c>
      <c r="K49" s="19"/>
      <c r="L49" s="19"/>
      <c r="M49" s="19">
        <v>0</v>
      </c>
      <c r="N49" s="19">
        <v>300</v>
      </c>
      <c r="O49" s="19">
        <v>0</v>
      </c>
      <c r="P49" s="19">
        <v>300</v>
      </c>
      <c r="Q49" s="19">
        <v>400</v>
      </c>
      <c r="R49" s="19"/>
      <c r="S49" s="19">
        <v>400</v>
      </c>
      <c r="T49" s="19"/>
      <c r="U49" s="19"/>
      <c r="V49" s="19">
        <v>0</v>
      </c>
      <c r="W49" s="100">
        <v>760</v>
      </c>
      <c r="X49" s="19">
        <v>0</v>
      </c>
      <c r="Y49" s="19">
        <v>760</v>
      </c>
      <c r="Z49" s="60">
        <v>126.66666666666667</v>
      </c>
      <c r="AA49" s="60">
        <v>0</v>
      </c>
      <c r="AB49" s="60">
        <v>126.66666666666667</v>
      </c>
      <c r="AC49" s="494">
        <f t="shared" si="2"/>
        <v>152</v>
      </c>
      <c r="AD49" s="494">
        <f t="shared" si="0"/>
        <v>0</v>
      </c>
      <c r="AE49" s="494">
        <f t="shared" si="1"/>
        <v>152</v>
      </c>
    </row>
    <row r="50" spans="1:31" ht="15.95" customHeight="1">
      <c r="A50" s="262">
        <v>46</v>
      </c>
      <c r="B50" s="59" t="s">
        <v>830</v>
      </c>
      <c r="C50" s="19" t="s">
        <v>805</v>
      </c>
      <c r="D50" s="19" t="s">
        <v>2779</v>
      </c>
      <c r="E50" s="19"/>
      <c r="F50" s="19"/>
      <c r="G50" s="19">
        <v>0</v>
      </c>
      <c r="H50" s="19"/>
      <c r="I50" s="19"/>
      <c r="J50" s="19">
        <v>0</v>
      </c>
      <c r="K50" s="19"/>
      <c r="L50" s="19"/>
      <c r="M50" s="19">
        <v>0</v>
      </c>
      <c r="N50" s="19">
        <v>127</v>
      </c>
      <c r="O50" s="19"/>
      <c r="P50" s="19">
        <v>127</v>
      </c>
      <c r="Q50" s="19">
        <v>184</v>
      </c>
      <c r="R50" s="19"/>
      <c r="S50" s="19">
        <v>184</v>
      </c>
      <c r="T50" s="19"/>
      <c r="U50" s="19"/>
      <c r="V50" s="19">
        <v>0</v>
      </c>
      <c r="W50" s="100">
        <v>311</v>
      </c>
      <c r="X50" s="19">
        <v>0</v>
      </c>
      <c r="Y50" s="19">
        <v>311</v>
      </c>
      <c r="Z50" s="60">
        <v>51.833333333333336</v>
      </c>
      <c r="AA50" s="60">
        <v>0</v>
      </c>
      <c r="AB50" s="60">
        <v>51.833333333333336</v>
      </c>
      <c r="AC50" s="494">
        <f t="shared" si="2"/>
        <v>62.2</v>
      </c>
      <c r="AD50" s="494">
        <f t="shared" si="0"/>
        <v>0</v>
      </c>
      <c r="AE50" s="494">
        <f t="shared" si="1"/>
        <v>62.2</v>
      </c>
    </row>
    <row r="51" spans="1:31" ht="15.95" customHeight="1">
      <c r="A51" s="491">
        <v>20</v>
      </c>
      <c r="B51" s="59" t="s">
        <v>832</v>
      </c>
      <c r="C51" s="19" t="s">
        <v>805</v>
      </c>
      <c r="D51" s="19" t="s">
        <v>2779</v>
      </c>
      <c r="E51" s="19"/>
      <c r="F51" s="19"/>
      <c r="G51" s="19">
        <v>0</v>
      </c>
      <c r="H51" s="19"/>
      <c r="I51" s="19"/>
      <c r="J51" s="19">
        <v>0</v>
      </c>
      <c r="K51" s="19"/>
      <c r="L51" s="19"/>
      <c r="M51" s="19">
        <v>0</v>
      </c>
      <c r="N51" s="19"/>
      <c r="O51" s="19"/>
      <c r="P51" s="19">
        <v>0</v>
      </c>
      <c r="Q51" s="19">
        <v>260</v>
      </c>
      <c r="R51" s="19">
        <v>54</v>
      </c>
      <c r="S51" s="19">
        <v>314</v>
      </c>
      <c r="T51" s="19"/>
      <c r="U51" s="19"/>
      <c r="V51" s="19">
        <v>0</v>
      </c>
      <c r="W51" s="100">
        <v>260</v>
      </c>
      <c r="X51" s="19">
        <v>54</v>
      </c>
      <c r="Y51" s="19">
        <v>314</v>
      </c>
      <c r="Z51" s="60">
        <v>43.333333333333336</v>
      </c>
      <c r="AA51" s="60">
        <v>9</v>
      </c>
      <c r="AB51" s="60">
        <v>52.333333333333336</v>
      </c>
      <c r="AC51" s="494">
        <f t="shared" si="2"/>
        <v>52</v>
      </c>
      <c r="AD51" s="494">
        <f t="shared" si="0"/>
        <v>10.8</v>
      </c>
      <c r="AE51" s="494">
        <f t="shared" si="1"/>
        <v>62.800000000000004</v>
      </c>
    </row>
    <row r="52" spans="1:31" ht="15.95" customHeight="1">
      <c r="A52" s="262">
        <v>21</v>
      </c>
      <c r="B52" s="59" t="s">
        <v>834</v>
      </c>
      <c r="C52" s="19" t="s">
        <v>805</v>
      </c>
      <c r="D52" s="19" t="s">
        <v>2779</v>
      </c>
      <c r="E52" s="19"/>
      <c r="F52" s="19"/>
      <c r="G52" s="19">
        <v>0</v>
      </c>
      <c r="H52" s="19"/>
      <c r="I52" s="19"/>
      <c r="J52" s="19">
        <v>0</v>
      </c>
      <c r="K52" s="19"/>
      <c r="L52" s="19"/>
      <c r="M52" s="19">
        <v>0</v>
      </c>
      <c r="N52" s="19">
        <v>120</v>
      </c>
      <c r="O52" s="19"/>
      <c r="P52" s="19">
        <v>120</v>
      </c>
      <c r="Q52" s="19">
        <v>300</v>
      </c>
      <c r="R52" s="19"/>
      <c r="S52" s="19">
        <v>300</v>
      </c>
      <c r="T52" s="19"/>
      <c r="U52" s="19"/>
      <c r="V52" s="19">
        <v>0</v>
      </c>
      <c r="W52" s="100">
        <v>420</v>
      </c>
      <c r="X52" s="19">
        <v>0</v>
      </c>
      <c r="Y52" s="19">
        <v>420</v>
      </c>
      <c r="Z52" s="60">
        <v>70</v>
      </c>
      <c r="AA52" s="60">
        <v>0</v>
      </c>
      <c r="AB52" s="60">
        <v>70</v>
      </c>
      <c r="AC52" s="494">
        <f t="shared" si="2"/>
        <v>84</v>
      </c>
      <c r="AD52" s="494">
        <f t="shared" si="0"/>
        <v>0</v>
      </c>
      <c r="AE52" s="494">
        <f t="shared" si="1"/>
        <v>84</v>
      </c>
    </row>
    <row r="53" spans="1:31" ht="15.95" customHeight="1">
      <c r="A53" s="491">
        <v>49</v>
      </c>
      <c r="B53" s="59" t="s">
        <v>836</v>
      </c>
      <c r="C53" s="19" t="s">
        <v>805</v>
      </c>
      <c r="D53" s="19" t="s">
        <v>2779</v>
      </c>
      <c r="E53" s="19"/>
      <c r="F53" s="19"/>
      <c r="G53" s="19">
        <v>0</v>
      </c>
      <c r="H53" s="19"/>
      <c r="I53" s="19"/>
      <c r="J53" s="19">
        <v>0</v>
      </c>
      <c r="K53" s="19"/>
      <c r="L53" s="19"/>
      <c r="M53" s="19">
        <v>0</v>
      </c>
      <c r="N53" s="19"/>
      <c r="O53" s="19"/>
      <c r="P53" s="19">
        <v>0</v>
      </c>
      <c r="Q53" s="19"/>
      <c r="R53" s="19"/>
      <c r="S53" s="19">
        <v>0</v>
      </c>
      <c r="T53" s="19"/>
      <c r="U53" s="19"/>
      <c r="V53" s="19">
        <v>0</v>
      </c>
      <c r="W53" s="100">
        <v>0</v>
      </c>
      <c r="X53" s="19">
        <v>0</v>
      </c>
      <c r="Y53" s="19">
        <v>0</v>
      </c>
      <c r="Z53" s="60">
        <v>0</v>
      </c>
      <c r="AA53" s="60">
        <v>0</v>
      </c>
      <c r="AB53" s="60">
        <v>0</v>
      </c>
      <c r="AC53" s="494">
        <f t="shared" si="2"/>
        <v>0</v>
      </c>
      <c r="AD53" s="494">
        <f t="shared" si="0"/>
        <v>0</v>
      </c>
      <c r="AE53" s="494">
        <f t="shared" si="1"/>
        <v>0</v>
      </c>
    </row>
    <row r="54" spans="1:31" ht="15.95" customHeight="1">
      <c r="A54" s="262">
        <v>22</v>
      </c>
      <c r="B54" s="59" t="s">
        <v>838</v>
      </c>
      <c r="C54" s="19" t="s">
        <v>805</v>
      </c>
      <c r="D54" s="19" t="s">
        <v>2779</v>
      </c>
      <c r="E54" s="19"/>
      <c r="F54" s="19"/>
      <c r="G54" s="19">
        <v>0</v>
      </c>
      <c r="H54" s="19">
        <v>600</v>
      </c>
      <c r="I54" s="19">
        <v>200</v>
      </c>
      <c r="J54" s="19">
        <v>800</v>
      </c>
      <c r="K54" s="19"/>
      <c r="L54" s="19"/>
      <c r="M54" s="19">
        <v>0</v>
      </c>
      <c r="N54" s="19"/>
      <c r="O54" s="19"/>
      <c r="P54" s="19">
        <v>0</v>
      </c>
      <c r="Q54" s="19"/>
      <c r="R54" s="19">
        <v>160</v>
      </c>
      <c r="S54" s="19">
        <v>160</v>
      </c>
      <c r="T54" s="19">
        <v>1000</v>
      </c>
      <c r="U54" s="19">
        <v>200</v>
      </c>
      <c r="V54" s="19">
        <v>1200</v>
      </c>
      <c r="W54" s="100">
        <v>1600</v>
      </c>
      <c r="X54" s="19">
        <v>560</v>
      </c>
      <c r="Y54" s="19">
        <v>2160</v>
      </c>
      <c r="Z54" s="60">
        <v>266.66666666666669</v>
      </c>
      <c r="AA54" s="60">
        <v>93.333333333333329</v>
      </c>
      <c r="AB54" s="60">
        <v>360</v>
      </c>
      <c r="AC54" s="494">
        <f t="shared" si="2"/>
        <v>320</v>
      </c>
      <c r="AD54" s="494">
        <f t="shared" si="0"/>
        <v>112</v>
      </c>
      <c r="AE54" s="494">
        <f t="shared" si="1"/>
        <v>432</v>
      </c>
    </row>
    <row r="55" spans="1:31" ht="15.95" customHeight="1">
      <c r="A55" s="491">
        <v>23</v>
      </c>
      <c r="B55" s="59" t="s">
        <v>840</v>
      </c>
      <c r="C55" s="19" t="s">
        <v>805</v>
      </c>
      <c r="D55" s="19" t="s">
        <v>2779</v>
      </c>
      <c r="E55" s="19">
        <v>800</v>
      </c>
      <c r="F55" s="19">
        <v>596</v>
      </c>
      <c r="G55" s="19">
        <v>1396</v>
      </c>
      <c r="H55" s="19">
        <v>844</v>
      </c>
      <c r="I55" s="19">
        <v>140</v>
      </c>
      <c r="J55" s="19">
        <v>984</v>
      </c>
      <c r="K55" s="19"/>
      <c r="L55" s="19"/>
      <c r="M55" s="19">
        <v>0</v>
      </c>
      <c r="N55" s="19">
        <v>736</v>
      </c>
      <c r="O55" s="19">
        <v>102</v>
      </c>
      <c r="P55" s="19">
        <v>838</v>
      </c>
      <c r="Q55" s="19">
        <v>318</v>
      </c>
      <c r="R55" s="19">
        <v>508</v>
      </c>
      <c r="S55" s="19">
        <v>826</v>
      </c>
      <c r="T55" s="19">
        <v>600</v>
      </c>
      <c r="U55" s="19">
        <v>100</v>
      </c>
      <c r="V55" s="19">
        <v>700</v>
      </c>
      <c r="W55" s="100">
        <v>3298</v>
      </c>
      <c r="X55" s="19">
        <v>1446</v>
      </c>
      <c r="Y55" s="19">
        <v>4744</v>
      </c>
      <c r="Z55" s="60">
        <v>549.66666666666663</v>
      </c>
      <c r="AA55" s="60">
        <v>241</v>
      </c>
      <c r="AB55" s="60">
        <v>790.66666666666663</v>
      </c>
      <c r="AC55" s="494">
        <f t="shared" si="2"/>
        <v>659.59999999999991</v>
      </c>
      <c r="AD55" s="494">
        <f t="shared" si="0"/>
        <v>289.2</v>
      </c>
      <c r="AE55" s="494">
        <f t="shared" si="1"/>
        <v>948.8</v>
      </c>
    </row>
    <row r="56" spans="1:31" ht="15.95" customHeight="1">
      <c r="A56" s="262">
        <v>24</v>
      </c>
      <c r="B56" s="59" t="s">
        <v>2796</v>
      </c>
      <c r="C56" s="19" t="s">
        <v>843</v>
      </c>
      <c r="D56" s="19" t="s">
        <v>2779</v>
      </c>
      <c r="E56" s="19"/>
      <c r="F56" s="19"/>
      <c r="G56" s="19">
        <v>0</v>
      </c>
      <c r="H56" s="19"/>
      <c r="I56" s="19"/>
      <c r="J56" s="19">
        <v>0</v>
      </c>
      <c r="K56" s="19"/>
      <c r="L56" s="19"/>
      <c r="M56" s="19">
        <v>0</v>
      </c>
      <c r="N56" s="19">
        <v>40</v>
      </c>
      <c r="O56" s="19"/>
      <c r="P56" s="19">
        <v>40</v>
      </c>
      <c r="Q56" s="19">
        <v>70</v>
      </c>
      <c r="R56" s="19"/>
      <c r="S56" s="19">
        <v>70</v>
      </c>
      <c r="T56" s="19">
        <v>50</v>
      </c>
      <c r="U56" s="19"/>
      <c r="V56" s="19">
        <v>50</v>
      </c>
      <c r="W56" s="100">
        <v>160</v>
      </c>
      <c r="X56" s="19">
        <v>0</v>
      </c>
      <c r="Y56" s="19">
        <v>160</v>
      </c>
      <c r="Z56" s="60">
        <v>26.666666666666668</v>
      </c>
      <c r="AA56" s="60">
        <v>0</v>
      </c>
      <c r="AB56" s="60">
        <v>26.666666666666668</v>
      </c>
      <c r="AC56" s="494">
        <f t="shared" si="2"/>
        <v>32</v>
      </c>
      <c r="AD56" s="494">
        <f t="shared" si="0"/>
        <v>0</v>
      </c>
      <c r="AE56" s="494">
        <f t="shared" si="1"/>
        <v>32</v>
      </c>
    </row>
    <row r="57" spans="1:31" ht="15.95" customHeight="1">
      <c r="A57" s="491">
        <v>25</v>
      </c>
      <c r="B57" s="59" t="s">
        <v>868</v>
      </c>
      <c r="C57" s="19" t="s">
        <v>843</v>
      </c>
      <c r="D57" s="19" t="s">
        <v>2779</v>
      </c>
      <c r="E57" s="19"/>
      <c r="F57" s="19"/>
      <c r="G57" s="19">
        <v>0</v>
      </c>
      <c r="H57" s="19">
        <v>306</v>
      </c>
      <c r="I57" s="19"/>
      <c r="J57" s="19">
        <v>306</v>
      </c>
      <c r="K57" s="19">
        <v>300</v>
      </c>
      <c r="L57" s="19"/>
      <c r="M57" s="19">
        <v>300</v>
      </c>
      <c r="N57" s="19"/>
      <c r="O57" s="19"/>
      <c r="P57" s="19">
        <v>0</v>
      </c>
      <c r="Q57" s="19">
        <v>468</v>
      </c>
      <c r="R57" s="19"/>
      <c r="S57" s="19">
        <v>468</v>
      </c>
      <c r="T57" s="19"/>
      <c r="U57" s="19"/>
      <c r="V57" s="19">
        <v>0</v>
      </c>
      <c r="W57" s="100">
        <v>1074</v>
      </c>
      <c r="X57" s="19">
        <v>0</v>
      </c>
      <c r="Y57" s="19">
        <v>1074</v>
      </c>
      <c r="Z57" s="60">
        <v>179</v>
      </c>
      <c r="AA57" s="60">
        <v>0</v>
      </c>
      <c r="AB57" s="60">
        <v>179</v>
      </c>
      <c r="AC57" s="494">
        <f t="shared" si="2"/>
        <v>214.8</v>
      </c>
      <c r="AD57" s="494">
        <f t="shared" si="0"/>
        <v>0</v>
      </c>
      <c r="AE57" s="494">
        <f t="shared" si="1"/>
        <v>214.8</v>
      </c>
    </row>
    <row r="58" spans="1:31" ht="15.95" customHeight="1">
      <c r="A58" s="262">
        <v>54</v>
      </c>
      <c r="B58" s="59" t="s">
        <v>870</v>
      </c>
      <c r="C58" s="19" t="s">
        <v>843</v>
      </c>
      <c r="D58" s="19" t="s">
        <v>2779</v>
      </c>
      <c r="E58" s="19"/>
      <c r="F58" s="19"/>
      <c r="G58" s="19">
        <v>0</v>
      </c>
      <c r="H58" s="19"/>
      <c r="I58" s="19"/>
      <c r="J58" s="19">
        <v>0</v>
      </c>
      <c r="K58" s="19"/>
      <c r="L58" s="19"/>
      <c r="M58" s="19">
        <v>0</v>
      </c>
      <c r="N58" s="19"/>
      <c r="O58" s="19"/>
      <c r="P58" s="19">
        <v>0</v>
      </c>
      <c r="Q58" s="19"/>
      <c r="R58" s="19"/>
      <c r="S58" s="19">
        <v>0</v>
      </c>
      <c r="T58" s="19"/>
      <c r="U58" s="19"/>
      <c r="V58" s="19">
        <v>0</v>
      </c>
      <c r="W58" s="100">
        <v>0</v>
      </c>
      <c r="X58" s="19">
        <v>0</v>
      </c>
      <c r="Y58" s="19">
        <v>0</v>
      </c>
      <c r="Z58" s="60">
        <v>0</v>
      </c>
      <c r="AA58" s="60">
        <v>0</v>
      </c>
      <c r="AB58" s="60">
        <v>0</v>
      </c>
      <c r="AC58" s="494">
        <f t="shared" si="2"/>
        <v>0</v>
      </c>
      <c r="AD58" s="494">
        <f t="shared" si="0"/>
        <v>0</v>
      </c>
      <c r="AE58" s="494">
        <f t="shared" si="1"/>
        <v>0</v>
      </c>
    </row>
    <row r="59" spans="1:31" ht="15.95" customHeight="1">
      <c r="A59" s="491">
        <v>26</v>
      </c>
      <c r="B59" s="66" t="s">
        <v>2795</v>
      </c>
      <c r="C59" s="19" t="s">
        <v>843</v>
      </c>
      <c r="D59" s="19" t="s">
        <v>2779</v>
      </c>
      <c r="E59" s="19"/>
      <c r="F59" s="19"/>
      <c r="G59" s="19">
        <v>0</v>
      </c>
      <c r="H59" s="19">
        <v>274</v>
      </c>
      <c r="I59" s="19">
        <v>29</v>
      </c>
      <c r="J59" s="19">
        <v>303</v>
      </c>
      <c r="K59" s="19"/>
      <c r="L59" s="19"/>
      <c r="M59" s="19">
        <v>0</v>
      </c>
      <c r="N59" s="19"/>
      <c r="O59" s="19"/>
      <c r="P59" s="19">
        <v>0</v>
      </c>
      <c r="Q59" s="19"/>
      <c r="R59" s="19"/>
      <c r="S59" s="19">
        <v>0</v>
      </c>
      <c r="T59" s="19"/>
      <c r="U59" s="19"/>
      <c r="V59" s="19">
        <v>0</v>
      </c>
      <c r="W59" s="100">
        <v>274</v>
      </c>
      <c r="X59" s="19">
        <v>29</v>
      </c>
      <c r="Y59" s="19">
        <v>303</v>
      </c>
      <c r="Z59" s="60">
        <v>45.666666666666664</v>
      </c>
      <c r="AA59" s="60">
        <v>4.833333333333333</v>
      </c>
      <c r="AB59" s="60">
        <v>50.5</v>
      </c>
      <c r="AC59" s="494">
        <f t="shared" si="2"/>
        <v>54.8</v>
      </c>
      <c r="AD59" s="494">
        <f t="shared" si="0"/>
        <v>5.8</v>
      </c>
      <c r="AE59" s="494">
        <f t="shared" si="1"/>
        <v>60.6</v>
      </c>
    </row>
    <row r="60" spans="1:31" ht="15.95" customHeight="1">
      <c r="A60" s="262">
        <v>27</v>
      </c>
      <c r="B60" s="59" t="s">
        <v>874</v>
      </c>
      <c r="C60" s="19" t="s">
        <v>843</v>
      </c>
      <c r="D60" s="19" t="s">
        <v>2779</v>
      </c>
      <c r="E60" s="19">
        <v>724</v>
      </c>
      <c r="F60" s="19">
        <v>216</v>
      </c>
      <c r="G60" s="19">
        <v>940</v>
      </c>
      <c r="H60" s="19">
        <v>910</v>
      </c>
      <c r="I60" s="19"/>
      <c r="J60" s="19">
        <v>910</v>
      </c>
      <c r="K60" s="19">
        <v>1017</v>
      </c>
      <c r="L60" s="19"/>
      <c r="M60" s="19">
        <v>1017</v>
      </c>
      <c r="N60" s="19"/>
      <c r="O60" s="19"/>
      <c r="P60" s="19">
        <v>0</v>
      </c>
      <c r="Q60" s="19">
        <v>1020</v>
      </c>
      <c r="R60" s="19">
        <v>226</v>
      </c>
      <c r="S60" s="19">
        <v>1246</v>
      </c>
      <c r="T60" s="19">
        <v>1436</v>
      </c>
      <c r="U60" s="19"/>
      <c r="V60" s="19">
        <v>1436</v>
      </c>
      <c r="W60" s="100">
        <v>5107</v>
      </c>
      <c r="X60" s="19">
        <v>442</v>
      </c>
      <c r="Y60" s="19">
        <v>5549</v>
      </c>
      <c r="Z60" s="60">
        <v>851.16666666666663</v>
      </c>
      <c r="AA60" s="60">
        <v>73.666666666666671</v>
      </c>
      <c r="AB60" s="60">
        <v>924.83333333333337</v>
      </c>
      <c r="AC60" s="494">
        <f>Z60*15%+Z60</f>
        <v>978.84166666666658</v>
      </c>
      <c r="AD60" s="494">
        <f t="shared" si="0"/>
        <v>88.4</v>
      </c>
      <c r="AE60" s="494">
        <f t="shared" si="1"/>
        <v>1109.8000000000002</v>
      </c>
    </row>
    <row r="61" spans="1:31" ht="15.95" customHeight="1">
      <c r="A61" s="491">
        <v>28</v>
      </c>
      <c r="B61" s="59" t="s">
        <v>2794</v>
      </c>
      <c r="C61" s="19" t="s">
        <v>843</v>
      </c>
      <c r="D61" s="19" t="s">
        <v>2779</v>
      </c>
      <c r="E61" s="19">
        <v>596</v>
      </c>
      <c r="F61" s="19">
        <v>96</v>
      </c>
      <c r="G61" s="19">
        <v>692</v>
      </c>
      <c r="H61" s="19"/>
      <c r="I61" s="19"/>
      <c r="J61" s="19">
        <v>0</v>
      </c>
      <c r="K61" s="19">
        <v>600</v>
      </c>
      <c r="L61" s="19">
        <v>41</v>
      </c>
      <c r="M61" s="19">
        <v>641</v>
      </c>
      <c r="N61" s="19"/>
      <c r="O61" s="19"/>
      <c r="P61" s="19">
        <v>0</v>
      </c>
      <c r="Q61" s="19">
        <v>590</v>
      </c>
      <c r="R61" s="19">
        <v>132</v>
      </c>
      <c r="S61" s="19">
        <v>722</v>
      </c>
      <c r="T61" s="19">
        <v>540</v>
      </c>
      <c r="U61" s="19">
        <v>47</v>
      </c>
      <c r="V61" s="19">
        <v>587</v>
      </c>
      <c r="W61" s="100">
        <v>2326</v>
      </c>
      <c r="X61" s="19">
        <v>316</v>
      </c>
      <c r="Y61" s="19">
        <v>2642</v>
      </c>
      <c r="Z61" s="60">
        <v>387.66666666666669</v>
      </c>
      <c r="AA61" s="60">
        <v>52.666666666666664</v>
      </c>
      <c r="AB61" s="60">
        <v>440.33333333333331</v>
      </c>
      <c r="AC61" s="494">
        <f>Z61*15%+Z61</f>
        <v>445.81666666666666</v>
      </c>
      <c r="AD61" s="494">
        <f t="shared" si="0"/>
        <v>63.199999999999996</v>
      </c>
      <c r="AE61" s="494">
        <f t="shared" si="1"/>
        <v>528.4</v>
      </c>
    </row>
    <row r="62" spans="1:31" ht="15.95" customHeight="1" thickBot="1">
      <c r="A62" s="587">
        <v>29</v>
      </c>
      <c r="B62" s="588" t="s">
        <v>878</v>
      </c>
      <c r="C62" s="505" t="s">
        <v>843</v>
      </c>
      <c r="D62" s="505" t="s">
        <v>2779</v>
      </c>
      <c r="E62" s="505">
        <v>356</v>
      </c>
      <c r="F62" s="505">
        <v>188</v>
      </c>
      <c r="G62" s="505">
        <v>544</v>
      </c>
      <c r="H62" s="505">
        <v>550</v>
      </c>
      <c r="I62" s="505">
        <v>371</v>
      </c>
      <c r="J62" s="505">
        <v>921</v>
      </c>
      <c r="K62" s="505">
        <v>260</v>
      </c>
      <c r="L62" s="505"/>
      <c r="M62" s="505">
        <v>260</v>
      </c>
      <c r="N62" s="505">
        <v>334</v>
      </c>
      <c r="O62" s="505">
        <v>322</v>
      </c>
      <c r="P62" s="505">
        <v>656</v>
      </c>
      <c r="Q62" s="505">
        <v>422</v>
      </c>
      <c r="R62" s="505">
        <v>172</v>
      </c>
      <c r="S62" s="505">
        <v>594</v>
      </c>
      <c r="T62" s="505">
        <v>700</v>
      </c>
      <c r="U62" s="505">
        <v>262</v>
      </c>
      <c r="V62" s="505">
        <v>962</v>
      </c>
      <c r="W62" s="558">
        <v>2622</v>
      </c>
      <c r="X62" s="505">
        <v>1315</v>
      </c>
      <c r="Y62" s="505">
        <v>3937</v>
      </c>
      <c r="Z62" s="535">
        <v>437</v>
      </c>
      <c r="AA62" s="535">
        <v>219.16666666666666</v>
      </c>
      <c r="AB62" s="535">
        <v>656.16666666666663</v>
      </c>
      <c r="AC62" s="589">
        <f>Z62*15%+Z62</f>
        <v>502.55</v>
      </c>
      <c r="AD62" s="589">
        <f t="shared" si="0"/>
        <v>263</v>
      </c>
      <c r="AE62" s="589">
        <f t="shared" si="1"/>
        <v>787.4</v>
      </c>
    </row>
    <row r="63" spans="1:31" ht="15.95" customHeight="1" thickBot="1">
      <c r="A63" s="594"/>
      <c r="B63" s="595" t="s">
        <v>2780</v>
      </c>
      <c r="C63" s="596"/>
      <c r="D63" s="596"/>
      <c r="E63" s="596">
        <f>SUM(E5:E62)</f>
        <v>9881</v>
      </c>
      <c r="F63" s="596">
        <f t="shared" ref="F63:Y63" si="3">SUM(F5:F62)</f>
        <v>1205</v>
      </c>
      <c r="G63" s="596">
        <f t="shared" si="3"/>
        <v>11086</v>
      </c>
      <c r="H63" s="596">
        <f t="shared" si="3"/>
        <v>14199</v>
      </c>
      <c r="I63" s="596">
        <f t="shared" si="3"/>
        <v>1291</v>
      </c>
      <c r="J63" s="596">
        <f t="shared" si="3"/>
        <v>15490</v>
      </c>
      <c r="K63" s="596">
        <f t="shared" si="3"/>
        <v>12307</v>
      </c>
      <c r="L63" s="596">
        <f t="shared" si="3"/>
        <v>352</v>
      </c>
      <c r="M63" s="596">
        <f t="shared" si="3"/>
        <v>12659</v>
      </c>
      <c r="N63" s="596">
        <f t="shared" si="3"/>
        <v>9801</v>
      </c>
      <c r="O63" s="596">
        <f t="shared" si="3"/>
        <v>505</v>
      </c>
      <c r="P63" s="596">
        <f t="shared" si="3"/>
        <v>10306</v>
      </c>
      <c r="Q63" s="596">
        <f t="shared" si="3"/>
        <v>8925</v>
      </c>
      <c r="R63" s="596">
        <f t="shared" si="3"/>
        <v>1486</v>
      </c>
      <c r="S63" s="596">
        <f t="shared" si="3"/>
        <v>10411</v>
      </c>
      <c r="T63" s="596">
        <f t="shared" si="3"/>
        <v>16341</v>
      </c>
      <c r="U63" s="596">
        <f t="shared" si="3"/>
        <v>1252</v>
      </c>
      <c r="V63" s="596">
        <f t="shared" si="3"/>
        <v>17593</v>
      </c>
      <c r="W63" s="596">
        <f t="shared" si="3"/>
        <v>71454</v>
      </c>
      <c r="X63" s="596">
        <f t="shared" si="3"/>
        <v>6091</v>
      </c>
      <c r="Y63" s="596">
        <f t="shared" si="3"/>
        <v>77545</v>
      </c>
      <c r="Z63" s="601">
        <v>5611</v>
      </c>
      <c r="AA63" s="601">
        <v>897</v>
      </c>
      <c r="AB63" s="601">
        <f>Z63+AA63</f>
        <v>6508</v>
      </c>
      <c r="AC63" s="597">
        <v>6635</v>
      </c>
      <c r="AD63" s="597">
        <v>1076</v>
      </c>
      <c r="AE63" s="598">
        <f>AC63+AD63</f>
        <v>7711</v>
      </c>
    </row>
    <row r="64" spans="1:31" ht="15.95" customHeight="1">
      <c r="A64" s="370">
        <v>1</v>
      </c>
      <c r="B64" s="590" t="s">
        <v>28</v>
      </c>
      <c r="C64" s="510" t="s">
        <v>13</v>
      </c>
      <c r="D64" s="510" t="s">
        <v>2776</v>
      </c>
      <c r="E64" s="510"/>
      <c r="F64" s="510"/>
      <c r="G64" s="510">
        <v>0</v>
      </c>
      <c r="H64" s="510">
        <v>150</v>
      </c>
      <c r="I64" s="510"/>
      <c r="J64" s="510">
        <v>150</v>
      </c>
      <c r="K64" s="510">
        <v>130</v>
      </c>
      <c r="L64" s="510"/>
      <c r="M64" s="510">
        <v>130</v>
      </c>
      <c r="N64" s="510"/>
      <c r="O64" s="510"/>
      <c r="P64" s="510">
        <v>0</v>
      </c>
      <c r="Q64" s="510">
        <v>128</v>
      </c>
      <c r="R64" s="510"/>
      <c r="S64" s="510">
        <v>128</v>
      </c>
      <c r="T64" s="574"/>
      <c r="U64" s="510"/>
      <c r="V64" s="510">
        <v>0</v>
      </c>
      <c r="W64" s="591">
        <v>408</v>
      </c>
      <c r="X64" s="592">
        <v>0</v>
      </c>
      <c r="Y64" s="592">
        <v>408</v>
      </c>
      <c r="Z64" s="593">
        <v>68</v>
      </c>
      <c r="AA64" s="593">
        <v>0</v>
      </c>
      <c r="AB64" s="593">
        <v>68</v>
      </c>
      <c r="AC64" s="494">
        <f>Z64*30%+Z64</f>
        <v>88.4</v>
      </c>
      <c r="AD64" s="494">
        <f>AA64*30%+AA64</f>
        <v>0</v>
      </c>
      <c r="AE64" s="494">
        <f>AB64*30%+AB64</f>
        <v>88.4</v>
      </c>
    </row>
    <row r="65" spans="1:31" ht="15.95" customHeight="1">
      <c r="A65" s="180">
        <v>2</v>
      </c>
      <c r="B65" s="3" t="s">
        <v>30</v>
      </c>
      <c r="C65" s="1" t="s">
        <v>13</v>
      </c>
      <c r="D65" s="1" t="s">
        <v>2776</v>
      </c>
      <c r="E65" s="1">
        <v>80</v>
      </c>
      <c r="F65" s="1"/>
      <c r="G65" s="1">
        <v>80</v>
      </c>
      <c r="H65" s="1">
        <v>100</v>
      </c>
      <c r="I65" s="1"/>
      <c r="J65" s="1">
        <v>100</v>
      </c>
      <c r="K65" s="1">
        <v>150</v>
      </c>
      <c r="L65" s="1"/>
      <c r="M65" s="1">
        <v>150</v>
      </c>
      <c r="N65" s="1">
        <v>100</v>
      </c>
      <c r="O65" s="1"/>
      <c r="P65" s="1">
        <v>100</v>
      </c>
      <c r="Q65" s="1">
        <v>100</v>
      </c>
      <c r="R65" s="1"/>
      <c r="S65" s="1"/>
      <c r="T65" s="574"/>
      <c r="U65" s="1"/>
      <c r="V65" s="1">
        <v>0</v>
      </c>
      <c r="W65" s="496">
        <v>530</v>
      </c>
      <c r="X65" s="240">
        <v>0</v>
      </c>
      <c r="Y65" s="240">
        <v>430</v>
      </c>
      <c r="Z65" s="243">
        <v>88.333333333333329</v>
      </c>
      <c r="AA65" s="243">
        <v>0</v>
      </c>
      <c r="AB65" s="243">
        <v>71.666666666666671</v>
      </c>
      <c r="AC65" s="494">
        <f t="shared" ref="AC65:AC122" si="4">Z65*30%+Z65</f>
        <v>114.83333333333333</v>
      </c>
      <c r="AD65" s="494">
        <f t="shared" ref="AD65:AD122" si="5">AA65*30%+AA65</f>
        <v>0</v>
      </c>
      <c r="AE65" s="494">
        <f t="shared" ref="AE65:AE122" si="6">AB65*30%+AB65</f>
        <v>93.166666666666671</v>
      </c>
    </row>
    <row r="66" spans="1:31" ht="15.95" customHeight="1">
      <c r="A66" s="180">
        <v>3</v>
      </c>
      <c r="B66" s="3" t="s">
        <v>36</v>
      </c>
      <c r="C66" s="1" t="s">
        <v>13</v>
      </c>
      <c r="D66" s="1" t="s">
        <v>2776</v>
      </c>
      <c r="E66" s="1"/>
      <c r="F66" s="1"/>
      <c r="G66" s="1">
        <v>0</v>
      </c>
      <c r="H66" s="1">
        <v>154</v>
      </c>
      <c r="I66" s="1"/>
      <c r="J66" s="1">
        <v>154</v>
      </c>
      <c r="K66" s="1">
        <v>108</v>
      </c>
      <c r="L66" s="1"/>
      <c r="M66" s="1">
        <v>108</v>
      </c>
      <c r="N66" s="1">
        <v>188</v>
      </c>
      <c r="O66" s="1"/>
      <c r="P66" s="1">
        <v>188</v>
      </c>
      <c r="Q66" s="1">
        <v>0</v>
      </c>
      <c r="R66" s="1"/>
      <c r="S66" s="1">
        <v>0</v>
      </c>
      <c r="T66" s="574"/>
      <c r="U66" s="1"/>
      <c r="V66" s="1">
        <v>0</v>
      </c>
      <c r="W66" s="496">
        <v>450</v>
      </c>
      <c r="X66" s="240">
        <v>0</v>
      </c>
      <c r="Y66" s="240">
        <v>450</v>
      </c>
      <c r="Z66" s="243">
        <v>75</v>
      </c>
      <c r="AA66" s="243">
        <v>0</v>
      </c>
      <c r="AB66" s="243">
        <v>75</v>
      </c>
      <c r="AC66" s="494">
        <f t="shared" si="4"/>
        <v>97.5</v>
      </c>
      <c r="AD66" s="494">
        <f t="shared" si="5"/>
        <v>0</v>
      </c>
      <c r="AE66" s="494">
        <f t="shared" si="6"/>
        <v>97.5</v>
      </c>
    </row>
    <row r="67" spans="1:31" ht="15.95" customHeight="1">
      <c r="A67" s="180">
        <v>4</v>
      </c>
      <c r="B67" s="3" t="s">
        <v>41</v>
      </c>
      <c r="C67" s="1" t="s">
        <v>13</v>
      </c>
      <c r="D67" s="1" t="s">
        <v>2776</v>
      </c>
      <c r="E67" s="1"/>
      <c r="F67" s="1"/>
      <c r="G67" s="1">
        <v>0</v>
      </c>
      <c r="H67" s="1">
        <v>76</v>
      </c>
      <c r="I67" s="1"/>
      <c r="J67" s="1">
        <v>76</v>
      </c>
      <c r="K67" s="1">
        <v>114</v>
      </c>
      <c r="L67" s="1"/>
      <c r="M67" s="1">
        <v>114</v>
      </c>
      <c r="N67" s="1">
        <v>158</v>
      </c>
      <c r="O67" s="1"/>
      <c r="P67" s="1">
        <v>158</v>
      </c>
      <c r="Q67" s="1">
        <v>76</v>
      </c>
      <c r="R67" s="1"/>
      <c r="S67" s="1">
        <v>76</v>
      </c>
      <c r="T67" s="574"/>
      <c r="U67" s="1"/>
      <c r="V67" s="1">
        <v>0</v>
      </c>
      <c r="W67" s="496">
        <v>424</v>
      </c>
      <c r="X67" s="240">
        <v>0</v>
      </c>
      <c r="Y67" s="240">
        <v>424</v>
      </c>
      <c r="Z67" s="243">
        <v>70.666666666666671</v>
      </c>
      <c r="AA67" s="243">
        <v>0</v>
      </c>
      <c r="AB67" s="243">
        <v>70.666666666666671</v>
      </c>
      <c r="AC67" s="494">
        <f t="shared" si="4"/>
        <v>91.866666666666674</v>
      </c>
      <c r="AD67" s="494">
        <f t="shared" si="5"/>
        <v>0</v>
      </c>
      <c r="AE67" s="494">
        <f t="shared" si="6"/>
        <v>91.866666666666674</v>
      </c>
    </row>
    <row r="68" spans="1:31" ht="15.95" customHeight="1">
      <c r="A68" s="180">
        <v>5</v>
      </c>
      <c r="B68" s="3" t="s">
        <v>43</v>
      </c>
      <c r="C68" s="1" t="s">
        <v>13</v>
      </c>
      <c r="D68" s="1" t="s">
        <v>2776</v>
      </c>
      <c r="E68" s="1">
        <v>71</v>
      </c>
      <c r="F68" s="1"/>
      <c r="G68" s="1">
        <v>71</v>
      </c>
      <c r="H68" s="1">
        <v>86</v>
      </c>
      <c r="I68" s="1"/>
      <c r="J68" s="1">
        <v>86</v>
      </c>
      <c r="K68" s="1">
        <v>58</v>
      </c>
      <c r="L68" s="1"/>
      <c r="M68" s="1">
        <v>58</v>
      </c>
      <c r="N68" s="1">
        <v>20</v>
      </c>
      <c r="O68" s="1"/>
      <c r="P68" s="1">
        <v>20</v>
      </c>
      <c r="Q68" s="1">
        <v>77</v>
      </c>
      <c r="R68" s="1"/>
      <c r="S68" s="1">
        <v>77</v>
      </c>
      <c r="T68" s="574">
        <v>40</v>
      </c>
      <c r="U68" s="1"/>
      <c r="V68" s="1">
        <v>40</v>
      </c>
      <c r="W68" s="496">
        <v>352</v>
      </c>
      <c r="X68" s="240">
        <v>0</v>
      </c>
      <c r="Y68" s="240">
        <v>352</v>
      </c>
      <c r="Z68" s="243">
        <v>58.666666666666664</v>
      </c>
      <c r="AA68" s="243">
        <v>0</v>
      </c>
      <c r="AB68" s="243">
        <v>58.666666666666664</v>
      </c>
      <c r="AC68" s="494">
        <f t="shared" si="4"/>
        <v>76.266666666666666</v>
      </c>
      <c r="AD68" s="494">
        <f t="shared" si="5"/>
        <v>0</v>
      </c>
      <c r="AE68" s="494">
        <f t="shared" si="6"/>
        <v>76.266666666666666</v>
      </c>
    </row>
    <row r="69" spans="1:31" ht="15.95" customHeight="1">
      <c r="A69" s="180">
        <v>6</v>
      </c>
      <c r="B69" s="3" t="s">
        <v>45</v>
      </c>
      <c r="C69" s="1" t="s">
        <v>13</v>
      </c>
      <c r="D69" s="1" t="s">
        <v>2776</v>
      </c>
      <c r="E69" s="1">
        <v>91</v>
      </c>
      <c r="F69" s="1"/>
      <c r="G69" s="1">
        <v>91</v>
      </c>
      <c r="H69" s="1">
        <v>91</v>
      </c>
      <c r="I69" s="1"/>
      <c r="J69" s="1">
        <v>91</v>
      </c>
      <c r="K69" s="1"/>
      <c r="L69" s="1"/>
      <c r="M69" s="1">
        <v>0</v>
      </c>
      <c r="N69" s="1">
        <v>96</v>
      </c>
      <c r="O69" s="1"/>
      <c r="P69" s="1">
        <v>96</v>
      </c>
      <c r="Q69" s="1">
        <v>76</v>
      </c>
      <c r="R69" s="1"/>
      <c r="S69" s="1">
        <v>76</v>
      </c>
      <c r="T69" s="574"/>
      <c r="U69" s="1"/>
      <c r="V69" s="1">
        <v>0</v>
      </c>
      <c r="W69" s="496">
        <v>354</v>
      </c>
      <c r="X69" s="240">
        <v>0</v>
      </c>
      <c r="Y69" s="240">
        <v>354</v>
      </c>
      <c r="Z69" s="243">
        <v>59</v>
      </c>
      <c r="AA69" s="243">
        <v>0</v>
      </c>
      <c r="AB69" s="243">
        <v>59</v>
      </c>
      <c r="AC69" s="494">
        <f t="shared" si="4"/>
        <v>76.7</v>
      </c>
      <c r="AD69" s="494">
        <f t="shared" si="5"/>
        <v>0</v>
      </c>
      <c r="AE69" s="494">
        <f t="shared" si="6"/>
        <v>76.7</v>
      </c>
    </row>
    <row r="70" spans="1:31" ht="15.95" customHeight="1">
      <c r="A70" s="180">
        <v>7</v>
      </c>
      <c r="B70" s="3" t="s">
        <v>51</v>
      </c>
      <c r="C70" s="1" t="s">
        <v>13</v>
      </c>
      <c r="D70" s="1" t="s">
        <v>2776</v>
      </c>
      <c r="E70" s="1">
        <v>36</v>
      </c>
      <c r="F70" s="1"/>
      <c r="G70" s="1">
        <v>36</v>
      </c>
      <c r="H70" s="1">
        <v>90</v>
      </c>
      <c r="I70" s="1"/>
      <c r="J70" s="1">
        <v>90</v>
      </c>
      <c r="K70" s="1">
        <v>72</v>
      </c>
      <c r="L70" s="1"/>
      <c r="M70" s="1">
        <v>72</v>
      </c>
      <c r="N70" s="1">
        <v>36</v>
      </c>
      <c r="O70" s="1"/>
      <c r="P70" s="1">
        <v>36</v>
      </c>
      <c r="Q70" s="1">
        <v>54</v>
      </c>
      <c r="R70" s="1"/>
      <c r="S70" s="1">
        <v>54</v>
      </c>
      <c r="T70" s="574">
        <v>18</v>
      </c>
      <c r="U70" s="1"/>
      <c r="V70" s="1">
        <v>18</v>
      </c>
      <c r="W70" s="496">
        <v>306</v>
      </c>
      <c r="X70" s="240">
        <v>0</v>
      </c>
      <c r="Y70" s="240">
        <v>306</v>
      </c>
      <c r="Z70" s="243">
        <v>51</v>
      </c>
      <c r="AA70" s="243">
        <v>0</v>
      </c>
      <c r="AB70" s="243">
        <v>51</v>
      </c>
      <c r="AC70" s="494">
        <f t="shared" si="4"/>
        <v>66.3</v>
      </c>
      <c r="AD70" s="494">
        <f t="shared" si="5"/>
        <v>0</v>
      </c>
      <c r="AE70" s="494">
        <f t="shared" si="6"/>
        <v>66.3</v>
      </c>
    </row>
    <row r="71" spans="1:31" ht="15.95" customHeight="1">
      <c r="A71" s="180">
        <v>8</v>
      </c>
      <c r="B71" s="3" t="s">
        <v>68</v>
      </c>
      <c r="C71" s="1" t="s">
        <v>13</v>
      </c>
      <c r="D71" s="1" t="s">
        <v>2776</v>
      </c>
      <c r="E71" s="1">
        <v>58</v>
      </c>
      <c r="F71" s="1"/>
      <c r="G71" s="1">
        <v>58</v>
      </c>
      <c r="H71" s="1"/>
      <c r="I71" s="1"/>
      <c r="J71" s="1">
        <v>0</v>
      </c>
      <c r="K71" s="1">
        <v>56</v>
      </c>
      <c r="L71" s="1"/>
      <c r="M71" s="1">
        <v>56</v>
      </c>
      <c r="N71" s="1">
        <v>67</v>
      </c>
      <c r="O71" s="1"/>
      <c r="P71" s="1">
        <v>67</v>
      </c>
      <c r="Q71" s="1">
        <v>66</v>
      </c>
      <c r="R71" s="1"/>
      <c r="S71" s="1">
        <v>66</v>
      </c>
      <c r="T71" s="574">
        <v>76</v>
      </c>
      <c r="U71" s="1"/>
      <c r="V71" s="1">
        <v>76</v>
      </c>
      <c r="W71" s="496">
        <v>323</v>
      </c>
      <c r="X71" s="240">
        <v>0</v>
      </c>
      <c r="Y71" s="240">
        <v>323</v>
      </c>
      <c r="Z71" s="243">
        <v>53.833333333333336</v>
      </c>
      <c r="AA71" s="243">
        <v>0</v>
      </c>
      <c r="AB71" s="243">
        <v>53.833333333333336</v>
      </c>
      <c r="AC71" s="494">
        <f t="shared" si="4"/>
        <v>69.983333333333334</v>
      </c>
      <c r="AD71" s="494">
        <f t="shared" si="5"/>
        <v>0</v>
      </c>
      <c r="AE71" s="494">
        <f t="shared" si="6"/>
        <v>69.983333333333334</v>
      </c>
    </row>
    <row r="72" spans="1:31" ht="15.95" customHeight="1">
      <c r="A72" s="180">
        <v>9</v>
      </c>
      <c r="B72" s="3" t="s">
        <v>72</v>
      </c>
      <c r="C72" s="1" t="s">
        <v>13</v>
      </c>
      <c r="D72" s="1" t="s">
        <v>2776</v>
      </c>
      <c r="E72" s="1">
        <v>58</v>
      </c>
      <c r="F72" s="1"/>
      <c r="G72" s="1">
        <v>58</v>
      </c>
      <c r="H72" s="1">
        <v>300</v>
      </c>
      <c r="I72" s="1"/>
      <c r="J72" s="1">
        <v>300</v>
      </c>
      <c r="K72" s="1">
        <v>200</v>
      </c>
      <c r="L72" s="1"/>
      <c r="M72" s="1">
        <v>200</v>
      </c>
      <c r="N72" s="1">
        <v>150</v>
      </c>
      <c r="O72" s="1"/>
      <c r="P72" s="1">
        <v>150</v>
      </c>
      <c r="Q72" s="1">
        <v>118</v>
      </c>
      <c r="R72" s="1"/>
      <c r="S72" s="1">
        <v>118</v>
      </c>
      <c r="T72" s="574"/>
      <c r="U72" s="1"/>
      <c r="V72" s="1">
        <v>0</v>
      </c>
      <c r="W72" s="496">
        <v>826</v>
      </c>
      <c r="X72" s="240">
        <v>0</v>
      </c>
      <c r="Y72" s="240">
        <v>826</v>
      </c>
      <c r="Z72" s="243">
        <v>137.66666666666666</v>
      </c>
      <c r="AA72" s="243">
        <v>0</v>
      </c>
      <c r="AB72" s="243">
        <v>137.66666666666666</v>
      </c>
      <c r="AC72" s="494">
        <f t="shared" si="4"/>
        <v>178.96666666666664</v>
      </c>
      <c r="AD72" s="494">
        <f t="shared" si="5"/>
        <v>0</v>
      </c>
      <c r="AE72" s="494">
        <f t="shared" si="6"/>
        <v>178.96666666666664</v>
      </c>
    </row>
    <row r="73" spans="1:31" ht="15.95" customHeight="1">
      <c r="A73" s="180">
        <v>10</v>
      </c>
      <c r="B73" s="3" t="s">
        <v>80</v>
      </c>
      <c r="C73" s="1" t="s">
        <v>13</v>
      </c>
      <c r="D73" s="1" t="s">
        <v>2776</v>
      </c>
      <c r="E73" s="1">
        <v>58</v>
      </c>
      <c r="F73" s="1"/>
      <c r="G73" s="1">
        <v>58</v>
      </c>
      <c r="H73" s="1">
        <v>116</v>
      </c>
      <c r="I73" s="1"/>
      <c r="J73" s="1">
        <v>116</v>
      </c>
      <c r="K73" s="1">
        <v>150</v>
      </c>
      <c r="L73" s="1"/>
      <c r="M73" s="1">
        <v>150</v>
      </c>
      <c r="N73" s="1"/>
      <c r="O73" s="1"/>
      <c r="P73" s="1">
        <v>0</v>
      </c>
      <c r="Q73" s="1">
        <v>0</v>
      </c>
      <c r="R73" s="1"/>
      <c r="S73" s="1">
        <v>0</v>
      </c>
      <c r="T73" s="574"/>
      <c r="U73" s="1"/>
      <c r="V73" s="1">
        <v>0</v>
      </c>
      <c r="W73" s="496">
        <v>324</v>
      </c>
      <c r="X73" s="240">
        <v>0</v>
      </c>
      <c r="Y73" s="240">
        <v>324</v>
      </c>
      <c r="Z73" s="243">
        <v>54</v>
      </c>
      <c r="AA73" s="243">
        <v>0</v>
      </c>
      <c r="AB73" s="243">
        <v>54</v>
      </c>
      <c r="AC73" s="494">
        <f t="shared" si="4"/>
        <v>70.2</v>
      </c>
      <c r="AD73" s="494">
        <f t="shared" si="5"/>
        <v>0</v>
      </c>
      <c r="AE73" s="494">
        <f t="shared" si="6"/>
        <v>70.2</v>
      </c>
    </row>
    <row r="74" spans="1:31" ht="15.95" customHeight="1">
      <c r="A74" s="180">
        <v>11</v>
      </c>
      <c r="B74" s="3" t="s">
        <v>93</v>
      </c>
      <c r="C74" s="1" t="s">
        <v>89</v>
      </c>
      <c r="D74" s="1" t="s">
        <v>2776</v>
      </c>
      <c r="E74" s="1"/>
      <c r="F74" s="1"/>
      <c r="G74" s="1">
        <v>0</v>
      </c>
      <c r="H74" s="1">
        <v>136</v>
      </c>
      <c r="I74" s="1"/>
      <c r="J74" s="1">
        <v>136</v>
      </c>
      <c r="K74" s="1">
        <v>130</v>
      </c>
      <c r="L74" s="1"/>
      <c r="M74" s="1">
        <v>130</v>
      </c>
      <c r="N74" s="1">
        <v>76</v>
      </c>
      <c r="O74" s="1"/>
      <c r="P74" s="1">
        <v>76</v>
      </c>
      <c r="Q74" s="1">
        <v>58</v>
      </c>
      <c r="R74" s="1"/>
      <c r="S74" s="1">
        <v>58</v>
      </c>
      <c r="T74" s="574"/>
      <c r="U74" s="1"/>
      <c r="V74" s="1">
        <v>0</v>
      </c>
      <c r="W74" s="496">
        <v>400</v>
      </c>
      <c r="X74" s="240">
        <v>0</v>
      </c>
      <c r="Y74" s="240">
        <v>400</v>
      </c>
      <c r="Z74" s="243">
        <v>66.666666666666671</v>
      </c>
      <c r="AA74" s="243">
        <v>0</v>
      </c>
      <c r="AB74" s="243">
        <v>66.666666666666671</v>
      </c>
      <c r="AC74" s="494">
        <f t="shared" si="4"/>
        <v>86.666666666666671</v>
      </c>
      <c r="AD74" s="494">
        <f t="shared" si="5"/>
        <v>0</v>
      </c>
      <c r="AE74" s="494">
        <f t="shared" si="6"/>
        <v>86.666666666666671</v>
      </c>
    </row>
    <row r="75" spans="1:31" ht="15.95" customHeight="1">
      <c r="A75" s="180">
        <v>12</v>
      </c>
      <c r="B75" s="3" t="s">
        <v>95</v>
      </c>
      <c r="C75" s="1" t="s">
        <v>89</v>
      </c>
      <c r="D75" s="1" t="s">
        <v>2776</v>
      </c>
      <c r="E75" s="1"/>
      <c r="F75" s="1"/>
      <c r="G75" s="1">
        <v>0</v>
      </c>
      <c r="H75" s="1">
        <v>134</v>
      </c>
      <c r="I75" s="1"/>
      <c r="J75" s="1">
        <v>134</v>
      </c>
      <c r="K75" s="1">
        <v>137</v>
      </c>
      <c r="L75" s="1"/>
      <c r="M75" s="1">
        <v>137</v>
      </c>
      <c r="N75" s="1">
        <v>173</v>
      </c>
      <c r="O75" s="1"/>
      <c r="P75" s="1">
        <v>173</v>
      </c>
      <c r="Q75" s="1">
        <v>136</v>
      </c>
      <c r="R75" s="1"/>
      <c r="S75" s="1">
        <v>136</v>
      </c>
      <c r="T75" s="574"/>
      <c r="U75" s="1"/>
      <c r="V75" s="1">
        <v>0</v>
      </c>
      <c r="W75" s="496">
        <v>580</v>
      </c>
      <c r="X75" s="240">
        <v>0</v>
      </c>
      <c r="Y75" s="240">
        <v>580</v>
      </c>
      <c r="Z75" s="243">
        <v>96.666666666666671</v>
      </c>
      <c r="AA75" s="243">
        <v>0</v>
      </c>
      <c r="AB75" s="243">
        <v>96.666666666666671</v>
      </c>
      <c r="AC75" s="494">
        <f t="shared" si="4"/>
        <v>125.66666666666667</v>
      </c>
      <c r="AD75" s="494">
        <f t="shared" si="5"/>
        <v>0</v>
      </c>
      <c r="AE75" s="494">
        <f t="shared" si="6"/>
        <v>125.66666666666667</v>
      </c>
    </row>
    <row r="76" spans="1:31" ht="15.95" customHeight="1">
      <c r="A76" s="180">
        <v>13</v>
      </c>
      <c r="B76" s="3" t="s">
        <v>97</v>
      </c>
      <c r="C76" s="1" t="s">
        <v>89</v>
      </c>
      <c r="D76" s="1" t="s">
        <v>2776</v>
      </c>
      <c r="E76" s="1"/>
      <c r="F76" s="1"/>
      <c r="G76" s="1">
        <v>0</v>
      </c>
      <c r="H76" s="1">
        <v>60</v>
      </c>
      <c r="I76" s="1"/>
      <c r="J76" s="1">
        <v>60</v>
      </c>
      <c r="K76" s="1"/>
      <c r="L76" s="1"/>
      <c r="M76" s="1">
        <v>0</v>
      </c>
      <c r="N76" s="1">
        <v>160</v>
      </c>
      <c r="O76" s="1">
        <v>60</v>
      </c>
      <c r="P76" s="1">
        <v>220</v>
      </c>
      <c r="Q76" s="1">
        <v>85</v>
      </c>
      <c r="R76" s="1">
        <v>80</v>
      </c>
      <c r="S76" s="1">
        <v>165</v>
      </c>
      <c r="T76" s="574">
        <v>56</v>
      </c>
      <c r="U76" s="1">
        <v>38</v>
      </c>
      <c r="V76" s="1">
        <v>94</v>
      </c>
      <c r="W76" s="496">
        <v>361</v>
      </c>
      <c r="X76" s="240">
        <v>178</v>
      </c>
      <c r="Y76" s="240">
        <v>539</v>
      </c>
      <c r="Z76" s="243">
        <v>60.166666666666664</v>
      </c>
      <c r="AA76" s="243">
        <v>29.666666666666668</v>
      </c>
      <c r="AB76" s="243">
        <v>89.833333333333329</v>
      </c>
      <c r="AC76" s="494">
        <f t="shared" si="4"/>
        <v>78.216666666666669</v>
      </c>
      <c r="AD76" s="494">
        <f t="shared" si="5"/>
        <v>38.56666666666667</v>
      </c>
      <c r="AE76" s="494">
        <f t="shared" si="6"/>
        <v>116.78333333333333</v>
      </c>
    </row>
    <row r="77" spans="1:31" ht="15.95" customHeight="1">
      <c r="A77" s="180">
        <v>14</v>
      </c>
      <c r="B77" s="3" t="s">
        <v>100</v>
      </c>
      <c r="C77" s="1" t="s">
        <v>89</v>
      </c>
      <c r="D77" s="1" t="s">
        <v>2776</v>
      </c>
      <c r="E77" s="1">
        <v>300</v>
      </c>
      <c r="F77" s="1"/>
      <c r="G77" s="1">
        <v>300</v>
      </c>
      <c r="H77" s="1">
        <v>322</v>
      </c>
      <c r="I77" s="1"/>
      <c r="J77" s="1">
        <v>322</v>
      </c>
      <c r="K77" s="1">
        <v>54</v>
      </c>
      <c r="L77" s="1"/>
      <c r="M77" s="1">
        <v>54</v>
      </c>
      <c r="N77" s="1">
        <v>276</v>
      </c>
      <c r="O77" s="1">
        <v>72</v>
      </c>
      <c r="P77" s="1">
        <v>348</v>
      </c>
      <c r="Q77" s="1"/>
      <c r="R77" s="1"/>
      <c r="S77" s="1">
        <v>0</v>
      </c>
      <c r="T77" s="574"/>
      <c r="U77" s="1"/>
      <c r="V77" s="1">
        <v>0</v>
      </c>
      <c r="W77" s="496">
        <v>952</v>
      </c>
      <c r="X77" s="240">
        <v>72</v>
      </c>
      <c r="Y77" s="240">
        <v>1024</v>
      </c>
      <c r="Z77" s="243">
        <v>158.66666666666666</v>
      </c>
      <c r="AA77" s="243">
        <v>12</v>
      </c>
      <c r="AB77" s="243">
        <v>170.66666666666666</v>
      </c>
      <c r="AC77" s="494">
        <f t="shared" si="4"/>
        <v>206.26666666666665</v>
      </c>
      <c r="AD77" s="494">
        <f t="shared" si="5"/>
        <v>15.6</v>
      </c>
      <c r="AE77" s="494">
        <f t="shared" si="6"/>
        <v>221.86666666666665</v>
      </c>
    </row>
    <row r="78" spans="1:31" ht="15.95" customHeight="1">
      <c r="A78" s="180">
        <v>15</v>
      </c>
      <c r="B78" s="3" t="s">
        <v>104</v>
      </c>
      <c r="C78" s="1" t="s">
        <v>89</v>
      </c>
      <c r="D78" s="1" t="s">
        <v>2776</v>
      </c>
      <c r="E78" s="1">
        <v>76</v>
      </c>
      <c r="F78" s="1"/>
      <c r="G78" s="1">
        <v>76</v>
      </c>
      <c r="H78" s="1">
        <v>94</v>
      </c>
      <c r="I78" s="1"/>
      <c r="J78" s="1">
        <v>94</v>
      </c>
      <c r="K78" s="1">
        <v>114</v>
      </c>
      <c r="L78" s="1"/>
      <c r="M78" s="1">
        <v>114</v>
      </c>
      <c r="N78" s="1">
        <v>60</v>
      </c>
      <c r="O78" s="1"/>
      <c r="P78" s="1">
        <v>60</v>
      </c>
      <c r="Q78" s="1">
        <v>76</v>
      </c>
      <c r="R78" s="1"/>
      <c r="S78" s="1">
        <v>76</v>
      </c>
      <c r="T78" s="574"/>
      <c r="U78" s="1"/>
      <c r="V78" s="1">
        <v>0</v>
      </c>
      <c r="W78" s="496">
        <v>420</v>
      </c>
      <c r="X78" s="240">
        <v>0</v>
      </c>
      <c r="Y78" s="240">
        <v>420</v>
      </c>
      <c r="Z78" s="243">
        <v>70</v>
      </c>
      <c r="AA78" s="243">
        <v>0</v>
      </c>
      <c r="AB78" s="243">
        <v>70</v>
      </c>
      <c r="AC78" s="494">
        <f t="shared" si="4"/>
        <v>91</v>
      </c>
      <c r="AD78" s="494">
        <f t="shared" si="5"/>
        <v>0</v>
      </c>
      <c r="AE78" s="494">
        <f t="shared" si="6"/>
        <v>91</v>
      </c>
    </row>
    <row r="79" spans="1:31" ht="15.95" customHeight="1">
      <c r="A79" s="180">
        <v>16</v>
      </c>
      <c r="B79" s="3" t="s">
        <v>108</v>
      </c>
      <c r="C79" s="1" t="s">
        <v>89</v>
      </c>
      <c r="D79" s="1" t="s">
        <v>2776</v>
      </c>
      <c r="E79" s="1"/>
      <c r="F79" s="1"/>
      <c r="G79" s="1">
        <v>0</v>
      </c>
      <c r="H79" s="1">
        <v>128</v>
      </c>
      <c r="I79" s="1"/>
      <c r="J79" s="1">
        <v>128</v>
      </c>
      <c r="K79" s="1">
        <v>158</v>
      </c>
      <c r="L79" s="1"/>
      <c r="M79" s="1">
        <v>158</v>
      </c>
      <c r="N79" s="1">
        <v>40</v>
      </c>
      <c r="O79" s="1">
        <v>40</v>
      </c>
      <c r="P79" s="1">
        <v>80</v>
      </c>
      <c r="Q79" s="1">
        <v>72</v>
      </c>
      <c r="R79" s="1"/>
      <c r="S79" s="1">
        <v>72</v>
      </c>
      <c r="T79" s="574"/>
      <c r="U79" s="1"/>
      <c r="V79" s="1">
        <v>0</v>
      </c>
      <c r="W79" s="496">
        <v>398</v>
      </c>
      <c r="X79" s="240">
        <v>40</v>
      </c>
      <c r="Y79" s="240">
        <v>438</v>
      </c>
      <c r="Z79" s="243">
        <v>66.333333333333329</v>
      </c>
      <c r="AA79" s="243">
        <v>6.666666666666667</v>
      </c>
      <c r="AB79" s="243">
        <v>73</v>
      </c>
      <c r="AC79" s="494">
        <f t="shared" si="4"/>
        <v>86.23333333333332</v>
      </c>
      <c r="AD79" s="494">
        <f t="shared" si="5"/>
        <v>8.6666666666666679</v>
      </c>
      <c r="AE79" s="494">
        <f t="shared" si="6"/>
        <v>94.9</v>
      </c>
    </row>
    <row r="80" spans="1:31" ht="15.95" customHeight="1">
      <c r="A80" s="180">
        <v>17</v>
      </c>
      <c r="B80" s="3" t="s">
        <v>112</v>
      </c>
      <c r="C80" s="1" t="s">
        <v>89</v>
      </c>
      <c r="D80" s="1" t="s">
        <v>2776</v>
      </c>
      <c r="E80" s="1">
        <v>52</v>
      </c>
      <c r="F80" s="1"/>
      <c r="G80" s="1">
        <v>52</v>
      </c>
      <c r="H80" s="1">
        <v>64</v>
      </c>
      <c r="I80" s="1"/>
      <c r="J80" s="1">
        <v>64</v>
      </c>
      <c r="K80" s="1">
        <v>83</v>
      </c>
      <c r="L80" s="1"/>
      <c r="M80" s="1">
        <v>83</v>
      </c>
      <c r="N80" s="1">
        <v>60</v>
      </c>
      <c r="O80" s="1"/>
      <c r="P80" s="1">
        <v>60</v>
      </c>
      <c r="Q80" s="1">
        <v>74</v>
      </c>
      <c r="R80" s="1"/>
      <c r="S80" s="1">
        <v>74</v>
      </c>
      <c r="T80" s="574">
        <v>51</v>
      </c>
      <c r="U80" s="1"/>
      <c r="V80" s="1">
        <v>51</v>
      </c>
      <c r="W80" s="496">
        <v>384</v>
      </c>
      <c r="X80" s="240">
        <v>0</v>
      </c>
      <c r="Y80" s="240">
        <v>384</v>
      </c>
      <c r="Z80" s="243">
        <v>64</v>
      </c>
      <c r="AA80" s="243">
        <v>0</v>
      </c>
      <c r="AB80" s="243">
        <v>64</v>
      </c>
      <c r="AC80" s="494">
        <f t="shared" si="4"/>
        <v>83.2</v>
      </c>
      <c r="AD80" s="494">
        <f t="shared" si="5"/>
        <v>0</v>
      </c>
      <c r="AE80" s="494">
        <f t="shared" si="6"/>
        <v>83.2</v>
      </c>
    </row>
    <row r="81" spans="1:31" ht="15.95" customHeight="1">
      <c r="A81" s="180">
        <v>18</v>
      </c>
      <c r="B81" s="3" t="s">
        <v>116</v>
      </c>
      <c r="C81" s="1" t="s">
        <v>89</v>
      </c>
      <c r="D81" s="1" t="s">
        <v>2776</v>
      </c>
      <c r="E81" s="1">
        <v>139</v>
      </c>
      <c r="F81" s="1"/>
      <c r="G81" s="1">
        <v>139</v>
      </c>
      <c r="H81" s="1">
        <v>129</v>
      </c>
      <c r="I81" s="1"/>
      <c r="J81" s="1">
        <v>129</v>
      </c>
      <c r="K81" s="1">
        <v>165</v>
      </c>
      <c r="L81" s="1"/>
      <c r="M81" s="1">
        <v>165</v>
      </c>
      <c r="N81" s="1">
        <v>180</v>
      </c>
      <c r="O81" s="1"/>
      <c r="P81" s="1">
        <v>180</v>
      </c>
      <c r="Q81" s="1">
        <v>178</v>
      </c>
      <c r="R81" s="1"/>
      <c r="S81" s="1">
        <v>178</v>
      </c>
      <c r="T81" s="574">
        <v>50</v>
      </c>
      <c r="U81" s="1"/>
      <c r="V81" s="1">
        <v>50</v>
      </c>
      <c r="W81" s="496">
        <v>841</v>
      </c>
      <c r="X81" s="240">
        <v>0</v>
      </c>
      <c r="Y81" s="240">
        <v>841</v>
      </c>
      <c r="Z81" s="243">
        <v>140.16666666666666</v>
      </c>
      <c r="AA81" s="243">
        <v>0</v>
      </c>
      <c r="AB81" s="243">
        <v>140.16666666666666</v>
      </c>
      <c r="AC81" s="494">
        <f t="shared" si="4"/>
        <v>182.21666666666664</v>
      </c>
      <c r="AD81" s="494">
        <f t="shared" si="5"/>
        <v>0</v>
      </c>
      <c r="AE81" s="494">
        <f t="shared" si="6"/>
        <v>182.21666666666664</v>
      </c>
    </row>
    <row r="82" spans="1:31" ht="15.95" customHeight="1">
      <c r="A82" s="180">
        <v>19</v>
      </c>
      <c r="B82" s="3" t="s">
        <v>123</v>
      </c>
      <c r="C82" s="1" t="s">
        <v>89</v>
      </c>
      <c r="D82" s="1" t="s">
        <v>2776</v>
      </c>
      <c r="E82" s="1">
        <v>144</v>
      </c>
      <c r="F82" s="1"/>
      <c r="G82" s="1">
        <v>144</v>
      </c>
      <c r="H82" s="1">
        <v>137</v>
      </c>
      <c r="I82" s="1">
        <v>9</v>
      </c>
      <c r="J82" s="1">
        <v>146</v>
      </c>
      <c r="K82" s="1">
        <v>192</v>
      </c>
      <c r="L82" s="1"/>
      <c r="M82" s="1">
        <v>192</v>
      </c>
      <c r="N82" s="1">
        <v>86</v>
      </c>
      <c r="O82" s="1">
        <v>18</v>
      </c>
      <c r="P82" s="1">
        <v>104</v>
      </c>
      <c r="Q82" s="1">
        <v>93</v>
      </c>
      <c r="R82" s="1"/>
      <c r="S82" s="1">
        <v>93</v>
      </c>
      <c r="T82" s="574">
        <v>74</v>
      </c>
      <c r="U82" s="1"/>
      <c r="V82" s="1">
        <v>74</v>
      </c>
      <c r="W82" s="496">
        <v>726</v>
      </c>
      <c r="X82" s="240">
        <v>27</v>
      </c>
      <c r="Y82" s="240">
        <v>753</v>
      </c>
      <c r="Z82" s="243">
        <v>121</v>
      </c>
      <c r="AA82" s="243">
        <v>4.5</v>
      </c>
      <c r="AB82" s="243">
        <v>125.5</v>
      </c>
      <c r="AC82" s="494">
        <f t="shared" si="4"/>
        <v>157.30000000000001</v>
      </c>
      <c r="AD82" s="494">
        <f t="shared" si="5"/>
        <v>5.85</v>
      </c>
      <c r="AE82" s="494">
        <f t="shared" si="6"/>
        <v>163.15</v>
      </c>
    </row>
    <row r="83" spans="1:31" ht="15.95" customHeight="1">
      <c r="A83" s="180">
        <v>20</v>
      </c>
      <c r="B83" s="3" t="s">
        <v>125</v>
      </c>
      <c r="C83" s="1" t="s">
        <v>89</v>
      </c>
      <c r="D83" s="1" t="s">
        <v>2776</v>
      </c>
      <c r="E83" s="1">
        <v>90</v>
      </c>
      <c r="F83" s="1"/>
      <c r="G83" s="1">
        <v>90</v>
      </c>
      <c r="H83" s="1">
        <v>43</v>
      </c>
      <c r="I83" s="1"/>
      <c r="J83" s="1">
        <v>43</v>
      </c>
      <c r="K83" s="1">
        <v>83</v>
      </c>
      <c r="L83" s="1"/>
      <c r="M83" s="1">
        <v>83</v>
      </c>
      <c r="N83" s="1">
        <v>40</v>
      </c>
      <c r="O83" s="1"/>
      <c r="P83" s="1">
        <v>40</v>
      </c>
      <c r="Q83" s="1">
        <v>58</v>
      </c>
      <c r="R83" s="1"/>
      <c r="S83" s="1">
        <v>58</v>
      </c>
      <c r="T83" s="574"/>
      <c r="U83" s="1"/>
      <c r="V83" s="1">
        <v>0</v>
      </c>
      <c r="W83" s="496">
        <v>314</v>
      </c>
      <c r="X83" s="240">
        <v>0</v>
      </c>
      <c r="Y83" s="240">
        <v>314</v>
      </c>
      <c r="Z83" s="243">
        <v>52.333333333333336</v>
      </c>
      <c r="AA83" s="243">
        <v>0</v>
      </c>
      <c r="AB83" s="243">
        <v>52.333333333333336</v>
      </c>
      <c r="AC83" s="494">
        <f t="shared" si="4"/>
        <v>68.033333333333331</v>
      </c>
      <c r="AD83" s="494">
        <f t="shared" si="5"/>
        <v>0</v>
      </c>
      <c r="AE83" s="494">
        <f t="shared" si="6"/>
        <v>68.033333333333331</v>
      </c>
    </row>
    <row r="84" spans="1:31" ht="15.95" customHeight="1">
      <c r="A84" s="180">
        <v>21</v>
      </c>
      <c r="B84" s="3" t="s">
        <v>127</v>
      </c>
      <c r="C84" s="1" t="s">
        <v>128</v>
      </c>
      <c r="D84" s="1" t="s">
        <v>2776</v>
      </c>
      <c r="E84" s="1">
        <v>58</v>
      </c>
      <c r="F84" s="1"/>
      <c r="G84" s="1">
        <v>58</v>
      </c>
      <c r="H84" s="1">
        <v>130</v>
      </c>
      <c r="I84" s="1"/>
      <c r="J84" s="1">
        <v>130</v>
      </c>
      <c r="K84" s="1">
        <v>40</v>
      </c>
      <c r="L84" s="1"/>
      <c r="M84" s="1">
        <v>40</v>
      </c>
      <c r="N84" s="1">
        <v>125</v>
      </c>
      <c r="O84" s="1">
        <v>6</v>
      </c>
      <c r="P84" s="1">
        <v>131</v>
      </c>
      <c r="Q84" s="1"/>
      <c r="R84" s="1"/>
      <c r="S84" s="1">
        <v>0</v>
      </c>
      <c r="T84" s="574"/>
      <c r="U84" s="1"/>
      <c r="V84" s="1">
        <v>0</v>
      </c>
      <c r="W84" s="496">
        <v>353</v>
      </c>
      <c r="X84" s="240">
        <v>6</v>
      </c>
      <c r="Y84" s="240">
        <v>359</v>
      </c>
      <c r="Z84" s="243">
        <v>58.833333333333336</v>
      </c>
      <c r="AA84" s="243">
        <v>1</v>
      </c>
      <c r="AB84" s="243">
        <v>59.833333333333336</v>
      </c>
      <c r="AC84" s="494">
        <f t="shared" si="4"/>
        <v>76.483333333333334</v>
      </c>
      <c r="AD84" s="494">
        <f t="shared" si="5"/>
        <v>1.3</v>
      </c>
      <c r="AE84" s="494">
        <f t="shared" si="6"/>
        <v>77.783333333333331</v>
      </c>
    </row>
    <row r="85" spans="1:31" ht="15.95" customHeight="1">
      <c r="A85" s="180">
        <v>22</v>
      </c>
      <c r="B85" s="1" t="s">
        <v>161</v>
      </c>
      <c r="C85" s="1" t="s">
        <v>128</v>
      </c>
      <c r="D85" s="1" t="s">
        <v>2776</v>
      </c>
      <c r="E85" s="1">
        <v>96</v>
      </c>
      <c r="F85" s="1">
        <v>38</v>
      </c>
      <c r="G85" s="1">
        <v>134</v>
      </c>
      <c r="H85" s="1">
        <v>58</v>
      </c>
      <c r="I85" s="1">
        <v>42</v>
      </c>
      <c r="J85" s="1">
        <v>100</v>
      </c>
      <c r="K85" s="1">
        <v>56</v>
      </c>
      <c r="L85" s="1">
        <v>58</v>
      </c>
      <c r="M85" s="1">
        <v>114</v>
      </c>
      <c r="N85" s="1">
        <v>148</v>
      </c>
      <c r="O85" s="1">
        <v>56</v>
      </c>
      <c r="P85" s="1">
        <v>204</v>
      </c>
      <c r="Q85" s="1">
        <v>94</v>
      </c>
      <c r="R85" s="1"/>
      <c r="S85" s="1">
        <v>94</v>
      </c>
      <c r="T85" s="574"/>
      <c r="U85" s="1"/>
      <c r="V85" s="1">
        <v>0</v>
      </c>
      <c r="W85" s="496">
        <v>452</v>
      </c>
      <c r="X85" s="240">
        <v>194</v>
      </c>
      <c r="Y85" s="240">
        <v>646</v>
      </c>
      <c r="Z85" s="243">
        <v>75.333333333333329</v>
      </c>
      <c r="AA85" s="243">
        <v>32.333333333333336</v>
      </c>
      <c r="AB85" s="243">
        <v>107.66666666666667</v>
      </c>
      <c r="AC85" s="494">
        <f t="shared" si="4"/>
        <v>97.933333333333323</v>
      </c>
      <c r="AD85" s="494">
        <f t="shared" si="5"/>
        <v>42.033333333333339</v>
      </c>
      <c r="AE85" s="494">
        <f t="shared" si="6"/>
        <v>139.96666666666667</v>
      </c>
    </row>
    <row r="86" spans="1:31" ht="15.95" customHeight="1">
      <c r="A86" s="180">
        <v>23</v>
      </c>
      <c r="B86" s="260" t="s">
        <v>198</v>
      </c>
      <c r="C86" s="1" t="s">
        <v>185</v>
      </c>
      <c r="D86" s="1" t="s">
        <v>2776</v>
      </c>
      <c r="E86" s="1">
        <v>59</v>
      </c>
      <c r="F86" s="1"/>
      <c r="G86" s="1">
        <f t="shared" ref="G86" si="7">SUM(E86:F86)</f>
        <v>59</v>
      </c>
      <c r="H86" s="1">
        <v>235</v>
      </c>
      <c r="I86" s="1"/>
      <c r="J86" s="1">
        <f t="shared" ref="J86" si="8">SUM(H86:I86)</f>
        <v>235</v>
      </c>
      <c r="K86" s="1">
        <v>94</v>
      </c>
      <c r="L86" s="1"/>
      <c r="M86" s="1">
        <f t="shared" ref="M86" si="9">SUM(K86:L86)</f>
        <v>94</v>
      </c>
      <c r="N86" s="1">
        <v>25</v>
      </c>
      <c r="O86" s="1"/>
      <c r="P86" s="1">
        <f t="shared" ref="P86" si="10">SUM(N86:O86)</f>
        <v>25</v>
      </c>
      <c r="Q86" s="1">
        <v>60</v>
      </c>
      <c r="R86" s="1"/>
      <c r="S86" s="1">
        <f>Q86+R86</f>
        <v>60</v>
      </c>
      <c r="T86" s="574"/>
      <c r="U86" s="1"/>
      <c r="V86" s="1">
        <f t="shared" ref="V86" si="11">SUM(T86:U86)</f>
        <v>0</v>
      </c>
      <c r="W86" s="496">
        <f t="shared" ref="W86:Y86" si="12">E86+H86+K86+N86+Q86+T86</f>
        <v>473</v>
      </c>
      <c r="X86" s="240">
        <f t="shared" si="12"/>
        <v>0</v>
      </c>
      <c r="Y86" s="240">
        <f t="shared" si="12"/>
        <v>473</v>
      </c>
      <c r="Z86" s="243">
        <f t="shared" ref="Z86:AB86" si="13">W86/6</f>
        <v>78.833333333333329</v>
      </c>
      <c r="AA86" s="243">
        <f t="shared" si="13"/>
        <v>0</v>
      </c>
      <c r="AB86" s="243">
        <f t="shared" si="13"/>
        <v>78.833333333333329</v>
      </c>
      <c r="AC86" s="494">
        <f t="shared" si="4"/>
        <v>102.48333333333332</v>
      </c>
      <c r="AD86" s="494">
        <f t="shared" si="5"/>
        <v>0</v>
      </c>
      <c r="AE86" s="494">
        <f t="shared" si="6"/>
        <v>102.48333333333332</v>
      </c>
    </row>
    <row r="87" spans="1:31" ht="15.95" customHeight="1">
      <c r="A87" s="180">
        <v>24</v>
      </c>
      <c r="B87" s="260" t="s">
        <v>265</v>
      </c>
      <c r="C87" s="1" t="s">
        <v>247</v>
      </c>
      <c r="D87" s="1" t="s">
        <v>2776</v>
      </c>
      <c r="E87" s="1">
        <v>56</v>
      </c>
      <c r="F87" s="1"/>
      <c r="G87" s="1">
        <v>56</v>
      </c>
      <c r="H87" s="1">
        <v>148</v>
      </c>
      <c r="I87" s="1"/>
      <c r="J87" s="1">
        <v>148</v>
      </c>
      <c r="K87" s="1">
        <v>150</v>
      </c>
      <c r="L87" s="1"/>
      <c r="M87" s="1">
        <v>150</v>
      </c>
      <c r="N87" s="1"/>
      <c r="O87" s="1"/>
      <c r="P87" s="1">
        <v>0</v>
      </c>
      <c r="Q87" s="1">
        <v>57</v>
      </c>
      <c r="R87" s="1"/>
      <c r="S87" s="1">
        <v>57</v>
      </c>
      <c r="T87" s="574"/>
      <c r="U87" s="1"/>
      <c r="V87" s="1">
        <v>0</v>
      </c>
      <c r="W87" s="496">
        <v>411</v>
      </c>
      <c r="X87" s="240">
        <v>0</v>
      </c>
      <c r="Y87" s="240">
        <v>411</v>
      </c>
      <c r="Z87" s="243">
        <v>68.5</v>
      </c>
      <c r="AA87" s="243">
        <v>0</v>
      </c>
      <c r="AB87" s="243">
        <v>68.5</v>
      </c>
      <c r="AC87" s="494">
        <f t="shared" si="4"/>
        <v>89.05</v>
      </c>
      <c r="AD87" s="494">
        <f t="shared" si="5"/>
        <v>0</v>
      </c>
      <c r="AE87" s="494">
        <f t="shared" si="6"/>
        <v>89.05</v>
      </c>
    </row>
    <row r="88" spans="1:31" ht="15.95" customHeight="1">
      <c r="A88" s="180">
        <v>25</v>
      </c>
      <c r="B88" s="260" t="s">
        <v>287</v>
      </c>
      <c r="C88" s="1" t="s">
        <v>247</v>
      </c>
      <c r="D88" s="1" t="s">
        <v>2776</v>
      </c>
      <c r="E88" s="1">
        <v>18</v>
      </c>
      <c r="F88" s="1">
        <v>18</v>
      </c>
      <c r="G88" s="1">
        <v>36</v>
      </c>
      <c r="H88" s="1">
        <v>190</v>
      </c>
      <c r="I88" s="1"/>
      <c r="J88" s="1">
        <v>190</v>
      </c>
      <c r="K88" s="1">
        <v>25</v>
      </c>
      <c r="L88" s="1"/>
      <c r="M88" s="1">
        <v>25</v>
      </c>
      <c r="N88" s="1">
        <v>162</v>
      </c>
      <c r="O88" s="1"/>
      <c r="P88" s="1">
        <v>162</v>
      </c>
      <c r="Q88" s="1">
        <v>40</v>
      </c>
      <c r="R88" s="1"/>
      <c r="S88" s="1">
        <v>40</v>
      </c>
      <c r="T88" s="574"/>
      <c r="U88" s="1"/>
      <c r="V88" s="1">
        <v>0</v>
      </c>
      <c r="W88" s="496">
        <v>435</v>
      </c>
      <c r="X88" s="240">
        <v>18</v>
      </c>
      <c r="Y88" s="240">
        <v>453</v>
      </c>
      <c r="Z88" s="243">
        <v>72.5</v>
      </c>
      <c r="AA88" s="243">
        <v>3</v>
      </c>
      <c r="AB88" s="243">
        <v>75.5</v>
      </c>
      <c r="AC88" s="494">
        <f t="shared" si="4"/>
        <v>94.25</v>
      </c>
      <c r="AD88" s="494">
        <f t="shared" si="5"/>
        <v>3.9</v>
      </c>
      <c r="AE88" s="494">
        <f t="shared" si="6"/>
        <v>98.15</v>
      </c>
    </row>
    <row r="89" spans="1:31" ht="15.95" customHeight="1">
      <c r="A89" s="180">
        <v>26</v>
      </c>
      <c r="B89" s="260" t="s">
        <v>297</v>
      </c>
      <c r="C89" s="1" t="s">
        <v>293</v>
      </c>
      <c r="D89" s="1" t="s">
        <v>2776</v>
      </c>
      <c r="E89" s="1">
        <v>120</v>
      </c>
      <c r="F89" s="1">
        <v>36</v>
      </c>
      <c r="G89" s="1">
        <v>156</v>
      </c>
      <c r="H89" s="1">
        <v>388</v>
      </c>
      <c r="I89" s="1">
        <v>72</v>
      </c>
      <c r="J89" s="1">
        <v>460</v>
      </c>
      <c r="K89" s="1">
        <v>140</v>
      </c>
      <c r="L89" s="1">
        <v>36</v>
      </c>
      <c r="M89" s="1">
        <v>176</v>
      </c>
      <c r="N89" s="1"/>
      <c r="O89" s="1"/>
      <c r="P89" s="1">
        <v>0</v>
      </c>
      <c r="Q89" s="1">
        <v>40</v>
      </c>
      <c r="R89" s="1">
        <v>46</v>
      </c>
      <c r="S89" s="1">
        <v>86</v>
      </c>
      <c r="T89" s="574"/>
      <c r="U89" s="1">
        <v>36</v>
      </c>
      <c r="V89" s="1">
        <v>36</v>
      </c>
      <c r="W89" s="496">
        <v>688</v>
      </c>
      <c r="X89" s="240">
        <v>226</v>
      </c>
      <c r="Y89" s="240">
        <v>914</v>
      </c>
      <c r="Z89" s="243">
        <v>114.66666666666667</v>
      </c>
      <c r="AA89" s="243">
        <v>37.666666666666664</v>
      </c>
      <c r="AB89" s="243">
        <v>152.33333333333334</v>
      </c>
      <c r="AC89" s="494">
        <f t="shared" si="4"/>
        <v>149.06666666666666</v>
      </c>
      <c r="AD89" s="494">
        <f t="shared" si="5"/>
        <v>48.966666666666661</v>
      </c>
      <c r="AE89" s="494">
        <f t="shared" si="6"/>
        <v>198.03333333333336</v>
      </c>
    </row>
    <row r="90" spans="1:31" ht="15.95" customHeight="1">
      <c r="A90" s="180">
        <v>27</v>
      </c>
      <c r="B90" s="3" t="s">
        <v>301</v>
      </c>
      <c r="C90" s="1" t="s">
        <v>293</v>
      </c>
      <c r="D90" s="1" t="s">
        <v>2776</v>
      </c>
      <c r="E90" s="1">
        <v>150</v>
      </c>
      <c r="F90" s="1"/>
      <c r="G90" s="1">
        <v>150</v>
      </c>
      <c r="H90" s="1">
        <v>54</v>
      </c>
      <c r="I90" s="1">
        <v>54</v>
      </c>
      <c r="J90" s="1">
        <v>108</v>
      </c>
      <c r="K90" s="1">
        <v>100</v>
      </c>
      <c r="L90" s="1">
        <v>62</v>
      </c>
      <c r="M90" s="1">
        <v>162</v>
      </c>
      <c r="N90" s="1">
        <v>118</v>
      </c>
      <c r="O90" s="1">
        <v>8</v>
      </c>
      <c r="P90" s="1">
        <v>126</v>
      </c>
      <c r="Q90" s="1"/>
      <c r="R90" s="1"/>
      <c r="S90" s="1">
        <v>0</v>
      </c>
      <c r="T90" s="574"/>
      <c r="U90" s="1">
        <v>36</v>
      </c>
      <c r="V90" s="1">
        <v>36</v>
      </c>
      <c r="W90" s="496">
        <v>422</v>
      </c>
      <c r="X90" s="240">
        <v>160</v>
      </c>
      <c r="Y90" s="240">
        <v>582</v>
      </c>
      <c r="Z90" s="243">
        <v>70.333333333333329</v>
      </c>
      <c r="AA90" s="243">
        <v>26.666666666666668</v>
      </c>
      <c r="AB90" s="243">
        <v>97</v>
      </c>
      <c r="AC90" s="494">
        <f t="shared" si="4"/>
        <v>91.433333333333323</v>
      </c>
      <c r="AD90" s="494">
        <f t="shared" si="5"/>
        <v>34.666666666666671</v>
      </c>
      <c r="AE90" s="494">
        <f t="shared" si="6"/>
        <v>126.1</v>
      </c>
    </row>
    <row r="91" spans="1:31" ht="15.95" customHeight="1">
      <c r="A91" s="180">
        <v>28</v>
      </c>
      <c r="B91" s="3" t="s">
        <v>308</v>
      </c>
      <c r="C91" s="1" t="s">
        <v>293</v>
      </c>
      <c r="D91" s="1" t="s">
        <v>2776</v>
      </c>
      <c r="E91" s="1">
        <v>56</v>
      </c>
      <c r="F91" s="1"/>
      <c r="G91" s="1">
        <v>56</v>
      </c>
      <c r="H91" s="1"/>
      <c r="I91" s="1"/>
      <c r="J91" s="1">
        <v>0</v>
      </c>
      <c r="K91" s="1">
        <v>96</v>
      </c>
      <c r="L91" s="1"/>
      <c r="M91" s="1">
        <v>96</v>
      </c>
      <c r="N91" s="1">
        <v>18</v>
      </c>
      <c r="O91" s="1"/>
      <c r="P91" s="1">
        <v>18</v>
      </c>
      <c r="Q91" s="1">
        <v>132</v>
      </c>
      <c r="R91" s="1"/>
      <c r="S91" s="1">
        <v>132</v>
      </c>
      <c r="T91" s="574"/>
      <c r="U91" s="1"/>
      <c r="V91" s="1">
        <v>0</v>
      </c>
      <c r="W91" s="496">
        <v>302</v>
      </c>
      <c r="X91" s="240">
        <v>0</v>
      </c>
      <c r="Y91" s="240">
        <v>302</v>
      </c>
      <c r="Z91" s="243">
        <v>50.333333333333336</v>
      </c>
      <c r="AA91" s="243">
        <v>0</v>
      </c>
      <c r="AB91" s="243">
        <v>50.333333333333336</v>
      </c>
      <c r="AC91" s="494">
        <f t="shared" si="4"/>
        <v>65.433333333333337</v>
      </c>
      <c r="AD91" s="494">
        <f t="shared" si="5"/>
        <v>0</v>
      </c>
      <c r="AE91" s="494">
        <f t="shared" si="6"/>
        <v>65.433333333333337</v>
      </c>
    </row>
    <row r="92" spans="1:31" ht="15.95" customHeight="1">
      <c r="A92" s="180">
        <v>29</v>
      </c>
      <c r="B92" s="3" t="s">
        <v>314</v>
      </c>
      <c r="C92" s="1" t="s">
        <v>293</v>
      </c>
      <c r="D92" s="1" t="s">
        <v>2776</v>
      </c>
      <c r="E92" s="1">
        <v>356</v>
      </c>
      <c r="F92" s="1"/>
      <c r="G92" s="1">
        <v>356</v>
      </c>
      <c r="H92" s="1"/>
      <c r="I92" s="1"/>
      <c r="J92" s="1">
        <v>0</v>
      </c>
      <c r="K92" s="1">
        <v>316</v>
      </c>
      <c r="L92" s="1"/>
      <c r="M92" s="1">
        <v>316</v>
      </c>
      <c r="N92" s="1"/>
      <c r="O92" s="1"/>
      <c r="P92" s="1">
        <v>0</v>
      </c>
      <c r="Q92" s="1"/>
      <c r="R92" s="1"/>
      <c r="S92" s="1">
        <v>0</v>
      </c>
      <c r="T92" s="574"/>
      <c r="U92" s="1"/>
      <c r="V92" s="1">
        <v>0</v>
      </c>
      <c r="W92" s="496">
        <v>672</v>
      </c>
      <c r="X92" s="240">
        <v>0</v>
      </c>
      <c r="Y92" s="240">
        <v>672</v>
      </c>
      <c r="Z92" s="243">
        <v>112</v>
      </c>
      <c r="AA92" s="243">
        <v>0</v>
      </c>
      <c r="AB92" s="243">
        <v>112</v>
      </c>
      <c r="AC92" s="494">
        <f t="shared" si="4"/>
        <v>145.6</v>
      </c>
      <c r="AD92" s="494">
        <f t="shared" si="5"/>
        <v>0</v>
      </c>
      <c r="AE92" s="494">
        <f t="shared" si="6"/>
        <v>145.6</v>
      </c>
    </row>
    <row r="93" spans="1:31" ht="15.95" customHeight="1">
      <c r="A93" s="491">
        <v>30</v>
      </c>
      <c r="B93" s="490" t="s">
        <v>344</v>
      </c>
      <c r="C93" s="490" t="s">
        <v>345</v>
      </c>
      <c r="D93" s="1" t="s">
        <v>2777</v>
      </c>
      <c r="E93" s="490">
        <v>100</v>
      </c>
      <c r="F93" s="490"/>
      <c r="G93" s="1">
        <v>100</v>
      </c>
      <c r="H93" s="490">
        <v>122</v>
      </c>
      <c r="I93" s="490"/>
      <c r="J93" s="1">
        <v>122</v>
      </c>
      <c r="K93" s="490">
        <v>150</v>
      </c>
      <c r="L93" s="490"/>
      <c r="M93" s="1">
        <v>150</v>
      </c>
      <c r="N93" s="1">
        <v>120</v>
      </c>
      <c r="O93" s="1"/>
      <c r="P93" s="1">
        <v>120</v>
      </c>
      <c r="Q93" s="1"/>
      <c r="R93" s="1"/>
      <c r="S93" s="1">
        <v>0</v>
      </c>
      <c r="T93" s="1">
        <v>136</v>
      </c>
      <c r="U93" s="1"/>
      <c r="V93" s="1">
        <v>136</v>
      </c>
      <c r="W93" s="496">
        <v>628</v>
      </c>
      <c r="X93" s="240">
        <v>0</v>
      </c>
      <c r="Y93" s="240">
        <v>628</v>
      </c>
      <c r="Z93" s="243">
        <v>104.66666666666667</v>
      </c>
      <c r="AA93" s="243">
        <v>0</v>
      </c>
      <c r="AB93" s="243">
        <v>104.66666666666667</v>
      </c>
      <c r="AC93" s="494">
        <f t="shared" si="4"/>
        <v>136.06666666666666</v>
      </c>
      <c r="AD93" s="494">
        <f t="shared" si="5"/>
        <v>0</v>
      </c>
      <c r="AE93" s="494">
        <f t="shared" si="6"/>
        <v>136.06666666666666</v>
      </c>
    </row>
    <row r="94" spans="1:31" ht="15.95" customHeight="1">
      <c r="A94" s="180">
        <v>31</v>
      </c>
      <c r="B94" s="490" t="s">
        <v>397</v>
      </c>
      <c r="C94" s="490" t="s">
        <v>345</v>
      </c>
      <c r="D94" s="1" t="s">
        <v>2777</v>
      </c>
      <c r="E94" s="490">
        <v>71</v>
      </c>
      <c r="F94" s="490"/>
      <c r="G94" s="1">
        <v>71</v>
      </c>
      <c r="H94" s="490">
        <v>100</v>
      </c>
      <c r="I94" s="490">
        <v>47</v>
      </c>
      <c r="J94" s="1">
        <v>147</v>
      </c>
      <c r="K94" s="1">
        <v>160</v>
      </c>
      <c r="L94" s="1">
        <v>116</v>
      </c>
      <c r="M94" s="1">
        <v>276</v>
      </c>
      <c r="N94" s="1">
        <v>18</v>
      </c>
      <c r="O94" s="1">
        <v>56</v>
      </c>
      <c r="P94" s="1">
        <v>74</v>
      </c>
      <c r="Q94" s="1"/>
      <c r="R94" s="1"/>
      <c r="S94" s="1">
        <v>0</v>
      </c>
      <c r="T94" s="1">
        <v>141</v>
      </c>
      <c r="U94" s="1"/>
      <c r="V94" s="1">
        <v>141</v>
      </c>
      <c r="W94" s="496">
        <v>490</v>
      </c>
      <c r="X94" s="240">
        <v>219</v>
      </c>
      <c r="Y94" s="240">
        <v>709</v>
      </c>
      <c r="Z94" s="243">
        <v>81.666666666666671</v>
      </c>
      <c r="AA94" s="243">
        <v>36.5</v>
      </c>
      <c r="AB94" s="243">
        <v>118.16666666666667</v>
      </c>
      <c r="AC94" s="494">
        <f t="shared" si="4"/>
        <v>106.16666666666667</v>
      </c>
      <c r="AD94" s="494">
        <f t="shared" si="5"/>
        <v>47.45</v>
      </c>
      <c r="AE94" s="494">
        <f t="shared" si="6"/>
        <v>153.61666666666667</v>
      </c>
    </row>
    <row r="95" spans="1:31" ht="15.95" customHeight="1">
      <c r="A95" s="491">
        <v>32</v>
      </c>
      <c r="B95" s="490" t="s">
        <v>408</v>
      </c>
      <c r="C95" s="490" t="s">
        <v>345</v>
      </c>
      <c r="D95" s="1" t="s">
        <v>2777</v>
      </c>
      <c r="E95" s="490">
        <v>98</v>
      </c>
      <c r="F95" s="490"/>
      <c r="G95" s="1">
        <v>98</v>
      </c>
      <c r="H95" s="490">
        <v>50</v>
      </c>
      <c r="I95" s="490"/>
      <c r="J95" s="1">
        <v>50</v>
      </c>
      <c r="K95" s="1">
        <v>50</v>
      </c>
      <c r="L95" s="1"/>
      <c r="M95" s="1">
        <v>50</v>
      </c>
      <c r="N95" s="1">
        <v>118</v>
      </c>
      <c r="O95" s="1"/>
      <c r="P95" s="1">
        <v>118</v>
      </c>
      <c r="Q95" s="1"/>
      <c r="R95" s="1"/>
      <c r="S95" s="1">
        <v>0</v>
      </c>
      <c r="T95" s="1"/>
      <c r="U95" s="1"/>
      <c r="V95" s="1">
        <v>0</v>
      </c>
      <c r="W95" s="496">
        <v>316</v>
      </c>
      <c r="X95" s="240">
        <v>0</v>
      </c>
      <c r="Y95" s="240">
        <v>316</v>
      </c>
      <c r="Z95" s="243">
        <v>52.666666666666664</v>
      </c>
      <c r="AA95" s="243">
        <v>0</v>
      </c>
      <c r="AB95" s="243">
        <v>52.666666666666664</v>
      </c>
      <c r="AC95" s="494">
        <f t="shared" si="4"/>
        <v>68.466666666666669</v>
      </c>
      <c r="AD95" s="494">
        <f t="shared" si="5"/>
        <v>0</v>
      </c>
      <c r="AE95" s="494">
        <f t="shared" si="6"/>
        <v>68.466666666666669</v>
      </c>
    </row>
    <row r="96" spans="1:31" ht="15.95" customHeight="1">
      <c r="A96" s="180">
        <v>33</v>
      </c>
      <c r="B96" s="490" t="s">
        <v>443</v>
      </c>
      <c r="C96" s="490" t="s">
        <v>425</v>
      </c>
      <c r="D96" s="1" t="s">
        <v>2777</v>
      </c>
      <c r="E96" s="490">
        <v>100</v>
      </c>
      <c r="F96" s="490"/>
      <c r="G96" s="1">
        <v>100</v>
      </c>
      <c r="H96" s="490"/>
      <c r="I96" s="490"/>
      <c r="J96" s="1">
        <v>0</v>
      </c>
      <c r="K96" s="1">
        <v>100</v>
      </c>
      <c r="L96" s="1"/>
      <c r="M96" s="1">
        <v>100</v>
      </c>
      <c r="N96" s="1"/>
      <c r="O96" s="1"/>
      <c r="P96" s="1">
        <v>0</v>
      </c>
      <c r="Q96" s="1"/>
      <c r="R96" s="1"/>
      <c r="S96" s="1">
        <v>0</v>
      </c>
      <c r="T96" s="1">
        <v>100</v>
      </c>
      <c r="U96" s="1"/>
      <c r="V96" s="1">
        <v>100</v>
      </c>
      <c r="W96" s="496">
        <v>300</v>
      </c>
      <c r="X96" s="240">
        <v>0</v>
      </c>
      <c r="Y96" s="240">
        <v>300</v>
      </c>
      <c r="Z96" s="243">
        <v>50</v>
      </c>
      <c r="AA96" s="243">
        <v>0</v>
      </c>
      <c r="AB96" s="243">
        <v>50</v>
      </c>
      <c r="AC96" s="494">
        <f t="shared" si="4"/>
        <v>65</v>
      </c>
      <c r="AD96" s="494">
        <f t="shared" si="5"/>
        <v>0</v>
      </c>
      <c r="AE96" s="494">
        <f t="shared" si="6"/>
        <v>65</v>
      </c>
    </row>
    <row r="97" spans="1:33" ht="15.95" customHeight="1">
      <c r="A97" s="491">
        <v>34</v>
      </c>
      <c r="B97" s="490" t="s">
        <v>447</v>
      </c>
      <c r="C97" s="490" t="s">
        <v>425</v>
      </c>
      <c r="D97" s="1" t="s">
        <v>2777</v>
      </c>
      <c r="E97" s="490">
        <v>40</v>
      </c>
      <c r="F97" s="490">
        <v>40</v>
      </c>
      <c r="G97" s="1">
        <v>80</v>
      </c>
      <c r="H97" s="490">
        <v>114</v>
      </c>
      <c r="I97" s="490"/>
      <c r="J97" s="1">
        <v>114</v>
      </c>
      <c r="K97" s="1">
        <v>150</v>
      </c>
      <c r="L97" s="1">
        <v>54</v>
      </c>
      <c r="M97" s="1">
        <v>204</v>
      </c>
      <c r="N97" s="1"/>
      <c r="O97" s="1"/>
      <c r="P97" s="1">
        <v>0</v>
      </c>
      <c r="Q97" s="1">
        <v>70</v>
      </c>
      <c r="R97" s="1"/>
      <c r="S97" s="1">
        <v>70</v>
      </c>
      <c r="T97" s="1"/>
      <c r="U97" s="1"/>
      <c r="V97" s="1">
        <v>0</v>
      </c>
      <c r="W97" s="496">
        <v>374</v>
      </c>
      <c r="X97" s="240">
        <v>94</v>
      </c>
      <c r="Y97" s="240">
        <v>468</v>
      </c>
      <c r="Z97" s="243">
        <v>62.333333333333336</v>
      </c>
      <c r="AA97" s="243">
        <v>15.666666666666666</v>
      </c>
      <c r="AB97" s="243">
        <v>78</v>
      </c>
      <c r="AC97" s="494">
        <f t="shared" si="4"/>
        <v>81.033333333333331</v>
      </c>
      <c r="AD97" s="494">
        <f t="shared" si="5"/>
        <v>20.366666666666667</v>
      </c>
      <c r="AE97" s="494">
        <f t="shared" si="6"/>
        <v>101.4</v>
      </c>
    </row>
    <row r="98" spans="1:33" ht="15.95" customHeight="1">
      <c r="A98" s="180">
        <v>35</v>
      </c>
      <c r="B98" s="490" t="s">
        <v>450</v>
      </c>
      <c r="C98" s="490" t="s">
        <v>425</v>
      </c>
      <c r="D98" s="1" t="s">
        <v>2777</v>
      </c>
      <c r="E98" s="490">
        <v>40</v>
      </c>
      <c r="F98" s="490"/>
      <c r="G98" s="1">
        <v>40</v>
      </c>
      <c r="H98" s="490">
        <v>150</v>
      </c>
      <c r="I98" s="490"/>
      <c r="J98" s="1">
        <v>150</v>
      </c>
      <c r="K98" s="1">
        <v>150</v>
      </c>
      <c r="L98" s="1"/>
      <c r="M98" s="1">
        <v>150</v>
      </c>
      <c r="N98" s="1">
        <v>30</v>
      </c>
      <c r="O98" s="1"/>
      <c r="P98" s="1">
        <v>30</v>
      </c>
      <c r="Q98" s="1">
        <v>320</v>
      </c>
      <c r="R98" s="1"/>
      <c r="S98" s="1">
        <v>320</v>
      </c>
      <c r="T98" s="1"/>
      <c r="U98" s="1"/>
      <c r="V98" s="1">
        <v>0</v>
      </c>
      <c r="W98" s="496">
        <v>690</v>
      </c>
      <c r="X98" s="240">
        <v>0</v>
      </c>
      <c r="Y98" s="240">
        <v>690</v>
      </c>
      <c r="Z98" s="243">
        <v>115</v>
      </c>
      <c r="AA98" s="243">
        <v>0</v>
      </c>
      <c r="AB98" s="243">
        <v>115</v>
      </c>
      <c r="AC98" s="494">
        <f t="shared" si="4"/>
        <v>149.5</v>
      </c>
      <c r="AD98" s="494">
        <f t="shared" si="5"/>
        <v>0</v>
      </c>
      <c r="AE98" s="494">
        <f t="shared" si="6"/>
        <v>149.5</v>
      </c>
    </row>
    <row r="99" spans="1:33" ht="15.95" customHeight="1">
      <c r="A99" s="491">
        <v>36</v>
      </c>
      <c r="B99" s="490" t="s">
        <v>459</v>
      </c>
      <c r="C99" s="490" t="s">
        <v>425</v>
      </c>
      <c r="D99" s="1" t="s">
        <v>2777</v>
      </c>
      <c r="E99" s="490">
        <v>118</v>
      </c>
      <c r="F99" s="490"/>
      <c r="G99" s="1">
        <v>118</v>
      </c>
      <c r="H99" s="490">
        <v>200</v>
      </c>
      <c r="I99" s="490"/>
      <c r="J99" s="1">
        <v>200</v>
      </c>
      <c r="K99" s="1">
        <v>40</v>
      </c>
      <c r="L99" s="1">
        <v>20</v>
      </c>
      <c r="M99" s="1">
        <v>60</v>
      </c>
      <c r="N99" s="1"/>
      <c r="O99" s="1"/>
      <c r="P99" s="1">
        <v>0</v>
      </c>
      <c r="Q99" s="1"/>
      <c r="R99" s="1"/>
      <c r="S99" s="1">
        <v>0</v>
      </c>
      <c r="T99" s="1"/>
      <c r="U99" s="1"/>
      <c r="V99" s="1">
        <v>0</v>
      </c>
      <c r="W99" s="496">
        <v>358</v>
      </c>
      <c r="X99" s="240">
        <v>20</v>
      </c>
      <c r="Y99" s="240">
        <v>378</v>
      </c>
      <c r="Z99" s="243">
        <v>59.666666666666664</v>
      </c>
      <c r="AA99" s="243">
        <v>3.3333333333333335</v>
      </c>
      <c r="AB99" s="243">
        <v>63</v>
      </c>
      <c r="AC99" s="494">
        <f t="shared" si="4"/>
        <v>77.566666666666663</v>
      </c>
      <c r="AD99" s="494">
        <f t="shared" si="5"/>
        <v>4.3333333333333339</v>
      </c>
      <c r="AE99" s="494">
        <f t="shared" si="6"/>
        <v>81.900000000000006</v>
      </c>
    </row>
    <row r="100" spans="1:33" ht="15.95" customHeight="1">
      <c r="A100" s="180">
        <v>37</v>
      </c>
      <c r="B100" s="490" t="s">
        <v>479</v>
      </c>
      <c r="C100" s="490" t="s">
        <v>474</v>
      </c>
      <c r="D100" s="1" t="s">
        <v>2777</v>
      </c>
      <c r="E100" s="490">
        <v>152</v>
      </c>
      <c r="F100" s="490"/>
      <c r="G100" s="1">
        <v>152</v>
      </c>
      <c r="H100" s="490">
        <v>56</v>
      </c>
      <c r="I100" s="490"/>
      <c r="J100" s="1">
        <v>56</v>
      </c>
      <c r="K100" s="1">
        <v>160</v>
      </c>
      <c r="L100" s="1"/>
      <c r="M100" s="1">
        <v>160</v>
      </c>
      <c r="N100" s="1"/>
      <c r="O100" s="1"/>
      <c r="P100" s="1">
        <v>0</v>
      </c>
      <c r="Q100" s="1"/>
      <c r="R100" s="1"/>
      <c r="S100" s="1">
        <v>0</v>
      </c>
      <c r="T100" s="1"/>
      <c r="U100" s="1"/>
      <c r="V100" s="1">
        <v>0</v>
      </c>
      <c r="W100" s="496">
        <v>368</v>
      </c>
      <c r="X100" s="240">
        <v>0</v>
      </c>
      <c r="Y100" s="240">
        <v>368</v>
      </c>
      <c r="Z100" s="243">
        <v>61.333333333333336</v>
      </c>
      <c r="AA100" s="243">
        <v>0</v>
      </c>
      <c r="AB100" s="243">
        <v>61.333333333333336</v>
      </c>
      <c r="AC100" s="494">
        <f t="shared" si="4"/>
        <v>79.733333333333334</v>
      </c>
      <c r="AD100" s="494">
        <f t="shared" si="5"/>
        <v>0</v>
      </c>
      <c r="AE100" s="494">
        <f t="shared" si="6"/>
        <v>79.733333333333334</v>
      </c>
    </row>
    <row r="101" spans="1:33" ht="15.95" customHeight="1">
      <c r="A101" s="491">
        <v>38</v>
      </c>
      <c r="B101" s="490" t="s">
        <v>482</v>
      </c>
      <c r="C101" s="490" t="s">
        <v>474</v>
      </c>
      <c r="D101" s="1" t="s">
        <v>2777</v>
      </c>
      <c r="E101" s="490">
        <v>27</v>
      </c>
      <c r="F101" s="490"/>
      <c r="G101" s="1">
        <v>27</v>
      </c>
      <c r="H101" s="490">
        <v>50</v>
      </c>
      <c r="I101" s="490"/>
      <c r="J101" s="1">
        <v>50</v>
      </c>
      <c r="K101" s="1">
        <v>50</v>
      </c>
      <c r="L101" s="1"/>
      <c r="M101" s="1">
        <v>50</v>
      </c>
      <c r="N101" s="1">
        <v>42</v>
      </c>
      <c r="O101" s="1"/>
      <c r="P101" s="1">
        <v>42</v>
      </c>
      <c r="Q101" s="1">
        <v>100</v>
      </c>
      <c r="R101" s="1"/>
      <c r="S101" s="1">
        <v>100</v>
      </c>
      <c r="T101" s="1">
        <v>50</v>
      </c>
      <c r="U101" s="1"/>
      <c r="V101" s="1">
        <v>50</v>
      </c>
      <c r="W101" s="496">
        <v>319</v>
      </c>
      <c r="X101" s="240">
        <v>0</v>
      </c>
      <c r="Y101" s="240">
        <v>319</v>
      </c>
      <c r="Z101" s="243">
        <v>53.166666666666664</v>
      </c>
      <c r="AA101" s="243">
        <v>0</v>
      </c>
      <c r="AB101" s="243">
        <v>53.166666666666664</v>
      </c>
      <c r="AC101" s="494">
        <f t="shared" si="4"/>
        <v>69.11666666666666</v>
      </c>
      <c r="AD101" s="494">
        <f t="shared" si="5"/>
        <v>0</v>
      </c>
      <c r="AE101" s="494">
        <f t="shared" si="6"/>
        <v>69.11666666666666</v>
      </c>
    </row>
    <row r="102" spans="1:33" ht="15.95" customHeight="1">
      <c r="A102" s="180">
        <v>39</v>
      </c>
      <c r="B102" s="490" t="s">
        <v>488</v>
      </c>
      <c r="C102" s="490" t="s">
        <v>474</v>
      </c>
      <c r="D102" s="1" t="s">
        <v>2777</v>
      </c>
      <c r="E102" s="490">
        <v>60</v>
      </c>
      <c r="F102" s="490"/>
      <c r="G102" s="1">
        <v>60</v>
      </c>
      <c r="H102" s="490"/>
      <c r="I102" s="490"/>
      <c r="J102" s="1">
        <v>0</v>
      </c>
      <c r="K102" s="1"/>
      <c r="L102" s="1"/>
      <c r="M102" s="1">
        <v>0</v>
      </c>
      <c r="N102" s="1">
        <v>23</v>
      </c>
      <c r="O102" s="1"/>
      <c r="P102" s="1">
        <v>23</v>
      </c>
      <c r="Q102" s="1">
        <v>150</v>
      </c>
      <c r="R102" s="1"/>
      <c r="S102" s="1">
        <v>150</v>
      </c>
      <c r="T102" s="1">
        <v>125</v>
      </c>
      <c r="U102" s="1"/>
      <c r="V102" s="1">
        <v>125</v>
      </c>
      <c r="W102" s="496">
        <v>358</v>
      </c>
      <c r="X102" s="240">
        <v>0</v>
      </c>
      <c r="Y102" s="240">
        <v>358</v>
      </c>
      <c r="Z102" s="243">
        <v>59.666666666666664</v>
      </c>
      <c r="AA102" s="243">
        <v>0</v>
      </c>
      <c r="AB102" s="243">
        <v>59.666666666666664</v>
      </c>
      <c r="AC102" s="494">
        <f t="shared" si="4"/>
        <v>77.566666666666663</v>
      </c>
      <c r="AD102" s="494">
        <f t="shared" si="5"/>
        <v>0</v>
      </c>
      <c r="AE102" s="494">
        <f t="shared" si="6"/>
        <v>77.566666666666663</v>
      </c>
    </row>
    <row r="103" spans="1:33" ht="15.95" customHeight="1">
      <c r="A103" s="491">
        <v>40</v>
      </c>
      <c r="B103" s="490" t="s">
        <v>502</v>
      </c>
      <c r="C103" s="490" t="s">
        <v>503</v>
      </c>
      <c r="D103" s="1" t="s">
        <v>2777</v>
      </c>
      <c r="E103" s="490"/>
      <c r="F103" s="490"/>
      <c r="G103" s="1">
        <f t="shared" ref="G103:G104" si="14">SUM(E103:F103)</f>
        <v>0</v>
      </c>
      <c r="H103" s="490"/>
      <c r="I103" s="490"/>
      <c r="J103" s="1">
        <f t="shared" ref="J103:J104" si="15">SUM(H103:I103)</f>
        <v>0</v>
      </c>
      <c r="K103" s="1">
        <v>100</v>
      </c>
      <c r="L103" s="1"/>
      <c r="M103" s="1">
        <f t="shared" ref="M103:M104" si="16">SUM(K103:L103)</f>
        <v>100</v>
      </c>
      <c r="N103" s="1"/>
      <c r="O103" s="1"/>
      <c r="P103" s="1">
        <f t="shared" ref="P103:P104" si="17">SUM(N103:O103)</f>
        <v>0</v>
      </c>
      <c r="Q103" s="1">
        <v>220</v>
      </c>
      <c r="R103" s="1"/>
      <c r="S103" s="1">
        <f t="shared" ref="S103:S104" si="18">SUM(Q103:R103)</f>
        <v>220</v>
      </c>
      <c r="T103" s="1"/>
      <c r="U103" s="1"/>
      <c r="V103" s="1">
        <f t="shared" ref="V103:V104" si="19">T103+U103</f>
        <v>0</v>
      </c>
      <c r="W103" s="496">
        <f t="shared" ref="W103:Y104" si="20">E103+H103+K103+N103+Q103+T103</f>
        <v>320</v>
      </c>
      <c r="X103" s="240">
        <f t="shared" si="20"/>
        <v>0</v>
      </c>
      <c r="Y103" s="240">
        <f t="shared" si="20"/>
        <v>320</v>
      </c>
      <c r="Z103" s="243">
        <f t="shared" ref="Z103:AB104" si="21">W103/6</f>
        <v>53.333333333333336</v>
      </c>
      <c r="AA103" s="243">
        <f t="shared" si="21"/>
        <v>0</v>
      </c>
      <c r="AB103" s="243">
        <f t="shared" si="21"/>
        <v>53.333333333333336</v>
      </c>
      <c r="AC103" s="494">
        <f t="shared" si="4"/>
        <v>69.333333333333343</v>
      </c>
      <c r="AD103" s="494">
        <f t="shared" si="5"/>
        <v>0</v>
      </c>
      <c r="AE103" s="494">
        <f t="shared" si="6"/>
        <v>69.333333333333343</v>
      </c>
    </row>
    <row r="104" spans="1:33" ht="15.95" customHeight="1">
      <c r="A104" s="180">
        <v>41</v>
      </c>
      <c r="B104" s="490" t="s">
        <v>505</v>
      </c>
      <c r="C104" s="490" t="s">
        <v>506</v>
      </c>
      <c r="D104" s="1" t="s">
        <v>2777</v>
      </c>
      <c r="E104" s="490">
        <v>126</v>
      </c>
      <c r="F104" s="490"/>
      <c r="G104" s="1">
        <f t="shared" si="14"/>
        <v>126</v>
      </c>
      <c r="H104" s="490"/>
      <c r="I104" s="490"/>
      <c r="J104" s="1">
        <f t="shared" si="15"/>
        <v>0</v>
      </c>
      <c r="K104" s="1">
        <v>200</v>
      </c>
      <c r="L104" s="1"/>
      <c r="M104" s="1">
        <f t="shared" si="16"/>
        <v>200</v>
      </c>
      <c r="N104" s="1"/>
      <c r="O104" s="1"/>
      <c r="P104" s="1">
        <f t="shared" si="17"/>
        <v>0</v>
      </c>
      <c r="Q104" s="1"/>
      <c r="R104" s="1"/>
      <c r="S104" s="1">
        <f t="shared" si="18"/>
        <v>0</v>
      </c>
      <c r="T104" s="1"/>
      <c r="U104" s="1"/>
      <c r="V104" s="1">
        <f t="shared" si="19"/>
        <v>0</v>
      </c>
      <c r="W104" s="496">
        <f t="shared" si="20"/>
        <v>326</v>
      </c>
      <c r="X104" s="240">
        <f t="shared" si="20"/>
        <v>0</v>
      </c>
      <c r="Y104" s="240">
        <f t="shared" si="20"/>
        <v>326</v>
      </c>
      <c r="Z104" s="243">
        <f t="shared" si="21"/>
        <v>54.333333333333336</v>
      </c>
      <c r="AA104" s="243">
        <f t="shared" si="21"/>
        <v>0</v>
      </c>
      <c r="AB104" s="243">
        <f t="shared" si="21"/>
        <v>54.333333333333336</v>
      </c>
      <c r="AC104" s="494">
        <f t="shared" si="4"/>
        <v>70.63333333333334</v>
      </c>
      <c r="AD104" s="494">
        <f t="shared" si="5"/>
        <v>0</v>
      </c>
      <c r="AE104" s="494">
        <f t="shared" si="6"/>
        <v>70.63333333333334</v>
      </c>
    </row>
    <row r="105" spans="1:33" ht="15.95" customHeight="1">
      <c r="A105" s="491">
        <v>42</v>
      </c>
      <c r="B105" s="177" t="s">
        <v>616</v>
      </c>
      <c r="C105" s="1" t="s">
        <v>614</v>
      </c>
      <c r="D105" s="1" t="s">
        <v>2778</v>
      </c>
      <c r="E105" s="1">
        <v>100</v>
      </c>
      <c r="F105" s="1"/>
      <c r="G105" s="1">
        <v>100</v>
      </c>
      <c r="H105" s="1">
        <v>133</v>
      </c>
      <c r="I105" s="1"/>
      <c r="J105" s="1">
        <v>133</v>
      </c>
      <c r="K105" s="1"/>
      <c r="L105" s="1"/>
      <c r="M105" s="1">
        <v>0</v>
      </c>
      <c r="N105" s="1"/>
      <c r="O105" s="1"/>
      <c r="P105" s="1">
        <v>0</v>
      </c>
      <c r="Q105" s="1"/>
      <c r="R105" s="1"/>
      <c r="S105" s="1">
        <v>0</v>
      </c>
      <c r="T105" s="1">
        <v>78</v>
      </c>
      <c r="U105" s="1"/>
      <c r="V105" s="103">
        <v>78</v>
      </c>
      <c r="W105" s="1">
        <v>311</v>
      </c>
      <c r="X105" s="1">
        <v>0</v>
      </c>
      <c r="Y105" s="1">
        <v>311</v>
      </c>
      <c r="Z105" s="380">
        <v>51.833333333333336</v>
      </c>
      <c r="AA105" s="380">
        <v>0</v>
      </c>
      <c r="AB105" s="380">
        <v>51.833333333333336</v>
      </c>
      <c r="AC105" s="494">
        <f t="shared" si="4"/>
        <v>67.38333333333334</v>
      </c>
      <c r="AD105" s="494">
        <f t="shared" si="5"/>
        <v>0</v>
      </c>
      <c r="AE105" s="494">
        <f t="shared" si="6"/>
        <v>67.38333333333334</v>
      </c>
      <c r="AF105" t="s">
        <v>909</v>
      </c>
    </row>
    <row r="106" spans="1:33" ht="15.95" customHeight="1">
      <c r="A106" s="180">
        <v>43</v>
      </c>
      <c r="B106" s="177" t="s">
        <v>638</v>
      </c>
      <c r="C106" s="1" t="s">
        <v>639</v>
      </c>
      <c r="D106" s="1" t="s">
        <v>2778</v>
      </c>
      <c r="E106" s="1">
        <v>350</v>
      </c>
      <c r="F106" s="1"/>
      <c r="G106" s="1">
        <v>350</v>
      </c>
      <c r="H106" s="1">
        <v>375</v>
      </c>
      <c r="I106" s="1"/>
      <c r="J106" s="1">
        <v>375</v>
      </c>
      <c r="K106" s="1"/>
      <c r="L106" s="1"/>
      <c r="M106" s="1">
        <v>0</v>
      </c>
      <c r="N106" s="1"/>
      <c r="O106" s="1"/>
      <c r="P106" s="1">
        <v>0</v>
      </c>
      <c r="Q106" s="1"/>
      <c r="R106" s="1"/>
      <c r="S106" s="1">
        <v>0</v>
      </c>
      <c r="T106" s="1">
        <v>200</v>
      </c>
      <c r="U106" s="1"/>
      <c r="V106" s="103">
        <v>200</v>
      </c>
      <c r="W106" s="1">
        <v>925</v>
      </c>
      <c r="X106" s="1">
        <v>0</v>
      </c>
      <c r="Y106" s="1">
        <v>925</v>
      </c>
      <c r="Z106" s="380">
        <v>154.16666666666666</v>
      </c>
      <c r="AA106" s="380">
        <v>0</v>
      </c>
      <c r="AB106" s="380">
        <v>154.16666666666666</v>
      </c>
      <c r="AC106" s="494">
        <f t="shared" si="4"/>
        <v>200.41666666666666</v>
      </c>
      <c r="AD106" s="494">
        <f t="shared" si="5"/>
        <v>0</v>
      </c>
      <c r="AE106" s="494">
        <f t="shared" si="6"/>
        <v>200.41666666666666</v>
      </c>
      <c r="AF106" t="s">
        <v>2842</v>
      </c>
    </row>
    <row r="107" spans="1:33" ht="15.95" customHeight="1">
      <c r="A107" s="491">
        <v>44</v>
      </c>
      <c r="B107" s="177" t="s">
        <v>397</v>
      </c>
      <c r="C107" s="1" t="s">
        <v>639</v>
      </c>
      <c r="D107" s="1" t="s">
        <v>2778</v>
      </c>
      <c r="E107" s="1">
        <v>315</v>
      </c>
      <c r="F107" s="1"/>
      <c r="G107" s="1">
        <v>315</v>
      </c>
      <c r="H107" s="1"/>
      <c r="I107" s="1"/>
      <c r="J107" s="1">
        <v>0</v>
      </c>
      <c r="K107" s="1"/>
      <c r="L107" s="1"/>
      <c r="M107" s="1">
        <v>0</v>
      </c>
      <c r="N107" s="1"/>
      <c r="O107" s="1"/>
      <c r="P107" s="1">
        <v>0</v>
      </c>
      <c r="Q107" s="1"/>
      <c r="R107" s="1"/>
      <c r="S107" s="1">
        <v>0</v>
      </c>
      <c r="T107" s="1"/>
      <c r="U107" s="1"/>
      <c r="V107" s="103">
        <v>0</v>
      </c>
      <c r="W107" s="1">
        <v>315</v>
      </c>
      <c r="X107" s="1">
        <v>0</v>
      </c>
      <c r="Y107" s="1">
        <v>315</v>
      </c>
      <c r="Z107" s="380">
        <v>52.5</v>
      </c>
      <c r="AA107" s="380">
        <v>0</v>
      </c>
      <c r="AB107" s="380">
        <v>52.5</v>
      </c>
      <c r="AC107" s="494">
        <f t="shared" si="4"/>
        <v>68.25</v>
      </c>
      <c r="AD107" s="494">
        <f t="shared" si="5"/>
        <v>0</v>
      </c>
      <c r="AE107" s="494">
        <f t="shared" si="6"/>
        <v>68.25</v>
      </c>
      <c r="AF107" t="s">
        <v>2842</v>
      </c>
      <c r="AG107" t="s">
        <v>2843</v>
      </c>
    </row>
    <row r="108" spans="1:33" ht="15.95" customHeight="1">
      <c r="A108" s="180">
        <v>45</v>
      </c>
      <c r="B108" s="177" t="s">
        <v>646</v>
      </c>
      <c r="C108" s="1" t="s">
        <v>639</v>
      </c>
      <c r="D108" s="1" t="s">
        <v>2778</v>
      </c>
      <c r="E108" s="1"/>
      <c r="F108" s="1"/>
      <c r="G108" s="1">
        <v>0</v>
      </c>
      <c r="H108" s="1">
        <v>90</v>
      </c>
      <c r="I108" s="1">
        <v>72</v>
      </c>
      <c r="J108" s="1">
        <v>162</v>
      </c>
      <c r="K108" s="1">
        <v>420</v>
      </c>
      <c r="L108" s="1"/>
      <c r="M108" s="1">
        <v>420</v>
      </c>
      <c r="N108" s="1">
        <v>160</v>
      </c>
      <c r="O108" s="1"/>
      <c r="P108" s="1">
        <v>160</v>
      </c>
      <c r="Q108" s="1">
        <v>158</v>
      </c>
      <c r="R108" s="1">
        <v>18</v>
      </c>
      <c r="S108" s="1">
        <v>176</v>
      </c>
      <c r="T108" s="1">
        <v>200</v>
      </c>
      <c r="U108" s="1"/>
      <c r="V108" s="103">
        <v>200</v>
      </c>
      <c r="W108" s="1">
        <v>1028</v>
      </c>
      <c r="X108" s="1">
        <v>90</v>
      </c>
      <c r="Y108" s="1">
        <v>1118</v>
      </c>
      <c r="Z108" s="380">
        <v>171.33333333333334</v>
      </c>
      <c r="AA108" s="380">
        <v>15</v>
      </c>
      <c r="AB108" s="380">
        <v>186.33333333333334</v>
      </c>
      <c r="AC108" s="494">
        <f t="shared" si="4"/>
        <v>222.73333333333335</v>
      </c>
      <c r="AD108" s="494">
        <f t="shared" si="5"/>
        <v>19.5</v>
      </c>
      <c r="AE108" s="494">
        <f t="shared" si="6"/>
        <v>242.23333333333335</v>
      </c>
      <c r="AF108" t="s">
        <v>909</v>
      </c>
    </row>
    <row r="109" spans="1:33" ht="15.95" customHeight="1">
      <c r="A109" s="491">
        <v>46</v>
      </c>
      <c r="B109" s="177" t="s">
        <v>648</v>
      </c>
      <c r="C109" s="1" t="s">
        <v>639</v>
      </c>
      <c r="D109" s="1" t="s">
        <v>2778</v>
      </c>
      <c r="E109" s="1">
        <v>200</v>
      </c>
      <c r="F109" s="1"/>
      <c r="G109" s="1">
        <v>200</v>
      </c>
      <c r="H109" s="1">
        <v>286</v>
      </c>
      <c r="I109" s="1">
        <v>27</v>
      </c>
      <c r="J109" s="1">
        <v>313</v>
      </c>
      <c r="K109" s="1">
        <v>386</v>
      </c>
      <c r="L109" s="1"/>
      <c r="M109" s="1">
        <v>386</v>
      </c>
      <c r="N109" s="1"/>
      <c r="O109" s="1"/>
      <c r="P109" s="1">
        <v>0</v>
      </c>
      <c r="Q109" s="1">
        <v>308</v>
      </c>
      <c r="R109" s="1"/>
      <c r="S109" s="1">
        <v>308</v>
      </c>
      <c r="T109" s="1"/>
      <c r="U109" s="1"/>
      <c r="V109" s="103">
        <v>0</v>
      </c>
      <c r="W109" s="1">
        <v>1180</v>
      </c>
      <c r="X109" s="1">
        <v>27</v>
      </c>
      <c r="Y109" s="1">
        <v>1207</v>
      </c>
      <c r="Z109" s="380">
        <v>196.66666666666666</v>
      </c>
      <c r="AA109" s="380">
        <v>4.5</v>
      </c>
      <c r="AB109" s="380">
        <v>201.16666666666666</v>
      </c>
      <c r="AC109" s="494">
        <f t="shared" si="4"/>
        <v>255.66666666666666</v>
      </c>
      <c r="AD109" s="494">
        <f t="shared" si="5"/>
        <v>5.85</v>
      </c>
      <c r="AE109" s="494">
        <f t="shared" si="6"/>
        <v>261.51666666666665</v>
      </c>
      <c r="AF109" t="s">
        <v>909</v>
      </c>
    </row>
    <row r="110" spans="1:33" ht="15.95" customHeight="1">
      <c r="A110" s="180">
        <v>47</v>
      </c>
      <c r="B110" s="177" t="s">
        <v>650</v>
      </c>
      <c r="C110" s="1" t="s">
        <v>639</v>
      </c>
      <c r="D110" s="1" t="s">
        <v>2778</v>
      </c>
      <c r="E110" s="1">
        <v>97</v>
      </c>
      <c r="F110" s="1">
        <v>18</v>
      </c>
      <c r="G110" s="1">
        <v>115</v>
      </c>
      <c r="H110" s="1">
        <v>165</v>
      </c>
      <c r="I110" s="1"/>
      <c r="J110" s="1">
        <v>165</v>
      </c>
      <c r="K110" s="1">
        <v>158</v>
      </c>
      <c r="L110" s="1"/>
      <c r="M110" s="1">
        <v>158</v>
      </c>
      <c r="N110" s="1"/>
      <c r="O110" s="1"/>
      <c r="P110" s="1">
        <v>0</v>
      </c>
      <c r="Q110" s="1">
        <v>100</v>
      </c>
      <c r="R110" s="1"/>
      <c r="S110" s="1">
        <v>100</v>
      </c>
      <c r="T110" s="1">
        <v>167</v>
      </c>
      <c r="U110" s="1">
        <v>18</v>
      </c>
      <c r="V110" s="103">
        <v>185</v>
      </c>
      <c r="W110" s="1">
        <v>687</v>
      </c>
      <c r="X110" s="1">
        <v>36</v>
      </c>
      <c r="Y110" s="1">
        <v>723</v>
      </c>
      <c r="Z110" s="380">
        <v>114.5</v>
      </c>
      <c r="AA110" s="380">
        <v>6</v>
      </c>
      <c r="AB110" s="380">
        <v>120.5</v>
      </c>
      <c r="AC110" s="494">
        <f t="shared" si="4"/>
        <v>148.85</v>
      </c>
      <c r="AD110" s="494">
        <f t="shared" si="5"/>
        <v>7.8</v>
      </c>
      <c r="AE110" s="494">
        <f t="shared" si="6"/>
        <v>156.65</v>
      </c>
      <c r="AF110" t="s">
        <v>909</v>
      </c>
    </row>
    <row r="111" spans="1:33" ht="15.95" customHeight="1">
      <c r="A111" s="491">
        <v>48</v>
      </c>
      <c r="B111" s="177" t="s">
        <v>654</v>
      </c>
      <c r="C111" s="1" t="s">
        <v>639</v>
      </c>
      <c r="D111" s="1" t="s">
        <v>2778</v>
      </c>
      <c r="E111" s="1">
        <v>300</v>
      </c>
      <c r="F111" s="1"/>
      <c r="G111" s="1">
        <v>300</v>
      </c>
      <c r="H111" s="1">
        <v>300</v>
      </c>
      <c r="I111" s="1"/>
      <c r="J111" s="1">
        <v>300</v>
      </c>
      <c r="K111" s="1"/>
      <c r="L111" s="1"/>
      <c r="M111" s="1">
        <v>0</v>
      </c>
      <c r="N111" s="1"/>
      <c r="O111" s="1"/>
      <c r="P111" s="1">
        <v>0</v>
      </c>
      <c r="Q111" s="1"/>
      <c r="R111" s="1"/>
      <c r="S111" s="1">
        <v>0</v>
      </c>
      <c r="T111" s="1">
        <v>270</v>
      </c>
      <c r="U111" s="1"/>
      <c r="V111" s="103">
        <v>270</v>
      </c>
      <c r="W111" s="1">
        <v>870</v>
      </c>
      <c r="X111" s="1">
        <v>0</v>
      </c>
      <c r="Y111" s="1">
        <v>870</v>
      </c>
      <c r="Z111" s="380">
        <v>145</v>
      </c>
      <c r="AA111" s="380">
        <v>0</v>
      </c>
      <c r="AB111" s="380">
        <v>145</v>
      </c>
      <c r="AC111" s="494">
        <f t="shared" si="4"/>
        <v>188.5</v>
      </c>
      <c r="AD111" s="494">
        <f t="shared" si="5"/>
        <v>0</v>
      </c>
      <c r="AE111" s="494">
        <f t="shared" si="6"/>
        <v>188.5</v>
      </c>
      <c r="AF111" t="s">
        <v>909</v>
      </c>
    </row>
    <row r="112" spans="1:33" ht="15.95" customHeight="1">
      <c r="A112" s="180">
        <v>49</v>
      </c>
      <c r="B112" s="177" t="s">
        <v>656</v>
      </c>
      <c r="C112" s="1" t="s">
        <v>639</v>
      </c>
      <c r="D112" s="1" t="s">
        <v>2778</v>
      </c>
      <c r="E112" s="1">
        <v>50</v>
      </c>
      <c r="F112" s="1"/>
      <c r="G112" s="1">
        <v>50</v>
      </c>
      <c r="H112" s="1">
        <v>45</v>
      </c>
      <c r="I112" s="1"/>
      <c r="J112" s="1">
        <v>45</v>
      </c>
      <c r="K112" s="1">
        <v>55</v>
      </c>
      <c r="L112" s="1"/>
      <c r="M112" s="1">
        <v>55</v>
      </c>
      <c r="N112" s="1"/>
      <c r="O112" s="1"/>
      <c r="P112" s="1">
        <v>0</v>
      </c>
      <c r="Q112" s="1">
        <v>66</v>
      </c>
      <c r="R112" s="1"/>
      <c r="S112" s="1">
        <v>66</v>
      </c>
      <c r="T112" s="1">
        <v>171</v>
      </c>
      <c r="U112" s="1">
        <v>15</v>
      </c>
      <c r="V112" s="103">
        <v>186</v>
      </c>
      <c r="W112" s="1">
        <v>387</v>
      </c>
      <c r="X112" s="1">
        <v>15</v>
      </c>
      <c r="Y112" s="1">
        <v>402</v>
      </c>
      <c r="Z112" s="380">
        <v>64.5</v>
      </c>
      <c r="AA112" s="380">
        <v>2.5</v>
      </c>
      <c r="AB112" s="380">
        <v>67</v>
      </c>
      <c r="AC112" s="494">
        <f t="shared" si="4"/>
        <v>83.85</v>
      </c>
      <c r="AD112" s="494">
        <f t="shared" si="5"/>
        <v>3.25</v>
      </c>
      <c r="AE112" s="494">
        <f t="shared" si="6"/>
        <v>87.1</v>
      </c>
      <c r="AF112" t="s">
        <v>909</v>
      </c>
    </row>
    <row r="113" spans="1:32" ht="15.95" customHeight="1">
      <c r="A113" s="491">
        <v>50</v>
      </c>
      <c r="B113" s="177" t="s">
        <v>660</v>
      </c>
      <c r="C113" s="1" t="s">
        <v>639</v>
      </c>
      <c r="D113" s="1" t="s">
        <v>2778</v>
      </c>
      <c r="E113" s="1"/>
      <c r="F113" s="1"/>
      <c r="G113" s="1">
        <v>0</v>
      </c>
      <c r="H113" s="1">
        <v>145</v>
      </c>
      <c r="I113" s="1">
        <v>36</v>
      </c>
      <c r="J113" s="1">
        <v>181</v>
      </c>
      <c r="K113" s="1"/>
      <c r="L113" s="1"/>
      <c r="M113" s="1">
        <v>0</v>
      </c>
      <c r="N113" s="1"/>
      <c r="O113" s="1"/>
      <c r="P113" s="1">
        <v>0</v>
      </c>
      <c r="Q113" s="1">
        <v>213</v>
      </c>
      <c r="R113" s="1">
        <v>18</v>
      </c>
      <c r="S113" s="1">
        <v>231</v>
      </c>
      <c r="T113" s="1"/>
      <c r="U113" s="1"/>
      <c r="V113" s="103">
        <v>0</v>
      </c>
      <c r="W113" s="1">
        <v>358</v>
      </c>
      <c r="X113" s="1">
        <v>54</v>
      </c>
      <c r="Y113" s="1">
        <v>412</v>
      </c>
      <c r="Z113" s="380">
        <v>59.666666666666664</v>
      </c>
      <c r="AA113" s="380">
        <v>9</v>
      </c>
      <c r="AB113" s="380">
        <v>68.666666666666671</v>
      </c>
      <c r="AC113" s="494">
        <f t="shared" si="4"/>
        <v>77.566666666666663</v>
      </c>
      <c r="AD113" s="494">
        <f t="shared" si="5"/>
        <v>11.7</v>
      </c>
      <c r="AE113" s="494">
        <f t="shared" si="6"/>
        <v>89.26666666666668</v>
      </c>
      <c r="AF113" t="s">
        <v>909</v>
      </c>
    </row>
    <row r="114" spans="1:32" ht="15.95" customHeight="1">
      <c r="A114" s="180">
        <v>51</v>
      </c>
      <c r="B114" s="177" t="s">
        <v>662</v>
      </c>
      <c r="C114" s="1" t="s">
        <v>639</v>
      </c>
      <c r="D114" s="1" t="s">
        <v>2778</v>
      </c>
      <c r="E114" s="1">
        <v>418</v>
      </c>
      <c r="F114" s="1">
        <v>18</v>
      </c>
      <c r="G114" s="1">
        <v>436</v>
      </c>
      <c r="H114" s="1">
        <v>193</v>
      </c>
      <c r="I114" s="1">
        <v>58</v>
      </c>
      <c r="J114" s="1">
        <v>251</v>
      </c>
      <c r="K114" s="1">
        <v>400</v>
      </c>
      <c r="L114" s="1"/>
      <c r="M114" s="1">
        <v>400</v>
      </c>
      <c r="N114" s="1">
        <v>380</v>
      </c>
      <c r="O114" s="1">
        <v>20</v>
      </c>
      <c r="P114" s="1">
        <v>400</v>
      </c>
      <c r="Q114" s="1">
        <v>240</v>
      </c>
      <c r="R114" s="1">
        <v>78</v>
      </c>
      <c r="S114" s="1">
        <v>318</v>
      </c>
      <c r="T114" s="1"/>
      <c r="U114" s="1">
        <v>18</v>
      </c>
      <c r="V114" s="103">
        <v>18</v>
      </c>
      <c r="W114" s="1">
        <v>1631</v>
      </c>
      <c r="X114" s="1">
        <v>192</v>
      </c>
      <c r="Y114" s="1">
        <v>1823</v>
      </c>
      <c r="Z114" s="380">
        <v>271.83333333333331</v>
      </c>
      <c r="AA114" s="380">
        <v>32</v>
      </c>
      <c r="AB114" s="380">
        <v>303.83333333333331</v>
      </c>
      <c r="AC114" s="494">
        <f t="shared" si="4"/>
        <v>353.38333333333333</v>
      </c>
      <c r="AD114" s="494">
        <f t="shared" si="5"/>
        <v>41.6</v>
      </c>
      <c r="AE114" s="494">
        <f t="shared" si="6"/>
        <v>394.98333333333329</v>
      </c>
      <c r="AF114" t="s">
        <v>909</v>
      </c>
    </row>
    <row r="115" spans="1:32" ht="15.95" customHeight="1">
      <c r="A115" s="491">
        <v>52</v>
      </c>
      <c r="B115" s="177" t="s">
        <v>668</v>
      </c>
      <c r="C115" s="1" t="s">
        <v>666</v>
      </c>
      <c r="D115" s="1" t="s">
        <v>2778</v>
      </c>
      <c r="E115" s="1">
        <v>76</v>
      </c>
      <c r="F115" s="1"/>
      <c r="G115" s="1">
        <v>76</v>
      </c>
      <c r="H115" s="1"/>
      <c r="I115" s="1"/>
      <c r="J115" s="1">
        <v>0</v>
      </c>
      <c r="K115" s="1">
        <v>163</v>
      </c>
      <c r="L115" s="1"/>
      <c r="M115" s="1">
        <v>163</v>
      </c>
      <c r="N115" s="1">
        <v>180</v>
      </c>
      <c r="O115" s="1"/>
      <c r="P115" s="1">
        <v>180</v>
      </c>
      <c r="Q115" s="1"/>
      <c r="R115" s="1"/>
      <c r="S115" s="1">
        <v>0</v>
      </c>
      <c r="T115" s="1">
        <v>46</v>
      </c>
      <c r="U115" s="1">
        <v>29</v>
      </c>
      <c r="V115" s="103">
        <v>75</v>
      </c>
      <c r="W115" s="1">
        <v>465</v>
      </c>
      <c r="X115" s="1">
        <v>29</v>
      </c>
      <c r="Y115" s="1">
        <v>494</v>
      </c>
      <c r="Z115" s="380">
        <v>77.5</v>
      </c>
      <c r="AA115" s="380">
        <v>4.833333333333333</v>
      </c>
      <c r="AB115" s="380">
        <v>82.333333333333329</v>
      </c>
      <c r="AC115" s="494">
        <f t="shared" si="4"/>
        <v>100.75</v>
      </c>
      <c r="AD115" s="494">
        <f t="shared" si="5"/>
        <v>6.2833333333333332</v>
      </c>
      <c r="AE115" s="494">
        <f t="shared" si="6"/>
        <v>107.03333333333333</v>
      </c>
      <c r="AF115" t="s">
        <v>909</v>
      </c>
    </row>
    <row r="116" spans="1:32" ht="15.95" customHeight="1">
      <c r="A116" s="180">
        <v>53</v>
      </c>
      <c r="B116" s="177" t="s">
        <v>670</v>
      </c>
      <c r="C116" s="1" t="s">
        <v>666</v>
      </c>
      <c r="D116" s="1" t="s">
        <v>2778</v>
      </c>
      <c r="E116" s="1">
        <v>198</v>
      </c>
      <c r="F116" s="1">
        <v>78</v>
      </c>
      <c r="G116" s="1">
        <v>276</v>
      </c>
      <c r="H116" s="1"/>
      <c r="I116" s="1"/>
      <c r="J116" s="1">
        <v>0</v>
      </c>
      <c r="K116" s="1">
        <v>131</v>
      </c>
      <c r="L116" s="1">
        <v>30</v>
      </c>
      <c r="M116" s="1">
        <v>161</v>
      </c>
      <c r="N116" s="1">
        <v>250</v>
      </c>
      <c r="O116" s="1">
        <v>54</v>
      </c>
      <c r="P116" s="1">
        <v>304</v>
      </c>
      <c r="Q116" s="1"/>
      <c r="R116" s="1"/>
      <c r="S116" s="1">
        <v>0</v>
      </c>
      <c r="T116" s="1">
        <v>105</v>
      </c>
      <c r="U116" s="1"/>
      <c r="V116" s="103">
        <v>105</v>
      </c>
      <c r="W116" s="1">
        <v>684</v>
      </c>
      <c r="X116" s="1">
        <v>162</v>
      </c>
      <c r="Y116" s="1">
        <v>846</v>
      </c>
      <c r="Z116" s="380">
        <v>114</v>
      </c>
      <c r="AA116" s="380">
        <v>27</v>
      </c>
      <c r="AB116" s="380">
        <v>141</v>
      </c>
      <c r="AC116" s="494">
        <f t="shared" si="4"/>
        <v>148.19999999999999</v>
      </c>
      <c r="AD116" s="494">
        <f t="shared" si="5"/>
        <v>35.1</v>
      </c>
      <c r="AE116" s="494">
        <f t="shared" si="6"/>
        <v>183.3</v>
      </c>
      <c r="AF116" t="s">
        <v>909</v>
      </c>
    </row>
    <row r="117" spans="1:32" ht="15.95" customHeight="1">
      <c r="A117" s="491">
        <v>54</v>
      </c>
      <c r="B117" s="177" t="s">
        <v>671</v>
      </c>
      <c r="C117" s="1" t="s">
        <v>666</v>
      </c>
      <c r="D117" s="1" t="s">
        <v>2778</v>
      </c>
      <c r="E117" s="1">
        <v>383</v>
      </c>
      <c r="F117" s="1">
        <v>56</v>
      </c>
      <c r="G117" s="1">
        <v>439</v>
      </c>
      <c r="H117" s="1"/>
      <c r="I117" s="1"/>
      <c r="J117" s="1">
        <v>0</v>
      </c>
      <c r="K117" s="1">
        <v>430</v>
      </c>
      <c r="L117" s="1">
        <v>72</v>
      </c>
      <c r="M117" s="1">
        <v>502</v>
      </c>
      <c r="N117" s="1">
        <v>206</v>
      </c>
      <c r="O117" s="1">
        <v>78</v>
      </c>
      <c r="P117" s="1">
        <v>284</v>
      </c>
      <c r="Q117" s="1"/>
      <c r="R117" s="1"/>
      <c r="S117" s="1">
        <v>0</v>
      </c>
      <c r="T117" s="1"/>
      <c r="U117" s="1"/>
      <c r="V117" s="103">
        <v>0</v>
      </c>
      <c r="W117" s="1">
        <v>1019</v>
      </c>
      <c r="X117" s="1">
        <v>206</v>
      </c>
      <c r="Y117" s="1">
        <v>1225</v>
      </c>
      <c r="Z117" s="380">
        <v>169.83333333333334</v>
      </c>
      <c r="AA117" s="380">
        <v>34.333333333333336</v>
      </c>
      <c r="AB117" s="380">
        <v>204.16666666666666</v>
      </c>
      <c r="AC117" s="494">
        <f t="shared" si="4"/>
        <v>220.78333333333336</v>
      </c>
      <c r="AD117" s="494">
        <f t="shared" si="5"/>
        <v>44.63333333333334</v>
      </c>
      <c r="AE117" s="494">
        <f t="shared" si="6"/>
        <v>265.41666666666663</v>
      </c>
      <c r="AF117" t="s">
        <v>909</v>
      </c>
    </row>
    <row r="118" spans="1:32" ht="15.95" customHeight="1">
      <c r="A118" s="180">
        <v>55</v>
      </c>
      <c r="B118" s="20" t="s">
        <v>750</v>
      </c>
      <c r="C118" s="1" t="s">
        <v>751</v>
      </c>
      <c r="D118" s="495" t="s">
        <v>2779</v>
      </c>
      <c r="E118" s="1"/>
      <c r="F118" s="1"/>
      <c r="G118" s="1">
        <v>0</v>
      </c>
      <c r="H118" s="1">
        <v>28</v>
      </c>
      <c r="I118" s="1"/>
      <c r="J118" s="1">
        <v>28</v>
      </c>
      <c r="K118" s="1"/>
      <c r="L118" s="1"/>
      <c r="M118" s="1">
        <v>0</v>
      </c>
      <c r="N118" s="1">
        <v>200</v>
      </c>
      <c r="O118" s="1"/>
      <c r="P118" s="1">
        <v>200</v>
      </c>
      <c r="Q118" s="1">
        <v>200</v>
      </c>
      <c r="R118" s="1"/>
      <c r="S118" s="1">
        <v>200</v>
      </c>
      <c r="T118" s="1">
        <v>20</v>
      </c>
      <c r="U118" s="1"/>
      <c r="V118" s="1">
        <v>20</v>
      </c>
      <c r="W118" s="103">
        <v>448</v>
      </c>
      <c r="X118" s="1">
        <v>0</v>
      </c>
      <c r="Y118" s="1">
        <v>448</v>
      </c>
      <c r="Z118" s="380">
        <v>74.666666666666671</v>
      </c>
      <c r="AA118" s="380">
        <v>0</v>
      </c>
      <c r="AB118" s="380">
        <v>74.666666666666671</v>
      </c>
      <c r="AC118" s="494">
        <f t="shared" si="4"/>
        <v>97.066666666666677</v>
      </c>
      <c r="AD118" s="494">
        <f t="shared" si="5"/>
        <v>0</v>
      </c>
      <c r="AE118" s="494">
        <f t="shared" si="6"/>
        <v>97.066666666666677</v>
      </c>
    </row>
    <row r="119" spans="1:32" ht="15.95" customHeight="1">
      <c r="A119" s="491">
        <v>56</v>
      </c>
      <c r="B119" s="20" t="s">
        <v>2823</v>
      </c>
      <c r="C119" s="1" t="s">
        <v>2824</v>
      </c>
      <c r="D119" s="1" t="s">
        <v>2779</v>
      </c>
      <c r="E119" s="1"/>
      <c r="F119" s="1"/>
      <c r="G119" s="1">
        <v>0</v>
      </c>
      <c r="H119" s="1"/>
      <c r="I119" s="1"/>
      <c r="J119" s="1">
        <v>0</v>
      </c>
      <c r="K119" s="1">
        <v>138</v>
      </c>
      <c r="L119" s="1"/>
      <c r="M119" s="1">
        <v>138</v>
      </c>
      <c r="N119" s="1">
        <v>160</v>
      </c>
      <c r="O119" s="1"/>
      <c r="P119" s="1">
        <v>160</v>
      </c>
      <c r="Q119" s="1">
        <v>160</v>
      </c>
      <c r="R119" s="1"/>
      <c r="S119" s="1">
        <v>160</v>
      </c>
      <c r="T119" s="1"/>
      <c r="U119" s="1"/>
      <c r="V119" s="1">
        <v>0</v>
      </c>
      <c r="W119" s="103">
        <v>458</v>
      </c>
      <c r="X119" s="1">
        <v>0</v>
      </c>
      <c r="Y119" s="1">
        <v>458</v>
      </c>
      <c r="Z119" s="380">
        <v>76.333333333333329</v>
      </c>
      <c r="AA119" s="380">
        <v>0</v>
      </c>
      <c r="AB119" s="380">
        <v>76.333333333333329</v>
      </c>
      <c r="AC119" s="494">
        <f t="shared" si="4"/>
        <v>99.23333333333332</v>
      </c>
      <c r="AD119" s="494">
        <f t="shared" si="5"/>
        <v>0</v>
      </c>
      <c r="AE119" s="494">
        <f t="shared" si="6"/>
        <v>99.23333333333332</v>
      </c>
    </row>
    <row r="120" spans="1:32" ht="15.95" customHeight="1">
      <c r="A120" s="180">
        <v>57</v>
      </c>
      <c r="B120" s="670" t="s">
        <v>824</v>
      </c>
      <c r="C120" s="1" t="s">
        <v>805</v>
      </c>
      <c r="D120" s="1" t="s">
        <v>2779</v>
      </c>
      <c r="E120" s="1">
        <v>200</v>
      </c>
      <c r="F120" s="1"/>
      <c r="G120" s="1">
        <f t="shared" ref="G120:G122" si="22">SUM(E120:F120)</f>
        <v>200</v>
      </c>
      <c r="H120" s="1"/>
      <c r="I120" s="1"/>
      <c r="J120" s="1">
        <f t="shared" ref="J120:J122" si="23">SUM(H120:I120)</f>
        <v>0</v>
      </c>
      <c r="K120" s="1"/>
      <c r="L120" s="1"/>
      <c r="M120" s="1">
        <f t="shared" ref="M120:M122" si="24">SUM(K120:L120)</f>
        <v>0</v>
      </c>
      <c r="N120" s="1">
        <v>20</v>
      </c>
      <c r="O120" s="1"/>
      <c r="P120" s="1">
        <f t="shared" ref="P120:P122" si="25">SUM(N120:O120)</f>
        <v>20</v>
      </c>
      <c r="Q120" s="1">
        <v>180</v>
      </c>
      <c r="R120" s="1"/>
      <c r="S120" s="1">
        <f t="shared" ref="S120:S122" si="26">SUM(Q120:R120)</f>
        <v>180</v>
      </c>
      <c r="T120" s="1"/>
      <c r="U120" s="1"/>
      <c r="V120" s="1">
        <f t="shared" ref="V120:V122" si="27">T120+U120</f>
        <v>0</v>
      </c>
      <c r="W120" s="103">
        <f t="shared" ref="W120:Y122" si="28">E120+H120+K120+N120+Q120+T120</f>
        <v>400</v>
      </c>
      <c r="X120" s="1">
        <f t="shared" si="28"/>
        <v>0</v>
      </c>
      <c r="Y120" s="1">
        <f t="shared" si="28"/>
        <v>400</v>
      </c>
      <c r="Z120" s="380">
        <f t="shared" ref="Z120:AB122" si="29">W120/6</f>
        <v>66.666666666666671</v>
      </c>
      <c r="AA120" s="380">
        <f t="shared" si="29"/>
        <v>0</v>
      </c>
      <c r="AB120" s="380">
        <f t="shared" si="29"/>
        <v>66.666666666666671</v>
      </c>
      <c r="AC120" s="494">
        <f t="shared" si="4"/>
        <v>86.666666666666671</v>
      </c>
      <c r="AD120" s="494">
        <f t="shared" si="5"/>
        <v>0</v>
      </c>
      <c r="AE120" s="494">
        <f t="shared" si="6"/>
        <v>86.666666666666671</v>
      </c>
    </row>
    <row r="121" spans="1:32" ht="15.95" customHeight="1">
      <c r="A121" s="491">
        <v>58</v>
      </c>
      <c r="B121" s="20" t="s">
        <v>854</v>
      </c>
      <c r="C121" s="1" t="s">
        <v>843</v>
      </c>
      <c r="D121" s="1" t="s">
        <v>2779</v>
      </c>
      <c r="E121" s="1"/>
      <c r="F121" s="1"/>
      <c r="G121" s="1">
        <f t="shared" si="22"/>
        <v>0</v>
      </c>
      <c r="H121" s="1"/>
      <c r="I121" s="1"/>
      <c r="J121" s="1">
        <f t="shared" si="23"/>
        <v>0</v>
      </c>
      <c r="K121" s="1"/>
      <c r="L121" s="1"/>
      <c r="M121" s="1">
        <f t="shared" si="24"/>
        <v>0</v>
      </c>
      <c r="N121" s="1">
        <v>111</v>
      </c>
      <c r="O121" s="1"/>
      <c r="P121" s="1">
        <f t="shared" si="25"/>
        <v>111</v>
      </c>
      <c r="Q121" s="1">
        <v>186</v>
      </c>
      <c r="R121" s="1">
        <f>240-36</f>
        <v>204</v>
      </c>
      <c r="S121" s="1">
        <f t="shared" si="26"/>
        <v>390</v>
      </c>
      <c r="T121" s="1"/>
      <c r="U121" s="1"/>
      <c r="V121" s="1">
        <f t="shared" si="27"/>
        <v>0</v>
      </c>
      <c r="W121" s="103">
        <f t="shared" si="28"/>
        <v>297</v>
      </c>
      <c r="X121" s="1">
        <f t="shared" si="28"/>
        <v>204</v>
      </c>
      <c r="Y121" s="1">
        <f t="shared" si="28"/>
        <v>501</v>
      </c>
      <c r="Z121" s="380">
        <f t="shared" si="29"/>
        <v>49.5</v>
      </c>
      <c r="AA121" s="380">
        <f t="shared" si="29"/>
        <v>34</v>
      </c>
      <c r="AB121" s="380">
        <f t="shared" si="29"/>
        <v>83.5</v>
      </c>
      <c r="AC121" s="494">
        <f t="shared" si="4"/>
        <v>64.349999999999994</v>
      </c>
      <c r="AD121" s="494">
        <f t="shared" si="5"/>
        <v>44.2</v>
      </c>
      <c r="AE121" s="494">
        <f t="shared" si="6"/>
        <v>108.55</v>
      </c>
    </row>
    <row r="122" spans="1:32" ht="15.95" customHeight="1" thickBot="1">
      <c r="A122" s="497">
        <v>59</v>
      </c>
      <c r="B122" s="566" t="s">
        <v>856</v>
      </c>
      <c r="C122" s="404" t="s">
        <v>843</v>
      </c>
      <c r="D122" s="404" t="s">
        <v>2779</v>
      </c>
      <c r="E122" s="404">
        <v>300</v>
      </c>
      <c r="F122" s="404"/>
      <c r="G122" s="404">
        <f t="shared" si="22"/>
        <v>300</v>
      </c>
      <c r="H122" s="404"/>
      <c r="I122" s="404"/>
      <c r="J122" s="404">
        <f t="shared" si="23"/>
        <v>0</v>
      </c>
      <c r="K122" s="404">
        <v>200</v>
      </c>
      <c r="L122" s="404"/>
      <c r="M122" s="404">
        <f t="shared" si="24"/>
        <v>200</v>
      </c>
      <c r="N122" s="404">
        <v>113</v>
      </c>
      <c r="O122" s="404"/>
      <c r="P122" s="404">
        <f t="shared" si="25"/>
        <v>113</v>
      </c>
      <c r="Q122" s="404">
        <v>200</v>
      </c>
      <c r="R122" s="404"/>
      <c r="S122" s="404">
        <f t="shared" si="26"/>
        <v>200</v>
      </c>
      <c r="T122" s="404"/>
      <c r="U122" s="404"/>
      <c r="V122" s="404">
        <f t="shared" si="27"/>
        <v>0</v>
      </c>
      <c r="W122" s="398">
        <f t="shared" si="28"/>
        <v>813</v>
      </c>
      <c r="X122" s="404">
        <f t="shared" si="28"/>
        <v>0</v>
      </c>
      <c r="Y122" s="404">
        <f t="shared" si="28"/>
        <v>813</v>
      </c>
      <c r="Z122" s="570">
        <f t="shared" si="29"/>
        <v>135.5</v>
      </c>
      <c r="AA122" s="570">
        <f t="shared" si="29"/>
        <v>0</v>
      </c>
      <c r="AB122" s="570">
        <f t="shared" si="29"/>
        <v>135.5</v>
      </c>
      <c r="AC122" s="494">
        <f t="shared" si="4"/>
        <v>176.15</v>
      </c>
      <c r="AD122" s="494">
        <f t="shared" si="5"/>
        <v>0</v>
      </c>
      <c r="AE122" s="494">
        <f t="shared" si="6"/>
        <v>176.15</v>
      </c>
    </row>
    <row r="123" spans="1:32" ht="16.5" customHeight="1" thickBot="1">
      <c r="A123" s="540"/>
      <c r="B123" s="1084" t="s">
        <v>2780</v>
      </c>
      <c r="C123" s="1085"/>
      <c r="D123" s="517"/>
      <c r="E123" s="517">
        <f>SUM(E64:E122)</f>
        <v>6141</v>
      </c>
      <c r="F123" s="517">
        <f t="shared" ref="F123:AB123" si="30">SUM(F64:F122)</f>
        <v>302</v>
      </c>
      <c r="G123" s="517">
        <f t="shared" si="30"/>
        <v>6443</v>
      </c>
      <c r="H123" s="517">
        <f t="shared" si="30"/>
        <v>6215</v>
      </c>
      <c r="I123" s="517">
        <f t="shared" si="30"/>
        <v>417</v>
      </c>
      <c r="J123" s="517">
        <f t="shared" si="30"/>
        <v>6632</v>
      </c>
      <c r="K123" s="517">
        <f t="shared" si="30"/>
        <v>6962</v>
      </c>
      <c r="L123" s="517">
        <f t="shared" si="30"/>
        <v>448</v>
      </c>
      <c r="M123" s="517">
        <f t="shared" si="30"/>
        <v>7410</v>
      </c>
      <c r="N123" s="517">
        <f t="shared" si="30"/>
        <v>4693</v>
      </c>
      <c r="O123" s="517">
        <f t="shared" si="30"/>
        <v>468</v>
      </c>
      <c r="P123" s="517">
        <f t="shared" si="30"/>
        <v>5161</v>
      </c>
      <c r="Q123" s="517">
        <f t="shared" si="30"/>
        <v>4819</v>
      </c>
      <c r="R123" s="517">
        <f t="shared" si="30"/>
        <v>444</v>
      </c>
      <c r="S123" s="517">
        <f t="shared" si="30"/>
        <v>5163</v>
      </c>
      <c r="T123" s="517">
        <f t="shared" si="30"/>
        <v>2174</v>
      </c>
      <c r="U123" s="517">
        <f t="shared" si="30"/>
        <v>190</v>
      </c>
      <c r="V123" s="517">
        <f t="shared" si="30"/>
        <v>2364</v>
      </c>
      <c r="W123" s="517">
        <f t="shared" si="30"/>
        <v>31004</v>
      </c>
      <c r="X123" s="517">
        <f t="shared" si="30"/>
        <v>2269</v>
      </c>
      <c r="Y123" s="517">
        <f t="shared" si="30"/>
        <v>33173</v>
      </c>
      <c r="Z123" s="541">
        <f>SUM(Z64:Z122)</f>
        <v>5167.333333333333</v>
      </c>
      <c r="AA123" s="541">
        <f t="shared" si="30"/>
        <v>378.16666666666663</v>
      </c>
      <c r="AB123" s="542">
        <f t="shared" si="30"/>
        <v>5528.833333333333</v>
      </c>
      <c r="AC123" s="541">
        <f>SUM(AC64:AC122)</f>
        <v>6717.5333333333347</v>
      </c>
      <c r="AD123" s="541">
        <f>SUM(AD64:AD122)</f>
        <v>491.61666666666673</v>
      </c>
      <c r="AE123" s="541">
        <f>SUM(AE64:AE122)</f>
        <v>7187.4833333333345</v>
      </c>
    </row>
    <row r="125" spans="1:32" ht="20.25" customHeight="1">
      <c r="A125" s="572"/>
      <c r="B125" s="1082" t="s">
        <v>2783</v>
      </c>
      <c r="C125" s="1083"/>
      <c r="D125" s="572"/>
      <c r="E125" s="572">
        <f>E63+E123</f>
        <v>16022</v>
      </c>
      <c r="F125" s="572">
        <f t="shared" ref="F125:AE125" si="31">F63+F123</f>
        <v>1507</v>
      </c>
      <c r="G125" s="572">
        <f t="shared" si="31"/>
        <v>17529</v>
      </c>
      <c r="H125" s="572">
        <f t="shared" si="31"/>
        <v>20414</v>
      </c>
      <c r="I125" s="572">
        <f t="shared" si="31"/>
        <v>1708</v>
      </c>
      <c r="J125" s="572">
        <f t="shared" si="31"/>
        <v>22122</v>
      </c>
      <c r="K125" s="572">
        <f t="shared" si="31"/>
        <v>19269</v>
      </c>
      <c r="L125" s="572">
        <f t="shared" si="31"/>
        <v>800</v>
      </c>
      <c r="M125" s="572">
        <f t="shared" si="31"/>
        <v>20069</v>
      </c>
      <c r="N125" s="572">
        <f t="shared" si="31"/>
        <v>14494</v>
      </c>
      <c r="O125" s="572">
        <f t="shared" si="31"/>
        <v>973</v>
      </c>
      <c r="P125" s="572">
        <f t="shared" si="31"/>
        <v>15467</v>
      </c>
      <c r="Q125" s="572">
        <f t="shared" si="31"/>
        <v>13744</v>
      </c>
      <c r="R125" s="572">
        <f t="shared" si="31"/>
        <v>1930</v>
      </c>
      <c r="S125" s="572">
        <f t="shared" si="31"/>
        <v>15574</v>
      </c>
      <c r="T125" s="572">
        <f t="shared" si="31"/>
        <v>18515</v>
      </c>
      <c r="U125" s="572">
        <f t="shared" si="31"/>
        <v>1442</v>
      </c>
      <c r="V125" s="572">
        <f t="shared" si="31"/>
        <v>19957</v>
      </c>
      <c r="W125" s="572">
        <f t="shared" si="31"/>
        <v>102458</v>
      </c>
      <c r="X125" s="572">
        <f t="shared" si="31"/>
        <v>8360</v>
      </c>
      <c r="Y125" s="572">
        <f t="shared" si="31"/>
        <v>110718</v>
      </c>
      <c r="Z125" s="573">
        <f>Z63+Z123</f>
        <v>10778.333333333332</v>
      </c>
      <c r="AA125" s="573">
        <f t="shared" si="31"/>
        <v>1275.1666666666665</v>
      </c>
      <c r="AB125" s="573">
        <f t="shared" si="31"/>
        <v>12036.833333333332</v>
      </c>
      <c r="AC125" s="573">
        <f t="shared" si="31"/>
        <v>13352.533333333335</v>
      </c>
      <c r="AD125" s="573">
        <f t="shared" si="31"/>
        <v>1567.6166666666668</v>
      </c>
      <c r="AE125" s="573">
        <f t="shared" si="31"/>
        <v>14898.483333333334</v>
      </c>
    </row>
  </sheetData>
  <autoFilter ref="A4:AE123"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</autoFilter>
  <mergeCells count="12">
    <mergeCell ref="AC4:AE4"/>
    <mergeCell ref="A2:AE2"/>
    <mergeCell ref="T4:V4"/>
    <mergeCell ref="W4:Y4"/>
    <mergeCell ref="Z4:AB4"/>
    <mergeCell ref="B125:C125"/>
    <mergeCell ref="B123:C123"/>
    <mergeCell ref="Q4:S4"/>
    <mergeCell ref="N4:P4"/>
    <mergeCell ref="K4:M4"/>
    <mergeCell ref="H4:J4"/>
    <mergeCell ref="E4:G4"/>
  </mergeCells>
  <pageMargins left="0" right="0" top="0" bottom="0" header="0" footer="0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AE52"/>
  <sheetViews>
    <sheetView workbookViewId="0">
      <selection activeCell="AD14" sqref="AD14"/>
    </sheetView>
  </sheetViews>
  <sheetFormatPr defaultRowHeight="14.25"/>
  <cols>
    <col min="1" max="1" width="7.59765625" customWidth="1"/>
    <col min="2" max="2" width="21.265625" bestFit="1" customWidth="1"/>
    <col min="3" max="3" width="20.3984375" customWidth="1"/>
    <col min="5" max="25" width="0" hidden="1" customWidth="1"/>
  </cols>
  <sheetData>
    <row r="1" spans="1:31" ht="14.65" thickBot="1"/>
    <row r="2" spans="1:31" ht="18.399999999999999" thickBot="1">
      <c r="A2" s="1091" t="s">
        <v>2791</v>
      </c>
      <c r="B2" s="1092"/>
      <c r="C2" s="1092"/>
      <c r="D2" s="1092"/>
      <c r="E2" s="1092"/>
      <c r="F2" s="1092"/>
      <c r="G2" s="1092"/>
      <c r="H2" s="1092"/>
      <c r="I2" s="1092"/>
      <c r="J2" s="1092"/>
      <c r="K2" s="1092"/>
      <c r="L2" s="1092"/>
      <c r="M2" s="1092"/>
      <c r="N2" s="1092"/>
      <c r="O2" s="1092"/>
      <c r="P2" s="1092"/>
      <c r="Q2" s="1092"/>
      <c r="R2" s="1092"/>
      <c r="S2" s="1092"/>
      <c r="T2" s="1092"/>
      <c r="U2" s="1092"/>
      <c r="V2" s="1092"/>
      <c r="W2" s="1092"/>
      <c r="X2" s="1092"/>
      <c r="Y2" s="1092"/>
      <c r="Z2" s="1092"/>
      <c r="AA2" s="1092"/>
      <c r="AB2" s="1092"/>
      <c r="AC2" s="1092"/>
      <c r="AD2" s="1092"/>
      <c r="AE2" s="1093"/>
    </row>
    <row r="3" spans="1:31" ht="14.65" thickBot="1">
      <c r="A3" t="s">
        <v>2797</v>
      </c>
      <c r="B3" t="s">
        <v>2798</v>
      </c>
      <c r="Z3" s="577" t="s">
        <v>9</v>
      </c>
      <c r="AA3" s="586" t="s">
        <v>2792</v>
      </c>
      <c r="AB3" s="578" t="s">
        <v>2780</v>
      </c>
      <c r="AC3" s="586" t="s">
        <v>9</v>
      </c>
      <c r="AD3" s="586" t="s">
        <v>2792</v>
      </c>
      <c r="AE3" s="576" t="s">
        <v>2780</v>
      </c>
    </row>
    <row r="4" spans="1:31" ht="31.5" customHeight="1" thickBot="1">
      <c r="A4" s="34" t="s">
        <v>2774</v>
      </c>
      <c r="B4" s="34" t="s">
        <v>2773</v>
      </c>
      <c r="C4" s="34" t="s">
        <v>2772</v>
      </c>
      <c r="D4" s="34" t="s">
        <v>2775</v>
      </c>
      <c r="E4" s="1106" t="s">
        <v>883</v>
      </c>
      <c r="F4" s="1107"/>
      <c r="G4" s="1108"/>
      <c r="H4" s="1106" t="s">
        <v>889</v>
      </c>
      <c r="I4" s="1107"/>
      <c r="J4" s="1108"/>
      <c r="K4" s="1106" t="s">
        <v>895</v>
      </c>
      <c r="L4" s="1107"/>
      <c r="M4" s="1108"/>
      <c r="N4" s="1106" t="s">
        <v>896</v>
      </c>
      <c r="O4" s="1107"/>
      <c r="P4" s="1108"/>
      <c r="Q4" s="1106" t="s">
        <v>897</v>
      </c>
      <c r="R4" s="1107"/>
      <c r="S4" s="1108"/>
      <c r="T4" s="967" t="s">
        <v>898</v>
      </c>
      <c r="U4" s="967"/>
      <c r="V4" s="967"/>
      <c r="W4" s="968" t="s">
        <v>901</v>
      </c>
      <c r="X4" s="968"/>
      <c r="Y4" s="968"/>
      <c r="Z4" s="1097" t="s">
        <v>2799</v>
      </c>
      <c r="AA4" s="1098"/>
      <c r="AB4" s="1099"/>
      <c r="AC4" s="1109" t="s">
        <v>2793</v>
      </c>
      <c r="AD4" s="1110"/>
      <c r="AE4" s="1111"/>
    </row>
    <row r="5" spans="1:31" ht="15.75">
      <c r="A5" s="119">
        <v>1</v>
      </c>
      <c r="B5" s="125" t="s">
        <v>1053</v>
      </c>
      <c r="C5" s="266" t="s">
        <v>1054</v>
      </c>
      <c r="D5" s="19" t="s">
        <v>2781</v>
      </c>
      <c r="E5" s="266">
        <v>3324</v>
      </c>
      <c r="F5" s="266">
        <v>386</v>
      </c>
      <c r="G5" s="266">
        <f t="shared" ref="G5:G12" si="0">E5+F5</f>
        <v>3710</v>
      </c>
      <c r="H5" s="266">
        <v>2974</v>
      </c>
      <c r="I5" s="266">
        <v>342</v>
      </c>
      <c r="J5" s="266">
        <f t="shared" ref="J5:J12" si="1">H5+I5</f>
        <v>3316</v>
      </c>
      <c r="K5" s="138">
        <v>4299</v>
      </c>
      <c r="L5" s="138">
        <v>130</v>
      </c>
      <c r="M5" s="266">
        <f t="shared" ref="M5:M12" si="2">K5+L5</f>
        <v>4429</v>
      </c>
      <c r="N5" s="266">
        <v>2272</v>
      </c>
      <c r="O5" s="266">
        <v>292</v>
      </c>
      <c r="P5" s="266">
        <f t="shared" ref="P5:P12" si="3">N5+O5</f>
        <v>2564</v>
      </c>
      <c r="Q5" s="266">
        <v>5242</v>
      </c>
      <c r="R5" s="266">
        <v>294</v>
      </c>
      <c r="S5" s="266">
        <f t="shared" ref="S5:S12" si="4">Q5+R5</f>
        <v>5536</v>
      </c>
      <c r="T5" s="266">
        <v>2988</v>
      </c>
      <c r="U5" s="266">
        <v>246</v>
      </c>
      <c r="V5" s="266">
        <f t="shared" ref="V5:V12" si="5">T5+U5</f>
        <v>3234</v>
      </c>
      <c r="W5" s="138">
        <f t="shared" ref="W5:Y17" si="6">E5+H5+K5+N5+Q5+T5</f>
        <v>21099</v>
      </c>
      <c r="X5" s="138">
        <f t="shared" si="6"/>
        <v>1690</v>
      </c>
      <c r="Y5" s="138">
        <f t="shared" si="6"/>
        <v>22789</v>
      </c>
      <c r="Z5" s="139">
        <f t="shared" ref="Z5:AB17" si="7">W5/6</f>
        <v>3516.5</v>
      </c>
      <c r="AA5" s="139">
        <f t="shared" si="7"/>
        <v>281.66666666666669</v>
      </c>
      <c r="AB5" s="139">
        <f t="shared" si="7"/>
        <v>3798.1666666666665</v>
      </c>
      <c r="AC5" s="585">
        <f t="shared" ref="AC5:AC17" si="8">Z5*20%+Z5</f>
        <v>4219.8</v>
      </c>
      <c r="AD5" s="585">
        <f t="shared" ref="AD5:AD17" si="9">AA5*20%+AA5</f>
        <v>338</v>
      </c>
      <c r="AE5" s="585">
        <f t="shared" ref="AE5:AE17" si="10">AB5*20%+AB5</f>
        <v>4557.8</v>
      </c>
    </row>
    <row r="6" spans="1:31" ht="15.75">
      <c r="A6" s="119">
        <v>2</v>
      </c>
      <c r="B6" s="125" t="s">
        <v>1056</v>
      </c>
      <c r="C6" s="266" t="s">
        <v>960</v>
      </c>
      <c r="D6" s="19" t="s">
        <v>2781</v>
      </c>
      <c r="E6" s="266">
        <v>1507</v>
      </c>
      <c r="F6" s="266">
        <v>350</v>
      </c>
      <c r="G6" s="266">
        <f t="shared" si="0"/>
        <v>1857</v>
      </c>
      <c r="H6" s="266">
        <v>788</v>
      </c>
      <c r="I6" s="266">
        <v>96</v>
      </c>
      <c r="J6" s="266">
        <f t="shared" si="1"/>
        <v>884</v>
      </c>
      <c r="K6" s="138">
        <v>4794</v>
      </c>
      <c r="L6" s="138">
        <v>338</v>
      </c>
      <c r="M6" s="266">
        <f t="shared" si="2"/>
        <v>5132</v>
      </c>
      <c r="N6" s="266">
        <v>702</v>
      </c>
      <c r="O6" s="266">
        <v>206</v>
      </c>
      <c r="P6" s="266">
        <f t="shared" si="3"/>
        <v>908</v>
      </c>
      <c r="Q6" s="266">
        <v>3840</v>
      </c>
      <c r="R6" s="266">
        <v>290</v>
      </c>
      <c r="S6" s="266">
        <f t="shared" si="4"/>
        <v>4130</v>
      </c>
      <c r="T6" s="266">
        <v>1440</v>
      </c>
      <c r="U6" s="266">
        <v>90</v>
      </c>
      <c r="V6" s="266">
        <f t="shared" si="5"/>
        <v>1530</v>
      </c>
      <c r="W6" s="138">
        <f t="shared" si="6"/>
        <v>13071</v>
      </c>
      <c r="X6" s="138">
        <f t="shared" si="6"/>
        <v>1370</v>
      </c>
      <c r="Y6" s="138">
        <f t="shared" si="6"/>
        <v>14441</v>
      </c>
      <c r="Z6" s="139">
        <f t="shared" si="7"/>
        <v>2178.5</v>
      </c>
      <c r="AA6" s="139">
        <f t="shared" si="7"/>
        <v>228.33333333333334</v>
      </c>
      <c r="AB6" s="139">
        <f t="shared" si="7"/>
        <v>2406.8333333333335</v>
      </c>
      <c r="AC6" s="585">
        <f t="shared" si="8"/>
        <v>2614.1999999999998</v>
      </c>
      <c r="AD6" s="585">
        <f t="shared" si="9"/>
        <v>274</v>
      </c>
      <c r="AE6" s="585">
        <f t="shared" si="10"/>
        <v>2888.2000000000003</v>
      </c>
    </row>
    <row r="7" spans="1:31" ht="15.75">
      <c r="A7" s="119">
        <v>3</v>
      </c>
      <c r="B7" s="125" t="s">
        <v>1058</v>
      </c>
      <c r="C7" s="266" t="s">
        <v>1059</v>
      </c>
      <c r="D7" s="19" t="s">
        <v>2781</v>
      </c>
      <c r="E7" s="266">
        <v>2337</v>
      </c>
      <c r="F7" s="266">
        <v>528</v>
      </c>
      <c r="G7" s="266">
        <f t="shared" si="0"/>
        <v>2865</v>
      </c>
      <c r="H7" s="266">
        <v>3944</v>
      </c>
      <c r="I7" s="266">
        <v>678</v>
      </c>
      <c r="J7" s="266">
        <f t="shared" si="1"/>
        <v>4622</v>
      </c>
      <c r="K7" s="138">
        <v>3136</v>
      </c>
      <c r="L7" s="138">
        <v>504</v>
      </c>
      <c r="M7" s="266">
        <f t="shared" si="2"/>
        <v>3640</v>
      </c>
      <c r="N7" s="266">
        <v>1228</v>
      </c>
      <c r="O7" s="266">
        <v>274</v>
      </c>
      <c r="P7" s="266">
        <f t="shared" si="3"/>
        <v>1502</v>
      </c>
      <c r="Q7" s="266">
        <v>4372</v>
      </c>
      <c r="R7" s="266">
        <v>554</v>
      </c>
      <c r="S7" s="266">
        <f t="shared" si="4"/>
        <v>4926</v>
      </c>
      <c r="T7" s="266">
        <v>3162</v>
      </c>
      <c r="U7" s="266">
        <v>420</v>
      </c>
      <c r="V7" s="266">
        <f t="shared" si="5"/>
        <v>3582</v>
      </c>
      <c r="W7" s="138">
        <f t="shared" si="6"/>
        <v>18179</v>
      </c>
      <c r="X7" s="138">
        <f t="shared" si="6"/>
        <v>2958</v>
      </c>
      <c r="Y7" s="138">
        <f t="shared" si="6"/>
        <v>21137</v>
      </c>
      <c r="Z7" s="139">
        <f t="shared" si="7"/>
        <v>3029.8333333333335</v>
      </c>
      <c r="AA7" s="139">
        <f t="shared" si="7"/>
        <v>493</v>
      </c>
      <c r="AB7" s="139">
        <f t="shared" si="7"/>
        <v>3522.8333333333335</v>
      </c>
      <c r="AC7" s="585">
        <f t="shared" si="8"/>
        <v>3635.8</v>
      </c>
      <c r="AD7" s="585">
        <f t="shared" si="9"/>
        <v>591.6</v>
      </c>
      <c r="AE7" s="585">
        <f t="shared" si="10"/>
        <v>4227.4000000000005</v>
      </c>
    </row>
    <row r="8" spans="1:31" ht="15.75">
      <c r="A8" s="119">
        <v>4</v>
      </c>
      <c r="B8" s="125" t="s">
        <v>1061</v>
      </c>
      <c r="C8" s="266" t="s">
        <v>960</v>
      </c>
      <c r="D8" s="19" t="s">
        <v>2781</v>
      </c>
      <c r="E8" s="266">
        <v>2116</v>
      </c>
      <c r="F8" s="266">
        <v>286</v>
      </c>
      <c r="G8" s="266">
        <f t="shared" si="0"/>
        <v>2402</v>
      </c>
      <c r="H8" s="266">
        <v>2895</v>
      </c>
      <c r="I8" s="266">
        <v>240</v>
      </c>
      <c r="J8" s="266">
        <f t="shared" si="1"/>
        <v>3135</v>
      </c>
      <c r="K8" s="138">
        <v>4882</v>
      </c>
      <c r="L8" s="138">
        <v>324</v>
      </c>
      <c r="M8" s="266">
        <f t="shared" si="2"/>
        <v>5206</v>
      </c>
      <c r="N8" s="266">
        <v>658</v>
      </c>
      <c r="O8" s="266">
        <v>56</v>
      </c>
      <c r="P8" s="266">
        <f t="shared" si="3"/>
        <v>714</v>
      </c>
      <c r="Q8" s="266">
        <v>0</v>
      </c>
      <c r="R8" s="266">
        <v>0</v>
      </c>
      <c r="S8" s="266">
        <f t="shared" si="4"/>
        <v>0</v>
      </c>
      <c r="T8" s="266">
        <v>0</v>
      </c>
      <c r="U8" s="266">
        <v>0</v>
      </c>
      <c r="V8" s="266">
        <f t="shared" si="5"/>
        <v>0</v>
      </c>
      <c r="W8" s="138">
        <f t="shared" si="6"/>
        <v>10551</v>
      </c>
      <c r="X8" s="138">
        <f t="shared" si="6"/>
        <v>906</v>
      </c>
      <c r="Y8" s="138">
        <f t="shared" si="6"/>
        <v>11457</v>
      </c>
      <c r="Z8" s="139">
        <f t="shared" si="7"/>
        <v>1758.5</v>
      </c>
      <c r="AA8" s="139">
        <f t="shared" si="7"/>
        <v>151</v>
      </c>
      <c r="AB8" s="139">
        <f t="shared" si="7"/>
        <v>1909.5</v>
      </c>
      <c r="AC8" s="585">
        <f t="shared" si="8"/>
        <v>2110.1999999999998</v>
      </c>
      <c r="AD8" s="585">
        <f t="shared" si="9"/>
        <v>181.2</v>
      </c>
      <c r="AE8" s="585">
        <f t="shared" si="10"/>
        <v>2291.4</v>
      </c>
    </row>
    <row r="9" spans="1:31" ht="15.75">
      <c r="A9" s="119">
        <v>1</v>
      </c>
      <c r="B9" s="125" t="s">
        <v>1063</v>
      </c>
      <c r="C9" s="266" t="s">
        <v>1064</v>
      </c>
      <c r="D9" s="19" t="s">
        <v>2781</v>
      </c>
      <c r="E9" s="266">
        <v>0</v>
      </c>
      <c r="F9" s="266">
        <v>0</v>
      </c>
      <c r="G9" s="266">
        <f t="shared" si="0"/>
        <v>0</v>
      </c>
      <c r="H9" s="266">
        <v>1040</v>
      </c>
      <c r="I9" s="266">
        <v>90</v>
      </c>
      <c r="J9" s="266">
        <f t="shared" si="1"/>
        <v>1130</v>
      </c>
      <c r="K9" s="138">
        <v>0</v>
      </c>
      <c r="L9" s="138">
        <v>0</v>
      </c>
      <c r="M9" s="266">
        <f t="shared" si="2"/>
        <v>0</v>
      </c>
      <c r="N9" s="266">
        <v>772</v>
      </c>
      <c r="O9" s="266">
        <v>36</v>
      </c>
      <c r="P9" s="266">
        <f t="shared" si="3"/>
        <v>808</v>
      </c>
      <c r="Q9" s="266">
        <v>1290</v>
      </c>
      <c r="R9" s="266">
        <v>90</v>
      </c>
      <c r="S9" s="266">
        <f t="shared" si="4"/>
        <v>1380</v>
      </c>
      <c r="T9" s="266">
        <v>1430</v>
      </c>
      <c r="U9" s="266">
        <v>180</v>
      </c>
      <c r="V9" s="266">
        <f t="shared" si="5"/>
        <v>1610</v>
      </c>
      <c r="W9" s="138">
        <f t="shared" si="6"/>
        <v>4532</v>
      </c>
      <c r="X9" s="138">
        <f t="shared" si="6"/>
        <v>396</v>
      </c>
      <c r="Y9" s="138">
        <f t="shared" si="6"/>
        <v>4928</v>
      </c>
      <c r="Z9" s="139">
        <f t="shared" si="7"/>
        <v>755.33333333333337</v>
      </c>
      <c r="AA9" s="139">
        <f t="shared" si="7"/>
        <v>66</v>
      </c>
      <c r="AB9" s="139">
        <f t="shared" si="7"/>
        <v>821.33333333333337</v>
      </c>
      <c r="AC9" s="585">
        <f t="shared" si="8"/>
        <v>906.40000000000009</v>
      </c>
      <c r="AD9" s="585">
        <f t="shared" si="9"/>
        <v>79.2</v>
      </c>
      <c r="AE9" s="585">
        <f t="shared" si="10"/>
        <v>985.6</v>
      </c>
    </row>
    <row r="10" spans="1:31" ht="15.75">
      <c r="A10" s="119">
        <v>2</v>
      </c>
      <c r="B10" s="129" t="s">
        <v>1066</v>
      </c>
      <c r="C10" s="266" t="s">
        <v>907</v>
      </c>
      <c r="D10" s="19" t="s">
        <v>2781</v>
      </c>
      <c r="E10" s="266">
        <v>172</v>
      </c>
      <c r="F10" s="266">
        <v>152</v>
      </c>
      <c r="G10" s="266">
        <f t="shared" si="0"/>
        <v>324</v>
      </c>
      <c r="H10" s="266">
        <v>224</v>
      </c>
      <c r="I10" s="266">
        <v>224</v>
      </c>
      <c r="J10" s="266">
        <f t="shared" si="1"/>
        <v>448</v>
      </c>
      <c r="K10" s="138">
        <v>444</v>
      </c>
      <c r="L10" s="138">
        <v>168</v>
      </c>
      <c r="M10" s="266">
        <f t="shared" si="2"/>
        <v>612</v>
      </c>
      <c r="N10" s="266">
        <v>892</v>
      </c>
      <c r="O10" s="266">
        <v>180</v>
      </c>
      <c r="P10" s="266">
        <f t="shared" si="3"/>
        <v>1072</v>
      </c>
      <c r="Q10" s="266">
        <v>900</v>
      </c>
      <c r="R10" s="266">
        <v>152</v>
      </c>
      <c r="S10" s="266">
        <f t="shared" si="4"/>
        <v>1052</v>
      </c>
      <c r="T10" s="266">
        <v>1350</v>
      </c>
      <c r="U10" s="266">
        <v>100</v>
      </c>
      <c r="V10" s="266">
        <f t="shared" si="5"/>
        <v>1450</v>
      </c>
      <c r="W10" s="138">
        <f t="shared" si="6"/>
        <v>3982</v>
      </c>
      <c r="X10" s="138">
        <f t="shared" si="6"/>
        <v>976</v>
      </c>
      <c r="Y10" s="138">
        <f t="shared" si="6"/>
        <v>4958</v>
      </c>
      <c r="Z10" s="139">
        <f t="shared" si="7"/>
        <v>663.66666666666663</v>
      </c>
      <c r="AA10" s="139">
        <f t="shared" si="7"/>
        <v>162.66666666666666</v>
      </c>
      <c r="AB10" s="139">
        <f t="shared" si="7"/>
        <v>826.33333333333337</v>
      </c>
      <c r="AC10" s="585">
        <f t="shared" si="8"/>
        <v>796.4</v>
      </c>
      <c r="AD10" s="585">
        <f t="shared" si="9"/>
        <v>195.2</v>
      </c>
      <c r="AE10" s="585">
        <f t="shared" si="10"/>
        <v>991.6</v>
      </c>
    </row>
    <row r="11" spans="1:31" ht="15.75">
      <c r="A11" s="119">
        <v>7</v>
      </c>
      <c r="B11" s="129" t="s">
        <v>1068</v>
      </c>
      <c r="C11" s="266" t="s">
        <v>1064</v>
      </c>
      <c r="D11" s="19" t="s">
        <v>2781</v>
      </c>
      <c r="E11" s="266">
        <v>0</v>
      </c>
      <c r="F11" s="266">
        <v>0</v>
      </c>
      <c r="G11" s="266">
        <f t="shared" si="0"/>
        <v>0</v>
      </c>
      <c r="H11" s="266">
        <v>1120</v>
      </c>
      <c r="I11" s="266">
        <v>208</v>
      </c>
      <c r="J11" s="266">
        <f t="shared" si="1"/>
        <v>1328</v>
      </c>
      <c r="K11" s="138">
        <v>0</v>
      </c>
      <c r="L11" s="138">
        <v>0</v>
      </c>
      <c r="M11" s="266">
        <f t="shared" si="2"/>
        <v>0</v>
      </c>
      <c r="N11" s="266">
        <v>948</v>
      </c>
      <c r="O11" s="266">
        <v>108</v>
      </c>
      <c r="P11" s="266">
        <f t="shared" si="3"/>
        <v>1056</v>
      </c>
      <c r="Q11" s="266">
        <v>0</v>
      </c>
      <c r="R11" s="266">
        <v>0</v>
      </c>
      <c r="S11" s="266">
        <f t="shared" si="4"/>
        <v>0</v>
      </c>
      <c r="T11" s="266">
        <v>524</v>
      </c>
      <c r="U11" s="266">
        <v>0</v>
      </c>
      <c r="V11" s="266">
        <f t="shared" si="5"/>
        <v>524</v>
      </c>
      <c r="W11" s="138">
        <f t="shared" si="6"/>
        <v>2592</v>
      </c>
      <c r="X11" s="138">
        <f t="shared" si="6"/>
        <v>316</v>
      </c>
      <c r="Y11" s="138">
        <f t="shared" si="6"/>
        <v>2908</v>
      </c>
      <c r="Z11" s="139">
        <f t="shared" si="7"/>
        <v>432</v>
      </c>
      <c r="AA11" s="139">
        <f t="shared" si="7"/>
        <v>52.666666666666664</v>
      </c>
      <c r="AB11" s="139">
        <f t="shared" si="7"/>
        <v>484.66666666666669</v>
      </c>
      <c r="AC11" s="585">
        <f t="shared" si="8"/>
        <v>518.4</v>
      </c>
      <c r="AD11" s="585">
        <f t="shared" si="9"/>
        <v>63.199999999999996</v>
      </c>
      <c r="AE11" s="585">
        <f t="shared" si="10"/>
        <v>581.6</v>
      </c>
    </row>
    <row r="12" spans="1:31" ht="15.75">
      <c r="A12" s="119">
        <v>3</v>
      </c>
      <c r="B12" s="129" t="s">
        <v>1070</v>
      </c>
      <c r="C12" s="266" t="s">
        <v>1071</v>
      </c>
      <c r="D12" s="19" t="s">
        <v>2781</v>
      </c>
      <c r="E12" s="266">
        <v>0</v>
      </c>
      <c r="F12" s="266">
        <v>0</v>
      </c>
      <c r="G12" s="266">
        <f t="shared" si="0"/>
        <v>0</v>
      </c>
      <c r="H12" s="266">
        <v>1644</v>
      </c>
      <c r="I12" s="266">
        <v>144</v>
      </c>
      <c r="J12" s="266">
        <f t="shared" si="1"/>
        <v>1788</v>
      </c>
      <c r="K12" s="138">
        <v>108</v>
      </c>
      <c r="L12" s="138">
        <v>238</v>
      </c>
      <c r="M12" s="266">
        <f t="shared" si="2"/>
        <v>346</v>
      </c>
      <c r="N12" s="266">
        <v>0</v>
      </c>
      <c r="O12" s="266">
        <v>0</v>
      </c>
      <c r="P12" s="266">
        <f t="shared" si="3"/>
        <v>0</v>
      </c>
      <c r="Q12" s="266">
        <v>0</v>
      </c>
      <c r="R12" s="266">
        <v>0</v>
      </c>
      <c r="S12" s="266">
        <f t="shared" si="4"/>
        <v>0</v>
      </c>
      <c r="T12" s="266">
        <v>448</v>
      </c>
      <c r="U12" s="266">
        <v>126</v>
      </c>
      <c r="V12" s="266">
        <f t="shared" si="5"/>
        <v>574</v>
      </c>
      <c r="W12" s="138">
        <f t="shared" si="6"/>
        <v>2200</v>
      </c>
      <c r="X12" s="138">
        <f t="shared" si="6"/>
        <v>508</v>
      </c>
      <c r="Y12" s="138">
        <f t="shared" si="6"/>
        <v>2708</v>
      </c>
      <c r="Z12" s="139">
        <f t="shared" si="7"/>
        <v>366.66666666666669</v>
      </c>
      <c r="AA12" s="139">
        <f t="shared" si="7"/>
        <v>84.666666666666671</v>
      </c>
      <c r="AB12" s="139">
        <f t="shared" si="7"/>
        <v>451.33333333333331</v>
      </c>
      <c r="AC12" s="585">
        <f t="shared" si="8"/>
        <v>440</v>
      </c>
      <c r="AD12" s="585">
        <f t="shared" si="9"/>
        <v>101.60000000000001</v>
      </c>
      <c r="AE12" s="585">
        <f t="shared" si="10"/>
        <v>541.6</v>
      </c>
    </row>
    <row r="13" spans="1:31" ht="15.75">
      <c r="A13" s="119">
        <v>4</v>
      </c>
      <c r="B13" s="125" t="s">
        <v>1118</v>
      </c>
      <c r="C13" s="162" t="s">
        <v>1119</v>
      </c>
      <c r="D13" s="19" t="s">
        <v>2782</v>
      </c>
      <c r="E13" s="162">
        <v>0</v>
      </c>
      <c r="F13" s="162">
        <v>0</v>
      </c>
      <c r="G13" s="162">
        <f>F13+E13</f>
        <v>0</v>
      </c>
      <c r="H13" s="162">
        <v>2566</v>
      </c>
      <c r="I13" s="162">
        <v>280</v>
      </c>
      <c r="J13" s="162">
        <f>I13+H13</f>
        <v>2846</v>
      </c>
      <c r="K13" s="162">
        <v>1682</v>
      </c>
      <c r="L13" s="162">
        <v>0</v>
      </c>
      <c r="M13" s="162">
        <f>L13+K13</f>
        <v>1682</v>
      </c>
      <c r="N13" s="162">
        <v>1764</v>
      </c>
      <c r="O13" s="162">
        <v>148</v>
      </c>
      <c r="P13" s="162">
        <f>O13+N13</f>
        <v>1912</v>
      </c>
      <c r="Q13" s="162">
        <v>950</v>
      </c>
      <c r="R13" s="162">
        <v>108</v>
      </c>
      <c r="S13" s="162">
        <f>R13+Q13</f>
        <v>1058</v>
      </c>
      <c r="T13" s="162">
        <v>0</v>
      </c>
      <c r="U13" s="162">
        <v>0</v>
      </c>
      <c r="V13" s="162">
        <f t="shared" ref="V13:V17" si="11">U13+T13</f>
        <v>0</v>
      </c>
      <c r="W13" s="138">
        <f t="shared" si="6"/>
        <v>6962</v>
      </c>
      <c r="X13" s="138">
        <f t="shared" si="6"/>
        <v>536</v>
      </c>
      <c r="Y13" s="138">
        <f t="shared" si="6"/>
        <v>7498</v>
      </c>
      <c r="Z13" s="139">
        <f t="shared" si="7"/>
        <v>1160.3333333333333</v>
      </c>
      <c r="AA13" s="139">
        <f t="shared" si="7"/>
        <v>89.333333333333329</v>
      </c>
      <c r="AB13" s="139">
        <f t="shared" si="7"/>
        <v>1249.6666666666667</v>
      </c>
      <c r="AC13" s="585">
        <f t="shared" si="8"/>
        <v>1392.3999999999999</v>
      </c>
      <c r="AD13" s="585">
        <f t="shared" si="9"/>
        <v>107.19999999999999</v>
      </c>
      <c r="AE13" s="585">
        <f t="shared" si="10"/>
        <v>1499.6000000000001</v>
      </c>
    </row>
    <row r="14" spans="1:31" ht="15.75">
      <c r="A14" s="119">
        <v>5</v>
      </c>
      <c r="B14" s="125" t="s">
        <v>1121</v>
      </c>
      <c r="C14" s="162" t="s">
        <v>1064</v>
      </c>
      <c r="D14" s="19" t="s">
        <v>2782</v>
      </c>
      <c r="E14" s="162">
        <v>390</v>
      </c>
      <c r="F14" s="162">
        <v>0</v>
      </c>
      <c r="G14" s="162">
        <f t="shared" ref="G14:G17" si="12">F14+E14</f>
        <v>390</v>
      </c>
      <c r="H14" s="162">
        <v>870</v>
      </c>
      <c r="I14" s="162">
        <v>36</v>
      </c>
      <c r="J14" s="162">
        <f t="shared" ref="J14:J17" si="13">I14+H14</f>
        <v>906</v>
      </c>
      <c r="K14" s="162">
        <v>0</v>
      </c>
      <c r="L14" s="162">
        <v>0</v>
      </c>
      <c r="M14" s="162">
        <f t="shared" ref="M14:M17" si="14">L14+K14</f>
        <v>0</v>
      </c>
      <c r="N14" s="162">
        <v>351</v>
      </c>
      <c r="O14" s="162">
        <v>12</v>
      </c>
      <c r="P14" s="162">
        <f t="shared" ref="P14:P17" si="15">O14+N14</f>
        <v>363</v>
      </c>
      <c r="Q14" s="162">
        <v>248</v>
      </c>
      <c r="R14" s="162">
        <v>0</v>
      </c>
      <c r="S14" s="162">
        <f t="shared" ref="S14:S17" si="16">R14+Q14</f>
        <v>248</v>
      </c>
      <c r="T14" s="162">
        <v>570</v>
      </c>
      <c r="U14" s="162">
        <v>54</v>
      </c>
      <c r="V14" s="162">
        <f t="shared" si="11"/>
        <v>624</v>
      </c>
      <c r="W14" s="138">
        <f t="shared" si="6"/>
        <v>2429</v>
      </c>
      <c r="X14" s="138">
        <f t="shared" si="6"/>
        <v>102</v>
      </c>
      <c r="Y14" s="138">
        <f t="shared" si="6"/>
        <v>2531</v>
      </c>
      <c r="Z14" s="139">
        <f t="shared" si="7"/>
        <v>404.83333333333331</v>
      </c>
      <c r="AA14" s="139">
        <f t="shared" si="7"/>
        <v>17</v>
      </c>
      <c r="AB14" s="139">
        <f t="shared" si="7"/>
        <v>421.83333333333331</v>
      </c>
      <c r="AC14" s="585">
        <f t="shared" si="8"/>
        <v>485.79999999999995</v>
      </c>
      <c r="AD14" s="585">
        <f t="shared" si="9"/>
        <v>20.399999999999999</v>
      </c>
      <c r="AE14" s="585">
        <f t="shared" si="10"/>
        <v>506.2</v>
      </c>
    </row>
    <row r="15" spans="1:31" ht="15.75">
      <c r="A15" s="119">
        <v>6</v>
      </c>
      <c r="B15" s="125" t="s">
        <v>1123</v>
      </c>
      <c r="C15" s="162" t="s">
        <v>1064</v>
      </c>
      <c r="D15" s="19" t="s">
        <v>2782</v>
      </c>
      <c r="E15" s="162">
        <v>98</v>
      </c>
      <c r="F15" s="162">
        <v>0</v>
      </c>
      <c r="G15" s="162">
        <f t="shared" si="12"/>
        <v>98</v>
      </c>
      <c r="H15" s="162">
        <v>129</v>
      </c>
      <c r="I15" s="162">
        <v>0</v>
      </c>
      <c r="J15" s="162">
        <f t="shared" si="13"/>
        <v>129</v>
      </c>
      <c r="K15" s="162">
        <v>0</v>
      </c>
      <c r="L15" s="162">
        <v>0</v>
      </c>
      <c r="M15" s="162">
        <f t="shared" si="14"/>
        <v>0</v>
      </c>
      <c r="N15" s="162">
        <v>100</v>
      </c>
      <c r="O15" s="162">
        <v>0</v>
      </c>
      <c r="P15" s="162">
        <f t="shared" si="15"/>
        <v>100</v>
      </c>
      <c r="Q15" s="162">
        <v>116</v>
      </c>
      <c r="R15" s="162">
        <v>0</v>
      </c>
      <c r="S15" s="162">
        <f t="shared" si="16"/>
        <v>116</v>
      </c>
      <c r="T15" s="162">
        <v>0</v>
      </c>
      <c r="U15" s="162">
        <v>0</v>
      </c>
      <c r="V15" s="162">
        <f t="shared" si="11"/>
        <v>0</v>
      </c>
      <c r="W15" s="138">
        <f t="shared" si="6"/>
        <v>443</v>
      </c>
      <c r="X15" s="138">
        <f t="shared" si="6"/>
        <v>0</v>
      </c>
      <c r="Y15" s="138">
        <f t="shared" si="6"/>
        <v>443</v>
      </c>
      <c r="Z15" s="139">
        <f t="shared" si="7"/>
        <v>73.833333333333329</v>
      </c>
      <c r="AA15" s="139">
        <f t="shared" si="7"/>
        <v>0</v>
      </c>
      <c r="AB15" s="139">
        <f t="shared" si="7"/>
        <v>73.833333333333329</v>
      </c>
      <c r="AC15" s="585">
        <f t="shared" si="8"/>
        <v>88.6</v>
      </c>
      <c r="AD15" s="585">
        <f t="shared" si="9"/>
        <v>0</v>
      </c>
      <c r="AE15" s="585">
        <f t="shared" si="10"/>
        <v>88.6</v>
      </c>
    </row>
    <row r="16" spans="1:31" ht="15.75">
      <c r="A16" s="119">
        <v>7</v>
      </c>
      <c r="B16" s="125" t="s">
        <v>1125</v>
      </c>
      <c r="C16" s="162" t="s">
        <v>1119</v>
      </c>
      <c r="D16" s="19" t="s">
        <v>2782</v>
      </c>
      <c r="E16" s="162">
        <v>0</v>
      </c>
      <c r="F16" s="162">
        <v>0</v>
      </c>
      <c r="G16" s="162">
        <f t="shared" si="12"/>
        <v>0</v>
      </c>
      <c r="H16" s="162">
        <v>118</v>
      </c>
      <c r="I16" s="162">
        <v>0</v>
      </c>
      <c r="J16" s="162">
        <f t="shared" si="13"/>
        <v>118</v>
      </c>
      <c r="K16" s="162">
        <v>0</v>
      </c>
      <c r="L16" s="162">
        <v>0</v>
      </c>
      <c r="M16" s="162">
        <f t="shared" si="14"/>
        <v>0</v>
      </c>
      <c r="N16" s="162">
        <v>0</v>
      </c>
      <c r="O16" s="162">
        <v>0</v>
      </c>
      <c r="P16" s="162">
        <f t="shared" si="15"/>
        <v>0</v>
      </c>
      <c r="Q16" s="162">
        <v>414</v>
      </c>
      <c r="R16" s="162">
        <v>0</v>
      </c>
      <c r="S16" s="162">
        <f t="shared" si="16"/>
        <v>414</v>
      </c>
      <c r="T16" s="162">
        <v>120</v>
      </c>
      <c r="U16" s="162">
        <v>0</v>
      </c>
      <c r="V16" s="162">
        <f t="shared" si="11"/>
        <v>120</v>
      </c>
      <c r="W16" s="138">
        <f t="shared" si="6"/>
        <v>652</v>
      </c>
      <c r="X16" s="138">
        <f t="shared" si="6"/>
        <v>0</v>
      </c>
      <c r="Y16" s="138">
        <f t="shared" si="6"/>
        <v>652</v>
      </c>
      <c r="Z16" s="139">
        <f t="shared" si="7"/>
        <v>108.66666666666667</v>
      </c>
      <c r="AA16" s="139">
        <f t="shared" si="7"/>
        <v>0</v>
      </c>
      <c r="AB16" s="139">
        <f t="shared" si="7"/>
        <v>108.66666666666667</v>
      </c>
      <c r="AC16" s="585">
        <f t="shared" si="8"/>
        <v>130.4</v>
      </c>
      <c r="AD16" s="585">
        <f t="shared" si="9"/>
        <v>0</v>
      </c>
      <c r="AE16" s="585">
        <f t="shared" si="10"/>
        <v>130.4</v>
      </c>
    </row>
    <row r="17" spans="1:31" ht="16.149999999999999" thickBot="1">
      <c r="A17" s="502">
        <v>8</v>
      </c>
      <c r="B17" s="503" t="s">
        <v>1127</v>
      </c>
      <c r="C17" s="504" t="s">
        <v>960</v>
      </c>
      <c r="D17" s="505" t="s">
        <v>2782</v>
      </c>
      <c r="E17" s="504">
        <v>386</v>
      </c>
      <c r="F17" s="504">
        <v>60</v>
      </c>
      <c r="G17" s="504">
        <f t="shared" si="12"/>
        <v>446</v>
      </c>
      <c r="H17" s="504">
        <v>0</v>
      </c>
      <c r="I17" s="504">
        <v>0</v>
      </c>
      <c r="J17" s="504">
        <f t="shared" si="13"/>
        <v>0</v>
      </c>
      <c r="K17" s="504">
        <v>114</v>
      </c>
      <c r="L17" s="504">
        <v>0</v>
      </c>
      <c r="M17" s="504">
        <f t="shared" si="14"/>
        <v>114</v>
      </c>
      <c r="N17" s="504">
        <v>0</v>
      </c>
      <c r="O17" s="504">
        <v>0</v>
      </c>
      <c r="P17" s="504">
        <f t="shared" si="15"/>
        <v>0</v>
      </c>
      <c r="Q17" s="504">
        <v>414</v>
      </c>
      <c r="R17" s="504">
        <v>12</v>
      </c>
      <c r="S17" s="504">
        <f t="shared" si="16"/>
        <v>426</v>
      </c>
      <c r="T17" s="504">
        <v>0</v>
      </c>
      <c r="U17" s="504">
        <v>0</v>
      </c>
      <c r="V17" s="504">
        <f t="shared" si="11"/>
        <v>0</v>
      </c>
      <c r="W17" s="506">
        <f t="shared" si="6"/>
        <v>914</v>
      </c>
      <c r="X17" s="506">
        <f t="shared" si="6"/>
        <v>72</v>
      </c>
      <c r="Y17" s="506">
        <f t="shared" si="6"/>
        <v>986</v>
      </c>
      <c r="Z17" s="507">
        <f t="shared" si="7"/>
        <v>152.33333333333334</v>
      </c>
      <c r="AA17" s="507">
        <f t="shared" si="7"/>
        <v>12</v>
      </c>
      <c r="AB17" s="507">
        <f t="shared" si="7"/>
        <v>164.33333333333334</v>
      </c>
      <c r="AC17" s="585">
        <f t="shared" si="8"/>
        <v>182.8</v>
      </c>
      <c r="AD17" s="585">
        <f t="shared" si="9"/>
        <v>14.4</v>
      </c>
      <c r="AE17" s="585">
        <f t="shared" si="10"/>
        <v>197.20000000000002</v>
      </c>
    </row>
    <row r="18" spans="1:31" s="361" customFormat="1" ht="16.149999999999999" thickBot="1">
      <c r="A18" s="515"/>
      <c r="B18" s="1100" t="s">
        <v>2780</v>
      </c>
      <c r="C18" s="1101"/>
      <c r="D18" s="517"/>
      <c r="E18" s="516">
        <f>SUM(E5:E17)</f>
        <v>10330</v>
      </c>
      <c r="F18" s="516">
        <f t="shared" ref="F18:Y18" si="17">SUM(F5:F17)</f>
        <v>1762</v>
      </c>
      <c r="G18" s="516">
        <f t="shared" si="17"/>
        <v>12092</v>
      </c>
      <c r="H18" s="516">
        <f t="shared" si="17"/>
        <v>18312</v>
      </c>
      <c r="I18" s="516">
        <f t="shared" si="17"/>
        <v>2338</v>
      </c>
      <c r="J18" s="516">
        <f t="shared" si="17"/>
        <v>20650</v>
      </c>
      <c r="K18" s="516">
        <f t="shared" si="17"/>
        <v>19459</v>
      </c>
      <c r="L18" s="516">
        <f t="shared" si="17"/>
        <v>1702</v>
      </c>
      <c r="M18" s="516">
        <f t="shared" si="17"/>
        <v>21161</v>
      </c>
      <c r="N18" s="516">
        <f t="shared" si="17"/>
        <v>9687</v>
      </c>
      <c r="O18" s="516">
        <f t="shared" si="17"/>
        <v>1312</v>
      </c>
      <c r="P18" s="516">
        <f t="shared" si="17"/>
        <v>10999</v>
      </c>
      <c r="Q18" s="516">
        <f t="shared" si="17"/>
        <v>17786</v>
      </c>
      <c r="R18" s="516">
        <f t="shared" si="17"/>
        <v>1500</v>
      </c>
      <c r="S18" s="516">
        <f t="shared" si="17"/>
        <v>19286</v>
      </c>
      <c r="T18" s="516">
        <f t="shared" si="17"/>
        <v>12032</v>
      </c>
      <c r="U18" s="516">
        <f t="shared" si="17"/>
        <v>1216</v>
      </c>
      <c r="V18" s="516">
        <f t="shared" si="17"/>
        <v>13248</v>
      </c>
      <c r="W18" s="516">
        <f t="shared" si="17"/>
        <v>87606</v>
      </c>
      <c r="X18" s="516">
        <f t="shared" si="17"/>
        <v>9830</v>
      </c>
      <c r="Y18" s="516">
        <f t="shared" si="17"/>
        <v>97436</v>
      </c>
      <c r="Z18" s="516">
        <v>3686</v>
      </c>
      <c r="AA18" s="520">
        <v>432</v>
      </c>
      <c r="AB18" s="521">
        <f>Z18+AA18</f>
        <v>4118</v>
      </c>
      <c r="AC18" s="520">
        <v>4423</v>
      </c>
      <c r="AD18" s="520">
        <v>518</v>
      </c>
      <c r="AE18" s="520">
        <f>AC18+AD18</f>
        <v>4941</v>
      </c>
    </row>
    <row r="19" spans="1:31" ht="15.75">
      <c r="A19" s="518">
        <v>1</v>
      </c>
      <c r="B19" s="509" t="s">
        <v>906</v>
      </c>
      <c r="C19" s="508" t="s">
        <v>907</v>
      </c>
      <c r="D19" s="510" t="s">
        <v>2781</v>
      </c>
      <c r="E19" s="511">
        <v>250</v>
      </c>
      <c r="F19" s="508">
        <v>182</v>
      </c>
      <c r="G19" s="508">
        <v>432</v>
      </c>
      <c r="H19" s="512">
        <v>115</v>
      </c>
      <c r="I19" s="508">
        <v>36</v>
      </c>
      <c r="J19" s="508">
        <v>151</v>
      </c>
      <c r="K19" s="512">
        <v>86</v>
      </c>
      <c r="L19" s="513">
        <v>142</v>
      </c>
      <c r="M19" s="508">
        <v>228</v>
      </c>
      <c r="N19" s="508">
        <v>0</v>
      </c>
      <c r="O19" s="508">
        <v>66</v>
      </c>
      <c r="P19" s="508">
        <v>66</v>
      </c>
      <c r="Q19" s="508">
        <v>250</v>
      </c>
      <c r="R19" s="508">
        <v>100</v>
      </c>
      <c r="S19" s="508">
        <v>350</v>
      </c>
      <c r="T19" s="508">
        <v>256</v>
      </c>
      <c r="U19" s="508">
        <v>0</v>
      </c>
      <c r="V19" s="508">
        <v>256</v>
      </c>
      <c r="W19" s="513">
        <v>957</v>
      </c>
      <c r="X19" s="513">
        <v>526</v>
      </c>
      <c r="Y19" s="513">
        <v>1483</v>
      </c>
      <c r="Z19" s="514">
        <v>159.5</v>
      </c>
      <c r="AA19" s="514">
        <v>87.666666666666671</v>
      </c>
      <c r="AB19" s="514">
        <v>247.16666666666666</v>
      </c>
      <c r="AC19" s="585">
        <f t="shared" ref="AC19:AC49" si="18">Z19*20%+Z19</f>
        <v>191.4</v>
      </c>
      <c r="AD19" s="585">
        <f t="shared" ref="AD19:AD49" si="19">AA19*20%+AA19</f>
        <v>105.2</v>
      </c>
      <c r="AE19" s="585">
        <f t="shared" ref="AE19:AE49" si="20">AB19*20%+AB19</f>
        <v>296.60000000000002</v>
      </c>
    </row>
    <row r="20" spans="1:31" ht="15.75">
      <c r="A20" s="119">
        <v>2</v>
      </c>
      <c r="B20" s="118" t="s">
        <v>910</v>
      </c>
      <c r="C20" s="264" t="s">
        <v>907</v>
      </c>
      <c r="D20" s="1" t="s">
        <v>2781</v>
      </c>
      <c r="E20" s="132">
        <v>100</v>
      </c>
      <c r="F20" s="264">
        <v>0</v>
      </c>
      <c r="G20" s="264">
        <v>100</v>
      </c>
      <c r="H20" s="133">
        <v>81</v>
      </c>
      <c r="I20" s="264">
        <v>0</v>
      </c>
      <c r="J20" s="264">
        <v>81</v>
      </c>
      <c r="K20" s="133">
        <v>76</v>
      </c>
      <c r="L20" s="134">
        <v>0</v>
      </c>
      <c r="M20" s="264">
        <v>76</v>
      </c>
      <c r="N20" s="264">
        <v>5</v>
      </c>
      <c r="O20" s="264">
        <v>0</v>
      </c>
      <c r="P20" s="264">
        <v>5</v>
      </c>
      <c r="Q20" s="264">
        <v>11</v>
      </c>
      <c r="R20" s="264">
        <v>0</v>
      </c>
      <c r="S20" s="264">
        <v>11</v>
      </c>
      <c r="T20" s="264">
        <v>100</v>
      </c>
      <c r="U20" s="264">
        <v>0</v>
      </c>
      <c r="V20" s="264">
        <v>100</v>
      </c>
      <c r="W20" s="134">
        <v>373</v>
      </c>
      <c r="X20" s="134">
        <v>0</v>
      </c>
      <c r="Y20" s="134">
        <v>373</v>
      </c>
      <c r="Z20" s="135">
        <v>62.166666666666664</v>
      </c>
      <c r="AA20" s="135">
        <v>0</v>
      </c>
      <c r="AB20" s="135">
        <v>62.166666666666664</v>
      </c>
      <c r="AC20" s="585">
        <f t="shared" si="18"/>
        <v>74.599999999999994</v>
      </c>
      <c r="AD20" s="585">
        <f t="shared" si="19"/>
        <v>0</v>
      </c>
      <c r="AE20" s="585">
        <f t="shared" si="20"/>
        <v>74.599999999999994</v>
      </c>
    </row>
    <row r="21" spans="1:31" ht="15.75">
      <c r="A21" s="518">
        <v>3</v>
      </c>
      <c r="B21" s="118" t="s">
        <v>916</v>
      </c>
      <c r="C21" s="264" t="s">
        <v>907</v>
      </c>
      <c r="D21" s="1" t="s">
        <v>2781</v>
      </c>
      <c r="E21" s="265">
        <v>256</v>
      </c>
      <c r="F21" s="264">
        <v>100</v>
      </c>
      <c r="G21" s="264">
        <v>356</v>
      </c>
      <c r="H21" s="137">
        <v>0</v>
      </c>
      <c r="I21" s="264">
        <v>0</v>
      </c>
      <c r="J21" s="264">
        <v>0</v>
      </c>
      <c r="K21" s="137">
        <v>20</v>
      </c>
      <c r="L21" s="134">
        <v>36</v>
      </c>
      <c r="M21" s="264">
        <v>56</v>
      </c>
      <c r="N21" s="264">
        <v>0</v>
      </c>
      <c r="O21" s="264">
        <v>0</v>
      </c>
      <c r="P21" s="264">
        <v>0</v>
      </c>
      <c r="Q21" s="264">
        <v>220</v>
      </c>
      <c r="R21" s="264">
        <v>72</v>
      </c>
      <c r="S21" s="264">
        <v>292</v>
      </c>
      <c r="T21" s="264">
        <v>220</v>
      </c>
      <c r="U21" s="264">
        <v>0</v>
      </c>
      <c r="V21" s="264">
        <v>220</v>
      </c>
      <c r="W21" s="134">
        <v>716</v>
      </c>
      <c r="X21" s="134">
        <v>208</v>
      </c>
      <c r="Y21" s="134">
        <v>924</v>
      </c>
      <c r="Z21" s="135">
        <v>119.33333333333333</v>
      </c>
      <c r="AA21" s="135">
        <v>34.666666666666664</v>
      </c>
      <c r="AB21" s="135">
        <v>154</v>
      </c>
      <c r="AC21" s="585">
        <f t="shared" si="18"/>
        <v>143.19999999999999</v>
      </c>
      <c r="AD21" s="585">
        <f t="shared" si="19"/>
        <v>41.599999999999994</v>
      </c>
      <c r="AE21" s="585">
        <f t="shared" si="20"/>
        <v>184.8</v>
      </c>
    </row>
    <row r="22" spans="1:31" ht="15.75">
      <c r="A22" s="119">
        <v>4</v>
      </c>
      <c r="B22" s="118" t="s">
        <v>918</v>
      </c>
      <c r="C22" s="264" t="s">
        <v>907</v>
      </c>
      <c r="D22" s="1" t="s">
        <v>2781</v>
      </c>
      <c r="E22" s="265">
        <v>300</v>
      </c>
      <c r="F22" s="264">
        <v>0</v>
      </c>
      <c r="G22" s="264">
        <v>300</v>
      </c>
      <c r="H22" s="137">
        <v>0</v>
      </c>
      <c r="I22" s="264">
        <v>0</v>
      </c>
      <c r="J22" s="264">
        <v>0</v>
      </c>
      <c r="K22" s="137">
        <v>0</v>
      </c>
      <c r="L22" s="134">
        <v>0</v>
      </c>
      <c r="M22" s="264">
        <v>0</v>
      </c>
      <c r="N22" s="264">
        <v>5</v>
      </c>
      <c r="O22" s="264">
        <v>0</v>
      </c>
      <c r="P22" s="264">
        <v>5</v>
      </c>
      <c r="Q22" s="264">
        <v>5</v>
      </c>
      <c r="R22" s="264">
        <v>0</v>
      </c>
      <c r="S22" s="264">
        <v>5</v>
      </c>
      <c r="T22" s="264">
        <v>5</v>
      </c>
      <c r="U22" s="264">
        <v>0</v>
      </c>
      <c r="V22" s="264">
        <v>5</v>
      </c>
      <c r="W22" s="134">
        <v>315</v>
      </c>
      <c r="X22" s="134">
        <v>0</v>
      </c>
      <c r="Y22" s="134">
        <v>315</v>
      </c>
      <c r="Z22" s="135">
        <v>52.5</v>
      </c>
      <c r="AA22" s="135">
        <v>0</v>
      </c>
      <c r="AB22" s="135">
        <v>52.5</v>
      </c>
      <c r="AC22" s="585">
        <f t="shared" si="18"/>
        <v>63</v>
      </c>
      <c r="AD22" s="585">
        <f t="shared" si="19"/>
        <v>0</v>
      </c>
      <c r="AE22" s="585">
        <f t="shared" si="20"/>
        <v>63</v>
      </c>
    </row>
    <row r="23" spans="1:31" ht="15.75">
      <c r="A23" s="518">
        <v>5</v>
      </c>
      <c r="B23" s="118" t="s">
        <v>924</v>
      </c>
      <c r="C23" s="264" t="s">
        <v>925</v>
      </c>
      <c r="D23" s="1" t="s">
        <v>2781</v>
      </c>
      <c r="E23" s="265">
        <v>135</v>
      </c>
      <c r="F23" s="264">
        <v>0</v>
      </c>
      <c r="G23" s="264">
        <v>135</v>
      </c>
      <c r="H23" s="137">
        <v>125</v>
      </c>
      <c r="I23" s="264">
        <v>0</v>
      </c>
      <c r="J23" s="264">
        <v>125</v>
      </c>
      <c r="K23" s="137">
        <v>20</v>
      </c>
      <c r="L23" s="134">
        <v>0</v>
      </c>
      <c r="M23" s="264">
        <v>20</v>
      </c>
      <c r="N23" s="264">
        <v>0</v>
      </c>
      <c r="O23" s="264">
        <v>0</v>
      </c>
      <c r="P23" s="264">
        <v>0</v>
      </c>
      <c r="Q23" s="264">
        <v>20</v>
      </c>
      <c r="R23" s="264">
        <v>0</v>
      </c>
      <c r="S23" s="264">
        <v>20</v>
      </c>
      <c r="T23" s="264">
        <v>112</v>
      </c>
      <c r="U23" s="264">
        <v>0</v>
      </c>
      <c r="V23" s="264">
        <v>112</v>
      </c>
      <c r="W23" s="134">
        <v>412</v>
      </c>
      <c r="X23" s="134">
        <v>0</v>
      </c>
      <c r="Y23" s="134">
        <v>412</v>
      </c>
      <c r="Z23" s="135">
        <v>68.666666666666671</v>
      </c>
      <c r="AA23" s="135">
        <v>0</v>
      </c>
      <c r="AB23" s="135">
        <v>68.666666666666671</v>
      </c>
      <c r="AC23" s="585">
        <f t="shared" si="18"/>
        <v>82.4</v>
      </c>
      <c r="AD23" s="585">
        <f t="shared" si="19"/>
        <v>0</v>
      </c>
      <c r="AE23" s="585">
        <f t="shared" si="20"/>
        <v>82.4</v>
      </c>
    </row>
    <row r="24" spans="1:31" ht="15.75">
      <c r="A24" s="119">
        <v>6</v>
      </c>
      <c r="B24" s="118" t="s">
        <v>933</v>
      </c>
      <c r="C24" s="264" t="s">
        <v>925</v>
      </c>
      <c r="D24" s="1" t="s">
        <v>2781</v>
      </c>
      <c r="E24" s="265">
        <v>145</v>
      </c>
      <c r="F24" s="264">
        <v>0</v>
      </c>
      <c r="G24" s="264">
        <v>145</v>
      </c>
      <c r="H24" s="137">
        <v>36</v>
      </c>
      <c r="I24" s="264">
        <v>0</v>
      </c>
      <c r="J24" s="264">
        <v>36</v>
      </c>
      <c r="K24" s="137">
        <v>25</v>
      </c>
      <c r="L24" s="134">
        <v>0</v>
      </c>
      <c r="M24" s="264">
        <v>25</v>
      </c>
      <c r="N24" s="264">
        <v>0</v>
      </c>
      <c r="O24" s="264">
        <v>0</v>
      </c>
      <c r="P24" s="264">
        <v>0</v>
      </c>
      <c r="Q24" s="264">
        <v>18</v>
      </c>
      <c r="R24" s="264">
        <v>0</v>
      </c>
      <c r="S24" s="264">
        <v>18</v>
      </c>
      <c r="T24" s="264">
        <v>152</v>
      </c>
      <c r="U24" s="264">
        <v>0</v>
      </c>
      <c r="V24" s="264">
        <v>152</v>
      </c>
      <c r="W24" s="134">
        <v>376</v>
      </c>
      <c r="X24" s="134">
        <v>0</v>
      </c>
      <c r="Y24" s="134">
        <v>376</v>
      </c>
      <c r="Z24" s="135">
        <v>62.666666666666664</v>
      </c>
      <c r="AA24" s="135">
        <v>0</v>
      </c>
      <c r="AB24" s="135">
        <v>62.666666666666664</v>
      </c>
      <c r="AC24" s="585">
        <f t="shared" si="18"/>
        <v>75.2</v>
      </c>
      <c r="AD24" s="585">
        <f t="shared" si="19"/>
        <v>0</v>
      </c>
      <c r="AE24" s="585">
        <f t="shared" si="20"/>
        <v>75.2</v>
      </c>
    </row>
    <row r="25" spans="1:31" ht="15.75">
      <c r="A25" s="518">
        <v>7</v>
      </c>
      <c r="B25" s="118" t="s">
        <v>945</v>
      </c>
      <c r="C25" s="264" t="s">
        <v>925</v>
      </c>
      <c r="D25" s="1" t="s">
        <v>2781</v>
      </c>
      <c r="E25" s="265">
        <v>300</v>
      </c>
      <c r="F25" s="264">
        <v>0</v>
      </c>
      <c r="G25" s="264">
        <v>300</v>
      </c>
      <c r="H25" s="137">
        <v>100</v>
      </c>
      <c r="I25" s="264">
        <v>0</v>
      </c>
      <c r="J25" s="264">
        <v>100</v>
      </c>
      <c r="K25" s="137">
        <v>50</v>
      </c>
      <c r="L25" s="134">
        <v>18</v>
      </c>
      <c r="M25" s="264">
        <v>68</v>
      </c>
      <c r="N25" s="264">
        <v>10</v>
      </c>
      <c r="O25" s="264">
        <v>0</v>
      </c>
      <c r="P25" s="264">
        <v>10</v>
      </c>
      <c r="Q25" s="264">
        <v>5</v>
      </c>
      <c r="R25" s="264">
        <v>0</v>
      </c>
      <c r="S25" s="264">
        <v>5</v>
      </c>
      <c r="T25" s="264">
        <v>258</v>
      </c>
      <c r="U25" s="264">
        <v>0</v>
      </c>
      <c r="V25" s="264">
        <v>258</v>
      </c>
      <c r="W25" s="134">
        <v>723</v>
      </c>
      <c r="X25" s="134">
        <v>18</v>
      </c>
      <c r="Y25" s="134">
        <v>741</v>
      </c>
      <c r="Z25" s="135">
        <v>120.5</v>
      </c>
      <c r="AA25" s="135">
        <v>3</v>
      </c>
      <c r="AB25" s="135">
        <v>123.5</v>
      </c>
      <c r="AC25" s="585">
        <f t="shared" si="18"/>
        <v>144.6</v>
      </c>
      <c r="AD25" s="585">
        <f t="shared" si="19"/>
        <v>3.6</v>
      </c>
      <c r="AE25" s="585">
        <f t="shared" si="20"/>
        <v>148.19999999999999</v>
      </c>
    </row>
    <row r="26" spans="1:31" ht="15.75">
      <c r="A26" s="119">
        <v>8</v>
      </c>
      <c r="B26" s="118" t="s">
        <v>949</v>
      </c>
      <c r="C26" s="264" t="s">
        <v>925</v>
      </c>
      <c r="D26" s="1" t="s">
        <v>2781</v>
      </c>
      <c r="E26" s="265">
        <v>250</v>
      </c>
      <c r="F26" s="264">
        <v>0</v>
      </c>
      <c r="G26" s="264">
        <v>250</v>
      </c>
      <c r="H26" s="137">
        <v>76</v>
      </c>
      <c r="I26" s="264">
        <v>0</v>
      </c>
      <c r="J26" s="264">
        <v>76</v>
      </c>
      <c r="K26" s="137">
        <v>35</v>
      </c>
      <c r="L26" s="134">
        <v>0</v>
      </c>
      <c r="M26" s="264">
        <v>35</v>
      </c>
      <c r="N26" s="264">
        <v>0</v>
      </c>
      <c r="O26" s="264">
        <v>0</v>
      </c>
      <c r="P26" s="264">
        <v>0</v>
      </c>
      <c r="Q26" s="264">
        <v>5</v>
      </c>
      <c r="R26" s="264">
        <v>0</v>
      </c>
      <c r="S26" s="264">
        <v>5</v>
      </c>
      <c r="T26" s="264">
        <v>45</v>
      </c>
      <c r="U26" s="264">
        <v>0</v>
      </c>
      <c r="V26" s="264">
        <v>45</v>
      </c>
      <c r="W26" s="134">
        <v>411</v>
      </c>
      <c r="X26" s="134">
        <v>0</v>
      </c>
      <c r="Y26" s="134">
        <v>411</v>
      </c>
      <c r="Z26" s="135">
        <v>68.5</v>
      </c>
      <c r="AA26" s="135">
        <v>0</v>
      </c>
      <c r="AB26" s="135">
        <v>68.5</v>
      </c>
      <c r="AC26" s="585">
        <f t="shared" si="18"/>
        <v>82.2</v>
      </c>
      <c r="AD26" s="585">
        <f t="shared" si="19"/>
        <v>0</v>
      </c>
      <c r="AE26" s="585">
        <f t="shared" si="20"/>
        <v>82.2</v>
      </c>
    </row>
    <row r="27" spans="1:31" ht="15.75">
      <c r="A27" s="518">
        <v>9</v>
      </c>
      <c r="B27" s="118" t="s">
        <v>955</v>
      </c>
      <c r="C27" s="264" t="s">
        <v>925</v>
      </c>
      <c r="D27" s="1" t="s">
        <v>2781</v>
      </c>
      <c r="E27" s="265">
        <v>200</v>
      </c>
      <c r="F27" s="264">
        <v>0</v>
      </c>
      <c r="G27" s="264">
        <v>200</v>
      </c>
      <c r="H27" s="137">
        <v>36</v>
      </c>
      <c r="I27" s="264">
        <v>0</v>
      </c>
      <c r="J27" s="264">
        <v>36</v>
      </c>
      <c r="K27" s="137">
        <v>25</v>
      </c>
      <c r="L27" s="134">
        <v>0</v>
      </c>
      <c r="M27" s="264">
        <v>25</v>
      </c>
      <c r="N27" s="264">
        <v>18</v>
      </c>
      <c r="O27" s="264">
        <v>0</v>
      </c>
      <c r="P27" s="264">
        <v>18</v>
      </c>
      <c r="Q27" s="264">
        <v>18</v>
      </c>
      <c r="R27" s="264">
        <v>0</v>
      </c>
      <c r="S27" s="264">
        <v>18</v>
      </c>
      <c r="T27" s="264">
        <v>67</v>
      </c>
      <c r="U27" s="264">
        <v>0</v>
      </c>
      <c r="V27" s="264">
        <v>67</v>
      </c>
      <c r="W27" s="134">
        <v>364</v>
      </c>
      <c r="X27" s="134">
        <v>0</v>
      </c>
      <c r="Y27" s="134">
        <v>364</v>
      </c>
      <c r="Z27" s="135">
        <v>60.666666666666664</v>
      </c>
      <c r="AA27" s="135">
        <v>0</v>
      </c>
      <c r="AB27" s="135">
        <v>60.666666666666664</v>
      </c>
      <c r="AC27" s="585">
        <f t="shared" si="18"/>
        <v>72.8</v>
      </c>
      <c r="AD27" s="585">
        <f t="shared" si="19"/>
        <v>0</v>
      </c>
      <c r="AE27" s="585">
        <f t="shared" si="20"/>
        <v>72.8</v>
      </c>
    </row>
    <row r="28" spans="1:31" ht="15.75">
      <c r="A28" s="119">
        <v>10</v>
      </c>
      <c r="B28" s="118" t="s">
        <v>959</v>
      </c>
      <c r="C28" s="264" t="s">
        <v>960</v>
      </c>
      <c r="D28" s="1" t="s">
        <v>2781</v>
      </c>
      <c r="E28" s="132">
        <v>372</v>
      </c>
      <c r="F28" s="264">
        <v>100</v>
      </c>
      <c r="G28" s="264">
        <v>472</v>
      </c>
      <c r="H28" s="137">
        <v>58</v>
      </c>
      <c r="I28" s="264">
        <v>36</v>
      </c>
      <c r="J28" s="264">
        <v>94</v>
      </c>
      <c r="K28" s="137">
        <v>0</v>
      </c>
      <c r="L28" s="134">
        <v>54</v>
      </c>
      <c r="M28" s="264">
        <v>54</v>
      </c>
      <c r="N28" s="264">
        <v>0</v>
      </c>
      <c r="O28" s="264">
        <v>0</v>
      </c>
      <c r="P28" s="264">
        <v>0</v>
      </c>
      <c r="Q28" s="264">
        <v>120</v>
      </c>
      <c r="R28" s="264">
        <v>54</v>
      </c>
      <c r="S28" s="264">
        <v>174</v>
      </c>
      <c r="T28" s="264">
        <v>352</v>
      </c>
      <c r="U28" s="264">
        <v>0</v>
      </c>
      <c r="V28" s="264">
        <v>352</v>
      </c>
      <c r="W28" s="134">
        <v>902</v>
      </c>
      <c r="X28" s="134">
        <v>244</v>
      </c>
      <c r="Y28" s="134">
        <v>1146</v>
      </c>
      <c r="Z28" s="135">
        <v>150.33333333333334</v>
      </c>
      <c r="AA28" s="135">
        <v>40.666666666666664</v>
      </c>
      <c r="AB28" s="135">
        <v>191</v>
      </c>
      <c r="AC28" s="585">
        <f t="shared" si="18"/>
        <v>180.4</v>
      </c>
      <c r="AD28" s="585">
        <f t="shared" si="19"/>
        <v>48.8</v>
      </c>
      <c r="AE28" s="585">
        <f t="shared" si="20"/>
        <v>229.2</v>
      </c>
    </row>
    <row r="29" spans="1:31" ht="15.75">
      <c r="A29" s="518">
        <v>11</v>
      </c>
      <c r="B29" s="118" t="s">
        <v>964</v>
      </c>
      <c r="C29" s="264" t="s">
        <v>960</v>
      </c>
      <c r="D29" s="1" t="s">
        <v>2781</v>
      </c>
      <c r="E29" s="132">
        <v>251</v>
      </c>
      <c r="F29" s="264">
        <v>0</v>
      </c>
      <c r="G29" s="264">
        <v>251</v>
      </c>
      <c r="H29" s="137">
        <v>0</v>
      </c>
      <c r="I29" s="264">
        <v>5</v>
      </c>
      <c r="J29" s="264">
        <v>5</v>
      </c>
      <c r="K29" s="137">
        <v>0</v>
      </c>
      <c r="L29" s="134">
        <v>0</v>
      </c>
      <c r="M29" s="264">
        <v>0</v>
      </c>
      <c r="N29" s="264">
        <v>11</v>
      </c>
      <c r="O29" s="264">
        <v>0</v>
      </c>
      <c r="P29" s="264">
        <v>11</v>
      </c>
      <c r="Q29" s="264">
        <v>10</v>
      </c>
      <c r="R29" s="264">
        <v>0</v>
      </c>
      <c r="S29" s="264">
        <v>10</v>
      </c>
      <c r="T29" s="264">
        <v>50</v>
      </c>
      <c r="U29" s="264">
        <v>0</v>
      </c>
      <c r="V29" s="264">
        <v>50</v>
      </c>
      <c r="W29" s="134">
        <v>322</v>
      </c>
      <c r="X29" s="134">
        <v>5</v>
      </c>
      <c r="Y29" s="134">
        <v>327</v>
      </c>
      <c r="Z29" s="135">
        <v>53.666666666666664</v>
      </c>
      <c r="AA29" s="135">
        <v>0.83333333333333337</v>
      </c>
      <c r="AB29" s="135">
        <v>54.5</v>
      </c>
      <c r="AC29" s="585">
        <f t="shared" si="18"/>
        <v>64.400000000000006</v>
      </c>
      <c r="AD29" s="585">
        <f t="shared" si="19"/>
        <v>1</v>
      </c>
      <c r="AE29" s="585">
        <f t="shared" si="20"/>
        <v>65.400000000000006</v>
      </c>
    </row>
    <row r="30" spans="1:31" ht="15.75">
      <c r="A30" s="119">
        <v>12</v>
      </c>
      <c r="B30" s="118" t="s">
        <v>974</v>
      </c>
      <c r="C30" s="264" t="s">
        <v>960</v>
      </c>
      <c r="D30" s="1" t="s">
        <v>2781</v>
      </c>
      <c r="E30" s="132">
        <v>422</v>
      </c>
      <c r="F30" s="264">
        <v>0</v>
      </c>
      <c r="G30" s="264">
        <v>422</v>
      </c>
      <c r="H30" s="137">
        <v>55</v>
      </c>
      <c r="I30" s="264">
        <v>0</v>
      </c>
      <c r="J30" s="264">
        <v>55</v>
      </c>
      <c r="K30" s="137">
        <v>0</v>
      </c>
      <c r="L30" s="134">
        <v>0</v>
      </c>
      <c r="M30" s="264">
        <v>0</v>
      </c>
      <c r="N30" s="264">
        <v>0</v>
      </c>
      <c r="O30" s="264">
        <v>0</v>
      </c>
      <c r="P30" s="264">
        <v>0</v>
      </c>
      <c r="Q30" s="264">
        <v>0</v>
      </c>
      <c r="R30" s="264">
        <v>0</v>
      </c>
      <c r="S30" s="264">
        <v>0</v>
      </c>
      <c r="T30" s="264">
        <v>258</v>
      </c>
      <c r="U30" s="264">
        <v>0</v>
      </c>
      <c r="V30" s="264">
        <v>258</v>
      </c>
      <c r="W30" s="134">
        <v>735</v>
      </c>
      <c r="X30" s="134">
        <v>0</v>
      </c>
      <c r="Y30" s="134">
        <v>735</v>
      </c>
      <c r="Z30" s="135">
        <v>122.5</v>
      </c>
      <c r="AA30" s="135">
        <v>0</v>
      </c>
      <c r="AB30" s="135">
        <v>122.5</v>
      </c>
      <c r="AC30" s="585">
        <f t="shared" si="18"/>
        <v>147</v>
      </c>
      <c r="AD30" s="585">
        <f t="shared" si="19"/>
        <v>0</v>
      </c>
      <c r="AE30" s="585">
        <f t="shared" si="20"/>
        <v>147</v>
      </c>
    </row>
    <row r="31" spans="1:31" ht="15.75">
      <c r="A31" s="518">
        <v>13</v>
      </c>
      <c r="B31" s="124" t="s">
        <v>1018</v>
      </c>
      <c r="C31" s="264" t="s">
        <v>995</v>
      </c>
      <c r="D31" s="1" t="s">
        <v>2781</v>
      </c>
      <c r="E31" s="132">
        <v>385</v>
      </c>
      <c r="F31" s="264">
        <v>50</v>
      </c>
      <c r="G31" s="264">
        <v>435</v>
      </c>
      <c r="H31" s="137">
        <v>82</v>
      </c>
      <c r="I31" s="264">
        <v>93</v>
      </c>
      <c r="J31" s="264">
        <v>175</v>
      </c>
      <c r="K31" s="137">
        <v>0</v>
      </c>
      <c r="L31" s="134">
        <v>56</v>
      </c>
      <c r="M31" s="264">
        <v>56</v>
      </c>
      <c r="N31" s="264">
        <v>0</v>
      </c>
      <c r="O31" s="264">
        <v>0</v>
      </c>
      <c r="P31" s="264">
        <v>0</v>
      </c>
      <c r="Q31" s="264">
        <v>6</v>
      </c>
      <c r="R31" s="264">
        <v>0</v>
      </c>
      <c r="S31" s="264">
        <v>6</v>
      </c>
      <c r="T31" s="264">
        <v>310</v>
      </c>
      <c r="U31" s="264">
        <v>0</v>
      </c>
      <c r="V31" s="264">
        <v>310</v>
      </c>
      <c r="W31" s="134">
        <v>783</v>
      </c>
      <c r="X31" s="134">
        <v>199</v>
      </c>
      <c r="Y31" s="134">
        <v>982</v>
      </c>
      <c r="Z31" s="135">
        <v>130.5</v>
      </c>
      <c r="AA31" s="135">
        <v>33.166666666666664</v>
      </c>
      <c r="AB31" s="135">
        <v>163.66666666666666</v>
      </c>
      <c r="AC31" s="585">
        <f t="shared" si="18"/>
        <v>156.6</v>
      </c>
      <c r="AD31" s="585">
        <f t="shared" si="19"/>
        <v>39.799999999999997</v>
      </c>
      <c r="AE31" s="585">
        <f t="shared" si="20"/>
        <v>196.39999999999998</v>
      </c>
    </row>
    <row r="32" spans="1:31" ht="15.75">
      <c r="A32" s="119">
        <v>14</v>
      </c>
      <c r="B32" s="124" t="s">
        <v>1025</v>
      </c>
      <c r="C32" s="264" t="s">
        <v>995</v>
      </c>
      <c r="D32" s="1" t="s">
        <v>2781</v>
      </c>
      <c r="E32" s="132">
        <v>512</v>
      </c>
      <c r="F32" s="264">
        <v>50</v>
      </c>
      <c r="G32" s="264">
        <v>562</v>
      </c>
      <c r="H32" s="137">
        <v>60</v>
      </c>
      <c r="I32" s="264">
        <v>56</v>
      </c>
      <c r="J32" s="264">
        <v>116</v>
      </c>
      <c r="K32" s="137">
        <v>0</v>
      </c>
      <c r="L32" s="134">
        <v>10</v>
      </c>
      <c r="M32" s="264">
        <v>10</v>
      </c>
      <c r="N32" s="264">
        <v>15</v>
      </c>
      <c r="O32" s="264">
        <v>0</v>
      </c>
      <c r="P32" s="264">
        <v>15</v>
      </c>
      <c r="Q32" s="264">
        <v>16</v>
      </c>
      <c r="R32" s="264">
        <v>0</v>
      </c>
      <c r="S32" s="264">
        <v>16</v>
      </c>
      <c r="T32" s="264">
        <v>500</v>
      </c>
      <c r="U32" s="264">
        <v>0</v>
      </c>
      <c r="V32" s="264">
        <v>500</v>
      </c>
      <c r="W32" s="134">
        <v>1103</v>
      </c>
      <c r="X32" s="134">
        <v>116</v>
      </c>
      <c r="Y32" s="134">
        <v>1219</v>
      </c>
      <c r="Z32" s="135">
        <v>183.83333333333334</v>
      </c>
      <c r="AA32" s="135">
        <v>19.333333333333332</v>
      </c>
      <c r="AB32" s="135">
        <v>203.16666666666666</v>
      </c>
      <c r="AC32" s="585">
        <f t="shared" si="18"/>
        <v>220.60000000000002</v>
      </c>
      <c r="AD32" s="585">
        <f t="shared" si="19"/>
        <v>23.2</v>
      </c>
      <c r="AE32" s="585">
        <f t="shared" si="20"/>
        <v>243.79999999999998</v>
      </c>
    </row>
    <row r="33" spans="1:31" ht="15.75">
      <c r="A33" s="518">
        <v>15</v>
      </c>
      <c r="B33" s="118" t="s">
        <v>1030</v>
      </c>
      <c r="C33" s="264" t="s">
        <v>1031</v>
      </c>
      <c r="D33" s="1" t="s">
        <v>2781</v>
      </c>
      <c r="E33" s="132">
        <v>256</v>
      </c>
      <c r="F33" s="264">
        <v>0</v>
      </c>
      <c r="G33" s="264">
        <v>256</v>
      </c>
      <c r="H33" s="137">
        <v>0</v>
      </c>
      <c r="I33" s="264">
        <v>0</v>
      </c>
      <c r="J33" s="264">
        <v>0</v>
      </c>
      <c r="K33" s="137">
        <v>15</v>
      </c>
      <c r="L33" s="134">
        <v>6</v>
      </c>
      <c r="M33" s="264">
        <v>21</v>
      </c>
      <c r="N33" s="264">
        <v>6</v>
      </c>
      <c r="O33" s="264">
        <v>0</v>
      </c>
      <c r="P33" s="264">
        <v>6</v>
      </c>
      <c r="Q33" s="264">
        <v>22</v>
      </c>
      <c r="R33" s="264">
        <v>0</v>
      </c>
      <c r="S33" s="264">
        <v>22</v>
      </c>
      <c r="T33" s="264">
        <v>321</v>
      </c>
      <c r="U33" s="264">
        <v>0</v>
      </c>
      <c r="V33" s="264">
        <v>321</v>
      </c>
      <c r="W33" s="134">
        <v>620</v>
      </c>
      <c r="X33" s="134">
        <v>6</v>
      </c>
      <c r="Y33" s="134">
        <v>626</v>
      </c>
      <c r="Z33" s="135">
        <v>103.33333333333333</v>
      </c>
      <c r="AA33" s="135">
        <v>1</v>
      </c>
      <c r="AB33" s="135">
        <v>104.33333333333333</v>
      </c>
      <c r="AC33" s="585">
        <f t="shared" si="18"/>
        <v>124</v>
      </c>
      <c r="AD33" s="585">
        <f t="shared" si="19"/>
        <v>1.2</v>
      </c>
      <c r="AE33" s="585">
        <f t="shared" si="20"/>
        <v>125.19999999999999</v>
      </c>
    </row>
    <row r="34" spans="1:31" ht="15.75">
      <c r="A34" s="119">
        <v>16</v>
      </c>
      <c r="B34" s="118" t="s">
        <v>1040</v>
      </c>
      <c r="C34" s="264" t="s">
        <v>1031</v>
      </c>
      <c r="D34" s="1" t="s">
        <v>2781</v>
      </c>
      <c r="E34" s="132">
        <v>72</v>
      </c>
      <c r="F34" s="264">
        <v>0</v>
      </c>
      <c r="G34" s="264">
        <v>72</v>
      </c>
      <c r="H34" s="137">
        <v>60</v>
      </c>
      <c r="I34" s="264">
        <v>0</v>
      </c>
      <c r="J34" s="264">
        <v>60</v>
      </c>
      <c r="K34" s="137">
        <v>40</v>
      </c>
      <c r="L34" s="134">
        <v>9</v>
      </c>
      <c r="M34" s="264">
        <v>49</v>
      </c>
      <c r="N34" s="264">
        <v>0</v>
      </c>
      <c r="O34" s="264">
        <v>0</v>
      </c>
      <c r="P34" s="264">
        <v>0</v>
      </c>
      <c r="Q34" s="264">
        <v>21</v>
      </c>
      <c r="R34" s="264">
        <v>0</v>
      </c>
      <c r="S34" s="264">
        <v>21</v>
      </c>
      <c r="T34" s="264">
        <v>150</v>
      </c>
      <c r="U34" s="264">
        <v>0</v>
      </c>
      <c r="V34" s="264">
        <v>150</v>
      </c>
      <c r="W34" s="134">
        <v>343</v>
      </c>
      <c r="X34" s="134">
        <v>9</v>
      </c>
      <c r="Y34" s="134">
        <v>352</v>
      </c>
      <c r="Z34" s="135">
        <v>57.166666666666664</v>
      </c>
      <c r="AA34" s="135">
        <v>1.5</v>
      </c>
      <c r="AB34" s="135">
        <v>58.666666666666664</v>
      </c>
      <c r="AC34" s="585">
        <f t="shared" si="18"/>
        <v>68.599999999999994</v>
      </c>
      <c r="AD34" s="585">
        <f t="shared" si="19"/>
        <v>1.8</v>
      </c>
      <c r="AE34" s="585">
        <f t="shared" si="20"/>
        <v>70.400000000000006</v>
      </c>
    </row>
    <row r="35" spans="1:31" ht="15.75">
      <c r="A35" s="518">
        <v>17</v>
      </c>
      <c r="B35" s="118" t="s">
        <v>1046</v>
      </c>
      <c r="C35" s="264" t="s">
        <v>1031</v>
      </c>
      <c r="D35" s="1" t="s">
        <v>2781</v>
      </c>
      <c r="E35" s="132">
        <v>12</v>
      </c>
      <c r="F35" s="264">
        <v>0</v>
      </c>
      <c r="G35" s="264">
        <v>12</v>
      </c>
      <c r="H35" s="137"/>
      <c r="I35" s="264">
        <v>0</v>
      </c>
      <c r="J35" s="264">
        <v>0</v>
      </c>
      <c r="K35" s="137">
        <v>20</v>
      </c>
      <c r="L35" s="134">
        <v>56</v>
      </c>
      <c r="M35" s="264">
        <v>76</v>
      </c>
      <c r="N35" s="264">
        <v>0</v>
      </c>
      <c r="O35" s="264">
        <v>0</v>
      </c>
      <c r="P35" s="264">
        <v>0</v>
      </c>
      <c r="Q35" s="264">
        <v>10</v>
      </c>
      <c r="R35" s="264">
        <v>0</v>
      </c>
      <c r="S35" s="264">
        <v>10</v>
      </c>
      <c r="T35" s="264">
        <v>259</v>
      </c>
      <c r="U35" s="264">
        <v>0</v>
      </c>
      <c r="V35" s="264">
        <v>259</v>
      </c>
      <c r="W35" s="134">
        <v>301</v>
      </c>
      <c r="X35" s="134">
        <v>56</v>
      </c>
      <c r="Y35" s="134">
        <v>357</v>
      </c>
      <c r="Z35" s="135">
        <v>50.166666666666664</v>
      </c>
      <c r="AA35" s="135">
        <v>9.3333333333333339</v>
      </c>
      <c r="AB35" s="135">
        <v>59.5</v>
      </c>
      <c r="AC35" s="585">
        <f t="shared" si="18"/>
        <v>60.199999999999996</v>
      </c>
      <c r="AD35" s="585">
        <f t="shared" si="19"/>
        <v>11.200000000000001</v>
      </c>
      <c r="AE35" s="585">
        <f t="shared" si="20"/>
        <v>71.400000000000006</v>
      </c>
    </row>
    <row r="36" spans="1:31" ht="15.75">
      <c r="A36" s="119">
        <v>18</v>
      </c>
      <c r="B36" s="118" t="s">
        <v>1051</v>
      </c>
      <c r="C36" s="264" t="s">
        <v>1031</v>
      </c>
      <c r="D36" s="1" t="s">
        <v>2781</v>
      </c>
      <c r="E36" s="132">
        <v>100</v>
      </c>
      <c r="F36" s="264">
        <v>0</v>
      </c>
      <c r="G36" s="264">
        <v>100</v>
      </c>
      <c r="H36" s="137">
        <v>25</v>
      </c>
      <c r="I36" s="264">
        <v>0</v>
      </c>
      <c r="J36" s="264">
        <v>25</v>
      </c>
      <c r="K36" s="137">
        <v>30</v>
      </c>
      <c r="L36" s="134">
        <v>0</v>
      </c>
      <c r="M36" s="264">
        <v>30</v>
      </c>
      <c r="N36" s="264">
        <v>20</v>
      </c>
      <c r="O36" s="264">
        <v>0</v>
      </c>
      <c r="P36" s="264">
        <v>20</v>
      </c>
      <c r="Q36" s="264">
        <v>25</v>
      </c>
      <c r="R36" s="264">
        <v>0</v>
      </c>
      <c r="S36" s="264">
        <v>25</v>
      </c>
      <c r="T36" s="264">
        <v>100</v>
      </c>
      <c r="U36" s="264">
        <v>0</v>
      </c>
      <c r="V36" s="264">
        <v>100</v>
      </c>
      <c r="W36" s="134">
        <v>300</v>
      </c>
      <c r="X36" s="134">
        <v>0</v>
      </c>
      <c r="Y36" s="134">
        <v>300</v>
      </c>
      <c r="Z36" s="135">
        <v>50</v>
      </c>
      <c r="AA36" s="135">
        <v>0</v>
      </c>
      <c r="AB36" s="135">
        <v>50</v>
      </c>
      <c r="AC36" s="585">
        <f t="shared" si="18"/>
        <v>60</v>
      </c>
      <c r="AD36" s="585">
        <f t="shared" si="19"/>
        <v>0</v>
      </c>
      <c r="AE36" s="585">
        <f t="shared" si="20"/>
        <v>60</v>
      </c>
    </row>
    <row r="37" spans="1:31" ht="15.75">
      <c r="A37" s="518">
        <v>19</v>
      </c>
      <c r="B37" s="123" t="s">
        <v>1090</v>
      </c>
      <c r="C37" s="158" t="s">
        <v>1091</v>
      </c>
      <c r="D37" s="1" t="s">
        <v>2782</v>
      </c>
      <c r="E37" s="158">
        <v>155</v>
      </c>
      <c r="F37" s="158">
        <v>75</v>
      </c>
      <c r="G37" s="158">
        <f t="shared" ref="G37" si="21">F37+E37</f>
        <v>230</v>
      </c>
      <c r="H37" s="158">
        <v>20</v>
      </c>
      <c r="I37" s="158">
        <v>4</v>
      </c>
      <c r="J37" s="158">
        <f t="shared" ref="J37" si="22">I37+H37</f>
        <v>24</v>
      </c>
      <c r="K37" s="158">
        <v>650</v>
      </c>
      <c r="L37" s="158">
        <v>0</v>
      </c>
      <c r="M37" s="158">
        <f t="shared" ref="M37" si="23">L37+K37</f>
        <v>650</v>
      </c>
      <c r="N37" s="158">
        <v>0</v>
      </c>
      <c r="O37" s="158">
        <v>0</v>
      </c>
      <c r="P37" s="158">
        <f>O37+N37</f>
        <v>0</v>
      </c>
      <c r="Q37" s="158">
        <v>0</v>
      </c>
      <c r="R37" s="158">
        <v>90</v>
      </c>
      <c r="S37" s="158">
        <f t="shared" ref="S37" si="24">R37+Q37</f>
        <v>90</v>
      </c>
      <c r="T37" s="158">
        <v>200</v>
      </c>
      <c r="U37" s="158">
        <v>72</v>
      </c>
      <c r="V37" s="158">
        <f t="shared" ref="V37" si="25">U37+T37</f>
        <v>272</v>
      </c>
      <c r="W37" s="500">
        <f>E37+H37+K37+N37+Q37+T37</f>
        <v>1025</v>
      </c>
      <c r="X37" s="500">
        <f>F37+I37+L37+O37+R37+U37</f>
        <v>241</v>
      </c>
      <c r="Y37" s="500">
        <f>G37+J37+M37+P37+S37+V37</f>
        <v>1266</v>
      </c>
      <c r="Z37" s="501">
        <f>W37/6</f>
        <v>170.83333333333334</v>
      </c>
      <c r="AA37" s="501">
        <f>X37/6</f>
        <v>40.166666666666664</v>
      </c>
      <c r="AB37" s="501">
        <f>Y37/6</f>
        <v>211</v>
      </c>
      <c r="AC37" s="585">
        <f t="shared" si="18"/>
        <v>205</v>
      </c>
      <c r="AD37" s="585">
        <f t="shared" si="19"/>
        <v>48.199999999999996</v>
      </c>
      <c r="AE37" s="585">
        <f t="shared" si="20"/>
        <v>253.2</v>
      </c>
    </row>
    <row r="38" spans="1:31" ht="15.75">
      <c r="A38" s="119">
        <v>20</v>
      </c>
      <c r="B38" s="161" t="s">
        <v>920</v>
      </c>
      <c r="C38" s="158" t="s">
        <v>1129</v>
      </c>
      <c r="D38" s="1" t="s">
        <v>2782</v>
      </c>
      <c r="E38" s="172">
        <v>158</v>
      </c>
      <c r="F38" s="158">
        <v>0</v>
      </c>
      <c r="G38" s="158">
        <v>158</v>
      </c>
      <c r="H38" s="265">
        <v>5</v>
      </c>
      <c r="I38" s="158">
        <v>0</v>
      </c>
      <c r="J38" s="158">
        <v>5</v>
      </c>
      <c r="K38" s="132">
        <v>15</v>
      </c>
      <c r="L38" s="158">
        <v>0</v>
      </c>
      <c r="M38" s="158">
        <v>15</v>
      </c>
      <c r="N38" s="158">
        <v>18</v>
      </c>
      <c r="O38" s="158">
        <v>0</v>
      </c>
      <c r="P38" s="158">
        <v>18</v>
      </c>
      <c r="Q38" s="158">
        <v>0</v>
      </c>
      <c r="R38" s="158">
        <v>0</v>
      </c>
      <c r="S38" s="158">
        <v>0</v>
      </c>
      <c r="T38" s="158">
        <v>190</v>
      </c>
      <c r="U38" s="158">
        <v>0</v>
      </c>
      <c r="V38" s="158">
        <v>190</v>
      </c>
      <c r="W38" s="500">
        <v>386</v>
      </c>
      <c r="X38" s="500">
        <v>0</v>
      </c>
      <c r="Y38" s="500">
        <v>386</v>
      </c>
      <c r="Z38" s="501">
        <v>64.333333333333329</v>
      </c>
      <c r="AA38" s="501">
        <v>0</v>
      </c>
      <c r="AB38" s="501">
        <v>64.333333333333329</v>
      </c>
      <c r="AC38" s="585">
        <f t="shared" si="18"/>
        <v>77.199999999999989</v>
      </c>
      <c r="AD38" s="585">
        <f t="shared" si="19"/>
        <v>0</v>
      </c>
      <c r="AE38" s="585">
        <f t="shared" si="20"/>
        <v>77.199999999999989</v>
      </c>
    </row>
    <row r="39" spans="1:31" ht="15.75">
      <c r="A39" s="518">
        <v>21</v>
      </c>
      <c r="B39" s="123" t="s">
        <v>1131</v>
      </c>
      <c r="C39" s="158" t="s">
        <v>1129</v>
      </c>
      <c r="D39" s="1" t="s">
        <v>2782</v>
      </c>
      <c r="E39" s="172">
        <v>20</v>
      </c>
      <c r="F39" s="158">
        <v>0</v>
      </c>
      <c r="G39" s="158">
        <v>20</v>
      </c>
      <c r="H39" s="265">
        <v>150</v>
      </c>
      <c r="I39" s="158">
        <v>0</v>
      </c>
      <c r="J39" s="158">
        <v>150</v>
      </c>
      <c r="K39" s="132">
        <v>560</v>
      </c>
      <c r="L39" s="158">
        <v>0</v>
      </c>
      <c r="M39" s="158">
        <v>560</v>
      </c>
      <c r="N39" s="158">
        <v>25</v>
      </c>
      <c r="O39" s="158">
        <v>0</v>
      </c>
      <c r="P39" s="158">
        <v>25</v>
      </c>
      <c r="Q39" s="158">
        <v>0</v>
      </c>
      <c r="R39" s="158">
        <v>0</v>
      </c>
      <c r="S39" s="158">
        <v>0</v>
      </c>
      <c r="T39" s="158">
        <v>61</v>
      </c>
      <c r="U39" s="158">
        <v>25</v>
      </c>
      <c r="V39" s="158">
        <v>86</v>
      </c>
      <c r="W39" s="500">
        <v>816</v>
      </c>
      <c r="X39" s="500">
        <v>25</v>
      </c>
      <c r="Y39" s="500">
        <v>841</v>
      </c>
      <c r="Z39" s="501">
        <v>136</v>
      </c>
      <c r="AA39" s="501">
        <v>4.166666666666667</v>
      </c>
      <c r="AB39" s="501">
        <v>140.16666666666666</v>
      </c>
      <c r="AC39" s="585">
        <f t="shared" si="18"/>
        <v>163.19999999999999</v>
      </c>
      <c r="AD39" s="585">
        <f t="shared" si="19"/>
        <v>5</v>
      </c>
      <c r="AE39" s="585">
        <f t="shared" si="20"/>
        <v>168.2</v>
      </c>
    </row>
    <row r="40" spans="1:31" ht="15.75">
      <c r="A40" s="119">
        <v>22</v>
      </c>
      <c r="B40" s="123" t="s">
        <v>1136</v>
      </c>
      <c r="C40" s="158" t="s">
        <v>1129</v>
      </c>
      <c r="D40" s="1" t="s">
        <v>2782</v>
      </c>
      <c r="E40" s="172">
        <v>180</v>
      </c>
      <c r="F40" s="158">
        <v>0</v>
      </c>
      <c r="G40" s="158">
        <v>180</v>
      </c>
      <c r="H40" s="265">
        <v>0</v>
      </c>
      <c r="I40" s="158">
        <v>0</v>
      </c>
      <c r="J40" s="158">
        <v>0</v>
      </c>
      <c r="K40" s="132">
        <v>50</v>
      </c>
      <c r="L40" s="158">
        <v>0</v>
      </c>
      <c r="M40" s="158">
        <v>50</v>
      </c>
      <c r="N40" s="158">
        <v>10</v>
      </c>
      <c r="O40" s="158">
        <v>0</v>
      </c>
      <c r="P40" s="158">
        <v>10</v>
      </c>
      <c r="Q40" s="158">
        <v>12</v>
      </c>
      <c r="R40" s="158">
        <v>0</v>
      </c>
      <c r="S40" s="158">
        <v>12</v>
      </c>
      <c r="T40" s="158">
        <v>65</v>
      </c>
      <c r="U40" s="158">
        <v>0</v>
      </c>
      <c r="V40" s="158">
        <v>65</v>
      </c>
      <c r="W40" s="500">
        <v>317</v>
      </c>
      <c r="X40" s="500">
        <v>0</v>
      </c>
      <c r="Y40" s="500">
        <v>317</v>
      </c>
      <c r="Z40" s="501">
        <v>52.833333333333336</v>
      </c>
      <c r="AA40" s="501">
        <v>0</v>
      </c>
      <c r="AB40" s="501">
        <v>52.833333333333336</v>
      </c>
      <c r="AC40" s="585">
        <f t="shared" si="18"/>
        <v>63.400000000000006</v>
      </c>
      <c r="AD40" s="585">
        <f t="shared" si="19"/>
        <v>0</v>
      </c>
      <c r="AE40" s="585">
        <f t="shared" si="20"/>
        <v>63.400000000000006</v>
      </c>
    </row>
    <row r="41" spans="1:31" ht="15.75">
      <c r="A41" s="518">
        <v>23</v>
      </c>
      <c r="B41" s="167" t="s">
        <v>1150</v>
      </c>
      <c r="C41" s="158" t="s">
        <v>1129</v>
      </c>
      <c r="D41" s="1" t="s">
        <v>2782</v>
      </c>
      <c r="E41" s="172">
        <v>189</v>
      </c>
      <c r="F41" s="158">
        <v>0</v>
      </c>
      <c r="G41" s="158">
        <v>189</v>
      </c>
      <c r="H41" s="265">
        <v>200</v>
      </c>
      <c r="I41" s="158">
        <v>0</v>
      </c>
      <c r="J41" s="158">
        <v>200</v>
      </c>
      <c r="K41" s="132">
        <v>200</v>
      </c>
      <c r="L41" s="158">
        <v>0</v>
      </c>
      <c r="M41" s="158">
        <v>200</v>
      </c>
      <c r="N41" s="158">
        <v>6</v>
      </c>
      <c r="O41" s="158">
        <v>0</v>
      </c>
      <c r="P41" s="158">
        <v>6</v>
      </c>
      <c r="Q41" s="158">
        <v>6</v>
      </c>
      <c r="R41" s="158">
        <v>0</v>
      </c>
      <c r="S41" s="158">
        <v>6</v>
      </c>
      <c r="T41" s="158">
        <v>29</v>
      </c>
      <c r="U41" s="158">
        <v>0</v>
      </c>
      <c r="V41" s="158">
        <v>29</v>
      </c>
      <c r="W41" s="500">
        <v>630</v>
      </c>
      <c r="X41" s="500">
        <v>0</v>
      </c>
      <c r="Y41" s="500">
        <v>630</v>
      </c>
      <c r="Z41" s="501">
        <v>105</v>
      </c>
      <c r="AA41" s="501">
        <v>0</v>
      </c>
      <c r="AB41" s="501">
        <v>105</v>
      </c>
      <c r="AC41" s="585">
        <f t="shared" si="18"/>
        <v>126</v>
      </c>
      <c r="AD41" s="585">
        <f t="shared" si="19"/>
        <v>0</v>
      </c>
      <c r="AE41" s="585">
        <f t="shared" si="20"/>
        <v>126</v>
      </c>
    </row>
    <row r="42" spans="1:31" ht="15.75">
      <c r="A42" s="119">
        <v>24</v>
      </c>
      <c r="B42" s="118" t="s">
        <v>1003</v>
      </c>
      <c r="C42" s="158" t="s">
        <v>1129</v>
      </c>
      <c r="D42" s="1" t="s">
        <v>2782</v>
      </c>
      <c r="E42" s="172">
        <v>168</v>
      </c>
      <c r="F42" s="158">
        <v>0</v>
      </c>
      <c r="G42" s="158">
        <v>168</v>
      </c>
      <c r="H42" s="265">
        <v>250</v>
      </c>
      <c r="I42" s="158">
        <v>0</v>
      </c>
      <c r="J42" s="158">
        <v>250</v>
      </c>
      <c r="K42" s="132">
        <v>140</v>
      </c>
      <c r="L42" s="158">
        <v>0</v>
      </c>
      <c r="M42" s="158">
        <v>140</v>
      </c>
      <c r="N42" s="158">
        <v>10</v>
      </c>
      <c r="O42" s="158">
        <v>0</v>
      </c>
      <c r="P42" s="158">
        <v>10</v>
      </c>
      <c r="Q42" s="158">
        <v>5</v>
      </c>
      <c r="R42" s="158">
        <v>0</v>
      </c>
      <c r="S42" s="158">
        <v>5</v>
      </c>
      <c r="T42" s="158">
        <v>31</v>
      </c>
      <c r="U42" s="158">
        <v>0</v>
      </c>
      <c r="V42" s="158">
        <v>31</v>
      </c>
      <c r="W42" s="500">
        <v>604</v>
      </c>
      <c r="X42" s="500">
        <v>0</v>
      </c>
      <c r="Y42" s="500">
        <v>604</v>
      </c>
      <c r="Z42" s="501">
        <v>100.66666666666667</v>
      </c>
      <c r="AA42" s="501">
        <v>0</v>
      </c>
      <c r="AB42" s="501">
        <v>100.66666666666667</v>
      </c>
      <c r="AC42" s="585">
        <f t="shared" si="18"/>
        <v>120.80000000000001</v>
      </c>
      <c r="AD42" s="585">
        <f t="shared" si="19"/>
        <v>0</v>
      </c>
      <c r="AE42" s="585">
        <f t="shared" si="20"/>
        <v>120.80000000000001</v>
      </c>
    </row>
    <row r="43" spans="1:31" ht="15.75">
      <c r="A43" s="518">
        <v>25</v>
      </c>
      <c r="B43" s="118" t="s">
        <v>1155</v>
      </c>
      <c r="C43" s="158" t="s">
        <v>1161</v>
      </c>
      <c r="D43" s="1" t="s">
        <v>2782</v>
      </c>
      <c r="E43" s="172">
        <v>65</v>
      </c>
      <c r="F43" s="158">
        <v>0</v>
      </c>
      <c r="G43" s="158">
        <v>65</v>
      </c>
      <c r="H43" s="265">
        <v>12</v>
      </c>
      <c r="I43" s="158">
        <v>0</v>
      </c>
      <c r="J43" s="158">
        <v>12</v>
      </c>
      <c r="K43" s="132">
        <v>120</v>
      </c>
      <c r="L43" s="158">
        <v>0</v>
      </c>
      <c r="M43" s="158">
        <v>120</v>
      </c>
      <c r="N43" s="158">
        <v>15</v>
      </c>
      <c r="O43" s="158">
        <v>0</v>
      </c>
      <c r="P43" s="158">
        <v>15</v>
      </c>
      <c r="Q43" s="158">
        <v>10</v>
      </c>
      <c r="R43" s="158">
        <v>0</v>
      </c>
      <c r="S43" s="158">
        <v>10</v>
      </c>
      <c r="T43" s="158">
        <v>101</v>
      </c>
      <c r="U43" s="158">
        <v>0</v>
      </c>
      <c r="V43" s="158">
        <v>101</v>
      </c>
      <c r="W43" s="500">
        <v>323</v>
      </c>
      <c r="X43" s="500">
        <v>0</v>
      </c>
      <c r="Y43" s="500">
        <v>323</v>
      </c>
      <c r="Z43" s="501">
        <v>53.833333333333336</v>
      </c>
      <c r="AA43" s="501">
        <v>0</v>
      </c>
      <c r="AB43" s="501">
        <v>53.833333333333336</v>
      </c>
      <c r="AC43" s="585">
        <f t="shared" si="18"/>
        <v>64.600000000000009</v>
      </c>
      <c r="AD43" s="585">
        <f t="shared" si="19"/>
        <v>0</v>
      </c>
      <c r="AE43" s="585">
        <f t="shared" si="20"/>
        <v>64.600000000000009</v>
      </c>
    </row>
    <row r="44" spans="1:31" ht="15.75">
      <c r="A44" s="119">
        <v>26</v>
      </c>
      <c r="B44" s="166" t="s">
        <v>1240</v>
      </c>
      <c r="C44" s="158" t="s">
        <v>1230</v>
      </c>
      <c r="D44" s="1" t="s">
        <v>2782</v>
      </c>
      <c r="E44" s="172">
        <v>113</v>
      </c>
      <c r="F44" s="158">
        <v>0</v>
      </c>
      <c r="G44" s="158">
        <v>113</v>
      </c>
      <c r="H44" s="265">
        <v>180</v>
      </c>
      <c r="I44" s="158">
        <v>0</v>
      </c>
      <c r="J44" s="158">
        <v>180</v>
      </c>
      <c r="K44" s="132">
        <v>280</v>
      </c>
      <c r="L44" s="158">
        <v>0</v>
      </c>
      <c r="M44" s="158">
        <v>280</v>
      </c>
      <c r="N44" s="158">
        <v>20</v>
      </c>
      <c r="O44" s="158">
        <v>0</v>
      </c>
      <c r="P44" s="158">
        <v>20</v>
      </c>
      <c r="Q44" s="158">
        <v>3</v>
      </c>
      <c r="R44" s="158">
        <v>0</v>
      </c>
      <c r="S44" s="158">
        <v>3</v>
      </c>
      <c r="T44" s="158">
        <v>19</v>
      </c>
      <c r="U44" s="158">
        <v>0</v>
      </c>
      <c r="V44" s="158">
        <v>19</v>
      </c>
      <c r="W44" s="500">
        <v>615</v>
      </c>
      <c r="X44" s="500">
        <v>0</v>
      </c>
      <c r="Y44" s="500">
        <v>615</v>
      </c>
      <c r="Z44" s="501">
        <v>102.5</v>
      </c>
      <c r="AA44" s="501">
        <v>0</v>
      </c>
      <c r="AB44" s="501">
        <v>102.5</v>
      </c>
      <c r="AC44" s="585">
        <f t="shared" si="18"/>
        <v>123</v>
      </c>
      <c r="AD44" s="585">
        <f t="shared" si="19"/>
        <v>0</v>
      </c>
      <c r="AE44" s="585">
        <f t="shared" si="20"/>
        <v>123</v>
      </c>
    </row>
    <row r="45" spans="1:31" ht="15.75">
      <c r="A45" s="518">
        <v>27</v>
      </c>
      <c r="B45" s="166" t="s">
        <v>1244</v>
      </c>
      <c r="C45" s="158" t="s">
        <v>1230</v>
      </c>
      <c r="D45" s="1" t="s">
        <v>2782</v>
      </c>
      <c r="E45" s="172">
        <v>483</v>
      </c>
      <c r="F45" s="158">
        <v>0</v>
      </c>
      <c r="G45" s="158">
        <v>483</v>
      </c>
      <c r="H45" s="265">
        <v>120</v>
      </c>
      <c r="I45" s="158">
        <v>0</v>
      </c>
      <c r="J45" s="158">
        <v>120</v>
      </c>
      <c r="K45" s="132">
        <v>220</v>
      </c>
      <c r="L45" s="158">
        <v>0</v>
      </c>
      <c r="M45" s="158">
        <v>220</v>
      </c>
      <c r="N45" s="158">
        <v>38</v>
      </c>
      <c r="O45" s="158">
        <v>0</v>
      </c>
      <c r="P45" s="158">
        <v>38</v>
      </c>
      <c r="Q45" s="158">
        <v>20</v>
      </c>
      <c r="R45" s="158">
        <v>0</v>
      </c>
      <c r="S45" s="158">
        <v>20</v>
      </c>
      <c r="T45" s="158">
        <v>5</v>
      </c>
      <c r="U45" s="158">
        <v>0</v>
      </c>
      <c r="V45" s="158">
        <v>5</v>
      </c>
      <c r="W45" s="500">
        <v>886</v>
      </c>
      <c r="X45" s="500">
        <v>0</v>
      </c>
      <c r="Y45" s="500">
        <v>886</v>
      </c>
      <c r="Z45" s="501">
        <v>147.66666666666666</v>
      </c>
      <c r="AA45" s="501">
        <v>0</v>
      </c>
      <c r="AB45" s="501">
        <v>147.66666666666666</v>
      </c>
      <c r="AC45" s="585">
        <f t="shared" si="18"/>
        <v>177.2</v>
      </c>
      <c r="AD45" s="585">
        <f t="shared" si="19"/>
        <v>0</v>
      </c>
      <c r="AE45" s="585">
        <f t="shared" si="20"/>
        <v>177.2</v>
      </c>
    </row>
    <row r="46" spans="1:31" ht="15.75">
      <c r="A46" s="119">
        <v>28</v>
      </c>
      <c r="B46" s="118" t="s">
        <v>1265</v>
      </c>
      <c r="C46" s="158" t="s">
        <v>1266</v>
      </c>
      <c r="D46" s="1" t="s">
        <v>2782</v>
      </c>
      <c r="E46" s="172">
        <v>74</v>
      </c>
      <c r="F46" s="158">
        <v>0</v>
      </c>
      <c r="G46" s="158">
        <v>74</v>
      </c>
      <c r="H46" s="265">
        <v>60</v>
      </c>
      <c r="I46" s="158">
        <v>0</v>
      </c>
      <c r="J46" s="158">
        <v>60</v>
      </c>
      <c r="K46" s="265">
        <v>180</v>
      </c>
      <c r="L46" s="158">
        <v>0</v>
      </c>
      <c r="M46" s="158">
        <v>180</v>
      </c>
      <c r="N46" s="158">
        <v>5</v>
      </c>
      <c r="O46" s="158">
        <v>0</v>
      </c>
      <c r="P46" s="158">
        <v>5</v>
      </c>
      <c r="Q46" s="158">
        <v>6</v>
      </c>
      <c r="R46" s="158">
        <v>0</v>
      </c>
      <c r="S46" s="158">
        <v>6</v>
      </c>
      <c r="T46" s="158">
        <v>6</v>
      </c>
      <c r="U46" s="158">
        <v>0</v>
      </c>
      <c r="V46" s="158">
        <v>6</v>
      </c>
      <c r="W46" s="500">
        <v>331</v>
      </c>
      <c r="X46" s="500">
        <v>0</v>
      </c>
      <c r="Y46" s="500">
        <v>331</v>
      </c>
      <c r="Z46" s="501">
        <v>55.166666666666664</v>
      </c>
      <c r="AA46" s="501">
        <v>0</v>
      </c>
      <c r="AB46" s="501">
        <v>55.166666666666664</v>
      </c>
      <c r="AC46" s="585">
        <f t="shared" si="18"/>
        <v>66.2</v>
      </c>
      <c r="AD46" s="585">
        <f t="shared" si="19"/>
        <v>0</v>
      </c>
      <c r="AE46" s="585">
        <f t="shared" si="20"/>
        <v>66.2</v>
      </c>
    </row>
    <row r="47" spans="1:31" ht="15.75">
      <c r="A47" s="518">
        <v>29</v>
      </c>
      <c r="B47" s="161" t="s">
        <v>1295</v>
      </c>
      <c r="C47" s="158" t="s">
        <v>1266</v>
      </c>
      <c r="D47" s="1" t="s">
        <v>2782</v>
      </c>
      <c r="E47" s="172">
        <v>10</v>
      </c>
      <c r="F47" s="158">
        <v>0</v>
      </c>
      <c r="G47" s="158">
        <v>10</v>
      </c>
      <c r="H47" s="265">
        <v>0</v>
      </c>
      <c r="I47" s="158">
        <v>0</v>
      </c>
      <c r="J47" s="158">
        <v>0</v>
      </c>
      <c r="K47" s="265">
        <v>253</v>
      </c>
      <c r="L47" s="158">
        <v>0</v>
      </c>
      <c r="M47" s="158">
        <v>253</v>
      </c>
      <c r="N47" s="158">
        <v>25</v>
      </c>
      <c r="O47" s="158">
        <v>0</v>
      </c>
      <c r="P47" s="158">
        <v>25</v>
      </c>
      <c r="Q47" s="158">
        <v>5</v>
      </c>
      <c r="R47" s="158">
        <v>0</v>
      </c>
      <c r="S47" s="158">
        <v>5</v>
      </c>
      <c r="T47" s="158">
        <v>5</v>
      </c>
      <c r="U47" s="158">
        <v>0</v>
      </c>
      <c r="V47" s="158">
        <v>5</v>
      </c>
      <c r="W47" s="500">
        <v>298</v>
      </c>
      <c r="X47" s="500">
        <v>0</v>
      </c>
      <c r="Y47" s="500">
        <v>298</v>
      </c>
      <c r="Z47" s="501">
        <v>49.666666666666664</v>
      </c>
      <c r="AA47" s="501">
        <v>0</v>
      </c>
      <c r="AB47" s="501">
        <v>49.666666666666664</v>
      </c>
      <c r="AC47" s="585">
        <f t="shared" si="18"/>
        <v>59.599999999999994</v>
      </c>
      <c r="AD47" s="585">
        <f t="shared" si="19"/>
        <v>0</v>
      </c>
      <c r="AE47" s="585">
        <f t="shared" si="20"/>
        <v>59.599999999999994</v>
      </c>
    </row>
    <row r="48" spans="1:31" ht="15.75">
      <c r="A48" s="119">
        <v>30</v>
      </c>
      <c r="B48" s="265" t="s">
        <v>1076</v>
      </c>
      <c r="C48" s="265" t="s">
        <v>1064</v>
      </c>
      <c r="D48" s="1" t="s">
        <v>2782</v>
      </c>
      <c r="E48" s="265">
        <v>800</v>
      </c>
      <c r="F48" s="158">
        <v>0</v>
      </c>
      <c r="G48" s="265">
        <v>800</v>
      </c>
      <c r="H48" s="265">
        <v>1200</v>
      </c>
      <c r="I48" s="158">
        <v>0</v>
      </c>
      <c r="J48" s="265">
        <v>1200</v>
      </c>
      <c r="K48" s="265">
        <v>1200</v>
      </c>
      <c r="L48" s="158">
        <v>0</v>
      </c>
      <c r="M48" s="265">
        <v>1200</v>
      </c>
      <c r="N48" s="265">
        <v>0</v>
      </c>
      <c r="O48" s="265">
        <v>0</v>
      </c>
      <c r="P48" s="265">
        <v>0</v>
      </c>
      <c r="Q48" s="265">
        <v>1559</v>
      </c>
      <c r="R48" s="265"/>
      <c r="S48" s="265">
        <v>1559</v>
      </c>
      <c r="T48" s="265">
        <v>1559</v>
      </c>
      <c r="U48" s="265">
        <v>0</v>
      </c>
      <c r="V48" s="265">
        <v>1559</v>
      </c>
      <c r="W48" s="500">
        <v>6318</v>
      </c>
      <c r="X48" s="500">
        <v>0</v>
      </c>
      <c r="Y48" s="500">
        <v>6318</v>
      </c>
      <c r="Z48" s="501">
        <v>1053</v>
      </c>
      <c r="AA48" s="501">
        <v>0</v>
      </c>
      <c r="AB48" s="501">
        <v>1053</v>
      </c>
      <c r="AC48" s="585">
        <f t="shared" si="18"/>
        <v>1263.5999999999999</v>
      </c>
      <c r="AD48" s="585">
        <f t="shared" si="19"/>
        <v>0</v>
      </c>
      <c r="AE48" s="585">
        <f t="shared" si="20"/>
        <v>1263.5999999999999</v>
      </c>
    </row>
    <row r="49" spans="1:31" ht="15.75">
      <c r="A49" s="518">
        <v>31</v>
      </c>
      <c r="B49" s="265" t="s">
        <v>1302</v>
      </c>
      <c r="C49" s="265" t="s">
        <v>1303</v>
      </c>
      <c r="D49" s="1" t="s">
        <v>2782</v>
      </c>
      <c r="E49" s="265">
        <v>630</v>
      </c>
      <c r="F49" s="158">
        <v>0</v>
      </c>
      <c r="G49" s="265">
        <v>630</v>
      </c>
      <c r="H49" s="265">
        <v>821</v>
      </c>
      <c r="I49" s="158">
        <v>0</v>
      </c>
      <c r="J49" s="265">
        <v>821</v>
      </c>
      <c r="K49" s="265">
        <v>1000</v>
      </c>
      <c r="L49" s="158">
        <v>0</v>
      </c>
      <c r="M49" s="265">
        <v>1000</v>
      </c>
      <c r="N49" s="265">
        <v>0</v>
      </c>
      <c r="O49" s="265">
        <v>0</v>
      </c>
      <c r="P49" s="265">
        <v>0</v>
      </c>
      <c r="Q49" s="265">
        <v>3</v>
      </c>
      <c r="R49" s="265"/>
      <c r="S49" s="265">
        <v>3</v>
      </c>
      <c r="T49" s="265">
        <v>579</v>
      </c>
      <c r="U49" s="265">
        <v>0</v>
      </c>
      <c r="V49" s="265">
        <v>579</v>
      </c>
      <c r="W49" s="500">
        <v>3033</v>
      </c>
      <c r="X49" s="500">
        <v>0</v>
      </c>
      <c r="Y49" s="500">
        <v>3033</v>
      </c>
      <c r="Z49" s="501">
        <v>505.5</v>
      </c>
      <c r="AA49" s="501">
        <v>0</v>
      </c>
      <c r="AB49" s="501">
        <v>505.5</v>
      </c>
      <c r="AC49" s="585">
        <f t="shared" si="18"/>
        <v>606.6</v>
      </c>
      <c r="AD49" s="585">
        <f t="shared" si="19"/>
        <v>0</v>
      </c>
      <c r="AE49" s="585">
        <f t="shared" si="20"/>
        <v>606.6</v>
      </c>
    </row>
    <row r="50" spans="1:31">
      <c r="A50" s="64"/>
      <c r="B50" s="1102" t="s">
        <v>2780</v>
      </c>
      <c r="C50" s="1103"/>
      <c r="D50" s="64"/>
      <c r="E50" s="64">
        <f>SUM(E19:E49)</f>
        <v>7363</v>
      </c>
      <c r="F50" s="64">
        <f t="shared" ref="F50:AB50" si="26">SUM(F19:F49)</f>
        <v>557</v>
      </c>
      <c r="G50" s="64">
        <f t="shared" si="26"/>
        <v>7920</v>
      </c>
      <c r="H50" s="64">
        <f t="shared" si="26"/>
        <v>3927</v>
      </c>
      <c r="I50" s="64">
        <f t="shared" si="26"/>
        <v>230</v>
      </c>
      <c r="J50" s="64">
        <f t="shared" si="26"/>
        <v>4157</v>
      </c>
      <c r="K50" s="64">
        <f t="shared" si="26"/>
        <v>5310</v>
      </c>
      <c r="L50" s="64">
        <f t="shared" si="26"/>
        <v>387</v>
      </c>
      <c r="M50" s="64">
        <f t="shared" si="26"/>
        <v>5697</v>
      </c>
      <c r="N50" s="64">
        <f t="shared" si="26"/>
        <v>262</v>
      </c>
      <c r="O50" s="64">
        <f t="shared" si="26"/>
        <v>66</v>
      </c>
      <c r="P50" s="64">
        <f t="shared" si="26"/>
        <v>328</v>
      </c>
      <c r="Q50" s="64">
        <f t="shared" si="26"/>
        <v>2411</v>
      </c>
      <c r="R50" s="64">
        <f t="shared" si="26"/>
        <v>316</v>
      </c>
      <c r="S50" s="64">
        <f t="shared" si="26"/>
        <v>2727</v>
      </c>
      <c r="T50" s="64">
        <f t="shared" si="26"/>
        <v>6365</v>
      </c>
      <c r="U50" s="64">
        <f t="shared" si="26"/>
        <v>97</v>
      </c>
      <c r="V50" s="64">
        <f t="shared" si="26"/>
        <v>6462</v>
      </c>
      <c r="W50" s="64">
        <f t="shared" si="26"/>
        <v>25638</v>
      </c>
      <c r="X50" s="64">
        <f t="shared" si="26"/>
        <v>1653</v>
      </c>
      <c r="Y50" s="64">
        <f t="shared" si="26"/>
        <v>27291</v>
      </c>
      <c r="Z50" s="64">
        <f t="shared" si="26"/>
        <v>4273</v>
      </c>
      <c r="AA50" s="519">
        <f t="shared" si="26"/>
        <v>275.50000000000006</v>
      </c>
      <c r="AB50" s="519">
        <f t="shared" si="26"/>
        <v>4548.5</v>
      </c>
      <c r="AC50" s="519">
        <f t="shared" ref="AC50" si="27">SUM(AC19:AC49)</f>
        <v>5127.5999999999995</v>
      </c>
      <c r="AD50" s="519">
        <f t="shared" ref="AD50" si="28">SUM(AD19:AD49)</f>
        <v>330.59999999999997</v>
      </c>
      <c r="AE50" s="519">
        <f t="shared" ref="AE50" si="29">SUM(AE19:AE49)</f>
        <v>5458.2</v>
      </c>
    </row>
    <row r="52" spans="1:31">
      <c r="A52" s="522"/>
      <c r="B52" s="1104" t="s">
        <v>2783</v>
      </c>
      <c r="C52" s="1105"/>
      <c r="D52" s="522"/>
      <c r="E52" s="522">
        <f>E18+E50</f>
        <v>17693</v>
      </c>
      <c r="F52" s="522">
        <f t="shared" ref="F52:Y52" si="30">F18+F50</f>
        <v>2319</v>
      </c>
      <c r="G52" s="522">
        <f t="shared" si="30"/>
        <v>20012</v>
      </c>
      <c r="H52" s="522">
        <f t="shared" si="30"/>
        <v>22239</v>
      </c>
      <c r="I52" s="522">
        <f t="shared" si="30"/>
        <v>2568</v>
      </c>
      <c r="J52" s="522">
        <f t="shared" si="30"/>
        <v>24807</v>
      </c>
      <c r="K52" s="522">
        <f t="shared" si="30"/>
        <v>24769</v>
      </c>
      <c r="L52" s="522">
        <f t="shared" si="30"/>
        <v>2089</v>
      </c>
      <c r="M52" s="522">
        <f t="shared" si="30"/>
        <v>26858</v>
      </c>
      <c r="N52" s="522">
        <f t="shared" si="30"/>
        <v>9949</v>
      </c>
      <c r="O52" s="522">
        <f t="shared" si="30"/>
        <v>1378</v>
      </c>
      <c r="P52" s="522">
        <f t="shared" si="30"/>
        <v>11327</v>
      </c>
      <c r="Q52" s="522">
        <f t="shared" si="30"/>
        <v>20197</v>
      </c>
      <c r="R52" s="522">
        <f t="shared" si="30"/>
        <v>1816</v>
      </c>
      <c r="S52" s="522">
        <f t="shared" si="30"/>
        <v>22013</v>
      </c>
      <c r="T52" s="522">
        <f t="shared" si="30"/>
        <v>18397</v>
      </c>
      <c r="U52" s="522">
        <f t="shared" si="30"/>
        <v>1313</v>
      </c>
      <c r="V52" s="522">
        <f t="shared" si="30"/>
        <v>19710</v>
      </c>
      <c r="W52" s="522">
        <f t="shared" si="30"/>
        <v>113244</v>
      </c>
      <c r="X52" s="522">
        <f t="shared" si="30"/>
        <v>11483</v>
      </c>
      <c r="Y52" s="522">
        <f t="shared" si="30"/>
        <v>124727</v>
      </c>
      <c r="Z52" s="522">
        <f t="shared" ref="Z52:AE52" si="31">Z18+Z50</f>
        <v>7959</v>
      </c>
      <c r="AA52" s="523">
        <f t="shared" si="31"/>
        <v>707.5</v>
      </c>
      <c r="AB52" s="523">
        <f t="shared" si="31"/>
        <v>8666.5</v>
      </c>
      <c r="AC52" s="523">
        <f t="shared" si="31"/>
        <v>9550.5999999999985</v>
      </c>
      <c r="AD52" s="523">
        <f t="shared" si="31"/>
        <v>848.59999999999991</v>
      </c>
      <c r="AE52" s="523">
        <f t="shared" si="31"/>
        <v>10399.200000000001</v>
      </c>
    </row>
  </sheetData>
  <autoFilter ref="A4:AE50"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</autoFilter>
  <mergeCells count="13">
    <mergeCell ref="B18:C18"/>
    <mergeCell ref="B50:C50"/>
    <mergeCell ref="B52:C52"/>
    <mergeCell ref="A2:AE2"/>
    <mergeCell ref="Q4:S4"/>
    <mergeCell ref="N4:P4"/>
    <mergeCell ref="K4:M4"/>
    <mergeCell ref="H4:J4"/>
    <mergeCell ref="E4:G4"/>
    <mergeCell ref="AC4:AE4"/>
    <mergeCell ref="T4:V4"/>
    <mergeCell ref="W4:Y4"/>
    <mergeCell ref="Z4:AB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2:AE64"/>
  <sheetViews>
    <sheetView topLeftCell="A6" workbookViewId="0">
      <selection activeCell="AB24" sqref="AB24"/>
    </sheetView>
  </sheetViews>
  <sheetFormatPr defaultRowHeight="14.25"/>
  <cols>
    <col min="1" max="1" width="7.59765625" customWidth="1"/>
    <col min="2" max="2" width="20.59765625" bestFit="1" customWidth="1"/>
    <col min="3" max="3" width="23.1328125" bestFit="1" customWidth="1"/>
    <col min="4" max="4" width="9.1328125" customWidth="1"/>
    <col min="5" max="25" width="9.1328125" hidden="1" customWidth="1"/>
  </cols>
  <sheetData>
    <row r="2" spans="1:31" ht="14.65" thickBot="1"/>
    <row r="3" spans="1:31" ht="18.399999999999999" thickBot="1">
      <c r="A3" s="1091" t="s">
        <v>2791</v>
      </c>
      <c r="B3" s="1092"/>
      <c r="C3" s="1092"/>
      <c r="D3" s="1092"/>
      <c r="E3" s="1092"/>
      <c r="F3" s="1092"/>
      <c r="G3" s="1092"/>
      <c r="H3" s="1092"/>
      <c r="I3" s="1092"/>
      <c r="J3" s="1092"/>
      <c r="K3" s="1092"/>
      <c r="L3" s="1092"/>
      <c r="M3" s="1092"/>
      <c r="N3" s="1092"/>
      <c r="O3" s="1092"/>
      <c r="P3" s="1092"/>
      <c r="Q3" s="1092"/>
      <c r="R3" s="1092"/>
      <c r="S3" s="1092"/>
      <c r="T3" s="1092"/>
      <c r="U3" s="1092"/>
      <c r="V3" s="1092"/>
      <c r="W3" s="1092"/>
      <c r="X3" s="1092"/>
      <c r="Y3" s="1092"/>
      <c r="Z3" s="1092"/>
      <c r="AA3" s="1092"/>
      <c r="AB3" s="1092"/>
      <c r="AC3" s="1092"/>
      <c r="AD3" s="1092"/>
      <c r="AE3" s="1093"/>
    </row>
    <row r="4" spans="1:31" ht="14.65" thickBot="1">
      <c r="A4" t="s">
        <v>2797</v>
      </c>
      <c r="B4" t="s">
        <v>2798</v>
      </c>
      <c r="Z4" s="575" t="s">
        <v>9</v>
      </c>
      <c r="AA4" s="586" t="s">
        <v>2792</v>
      </c>
      <c r="AB4" s="576" t="s">
        <v>2780</v>
      </c>
      <c r="AC4" s="586" t="s">
        <v>9</v>
      </c>
      <c r="AD4" s="586" t="s">
        <v>2792</v>
      </c>
      <c r="AE4" s="576" t="s">
        <v>2780</v>
      </c>
    </row>
    <row r="5" spans="1:31" ht="32.25" customHeight="1" thickBot="1">
      <c r="A5" s="262" t="s">
        <v>2774</v>
      </c>
      <c r="B5" s="262" t="s">
        <v>2773</v>
      </c>
      <c r="C5" s="262" t="s">
        <v>2772</v>
      </c>
      <c r="D5" s="262" t="s">
        <v>2775</v>
      </c>
      <c r="E5" s="263"/>
      <c r="F5" s="39"/>
      <c r="G5" s="39" t="s">
        <v>883</v>
      </c>
      <c r="H5" s="263"/>
      <c r="I5" s="39"/>
      <c r="J5" s="39" t="s">
        <v>889</v>
      </c>
      <c r="K5" s="263"/>
      <c r="L5" s="39"/>
      <c r="M5" s="39" t="s">
        <v>895</v>
      </c>
      <c r="N5" s="263"/>
      <c r="O5" s="39"/>
      <c r="P5" s="39" t="s">
        <v>896</v>
      </c>
      <c r="Q5" s="263"/>
      <c r="R5" s="39"/>
      <c r="S5" s="39" t="s">
        <v>897</v>
      </c>
      <c r="T5" s="967" t="s">
        <v>898</v>
      </c>
      <c r="U5" s="967"/>
      <c r="V5" s="967"/>
      <c r="W5" s="968" t="s">
        <v>901</v>
      </c>
      <c r="X5" s="968"/>
      <c r="Y5" s="968"/>
      <c r="Z5" s="1097" t="s">
        <v>2799</v>
      </c>
      <c r="AA5" s="1098"/>
      <c r="AB5" s="1099"/>
      <c r="AC5" s="1109" t="s">
        <v>2793</v>
      </c>
      <c r="AD5" s="1110"/>
      <c r="AE5" s="1111"/>
    </row>
    <row r="6" spans="1:31" ht="15.75">
      <c r="A6" s="160">
        <v>1</v>
      </c>
      <c r="B6" s="43" t="s">
        <v>1421</v>
      </c>
      <c r="C6" s="183" t="s">
        <v>1370</v>
      </c>
      <c r="D6" s="19" t="s">
        <v>2784</v>
      </c>
      <c r="E6" s="19">
        <v>0</v>
      </c>
      <c r="F6" s="19"/>
      <c r="G6" s="19">
        <v>0</v>
      </c>
      <c r="H6" s="19">
        <v>196</v>
      </c>
      <c r="I6" s="19">
        <v>46</v>
      </c>
      <c r="J6" s="19">
        <v>242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38">
        <v>196</v>
      </c>
      <c r="X6" s="138">
        <v>46</v>
      </c>
      <c r="Y6" s="138">
        <v>242</v>
      </c>
      <c r="Z6" s="139">
        <v>32.666666666666664</v>
      </c>
      <c r="AA6" s="139">
        <v>7.666666666666667</v>
      </c>
      <c r="AB6" s="139">
        <v>40.333333333333336</v>
      </c>
      <c r="AC6" s="585">
        <f t="shared" ref="AC6:AC23" si="0">Z6*20%+Z6</f>
        <v>39.199999999999996</v>
      </c>
      <c r="AD6" s="585">
        <f t="shared" ref="AD6:AD23" si="1">AA6*20%+AA6</f>
        <v>9.2000000000000011</v>
      </c>
      <c r="AE6" s="585">
        <f t="shared" ref="AE6:AE23" si="2">AB6*20%+AB6</f>
        <v>48.400000000000006</v>
      </c>
    </row>
    <row r="7" spans="1:31" ht="15.75">
      <c r="A7" s="160">
        <v>2</v>
      </c>
      <c r="B7" s="43" t="s">
        <v>1423</v>
      </c>
      <c r="C7" s="183" t="s">
        <v>1370</v>
      </c>
      <c r="D7" s="19" t="s">
        <v>2784</v>
      </c>
      <c r="E7" s="19">
        <v>128</v>
      </c>
      <c r="F7" s="19"/>
      <c r="G7" s="19">
        <v>128</v>
      </c>
      <c r="H7" s="19">
        <v>0</v>
      </c>
      <c r="I7" s="19">
        <v>0</v>
      </c>
      <c r="J7" s="19">
        <v>0</v>
      </c>
      <c r="K7" s="19">
        <v>160</v>
      </c>
      <c r="L7" s="19">
        <v>0</v>
      </c>
      <c r="M7" s="19">
        <v>160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38">
        <v>288</v>
      </c>
      <c r="X7" s="138">
        <v>0</v>
      </c>
      <c r="Y7" s="138">
        <v>288</v>
      </c>
      <c r="Z7" s="139">
        <v>48</v>
      </c>
      <c r="AA7" s="139">
        <v>0</v>
      </c>
      <c r="AB7" s="139">
        <v>48</v>
      </c>
      <c r="AC7" s="585">
        <f t="shared" si="0"/>
        <v>57.6</v>
      </c>
      <c r="AD7" s="585">
        <f t="shared" si="1"/>
        <v>0</v>
      </c>
      <c r="AE7" s="585">
        <f t="shared" si="2"/>
        <v>57.6</v>
      </c>
    </row>
    <row r="8" spans="1:31" ht="15.75">
      <c r="A8" s="160">
        <v>3</v>
      </c>
      <c r="B8" s="43" t="s">
        <v>1425</v>
      </c>
      <c r="C8" s="183" t="s">
        <v>1370</v>
      </c>
      <c r="D8" s="19" t="s">
        <v>2784</v>
      </c>
      <c r="E8" s="19">
        <v>76</v>
      </c>
      <c r="F8" s="19"/>
      <c r="G8" s="19">
        <v>76</v>
      </c>
      <c r="H8" s="19">
        <v>58</v>
      </c>
      <c r="I8" s="19">
        <v>0</v>
      </c>
      <c r="J8" s="19">
        <v>58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/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38">
        <v>134</v>
      </c>
      <c r="X8" s="138">
        <v>0</v>
      </c>
      <c r="Y8" s="138">
        <v>134</v>
      </c>
      <c r="Z8" s="139">
        <v>22.333333333333332</v>
      </c>
      <c r="AA8" s="139">
        <v>0</v>
      </c>
      <c r="AB8" s="139">
        <v>22.333333333333332</v>
      </c>
      <c r="AC8" s="585">
        <f t="shared" si="0"/>
        <v>26.799999999999997</v>
      </c>
      <c r="AD8" s="585">
        <f t="shared" si="1"/>
        <v>0</v>
      </c>
      <c r="AE8" s="585">
        <f t="shared" si="2"/>
        <v>26.799999999999997</v>
      </c>
    </row>
    <row r="9" spans="1:31" ht="15.75">
      <c r="A9" s="160">
        <v>4</v>
      </c>
      <c r="B9" s="185" t="s">
        <v>1427</v>
      </c>
      <c r="C9" s="183" t="s">
        <v>1370</v>
      </c>
      <c r="D9" s="19" t="s">
        <v>2784</v>
      </c>
      <c r="E9" s="19">
        <v>0</v>
      </c>
      <c r="F9" s="19"/>
      <c r="G9" s="19">
        <v>0</v>
      </c>
      <c r="H9" s="19">
        <v>76</v>
      </c>
      <c r="I9" s="19">
        <v>82</v>
      </c>
      <c r="J9" s="19">
        <v>158</v>
      </c>
      <c r="K9" s="19">
        <v>0</v>
      </c>
      <c r="L9" s="19">
        <v>0</v>
      </c>
      <c r="M9" s="19">
        <v>0</v>
      </c>
      <c r="N9" s="19">
        <v>259</v>
      </c>
      <c r="O9" s="19">
        <v>38</v>
      </c>
      <c r="P9" s="19">
        <v>297</v>
      </c>
      <c r="Q9" s="19">
        <v>0</v>
      </c>
      <c r="R9" s="19">
        <v>0</v>
      </c>
      <c r="S9" s="19">
        <v>0</v>
      </c>
      <c r="T9" s="19">
        <v>0</v>
      </c>
      <c r="U9" s="19"/>
      <c r="V9" s="19">
        <v>0</v>
      </c>
      <c r="W9" s="138">
        <v>335</v>
      </c>
      <c r="X9" s="138">
        <v>120</v>
      </c>
      <c r="Y9" s="138">
        <v>455</v>
      </c>
      <c r="Z9" s="139">
        <v>55.833333333333336</v>
      </c>
      <c r="AA9" s="139">
        <v>20</v>
      </c>
      <c r="AB9" s="139">
        <v>75.833333333333329</v>
      </c>
      <c r="AC9" s="585">
        <f t="shared" si="0"/>
        <v>67</v>
      </c>
      <c r="AD9" s="585">
        <f t="shared" si="1"/>
        <v>24</v>
      </c>
      <c r="AE9" s="585">
        <f t="shared" si="2"/>
        <v>91</v>
      </c>
    </row>
    <row r="10" spans="1:31" ht="15.75">
      <c r="A10" s="160">
        <v>5</v>
      </c>
      <c r="B10" s="185" t="s">
        <v>1483</v>
      </c>
      <c r="C10" s="183" t="s">
        <v>1430</v>
      </c>
      <c r="D10" s="19" t="s">
        <v>2784</v>
      </c>
      <c r="E10" s="19">
        <v>0</v>
      </c>
      <c r="F10" s="19"/>
      <c r="G10" s="19">
        <v>0</v>
      </c>
      <c r="H10" s="19">
        <v>168</v>
      </c>
      <c r="I10" s="19">
        <v>0</v>
      </c>
      <c r="J10" s="19">
        <v>168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38">
        <v>168</v>
      </c>
      <c r="X10" s="138">
        <v>0</v>
      </c>
      <c r="Y10" s="138">
        <v>168</v>
      </c>
      <c r="Z10" s="139">
        <v>28</v>
      </c>
      <c r="AA10" s="139">
        <v>0</v>
      </c>
      <c r="AB10" s="139">
        <v>28</v>
      </c>
      <c r="AC10" s="585">
        <f t="shared" si="0"/>
        <v>33.6</v>
      </c>
      <c r="AD10" s="585">
        <f t="shared" si="1"/>
        <v>0</v>
      </c>
      <c r="AE10" s="585">
        <f t="shared" si="2"/>
        <v>33.6</v>
      </c>
    </row>
    <row r="11" spans="1:31" ht="15.75">
      <c r="A11" s="160">
        <v>6</v>
      </c>
      <c r="B11" s="185" t="s">
        <v>1485</v>
      </c>
      <c r="C11" s="183" t="s">
        <v>1430</v>
      </c>
      <c r="D11" s="19" t="s">
        <v>2784</v>
      </c>
      <c r="E11" s="19">
        <v>0</v>
      </c>
      <c r="F11" s="19"/>
      <c r="G11" s="19">
        <v>0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>
        <v>0</v>
      </c>
      <c r="U11" s="19"/>
      <c r="V11" s="19"/>
      <c r="W11" s="138">
        <v>0</v>
      </c>
      <c r="X11" s="138">
        <v>0</v>
      </c>
      <c r="Y11" s="138">
        <v>0</v>
      </c>
      <c r="Z11" s="139">
        <v>0</v>
      </c>
      <c r="AA11" s="139">
        <v>0</v>
      </c>
      <c r="AB11" s="139">
        <v>0</v>
      </c>
      <c r="AC11" s="585">
        <f t="shared" si="0"/>
        <v>0</v>
      </c>
      <c r="AD11" s="585">
        <f t="shared" si="1"/>
        <v>0</v>
      </c>
      <c r="AE11" s="585">
        <f t="shared" si="2"/>
        <v>0</v>
      </c>
    </row>
    <row r="12" spans="1:31" ht="15.75">
      <c r="A12" s="160">
        <v>7</v>
      </c>
      <c r="B12" s="185" t="s">
        <v>1511</v>
      </c>
      <c r="C12" s="183" t="s">
        <v>1488</v>
      </c>
      <c r="D12" s="19" t="s">
        <v>2784</v>
      </c>
      <c r="E12" s="19">
        <v>0</v>
      </c>
      <c r="F12" s="19"/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64</v>
      </c>
      <c r="S12" s="19">
        <v>64</v>
      </c>
      <c r="T12" s="19">
        <v>60</v>
      </c>
      <c r="U12" s="19">
        <v>0</v>
      </c>
      <c r="V12" s="19">
        <v>60</v>
      </c>
      <c r="W12" s="138">
        <v>60</v>
      </c>
      <c r="X12" s="138">
        <v>64</v>
      </c>
      <c r="Y12" s="138">
        <v>124</v>
      </c>
      <c r="Z12" s="139">
        <v>10</v>
      </c>
      <c r="AA12" s="139">
        <v>10.666666666666666</v>
      </c>
      <c r="AB12" s="139">
        <v>20.666666666666668</v>
      </c>
      <c r="AC12" s="585">
        <f t="shared" si="0"/>
        <v>12</v>
      </c>
      <c r="AD12" s="585">
        <f t="shared" si="1"/>
        <v>12.799999999999999</v>
      </c>
      <c r="AE12" s="585">
        <f t="shared" si="2"/>
        <v>24.8</v>
      </c>
    </row>
    <row r="13" spans="1:31" ht="15.75">
      <c r="A13" s="160">
        <v>5</v>
      </c>
      <c r="B13" s="185" t="s">
        <v>1513</v>
      </c>
      <c r="C13" s="183" t="s">
        <v>1488</v>
      </c>
      <c r="D13" s="19" t="s">
        <v>2784</v>
      </c>
      <c r="E13" s="19">
        <v>20</v>
      </c>
      <c r="F13" s="19">
        <v>18</v>
      </c>
      <c r="G13" s="19">
        <v>38</v>
      </c>
      <c r="H13" s="19">
        <v>0</v>
      </c>
      <c r="I13" s="19">
        <v>36</v>
      </c>
      <c r="J13" s="19">
        <v>36</v>
      </c>
      <c r="K13" s="19">
        <v>100</v>
      </c>
      <c r="L13" s="19">
        <v>24</v>
      </c>
      <c r="M13" s="19">
        <v>124</v>
      </c>
      <c r="N13" s="19">
        <v>0</v>
      </c>
      <c r="O13" s="19">
        <v>0</v>
      </c>
      <c r="P13" s="19">
        <v>0</v>
      </c>
      <c r="Q13" s="19">
        <v>120</v>
      </c>
      <c r="R13" s="19">
        <v>6</v>
      </c>
      <c r="S13" s="19">
        <v>126</v>
      </c>
      <c r="T13" s="19">
        <v>236</v>
      </c>
      <c r="U13" s="19">
        <v>48</v>
      </c>
      <c r="V13" s="19">
        <v>284</v>
      </c>
      <c r="W13" s="138">
        <v>476</v>
      </c>
      <c r="X13" s="138">
        <v>132</v>
      </c>
      <c r="Y13" s="138">
        <v>608</v>
      </c>
      <c r="Z13" s="139">
        <v>79.333333333333329</v>
      </c>
      <c r="AA13" s="139">
        <v>22</v>
      </c>
      <c r="AB13" s="139">
        <v>101.33333333333333</v>
      </c>
      <c r="AC13" s="585">
        <f t="shared" si="0"/>
        <v>95.199999999999989</v>
      </c>
      <c r="AD13" s="585">
        <f t="shared" si="1"/>
        <v>26.4</v>
      </c>
      <c r="AE13" s="585">
        <f t="shared" si="2"/>
        <v>121.6</v>
      </c>
    </row>
    <row r="14" spans="1:31" ht="15.75">
      <c r="A14" s="160">
        <v>9</v>
      </c>
      <c r="B14" s="185" t="s">
        <v>1515</v>
      </c>
      <c r="C14" s="183" t="s">
        <v>1488</v>
      </c>
      <c r="D14" s="19" t="s">
        <v>2784</v>
      </c>
      <c r="E14" s="19">
        <v>0</v>
      </c>
      <c r="F14" s="19"/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40</v>
      </c>
      <c r="U14" s="19">
        <v>0</v>
      </c>
      <c r="V14" s="19">
        <v>40</v>
      </c>
      <c r="W14" s="138">
        <v>40</v>
      </c>
      <c r="X14" s="138">
        <v>0</v>
      </c>
      <c r="Y14" s="138">
        <v>40</v>
      </c>
      <c r="Z14" s="139">
        <v>6.666666666666667</v>
      </c>
      <c r="AA14" s="139">
        <v>0</v>
      </c>
      <c r="AB14" s="139">
        <v>6.666666666666667</v>
      </c>
      <c r="AC14" s="585">
        <f t="shared" si="0"/>
        <v>8</v>
      </c>
      <c r="AD14" s="585">
        <f t="shared" si="1"/>
        <v>0</v>
      </c>
      <c r="AE14" s="585">
        <f t="shared" si="2"/>
        <v>8</v>
      </c>
    </row>
    <row r="15" spans="1:31" ht="15.75">
      <c r="A15" s="160">
        <v>6</v>
      </c>
      <c r="B15" s="185" t="s">
        <v>1517</v>
      </c>
      <c r="C15" s="183" t="s">
        <v>1488</v>
      </c>
      <c r="D15" s="19" t="s">
        <v>2784</v>
      </c>
      <c r="E15" s="19">
        <v>120</v>
      </c>
      <c r="F15" s="19">
        <v>40</v>
      </c>
      <c r="G15" s="19">
        <v>160</v>
      </c>
      <c r="H15" s="19">
        <v>0</v>
      </c>
      <c r="I15" s="19">
        <v>96</v>
      </c>
      <c r="J15" s="19">
        <v>96</v>
      </c>
      <c r="K15" s="19">
        <v>0</v>
      </c>
      <c r="L15" s="19">
        <v>54</v>
      </c>
      <c r="M15" s="19">
        <v>54</v>
      </c>
      <c r="N15" s="19">
        <v>0</v>
      </c>
      <c r="O15" s="19">
        <v>96</v>
      </c>
      <c r="P15" s="19">
        <v>96</v>
      </c>
      <c r="Q15" s="19">
        <v>0</v>
      </c>
      <c r="R15" s="19">
        <v>76</v>
      </c>
      <c r="S15" s="19">
        <v>76</v>
      </c>
      <c r="T15" s="19">
        <v>0</v>
      </c>
      <c r="U15" s="19">
        <v>38</v>
      </c>
      <c r="V15" s="19">
        <v>38</v>
      </c>
      <c r="W15" s="138">
        <v>120</v>
      </c>
      <c r="X15" s="138">
        <v>400</v>
      </c>
      <c r="Y15" s="138">
        <v>520</v>
      </c>
      <c r="Z15" s="139">
        <v>20</v>
      </c>
      <c r="AA15" s="139">
        <v>66.666666666666671</v>
      </c>
      <c r="AB15" s="139">
        <v>86.666666666666671</v>
      </c>
      <c r="AC15" s="585">
        <f t="shared" si="0"/>
        <v>24</v>
      </c>
      <c r="AD15" s="585">
        <f t="shared" si="1"/>
        <v>80</v>
      </c>
      <c r="AE15" s="585">
        <f t="shared" si="2"/>
        <v>104</v>
      </c>
    </row>
    <row r="16" spans="1:31" ht="15.75">
      <c r="A16" s="160">
        <v>7</v>
      </c>
      <c r="B16" s="185" t="s">
        <v>1519</v>
      </c>
      <c r="C16" s="183" t="s">
        <v>1488</v>
      </c>
      <c r="D16" s="19" t="s">
        <v>2784</v>
      </c>
      <c r="E16" s="19">
        <v>366</v>
      </c>
      <c r="F16" s="19"/>
      <c r="G16" s="19">
        <v>366</v>
      </c>
      <c r="H16" s="19">
        <v>1150</v>
      </c>
      <c r="I16" s="19">
        <v>36</v>
      </c>
      <c r="J16" s="19">
        <v>1186</v>
      </c>
      <c r="K16" s="19">
        <v>0</v>
      </c>
      <c r="L16" s="19">
        <v>0</v>
      </c>
      <c r="M16" s="19">
        <v>0</v>
      </c>
      <c r="N16" s="19">
        <v>200</v>
      </c>
      <c r="O16" s="19">
        <v>0</v>
      </c>
      <c r="P16" s="19">
        <v>200</v>
      </c>
      <c r="Q16" s="19">
        <v>0</v>
      </c>
      <c r="R16" s="19">
        <v>0</v>
      </c>
      <c r="S16" s="19">
        <v>0</v>
      </c>
      <c r="T16" s="19">
        <v>600</v>
      </c>
      <c r="U16" s="19">
        <v>0</v>
      </c>
      <c r="V16" s="19">
        <v>600</v>
      </c>
      <c r="W16" s="138">
        <v>2316</v>
      </c>
      <c r="X16" s="138">
        <v>36</v>
      </c>
      <c r="Y16" s="138">
        <v>2352</v>
      </c>
      <c r="Z16" s="139">
        <v>386</v>
      </c>
      <c r="AA16" s="139">
        <v>6</v>
      </c>
      <c r="AB16" s="139">
        <v>392</v>
      </c>
      <c r="AC16" s="585">
        <f t="shared" si="0"/>
        <v>463.2</v>
      </c>
      <c r="AD16" s="585">
        <f t="shared" si="1"/>
        <v>7.2</v>
      </c>
      <c r="AE16" s="585">
        <f t="shared" si="2"/>
        <v>470.4</v>
      </c>
    </row>
    <row r="17" spans="1:31" ht="15.75">
      <c r="A17" s="160">
        <v>8</v>
      </c>
      <c r="B17" s="185" t="s">
        <v>1521</v>
      </c>
      <c r="C17" s="183" t="s">
        <v>1488</v>
      </c>
      <c r="D17" s="19" t="s">
        <v>2784</v>
      </c>
      <c r="E17" s="19">
        <v>770</v>
      </c>
      <c r="F17" s="19">
        <v>90</v>
      </c>
      <c r="G17" s="19">
        <v>860</v>
      </c>
      <c r="H17" s="19">
        <v>1100</v>
      </c>
      <c r="I17" s="19">
        <v>90</v>
      </c>
      <c r="J17" s="19">
        <v>1190</v>
      </c>
      <c r="K17" s="19">
        <v>444</v>
      </c>
      <c r="L17" s="19">
        <v>166</v>
      </c>
      <c r="M17" s="19">
        <v>610</v>
      </c>
      <c r="N17" s="19">
        <v>1108</v>
      </c>
      <c r="O17" s="19">
        <v>138</v>
      </c>
      <c r="P17" s="19">
        <v>1246</v>
      </c>
      <c r="Q17" s="19">
        <v>0</v>
      </c>
      <c r="R17" s="19">
        <v>0</v>
      </c>
      <c r="S17" s="19">
        <v>0</v>
      </c>
      <c r="T17" s="19">
        <v>1100</v>
      </c>
      <c r="U17" s="19">
        <v>232</v>
      </c>
      <c r="V17" s="19">
        <v>1332</v>
      </c>
      <c r="W17" s="138">
        <v>4522</v>
      </c>
      <c r="X17" s="138">
        <v>716</v>
      </c>
      <c r="Y17" s="138">
        <v>5238</v>
      </c>
      <c r="Z17" s="139">
        <v>753.66666666666663</v>
      </c>
      <c r="AA17" s="139">
        <v>119.33333333333333</v>
      </c>
      <c r="AB17" s="139">
        <v>873</v>
      </c>
      <c r="AC17" s="585">
        <f t="shared" si="0"/>
        <v>904.4</v>
      </c>
      <c r="AD17" s="585">
        <f t="shared" si="1"/>
        <v>143.19999999999999</v>
      </c>
      <c r="AE17" s="585">
        <f t="shared" si="2"/>
        <v>1047.5999999999999</v>
      </c>
    </row>
    <row r="18" spans="1:31" ht="18" customHeight="1">
      <c r="A18" s="160">
        <v>15</v>
      </c>
      <c r="B18" s="267" t="s">
        <v>1786</v>
      </c>
      <c r="C18" s="267" t="s">
        <v>1746</v>
      </c>
      <c r="D18" s="19" t="s">
        <v>2785</v>
      </c>
      <c r="E18" s="267">
        <v>100</v>
      </c>
      <c r="F18" s="267"/>
      <c r="G18" s="267">
        <v>100</v>
      </c>
      <c r="H18" s="196"/>
      <c r="I18" s="196"/>
      <c r="J18" s="196">
        <v>0</v>
      </c>
      <c r="K18" s="196">
        <v>85</v>
      </c>
      <c r="L18" s="196"/>
      <c r="M18" s="196">
        <v>85</v>
      </c>
      <c r="N18" s="196"/>
      <c r="O18" s="196"/>
      <c r="P18" s="196">
        <v>0</v>
      </c>
      <c r="Q18" s="196"/>
      <c r="R18" s="196"/>
      <c r="S18" s="196">
        <v>0</v>
      </c>
      <c r="T18" s="198"/>
      <c r="U18" s="198"/>
      <c r="V18" s="198">
        <v>0</v>
      </c>
      <c r="W18" s="138">
        <v>185</v>
      </c>
      <c r="X18" s="138">
        <v>0</v>
      </c>
      <c r="Y18" s="138">
        <v>185</v>
      </c>
      <c r="Z18" s="139">
        <v>30.833333333333332</v>
      </c>
      <c r="AA18" s="139">
        <v>0</v>
      </c>
      <c r="AB18" s="139">
        <v>30.833333333333332</v>
      </c>
      <c r="AC18" s="585">
        <f t="shared" si="0"/>
        <v>37</v>
      </c>
      <c r="AD18" s="585">
        <f t="shared" si="1"/>
        <v>0</v>
      </c>
      <c r="AE18" s="585">
        <f t="shared" si="2"/>
        <v>37</v>
      </c>
    </row>
    <row r="19" spans="1:31" ht="18" customHeight="1">
      <c r="A19" s="160">
        <v>11</v>
      </c>
      <c r="B19" s="268" t="s">
        <v>1794</v>
      </c>
      <c r="C19" s="267" t="s">
        <v>1746</v>
      </c>
      <c r="D19" s="19" t="s">
        <v>2785</v>
      </c>
      <c r="E19" s="267">
        <v>136</v>
      </c>
      <c r="F19" s="267">
        <v>69</v>
      </c>
      <c r="G19" s="267">
        <v>205</v>
      </c>
      <c r="H19" s="196"/>
      <c r="I19" s="196"/>
      <c r="J19" s="196">
        <v>0</v>
      </c>
      <c r="K19" s="196"/>
      <c r="L19" s="196"/>
      <c r="M19" s="196">
        <v>0</v>
      </c>
      <c r="N19" s="196">
        <v>160</v>
      </c>
      <c r="O19" s="196">
        <v>92</v>
      </c>
      <c r="P19" s="196">
        <v>252</v>
      </c>
      <c r="Q19" s="196"/>
      <c r="R19" s="196"/>
      <c r="S19" s="196">
        <v>0</v>
      </c>
      <c r="T19" s="198">
        <v>650</v>
      </c>
      <c r="U19" s="198">
        <v>30</v>
      </c>
      <c r="V19" s="198">
        <v>680</v>
      </c>
      <c r="W19" s="138">
        <v>946</v>
      </c>
      <c r="X19" s="138">
        <v>191</v>
      </c>
      <c r="Y19" s="138">
        <v>1137</v>
      </c>
      <c r="Z19" s="139">
        <v>157.66666666666666</v>
      </c>
      <c r="AA19" s="139">
        <v>31.833333333333332</v>
      </c>
      <c r="AB19" s="139">
        <v>189.5</v>
      </c>
      <c r="AC19" s="585">
        <f t="shared" si="0"/>
        <v>189.2</v>
      </c>
      <c r="AD19" s="585">
        <f t="shared" si="1"/>
        <v>38.200000000000003</v>
      </c>
      <c r="AE19" s="585">
        <f t="shared" si="2"/>
        <v>227.4</v>
      </c>
    </row>
    <row r="20" spans="1:31" ht="18" customHeight="1">
      <c r="A20" s="160">
        <v>12</v>
      </c>
      <c r="B20" s="268" t="s">
        <v>1796</v>
      </c>
      <c r="C20" s="267" t="s">
        <v>1746</v>
      </c>
      <c r="D20" s="19" t="s">
        <v>2785</v>
      </c>
      <c r="E20" s="267">
        <v>500</v>
      </c>
      <c r="F20" s="267"/>
      <c r="G20" s="267">
        <v>500</v>
      </c>
      <c r="H20" s="196">
        <v>500</v>
      </c>
      <c r="I20" s="196"/>
      <c r="J20" s="196">
        <v>500</v>
      </c>
      <c r="K20" s="196"/>
      <c r="L20" s="196"/>
      <c r="M20" s="196">
        <v>0</v>
      </c>
      <c r="N20" s="196"/>
      <c r="O20" s="196"/>
      <c r="P20" s="196">
        <v>0</v>
      </c>
      <c r="Q20" s="196">
        <v>514</v>
      </c>
      <c r="R20" s="196"/>
      <c r="S20" s="196">
        <v>514</v>
      </c>
      <c r="T20" s="198">
        <v>520</v>
      </c>
      <c r="U20" s="198"/>
      <c r="V20" s="198">
        <v>520</v>
      </c>
      <c r="W20" s="138">
        <v>2034</v>
      </c>
      <c r="X20" s="138">
        <v>0</v>
      </c>
      <c r="Y20" s="138">
        <v>2034</v>
      </c>
      <c r="Z20" s="139">
        <v>339</v>
      </c>
      <c r="AA20" s="139">
        <v>0</v>
      </c>
      <c r="AB20" s="139">
        <v>339</v>
      </c>
      <c r="AC20" s="585">
        <f t="shared" si="0"/>
        <v>406.8</v>
      </c>
      <c r="AD20" s="585">
        <f t="shared" si="1"/>
        <v>0</v>
      </c>
      <c r="AE20" s="585">
        <f t="shared" si="2"/>
        <v>406.8</v>
      </c>
    </row>
    <row r="21" spans="1:31" ht="18" customHeight="1">
      <c r="A21" s="160">
        <v>13</v>
      </c>
      <c r="B21" s="268" t="s">
        <v>1828</v>
      </c>
      <c r="C21" s="267" t="s">
        <v>1799</v>
      </c>
      <c r="D21" s="19" t="s">
        <v>2785</v>
      </c>
      <c r="E21" s="267">
        <v>300</v>
      </c>
      <c r="F21" s="267"/>
      <c r="G21" s="267">
        <v>300</v>
      </c>
      <c r="H21" s="196"/>
      <c r="I21" s="196"/>
      <c r="J21" s="196">
        <v>0</v>
      </c>
      <c r="K21" s="196"/>
      <c r="L21" s="196"/>
      <c r="M21" s="196">
        <v>0</v>
      </c>
      <c r="N21" s="196"/>
      <c r="O21" s="196"/>
      <c r="P21" s="196">
        <v>0</v>
      </c>
      <c r="Q21" s="196"/>
      <c r="R21" s="196"/>
      <c r="S21" s="196">
        <v>0</v>
      </c>
      <c r="T21" s="198">
        <v>120</v>
      </c>
      <c r="U21" s="198">
        <v>302</v>
      </c>
      <c r="V21" s="198">
        <v>422</v>
      </c>
      <c r="W21" s="138">
        <v>420</v>
      </c>
      <c r="X21" s="138">
        <v>302</v>
      </c>
      <c r="Y21" s="138">
        <v>722</v>
      </c>
      <c r="Z21" s="139">
        <v>70</v>
      </c>
      <c r="AA21" s="139">
        <v>50.333333333333336</v>
      </c>
      <c r="AB21" s="139">
        <v>120.33333333333333</v>
      </c>
      <c r="AC21" s="585">
        <f t="shared" si="0"/>
        <v>84</v>
      </c>
      <c r="AD21" s="585">
        <f t="shared" si="1"/>
        <v>60.400000000000006</v>
      </c>
      <c r="AE21" s="585">
        <f t="shared" si="2"/>
        <v>144.4</v>
      </c>
    </row>
    <row r="22" spans="1:31" ht="18" customHeight="1">
      <c r="A22" s="160">
        <v>14</v>
      </c>
      <c r="B22" s="268" t="s">
        <v>1830</v>
      </c>
      <c r="C22" s="267" t="s">
        <v>1799</v>
      </c>
      <c r="D22" s="19" t="s">
        <v>2785</v>
      </c>
      <c r="E22" s="267">
        <v>291</v>
      </c>
      <c r="F22" s="267">
        <v>18</v>
      </c>
      <c r="G22" s="267">
        <v>309</v>
      </c>
      <c r="H22" s="196"/>
      <c r="I22" s="196"/>
      <c r="J22" s="196">
        <v>0</v>
      </c>
      <c r="K22" s="196"/>
      <c r="L22" s="196"/>
      <c r="M22" s="196">
        <v>0</v>
      </c>
      <c r="N22" s="196"/>
      <c r="O22" s="196"/>
      <c r="P22" s="196">
        <v>0</v>
      </c>
      <c r="Q22" s="196"/>
      <c r="R22" s="196"/>
      <c r="S22" s="196">
        <v>0</v>
      </c>
      <c r="T22" s="198">
        <v>60</v>
      </c>
      <c r="U22" s="198"/>
      <c r="V22" s="198">
        <v>60</v>
      </c>
      <c r="W22" s="138">
        <v>351</v>
      </c>
      <c r="X22" s="138">
        <v>18</v>
      </c>
      <c r="Y22" s="138">
        <v>369</v>
      </c>
      <c r="Z22" s="139">
        <v>58.5</v>
      </c>
      <c r="AA22" s="139">
        <v>3</v>
      </c>
      <c r="AB22" s="139">
        <v>61.5</v>
      </c>
      <c r="AC22" s="585">
        <f t="shared" si="0"/>
        <v>70.2</v>
      </c>
      <c r="AD22" s="585">
        <f t="shared" si="1"/>
        <v>3.6</v>
      </c>
      <c r="AE22" s="585">
        <f t="shared" si="2"/>
        <v>73.8</v>
      </c>
    </row>
    <row r="23" spans="1:31" ht="18" customHeight="1">
      <c r="A23" s="160">
        <v>15</v>
      </c>
      <c r="B23" s="268" t="s">
        <v>1834</v>
      </c>
      <c r="C23" s="267" t="s">
        <v>1835</v>
      </c>
      <c r="D23" s="19" t="s">
        <v>2785</v>
      </c>
      <c r="E23" s="267">
        <v>0</v>
      </c>
      <c r="F23" s="267">
        <v>0</v>
      </c>
      <c r="G23" s="267">
        <v>0</v>
      </c>
      <c r="H23" s="196">
        <v>535</v>
      </c>
      <c r="I23" s="196">
        <v>54</v>
      </c>
      <c r="J23" s="196">
        <v>589</v>
      </c>
      <c r="K23" s="196"/>
      <c r="L23" s="196"/>
      <c r="M23" s="196">
        <v>0</v>
      </c>
      <c r="N23" s="196">
        <v>630</v>
      </c>
      <c r="O23" s="196">
        <v>36</v>
      </c>
      <c r="P23" s="196">
        <v>666</v>
      </c>
      <c r="Q23" s="196"/>
      <c r="R23" s="196"/>
      <c r="S23" s="196">
        <v>0</v>
      </c>
      <c r="T23" s="198">
        <v>1076</v>
      </c>
      <c r="U23" s="198"/>
      <c r="V23" s="198">
        <v>1076</v>
      </c>
      <c r="W23" s="138">
        <v>2241</v>
      </c>
      <c r="X23" s="138">
        <v>90</v>
      </c>
      <c r="Y23" s="138">
        <v>2331</v>
      </c>
      <c r="Z23" s="139">
        <v>373.5</v>
      </c>
      <c r="AA23" s="139">
        <v>15</v>
      </c>
      <c r="AB23" s="139">
        <v>388.5</v>
      </c>
      <c r="AC23" s="585">
        <f t="shared" si="0"/>
        <v>448.2</v>
      </c>
      <c r="AD23" s="585">
        <f t="shared" si="1"/>
        <v>18</v>
      </c>
      <c r="AE23" s="585">
        <f t="shared" si="2"/>
        <v>466.2</v>
      </c>
    </row>
    <row r="24" spans="1:31">
      <c r="A24" s="64"/>
      <c r="B24" s="1102" t="s">
        <v>2780</v>
      </c>
      <c r="C24" s="1103"/>
      <c r="D24" s="64"/>
      <c r="E24" s="64">
        <f>SUM(E6:E23)</f>
        <v>2807</v>
      </c>
      <c r="F24" s="64">
        <f t="shared" ref="F24:Y24" si="3">SUM(F6:F23)</f>
        <v>235</v>
      </c>
      <c r="G24" s="64">
        <f t="shared" si="3"/>
        <v>3042</v>
      </c>
      <c r="H24" s="64">
        <f t="shared" si="3"/>
        <v>3783</v>
      </c>
      <c r="I24" s="64">
        <f t="shared" si="3"/>
        <v>440</v>
      </c>
      <c r="J24" s="64">
        <f t="shared" si="3"/>
        <v>4223</v>
      </c>
      <c r="K24" s="64">
        <f t="shared" si="3"/>
        <v>789</v>
      </c>
      <c r="L24" s="64">
        <f t="shared" si="3"/>
        <v>244</v>
      </c>
      <c r="M24" s="64">
        <f t="shared" si="3"/>
        <v>1033</v>
      </c>
      <c r="N24" s="64">
        <f t="shared" si="3"/>
        <v>2357</v>
      </c>
      <c r="O24" s="64">
        <f t="shared" si="3"/>
        <v>400</v>
      </c>
      <c r="P24" s="64">
        <f t="shared" si="3"/>
        <v>2757</v>
      </c>
      <c r="Q24" s="64">
        <f t="shared" si="3"/>
        <v>634</v>
      </c>
      <c r="R24" s="64">
        <f t="shared" si="3"/>
        <v>146</v>
      </c>
      <c r="S24" s="64">
        <f t="shared" si="3"/>
        <v>780</v>
      </c>
      <c r="T24" s="64">
        <f t="shared" si="3"/>
        <v>4462</v>
      </c>
      <c r="U24" s="64">
        <f t="shared" si="3"/>
        <v>650</v>
      </c>
      <c r="V24" s="64">
        <f t="shared" si="3"/>
        <v>5112</v>
      </c>
      <c r="W24" s="64">
        <f t="shared" si="3"/>
        <v>14832</v>
      </c>
      <c r="X24" s="64">
        <f t="shared" si="3"/>
        <v>2115</v>
      </c>
      <c r="Y24" s="64">
        <f t="shared" si="3"/>
        <v>16947</v>
      </c>
      <c r="Z24" s="519">
        <v>4080</v>
      </c>
      <c r="AA24" s="519">
        <v>446</v>
      </c>
      <c r="AB24" s="519">
        <v>4502</v>
      </c>
      <c r="AC24" s="519">
        <v>4896</v>
      </c>
      <c r="AD24" s="519">
        <v>535</v>
      </c>
      <c r="AE24" s="519">
        <f>AC24+AD24</f>
        <v>5431</v>
      </c>
    </row>
    <row r="25" spans="1:31" ht="15.75">
      <c r="A25" s="160">
        <v>1</v>
      </c>
      <c r="B25" s="177" t="s">
        <v>1320</v>
      </c>
      <c r="C25" s="178" t="s">
        <v>1313</v>
      </c>
      <c r="D25" s="1" t="s">
        <v>2784</v>
      </c>
      <c r="E25" s="1">
        <v>25</v>
      </c>
      <c r="F25" s="1"/>
      <c r="G25" s="1">
        <v>25</v>
      </c>
      <c r="H25" s="1">
        <v>150</v>
      </c>
      <c r="I25" s="1"/>
      <c r="J25" s="1">
        <v>150</v>
      </c>
      <c r="K25" s="1"/>
      <c r="L25" s="1"/>
      <c r="M25" s="1">
        <v>0</v>
      </c>
      <c r="N25" s="1"/>
      <c r="O25" s="1"/>
      <c r="P25" s="1">
        <v>0</v>
      </c>
      <c r="Q25" s="1">
        <v>256</v>
      </c>
      <c r="R25" s="1">
        <v>42</v>
      </c>
      <c r="S25" s="1">
        <v>298</v>
      </c>
      <c r="T25" s="1">
        <v>200</v>
      </c>
      <c r="U25" s="1"/>
      <c r="V25" s="1">
        <v>200</v>
      </c>
      <c r="W25" s="174">
        <v>631</v>
      </c>
      <c r="X25" s="174">
        <v>42</v>
      </c>
      <c r="Y25" s="174">
        <v>673</v>
      </c>
      <c r="Z25" s="175">
        <v>105.16666666666667</v>
      </c>
      <c r="AA25" s="175">
        <v>7</v>
      </c>
      <c r="AB25" s="175">
        <v>112.16666666666667</v>
      </c>
      <c r="AC25" s="585">
        <f t="shared" ref="AC25:AC61" si="4">Z25*20%+Z25</f>
        <v>126.2</v>
      </c>
      <c r="AD25" s="585">
        <f t="shared" ref="AD25:AD61" si="5">AA25*20%+AA25</f>
        <v>8.4</v>
      </c>
      <c r="AE25" s="585">
        <f t="shared" ref="AE25:AE61" si="6">AB25*20%+AB25</f>
        <v>134.60000000000002</v>
      </c>
    </row>
    <row r="26" spans="1:31" ht="15.75">
      <c r="A26" s="160">
        <v>2</v>
      </c>
      <c r="B26" s="177" t="s">
        <v>1330</v>
      </c>
      <c r="C26" s="178" t="s">
        <v>1313</v>
      </c>
      <c r="D26" s="1" t="s">
        <v>2784</v>
      </c>
      <c r="E26" s="1">
        <v>150</v>
      </c>
      <c r="F26" s="1"/>
      <c r="G26" s="1">
        <v>150</v>
      </c>
      <c r="H26" s="1">
        <v>180</v>
      </c>
      <c r="I26" s="1"/>
      <c r="J26" s="1">
        <v>180</v>
      </c>
      <c r="K26" s="1"/>
      <c r="L26" s="1"/>
      <c r="M26" s="1">
        <v>0</v>
      </c>
      <c r="N26" s="1">
        <v>200</v>
      </c>
      <c r="O26" s="1"/>
      <c r="P26" s="1">
        <v>200</v>
      </c>
      <c r="Q26" s="1"/>
      <c r="R26" s="1"/>
      <c r="S26" s="1">
        <v>0</v>
      </c>
      <c r="T26" s="1">
        <v>306</v>
      </c>
      <c r="U26" s="1"/>
      <c r="V26" s="1">
        <v>306</v>
      </c>
      <c r="W26" s="174">
        <v>836</v>
      </c>
      <c r="X26" s="174">
        <v>0</v>
      </c>
      <c r="Y26" s="174">
        <v>836</v>
      </c>
      <c r="Z26" s="175">
        <v>139.33333333333334</v>
      </c>
      <c r="AA26" s="175">
        <v>0</v>
      </c>
      <c r="AB26" s="175">
        <v>139.33333333333334</v>
      </c>
      <c r="AC26" s="585">
        <f t="shared" si="4"/>
        <v>167.20000000000002</v>
      </c>
      <c r="AD26" s="585">
        <f t="shared" si="5"/>
        <v>0</v>
      </c>
      <c r="AE26" s="585">
        <f t="shared" si="6"/>
        <v>167.20000000000002</v>
      </c>
    </row>
    <row r="27" spans="1:31" ht="15.75">
      <c r="A27" s="160">
        <v>3</v>
      </c>
      <c r="B27" s="182" t="s">
        <v>1346</v>
      </c>
      <c r="C27" s="178" t="s">
        <v>1313</v>
      </c>
      <c r="D27" s="1" t="s">
        <v>2784</v>
      </c>
      <c r="E27" s="1">
        <v>106</v>
      </c>
      <c r="F27" s="1"/>
      <c r="G27" s="1">
        <v>106</v>
      </c>
      <c r="H27" s="1">
        <v>81</v>
      </c>
      <c r="I27" s="1"/>
      <c r="J27" s="1">
        <v>81</v>
      </c>
      <c r="K27" s="1"/>
      <c r="L27" s="1"/>
      <c r="M27" s="1">
        <v>0</v>
      </c>
      <c r="N27" s="1">
        <v>86</v>
      </c>
      <c r="O27" s="1"/>
      <c r="P27" s="1">
        <v>86</v>
      </c>
      <c r="Q27" s="1"/>
      <c r="R27" s="1"/>
      <c r="S27" s="1">
        <v>0</v>
      </c>
      <c r="T27" s="1">
        <v>256</v>
      </c>
      <c r="U27" s="1">
        <v>36</v>
      </c>
      <c r="V27" s="1">
        <v>292</v>
      </c>
      <c r="W27" s="174">
        <v>529</v>
      </c>
      <c r="X27" s="174">
        <v>36</v>
      </c>
      <c r="Y27" s="174">
        <v>565</v>
      </c>
      <c r="Z27" s="175">
        <v>88.166666666666671</v>
      </c>
      <c r="AA27" s="175">
        <v>6</v>
      </c>
      <c r="AB27" s="175">
        <v>94.166666666666671</v>
      </c>
      <c r="AC27" s="585">
        <f t="shared" si="4"/>
        <v>105.80000000000001</v>
      </c>
      <c r="AD27" s="585">
        <f t="shared" si="5"/>
        <v>7.2</v>
      </c>
      <c r="AE27" s="585">
        <f t="shared" si="6"/>
        <v>113</v>
      </c>
    </row>
    <row r="28" spans="1:31" ht="15.75">
      <c r="A28" s="160">
        <v>4</v>
      </c>
      <c r="B28" s="177" t="s">
        <v>1350</v>
      </c>
      <c r="C28" s="178" t="s">
        <v>1313</v>
      </c>
      <c r="D28" s="1" t="s">
        <v>2784</v>
      </c>
      <c r="E28" s="1">
        <v>56</v>
      </c>
      <c r="F28" s="1"/>
      <c r="G28" s="1">
        <v>56</v>
      </c>
      <c r="H28" s="1">
        <v>60</v>
      </c>
      <c r="I28" s="1"/>
      <c r="J28" s="1">
        <v>60</v>
      </c>
      <c r="K28" s="1"/>
      <c r="L28" s="1"/>
      <c r="M28" s="1">
        <v>0</v>
      </c>
      <c r="N28" s="1"/>
      <c r="O28" s="1"/>
      <c r="P28" s="1">
        <v>0</v>
      </c>
      <c r="Q28" s="1">
        <v>200</v>
      </c>
      <c r="R28" s="1">
        <v>100</v>
      </c>
      <c r="S28" s="1">
        <v>300</v>
      </c>
      <c r="T28" s="1"/>
      <c r="U28" s="1"/>
      <c r="V28" s="1">
        <v>0</v>
      </c>
      <c r="W28" s="174">
        <v>316</v>
      </c>
      <c r="X28" s="174">
        <v>100</v>
      </c>
      <c r="Y28" s="174">
        <v>416</v>
      </c>
      <c r="Z28" s="175">
        <v>52.666666666666664</v>
      </c>
      <c r="AA28" s="175">
        <v>16.666666666666668</v>
      </c>
      <c r="AB28" s="175">
        <v>69.333333333333329</v>
      </c>
      <c r="AC28" s="585">
        <f t="shared" si="4"/>
        <v>63.199999999999996</v>
      </c>
      <c r="AD28" s="585">
        <f t="shared" si="5"/>
        <v>20</v>
      </c>
      <c r="AE28" s="585">
        <f t="shared" si="6"/>
        <v>83.199999999999989</v>
      </c>
    </row>
    <row r="29" spans="1:31" ht="15.75">
      <c r="A29" s="160">
        <v>5</v>
      </c>
      <c r="B29" s="177" t="s">
        <v>1361</v>
      </c>
      <c r="C29" s="178" t="s">
        <v>1313</v>
      </c>
      <c r="D29" s="1" t="s">
        <v>2784</v>
      </c>
      <c r="E29" s="1">
        <v>36</v>
      </c>
      <c r="F29" s="1"/>
      <c r="G29" s="1">
        <v>36</v>
      </c>
      <c r="H29" s="1">
        <v>50</v>
      </c>
      <c r="I29" s="1"/>
      <c r="J29" s="1">
        <v>50</v>
      </c>
      <c r="K29" s="1"/>
      <c r="L29" s="1"/>
      <c r="M29" s="1">
        <v>0</v>
      </c>
      <c r="N29" s="1">
        <v>116</v>
      </c>
      <c r="O29" s="1"/>
      <c r="P29" s="1">
        <v>116</v>
      </c>
      <c r="Q29" s="1"/>
      <c r="R29" s="1"/>
      <c r="S29" s="1">
        <v>0</v>
      </c>
      <c r="T29" s="1">
        <v>106</v>
      </c>
      <c r="U29" s="1">
        <v>18</v>
      </c>
      <c r="V29" s="1">
        <v>124</v>
      </c>
      <c r="W29" s="174">
        <v>308</v>
      </c>
      <c r="X29" s="174">
        <v>18</v>
      </c>
      <c r="Y29" s="174">
        <v>326</v>
      </c>
      <c r="Z29" s="175">
        <v>51.333333333333336</v>
      </c>
      <c r="AA29" s="175">
        <v>3</v>
      </c>
      <c r="AB29" s="175">
        <v>54.333333333333336</v>
      </c>
      <c r="AC29" s="585">
        <f t="shared" si="4"/>
        <v>61.6</v>
      </c>
      <c r="AD29" s="585">
        <f t="shared" si="5"/>
        <v>3.6</v>
      </c>
      <c r="AE29" s="585">
        <f t="shared" si="6"/>
        <v>65.2</v>
      </c>
    </row>
    <row r="30" spans="1:31" ht="15.75">
      <c r="A30" s="160">
        <v>6</v>
      </c>
      <c r="B30" s="177" t="s">
        <v>1369</v>
      </c>
      <c r="C30" s="178" t="s">
        <v>1370</v>
      </c>
      <c r="D30" s="1" t="s">
        <v>2784</v>
      </c>
      <c r="E30" s="1">
        <v>100</v>
      </c>
      <c r="F30" s="1"/>
      <c r="G30" s="1">
        <v>100</v>
      </c>
      <c r="H30" s="1"/>
      <c r="I30" s="1"/>
      <c r="J30" s="1">
        <v>0</v>
      </c>
      <c r="K30" s="1"/>
      <c r="L30" s="1"/>
      <c r="M30" s="1">
        <v>0</v>
      </c>
      <c r="N30" s="1">
        <v>25</v>
      </c>
      <c r="O30" s="1"/>
      <c r="P30" s="1">
        <v>25</v>
      </c>
      <c r="Q30" s="1">
        <v>80</v>
      </c>
      <c r="R30" s="1"/>
      <c r="S30" s="1">
        <v>80</v>
      </c>
      <c r="T30" s="1">
        <v>160</v>
      </c>
      <c r="U30" s="1"/>
      <c r="V30" s="1">
        <v>160</v>
      </c>
      <c r="W30" s="174">
        <v>365</v>
      </c>
      <c r="X30" s="174">
        <v>0</v>
      </c>
      <c r="Y30" s="174">
        <v>365</v>
      </c>
      <c r="Z30" s="175">
        <v>60.833333333333336</v>
      </c>
      <c r="AA30" s="175">
        <v>0</v>
      </c>
      <c r="AB30" s="175">
        <v>60.833333333333336</v>
      </c>
      <c r="AC30" s="585">
        <f t="shared" si="4"/>
        <v>73</v>
      </c>
      <c r="AD30" s="585">
        <f t="shared" si="5"/>
        <v>0</v>
      </c>
      <c r="AE30" s="585">
        <f t="shared" si="6"/>
        <v>73</v>
      </c>
    </row>
    <row r="31" spans="1:31" ht="15.75">
      <c r="A31" s="160">
        <v>7</v>
      </c>
      <c r="B31" s="177" t="s">
        <v>1382</v>
      </c>
      <c r="C31" s="178" t="s">
        <v>1370</v>
      </c>
      <c r="D31" s="1" t="s">
        <v>2784</v>
      </c>
      <c r="E31" s="1">
        <v>158</v>
      </c>
      <c r="F31" s="1">
        <v>18</v>
      </c>
      <c r="G31" s="1">
        <v>176</v>
      </c>
      <c r="H31" s="1">
        <v>186</v>
      </c>
      <c r="I31" s="1">
        <v>36</v>
      </c>
      <c r="J31" s="1">
        <v>222</v>
      </c>
      <c r="K31" s="1"/>
      <c r="L31" s="1"/>
      <c r="M31" s="1">
        <v>0</v>
      </c>
      <c r="N31" s="1">
        <v>186</v>
      </c>
      <c r="O31" s="1"/>
      <c r="P31" s="1">
        <v>186</v>
      </c>
      <c r="Q31" s="1"/>
      <c r="R31" s="1"/>
      <c r="S31" s="1">
        <v>0</v>
      </c>
      <c r="T31" s="1"/>
      <c r="U31" s="1"/>
      <c r="V31" s="1">
        <v>0</v>
      </c>
      <c r="W31" s="174">
        <v>530</v>
      </c>
      <c r="X31" s="174">
        <v>54</v>
      </c>
      <c r="Y31" s="174">
        <v>584</v>
      </c>
      <c r="Z31" s="175">
        <v>88.333333333333329</v>
      </c>
      <c r="AA31" s="175">
        <v>9</v>
      </c>
      <c r="AB31" s="175">
        <v>97.333333333333329</v>
      </c>
      <c r="AC31" s="585">
        <f t="shared" si="4"/>
        <v>106</v>
      </c>
      <c r="AD31" s="585">
        <f t="shared" si="5"/>
        <v>10.8</v>
      </c>
      <c r="AE31" s="585">
        <f t="shared" si="6"/>
        <v>116.8</v>
      </c>
    </row>
    <row r="32" spans="1:31" ht="15.75">
      <c r="A32" s="160">
        <v>8</v>
      </c>
      <c r="B32" s="177" t="s">
        <v>1384</v>
      </c>
      <c r="C32" s="178" t="s">
        <v>1370</v>
      </c>
      <c r="D32" s="1" t="s">
        <v>2784</v>
      </c>
      <c r="E32" s="1">
        <v>40</v>
      </c>
      <c r="F32" s="1"/>
      <c r="G32" s="1">
        <v>40</v>
      </c>
      <c r="H32" s="1">
        <v>156</v>
      </c>
      <c r="I32" s="1">
        <v>18</v>
      </c>
      <c r="J32" s="1">
        <v>174</v>
      </c>
      <c r="K32" s="1"/>
      <c r="L32" s="1"/>
      <c r="M32" s="1">
        <v>0</v>
      </c>
      <c r="N32" s="1">
        <v>192</v>
      </c>
      <c r="O32" s="1"/>
      <c r="P32" s="1">
        <v>192</v>
      </c>
      <c r="Q32" s="1"/>
      <c r="R32" s="1"/>
      <c r="S32" s="1">
        <v>0</v>
      </c>
      <c r="T32" s="1">
        <v>150</v>
      </c>
      <c r="U32" s="1"/>
      <c r="V32" s="1">
        <v>150</v>
      </c>
      <c r="W32" s="174">
        <v>538</v>
      </c>
      <c r="X32" s="174">
        <v>18</v>
      </c>
      <c r="Y32" s="174">
        <v>556</v>
      </c>
      <c r="Z32" s="175">
        <v>89.666666666666671</v>
      </c>
      <c r="AA32" s="175">
        <v>3</v>
      </c>
      <c r="AB32" s="175">
        <v>92.666666666666671</v>
      </c>
      <c r="AC32" s="585">
        <f t="shared" si="4"/>
        <v>107.60000000000001</v>
      </c>
      <c r="AD32" s="585">
        <f t="shared" si="5"/>
        <v>3.6</v>
      </c>
      <c r="AE32" s="585">
        <f t="shared" si="6"/>
        <v>111.2</v>
      </c>
    </row>
    <row r="33" spans="1:31" ht="15.75">
      <c r="A33" s="160">
        <v>9</v>
      </c>
      <c r="B33" s="177" t="s">
        <v>1404</v>
      </c>
      <c r="C33" s="178" t="s">
        <v>1370</v>
      </c>
      <c r="D33" s="1" t="s">
        <v>2784</v>
      </c>
      <c r="E33" s="1">
        <v>96</v>
      </c>
      <c r="F33" s="1">
        <v>18</v>
      </c>
      <c r="G33" s="1">
        <v>114</v>
      </c>
      <c r="H33" s="1">
        <v>96</v>
      </c>
      <c r="I33" s="1">
        <v>18</v>
      </c>
      <c r="J33" s="1">
        <v>114</v>
      </c>
      <c r="K33" s="1"/>
      <c r="L33" s="1"/>
      <c r="M33" s="1">
        <v>0</v>
      </c>
      <c r="N33" s="1">
        <v>55</v>
      </c>
      <c r="O33" s="1"/>
      <c r="P33" s="1">
        <v>55</v>
      </c>
      <c r="Q33" s="1"/>
      <c r="R33" s="1"/>
      <c r="S33" s="1">
        <v>0</v>
      </c>
      <c r="T33" s="1">
        <v>55</v>
      </c>
      <c r="U33" s="1"/>
      <c r="V33" s="1">
        <v>55</v>
      </c>
      <c r="W33" s="174">
        <v>302</v>
      </c>
      <c r="X33" s="174">
        <v>36</v>
      </c>
      <c r="Y33" s="174">
        <v>338</v>
      </c>
      <c r="Z33" s="175">
        <v>50.333333333333336</v>
      </c>
      <c r="AA33" s="175">
        <v>6</v>
      </c>
      <c r="AB33" s="175">
        <v>56.333333333333336</v>
      </c>
      <c r="AC33" s="585">
        <f t="shared" si="4"/>
        <v>60.400000000000006</v>
      </c>
      <c r="AD33" s="585">
        <f t="shared" si="5"/>
        <v>7.2</v>
      </c>
      <c r="AE33" s="585">
        <f t="shared" si="6"/>
        <v>67.600000000000009</v>
      </c>
    </row>
    <row r="34" spans="1:31" ht="15.75">
      <c r="A34" s="160">
        <v>10</v>
      </c>
      <c r="B34" s="177" t="s">
        <v>1412</v>
      </c>
      <c r="C34" s="178" t="s">
        <v>1370</v>
      </c>
      <c r="D34" s="1" t="s">
        <v>2784</v>
      </c>
      <c r="E34" s="1">
        <v>40</v>
      </c>
      <c r="F34" s="1"/>
      <c r="G34" s="1">
        <v>40</v>
      </c>
      <c r="H34" s="1">
        <v>40</v>
      </c>
      <c r="I34" s="1"/>
      <c r="J34" s="1">
        <v>40</v>
      </c>
      <c r="K34" s="1">
        <v>40</v>
      </c>
      <c r="L34" s="1"/>
      <c r="M34" s="1">
        <v>40</v>
      </c>
      <c r="N34" s="1"/>
      <c r="O34" s="1"/>
      <c r="P34" s="1">
        <v>0</v>
      </c>
      <c r="Q34" s="1">
        <v>250</v>
      </c>
      <c r="R34" s="1">
        <v>18</v>
      </c>
      <c r="S34" s="1">
        <v>268</v>
      </c>
      <c r="T34" s="1"/>
      <c r="U34" s="1"/>
      <c r="V34" s="1">
        <v>0</v>
      </c>
      <c r="W34" s="174">
        <v>370</v>
      </c>
      <c r="X34" s="174">
        <v>18</v>
      </c>
      <c r="Y34" s="174">
        <v>388</v>
      </c>
      <c r="Z34" s="175">
        <v>61.666666666666664</v>
      </c>
      <c r="AA34" s="175">
        <v>3</v>
      </c>
      <c r="AB34" s="175">
        <v>64.666666666666671</v>
      </c>
      <c r="AC34" s="585">
        <f t="shared" si="4"/>
        <v>74</v>
      </c>
      <c r="AD34" s="585">
        <f t="shared" si="5"/>
        <v>3.6</v>
      </c>
      <c r="AE34" s="585">
        <f t="shared" si="6"/>
        <v>77.600000000000009</v>
      </c>
    </row>
    <row r="35" spans="1:31" ht="15.75">
      <c r="A35" s="160">
        <v>11</v>
      </c>
      <c r="B35" s="182" t="s">
        <v>1456</v>
      </c>
      <c r="C35" s="178" t="s">
        <v>1430</v>
      </c>
      <c r="D35" s="1" t="s">
        <v>2784</v>
      </c>
      <c r="E35" s="1">
        <v>100</v>
      </c>
      <c r="F35" s="1"/>
      <c r="G35" s="1">
        <v>100</v>
      </c>
      <c r="H35" s="1">
        <v>100</v>
      </c>
      <c r="I35" s="1"/>
      <c r="J35" s="1">
        <v>100</v>
      </c>
      <c r="K35" s="1">
        <v>36</v>
      </c>
      <c r="L35" s="1"/>
      <c r="M35" s="1">
        <v>36</v>
      </c>
      <c r="N35" s="1">
        <v>106</v>
      </c>
      <c r="O35" s="1"/>
      <c r="P35" s="1">
        <v>106</v>
      </c>
      <c r="Q35" s="1"/>
      <c r="R35" s="1"/>
      <c r="S35" s="1">
        <v>0</v>
      </c>
      <c r="T35" s="1">
        <v>50</v>
      </c>
      <c r="U35" s="1"/>
      <c r="V35" s="1">
        <v>50</v>
      </c>
      <c r="W35" s="174">
        <v>392</v>
      </c>
      <c r="X35" s="174">
        <v>0</v>
      </c>
      <c r="Y35" s="174">
        <v>392</v>
      </c>
      <c r="Z35" s="175">
        <v>65.333333333333329</v>
      </c>
      <c r="AA35" s="175">
        <v>0</v>
      </c>
      <c r="AB35" s="175">
        <v>65.333333333333329</v>
      </c>
      <c r="AC35" s="585">
        <f t="shared" si="4"/>
        <v>78.399999999999991</v>
      </c>
      <c r="AD35" s="585">
        <f t="shared" si="5"/>
        <v>0</v>
      </c>
      <c r="AE35" s="585">
        <f t="shared" si="6"/>
        <v>78.399999999999991</v>
      </c>
    </row>
    <row r="36" spans="1:31" ht="15.75">
      <c r="A36" s="160">
        <v>12</v>
      </c>
      <c r="B36" s="177" t="s">
        <v>1458</v>
      </c>
      <c r="C36" s="178" t="s">
        <v>1430</v>
      </c>
      <c r="D36" s="1" t="s">
        <v>2784</v>
      </c>
      <c r="E36" s="1">
        <v>32</v>
      </c>
      <c r="F36" s="1"/>
      <c r="G36" s="1">
        <v>32</v>
      </c>
      <c r="H36" s="1">
        <v>64</v>
      </c>
      <c r="I36" s="1"/>
      <c r="J36" s="1">
        <v>64</v>
      </c>
      <c r="K36" s="1">
        <v>80</v>
      </c>
      <c r="L36" s="1"/>
      <c r="M36" s="1">
        <v>80</v>
      </c>
      <c r="N36" s="1"/>
      <c r="O36" s="1"/>
      <c r="P36" s="1">
        <v>0</v>
      </c>
      <c r="Q36" s="1">
        <v>160</v>
      </c>
      <c r="R36" s="1"/>
      <c r="S36" s="1">
        <v>160</v>
      </c>
      <c r="T36" s="1"/>
      <c r="U36" s="1"/>
      <c r="V36" s="1">
        <v>0</v>
      </c>
      <c r="W36" s="174">
        <v>336</v>
      </c>
      <c r="X36" s="174">
        <v>0</v>
      </c>
      <c r="Y36" s="174">
        <v>336</v>
      </c>
      <c r="Z36" s="175">
        <v>56</v>
      </c>
      <c r="AA36" s="175">
        <v>0</v>
      </c>
      <c r="AB36" s="175">
        <v>56</v>
      </c>
      <c r="AC36" s="585">
        <f t="shared" si="4"/>
        <v>67.2</v>
      </c>
      <c r="AD36" s="585">
        <f t="shared" si="5"/>
        <v>0</v>
      </c>
      <c r="AE36" s="585">
        <f t="shared" si="6"/>
        <v>67.2</v>
      </c>
    </row>
    <row r="37" spans="1:31" ht="15.75">
      <c r="A37" s="160">
        <v>13</v>
      </c>
      <c r="B37" s="186" t="s">
        <v>53</v>
      </c>
      <c r="C37" s="178" t="s">
        <v>1430</v>
      </c>
      <c r="D37" s="1" t="s">
        <v>2784</v>
      </c>
      <c r="E37" s="6">
        <v>250</v>
      </c>
      <c r="F37" s="6"/>
      <c r="G37" s="1">
        <v>250</v>
      </c>
      <c r="H37" s="6">
        <v>18</v>
      </c>
      <c r="I37" s="6"/>
      <c r="J37" s="1">
        <v>18</v>
      </c>
      <c r="K37" s="6"/>
      <c r="L37" s="6"/>
      <c r="M37" s="6">
        <v>0</v>
      </c>
      <c r="N37" s="6">
        <v>190</v>
      </c>
      <c r="O37" s="6">
        <v>100</v>
      </c>
      <c r="P37" s="6">
        <v>290</v>
      </c>
      <c r="Q37" s="6"/>
      <c r="R37" s="6"/>
      <c r="S37" s="6">
        <v>0</v>
      </c>
      <c r="T37" s="6">
        <v>90</v>
      </c>
      <c r="U37" s="6">
        <v>36</v>
      </c>
      <c r="V37" s="6">
        <v>126</v>
      </c>
      <c r="W37" s="174">
        <v>548</v>
      </c>
      <c r="X37" s="174">
        <v>136</v>
      </c>
      <c r="Y37" s="174">
        <v>684</v>
      </c>
      <c r="Z37" s="175">
        <v>91.333333333333329</v>
      </c>
      <c r="AA37" s="175">
        <v>22.666666666666668</v>
      </c>
      <c r="AB37" s="175">
        <v>114</v>
      </c>
      <c r="AC37" s="585">
        <f t="shared" si="4"/>
        <v>109.6</v>
      </c>
      <c r="AD37" s="585">
        <f t="shared" si="5"/>
        <v>27.200000000000003</v>
      </c>
      <c r="AE37" s="585">
        <f t="shared" si="6"/>
        <v>136.80000000000001</v>
      </c>
    </row>
    <row r="38" spans="1:31" ht="15.75">
      <c r="A38" s="160">
        <v>14</v>
      </c>
      <c r="B38" s="186" t="s">
        <v>1535</v>
      </c>
      <c r="C38" s="187" t="s">
        <v>1524</v>
      </c>
      <c r="D38" s="1" t="s">
        <v>2784</v>
      </c>
      <c r="E38" s="6">
        <v>112</v>
      </c>
      <c r="F38" s="6"/>
      <c r="G38" s="1">
        <v>112</v>
      </c>
      <c r="H38" s="6">
        <v>100</v>
      </c>
      <c r="I38" s="6"/>
      <c r="J38" s="1">
        <v>100</v>
      </c>
      <c r="K38" s="6">
        <v>280</v>
      </c>
      <c r="L38" s="6"/>
      <c r="M38" s="6">
        <v>280</v>
      </c>
      <c r="N38" s="6"/>
      <c r="O38" s="6"/>
      <c r="P38" s="6">
        <v>0</v>
      </c>
      <c r="Q38" s="6">
        <v>322</v>
      </c>
      <c r="R38" s="6"/>
      <c r="S38" s="6">
        <v>322</v>
      </c>
      <c r="T38" s="6"/>
      <c r="U38" s="6"/>
      <c r="V38" s="6">
        <v>0</v>
      </c>
      <c r="W38" s="174">
        <v>814</v>
      </c>
      <c r="X38" s="174">
        <v>0</v>
      </c>
      <c r="Y38" s="174">
        <v>814</v>
      </c>
      <c r="Z38" s="175">
        <v>135.66666666666666</v>
      </c>
      <c r="AA38" s="175">
        <v>0</v>
      </c>
      <c r="AB38" s="175">
        <v>135.66666666666666</v>
      </c>
      <c r="AC38" s="585">
        <f t="shared" si="4"/>
        <v>162.79999999999998</v>
      </c>
      <c r="AD38" s="585">
        <f t="shared" si="5"/>
        <v>0</v>
      </c>
      <c r="AE38" s="585">
        <f t="shared" si="6"/>
        <v>162.79999999999998</v>
      </c>
    </row>
    <row r="39" spans="1:31" ht="15.75">
      <c r="A39" s="160">
        <v>15</v>
      </c>
      <c r="B39" s="186" t="s">
        <v>1545</v>
      </c>
      <c r="C39" s="187" t="s">
        <v>1524</v>
      </c>
      <c r="D39" s="1" t="s">
        <v>2784</v>
      </c>
      <c r="E39" s="6">
        <v>356</v>
      </c>
      <c r="F39" s="6"/>
      <c r="G39" s="1">
        <v>356</v>
      </c>
      <c r="H39" s="6">
        <v>150</v>
      </c>
      <c r="I39" s="6"/>
      <c r="J39" s="1">
        <v>150</v>
      </c>
      <c r="K39" s="6">
        <v>140</v>
      </c>
      <c r="L39" s="6">
        <v>15</v>
      </c>
      <c r="M39" s="6">
        <v>155</v>
      </c>
      <c r="N39" s="6">
        <v>180</v>
      </c>
      <c r="O39" s="6"/>
      <c r="P39" s="6">
        <v>180</v>
      </c>
      <c r="Q39" s="6">
        <v>200</v>
      </c>
      <c r="R39" s="6">
        <v>100</v>
      </c>
      <c r="S39" s="6">
        <v>300</v>
      </c>
      <c r="T39" s="6"/>
      <c r="U39" s="6"/>
      <c r="V39" s="6">
        <v>0</v>
      </c>
      <c r="W39" s="174">
        <v>1026</v>
      </c>
      <c r="X39" s="174">
        <v>115</v>
      </c>
      <c r="Y39" s="174">
        <v>1141</v>
      </c>
      <c r="Z39" s="175">
        <v>171</v>
      </c>
      <c r="AA39" s="175">
        <v>19.166666666666668</v>
      </c>
      <c r="AB39" s="175">
        <v>190.16666666666666</v>
      </c>
      <c r="AC39" s="585">
        <f t="shared" si="4"/>
        <v>205.2</v>
      </c>
      <c r="AD39" s="585">
        <f t="shared" si="5"/>
        <v>23</v>
      </c>
      <c r="AE39" s="585">
        <f t="shared" si="6"/>
        <v>228.2</v>
      </c>
    </row>
    <row r="40" spans="1:31" ht="15.75">
      <c r="A40" s="160">
        <v>16</v>
      </c>
      <c r="B40" s="186" t="s">
        <v>1554</v>
      </c>
      <c r="C40" s="187" t="s">
        <v>1524</v>
      </c>
      <c r="D40" s="1" t="s">
        <v>2784</v>
      </c>
      <c r="E40" s="6">
        <v>0</v>
      </c>
      <c r="F40" s="6"/>
      <c r="G40" s="1">
        <v>0</v>
      </c>
      <c r="H40" s="6"/>
      <c r="I40" s="6"/>
      <c r="J40" s="1">
        <v>0</v>
      </c>
      <c r="K40" s="6">
        <v>300</v>
      </c>
      <c r="L40" s="6"/>
      <c r="M40" s="6">
        <v>300</v>
      </c>
      <c r="N40" s="6"/>
      <c r="O40" s="6"/>
      <c r="P40" s="6">
        <v>0</v>
      </c>
      <c r="Q40" s="6"/>
      <c r="R40" s="6"/>
      <c r="S40" s="6">
        <v>0</v>
      </c>
      <c r="T40" s="6">
        <v>158</v>
      </c>
      <c r="U40" s="6">
        <v>36</v>
      </c>
      <c r="V40" s="6">
        <v>194</v>
      </c>
      <c r="W40" s="174">
        <v>458</v>
      </c>
      <c r="X40" s="174">
        <v>36</v>
      </c>
      <c r="Y40" s="174">
        <v>494</v>
      </c>
      <c r="Z40" s="175">
        <v>76.333333333333329</v>
      </c>
      <c r="AA40" s="175">
        <v>6</v>
      </c>
      <c r="AB40" s="175">
        <v>82.333333333333329</v>
      </c>
      <c r="AC40" s="585">
        <f t="shared" si="4"/>
        <v>91.6</v>
      </c>
      <c r="AD40" s="585">
        <f t="shared" si="5"/>
        <v>7.2</v>
      </c>
      <c r="AE40" s="585">
        <f t="shared" si="6"/>
        <v>98.8</v>
      </c>
    </row>
    <row r="41" spans="1:31" ht="15.75">
      <c r="A41" s="160">
        <v>17</v>
      </c>
      <c r="B41" s="186" t="s">
        <v>1556</v>
      </c>
      <c r="C41" s="187" t="s">
        <v>1524</v>
      </c>
      <c r="D41" s="1" t="s">
        <v>2784</v>
      </c>
      <c r="E41" s="6">
        <v>147</v>
      </c>
      <c r="F41" s="6"/>
      <c r="G41" s="1">
        <v>147</v>
      </c>
      <c r="H41" s="6">
        <v>101</v>
      </c>
      <c r="I41" s="6"/>
      <c r="J41" s="1">
        <v>101</v>
      </c>
      <c r="K41" s="6"/>
      <c r="L41" s="6"/>
      <c r="M41" s="6">
        <v>0</v>
      </c>
      <c r="N41" s="6">
        <v>56</v>
      </c>
      <c r="O41" s="6"/>
      <c r="P41" s="6">
        <v>56</v>
      </c>
      <c r="Q41" s="6"/>
      <c r="R41" s="6"/>
      <c r="S41" s="6">
        <v>0</v>
      </c>
      <c r="T41" s="6"/>
      <c r="U41" s="6"/>
      <c r="V41" s="6">
        <v>0</v>
      </c>
      <c r="W41" s="174">
        <v>304</v>
      </c>
      <c r="X41" s="174">
        <v>0</v>
      </c>
      <c r="Y41" s="174">
        <v>304</v>
      </c>
      <c r="Z41" s="175">
        <v>50.666666666666664</v>
      </c>
      <c r="AA41" s="175">
        <v>0</v>
      </c>
      <c r="AB41" s="175">
        <v>50.666666666666664</v>
      </c>
      <c r="AC41" s="585">
        <f t="shared" si="4"/>
        <v>60.8</v>
      </c>
      <c r="AD41" s="585">
        <f t="shared" si="5"/>
        <v>0</v>
      </c>
      <c r="AE41" s="585">
        <f t="shared" si="6"/>
        <v>60.8</v>
      </c>
    </row>
    <row r="42" spans="1:31" ht="15.75">
      <c r="A42" s="160">
        <v>18</v>
      </c>
      <c r="B42" s="186" t="s">
        <v>1563</v>
      </c>
      <c r="C42" s="187" t="s">
        <v>1559</v>
      </c>
      <c r="D42" s="1" t="s">
        <v>2784</v>
      </c>
      <c r="E42" s="6">
        <v>100</v>
      </c>
      <c r="F42" s="6"/>
      <c r="G42" s="1">
        <v>100</v>
      </c>
      <c r="H42" s="6">
        <v>75</v>
      </c>
      <c r="I42" s="6"/>
      <c r="J42" s="1">
        <v>75</v>
      </c>
      <c r="K42" s="6"/>
      <c r="L42" s="6"/>
      <c r="M42" s="6">
        <v>0</v>
      </c>
      <c r="N42" s="6">
        <v>125</v>
      </c>
      <c r="O42" s="6"/>
      <c r="P42" s="6">
        <v>125</v>
      </c>
      <c r="Q42" s="6"/>
      <c r="R42" s="6"/>
      <c r="S42" s="6">
        <v>0</v>
      </c>
      <c r="T42" s="6">
        <v>118</v>
      </c>
      <c r="U42" s="6"/>
      <c r="V42" s="6">
        <v>118</v>
      </c>
      <c r="W42" s="174">
        <v>418</v>
      </c>
      <c r="X42" s="174">
        <v>0</v>
      </c>
      <c r="Y42" s="174">
        <v>418</v>
      </c>
      <c r="Z42" s="175">
        <v>69.666666666666671</v>
      </c>
      <c r="AA42" s="175">
        <v>0</v>
      </c>
      <c r="AB42" s="175">
        <v>69.666666666666671</v>
      </c>
      <c r="AC42" s="585">
        <f t="shared" si="4"/>
        <v>83.600000000000009</v>
      </c>
      <c r="AD42" s="585">
        <f t="shared" si="5"/>
        <v>0</v>
      </c>
      <c r="AE42" s="585">
        <f t="shared" si="6"/>
        <v>83.600000000000009</v>
      </c>
    </row>
    <row r="43" spans="1:31" ht="15.75">
      <c r="A43" s="160">
        <v>19</v>
      </c>
      <c r="B43" s="186" t="s">
        <v>1574</v>
      </c>
      <c r="C43" s="187" t="s">
        <v>1559</v>
      </c>
      <c r="D43" s="1" t="s">
        <v>2784</v>
      </c>
      <c r="E43" s="6">
        <v>380</v>
      </c>
      <c r="F43" s="6">
        <v>18</v>
      </c>
      <c r="G43" s="1">
        <v>398</v>
      </c>
      <c r="H43" s="6">
        <v>150</v>
      </c>
      <c r="I43" s="6"/>
      <c r="J43" s="1">
        <v>150</v>
      </c>
      <c r="K43" s="6"/>
      <c r="L43" s="6">
        <v>86</v>
      </c>
      <c r="M43" s="6">
        <v>86</v>
      </c>
      <c r="N43" s="6">
        <v>260</v>
      </c>
      <c r="O43" s="6"/>
      <c r="P43" s="6">
        <v>260</v>
      </c>
      <c r="Q43" s="6">
        <v>180</v>
      </c>
      <c r="R43" s="6">
        <v>100</v>
      </c>
      <c r="S43" s="6">
        <v>280</v>
      </c>
      <c r="T43" s="6">
        <v>120</v>
      </c>
      <c r="U43" s="6">
        <v>36</v>
      </c>
      <c r="V43" s="6">
        <v>156</v>
      </c>
      <c r="W43" s="174">
        <v>1090</v>
      </c>
      <c r="X43" s="174">
        <v>240</v>
      </c>
      <c r="Y43" s="174">
        <v>1330</v>
      </c>
      <c r="Z43" s="175">
        <v>181.66666666666666</v>
      </c>
      <c r="AA43" s="175">
        <v>40</v>
      </c>
      <c r="AB43" s="175">
        <v>221.66666666666666</v>
      </c>
      <c r="AC43" s="585">
        <f t="shared" si="4"/>
        <v>218</v>
      </c>
      <c r="AD43" s="585">
        <f t="shared" si="5"/>
        <v>48</v>
      </c>
      <c r="AE43" s="585">
        <f t="shared" si="6"/>
        <v>266</v>
      </c>
    </row>
    <row r="44" spans="1:31" ht="15.75">
      <c r="A44" s="160">
        <v>20</v>
      </c>
      <c r="B44" s="186" t="s">
        <v>1578</v>
      </c>
      <c r="C44" s="187" t="s">
        <v>1559</v>
      </c>
      <c r="D44" s="1" t="s">
        <v>2784</v>
      </c>
      <c r="E44" s="6">
        <v>112</v>
      </c>
      <c r="F44" s="6"/>
      <c r="G44" s="1">
        <v>112</v>
      </c>
      <c r="H44" s="6">
        <v>36</v>
      </c>
      <c r="I44" s="6"/>
      <c r="J44" s="1">
        <v>36</v>
      </c>
      <c r="K44" s="6">
        <v>50</v>
      </c>
      <c r="L44" s="6"/>
      <c r="M44" s="6">
        <v>50</v>
      </c>
      <c r="N44" s="6">
        <v>156</v>
      </c>
      <c r="O44" s="6"/>
      <c r="P44" s="6">
        <v>156</v>
      </c>
      <c r="Q44" s="6"/>
      <c r="R44" s="6"/>
      <c r="S44" s="6">
        <v>0</v>
      </c>
      <c r="T44" s="6">
        <v>96</v>
      </c>
      <c r="U44" s="6"/>
      <c r="V44" s="6">
        <v>96</v>
      </c>
      <c r="W44" s="174">
        <v>450</v>
      </c>
      <c r="X44" s="174">
        <v>0</v>
      </c>
      <c r="Y44" s="174">
        <v>450</v>
      </c>
      <c r="Z44" s="175">
        <v>75</v>
      </c>
      <c r="AA44" s="175">
        <v>0</v>
      </c>
      <c r="AB44" s="175">
        <v>75</v>
      </c>
      <c r="AC44" s="585">
        <f t="shared" si="4"/>
        <v>90</v>
      </c>
      <c r="AD44" s="585">
        <f t="shared" si="5"/>
        <v>0</v>
      </c>
      <c r="AE44" s="585">
        <f t="shared" si="6"/>
        <v>90</v>
      </c>
    </row>
    <row r="45" spans="1:31" ht="15.75">
      <c r="A45" s="160">
        <v>21</v>
      </c>
      <c r="B45" s="186" t="s">
        <v>1584</v>
      </c>
      <c r="C45" s="187" t="s">
        <v>1559</v>
      </c>
      <c r="D45" s="1" t="s">
        <v>2784</v>
      </c>
      <c r="E45" s="6">
        <v>156</v>
      </c>
      <c r="F45" s="6">
        <v>18</v>
      </c>
      <c r="G45" s="1">
        <v>174</v>
      </c>
      <c r="H45" s="6">
        <v>250</v>
      </c>
      <c r="I45" s="6"/>
      <c r="J45" s="1">
        <v>250</v>
      </c>
      <c r="K45" s="6"/>
      <c r="L45" s="6"/>
      <c r="M45" s="6">
        <v>0</v>
      </c>
      <c r="N45" s="6">
        <v>150</v>
      </c>
      <c r="O45" s="6"/>
      <c r="P45" s="6">
        <v>150</v>
      </c>
      <c r="Q45" s="6"/>
      <c r="R45" s="6">
        <v>36</v>
      </c>
      <c r="S45" s="6">
        <v>36</v>
      </c>
      <c r="T45" s="6"/>
      <c r="U45" s="6"/>
      <c r="V45" s="6">
        <v>0</v>
      </c>
      <c r="W45" s="174">
        <v>556</v>
      </c>
      <c r="X45" s="174">
        <v>54</v>
      </c>
      <c r="Y45" s="174">
        <v>610</v>
      </c>
      <c r="Z45" s="175">
        <v>92.666666666666671</v>
      </c>
      <c r="AA45" s="175">
        <v>9</v>
      </c>
      <c r="AB45" s="175">
        <v>101.66666666666667</v>
      </c>
      <c r="AC45" s="585">
        <f t="shared" si="4"/>
        <v>111.2</v>
      </c>
      <c r="AD45" s="585">
        <f t="shared" si="5"/>
        <v>10.8</v>
      </c>
      <c r="AE45" s="585">
        <f t="shared" si="6"/>
        <v>122</v>
      </c>
    </row>
    <row r="46" spans="1:31" ht="15.75">
      <c r="A46" s="160">
        <v>22</v>
      </c>
      <c r="B46" s="186" t="s">
        <v>1590</v>
      </c>
      <c r="C46" s="187" t="s">
        <v>1559</v>
      </c>
      <c r="D46" s="1" t="s">
        <v>2784</v>
      </c>
      <c r="E46" s="6">
        <v>100</v>
      </c>
      <c r="F46" s="6"/>
      <c r="G46" s="1">
        <v>100</v>
      </c>
      <c r="H46" s="6">
        <v>33</v>
      </c>
      <c r="I46" s="6"/>
      <c r="J46" s="1">
        <v>33</v>
      </c>
      <c r="K46" s="6">
        <v>150</v>
      </c>
      <c r="L46" s="6"/>
      <c r="M46" s="6">
        <v>150</v>
      </c>
      <c r="N46" s="6">
        <v>36</v>
      </c>
      <c r="O46" s="6"/>
      <c r="P46" s="6">
        <v>36</v>
      </c>
      <c r="Q46" s="6">
        <v>240</v>
      </c>
      <c r="R46" s="6"/>
      <c r="S46" s="6">
        <v>240</v>
      </c>
      <c r="T46" s="6">
        <v>200</v>
      </c>
      <c r="U46" s="6"/>
      <c r="V46" s="6">
        <v>200</v>
      </c>
      <c r="W46" s="174">
        <v>759</v>
      </c>
      <c r="X46" s="174">
        <v>0</v>
      </c>
      <c r="Y46" s="174">
        <v>759</v>
      </c>
      <c r="Z46" s="175">
        <v>126.5</v>
      </c>
      <c r="AA46" s="175">
        <v>0</v>
      </c>
      <c r="AB46" s="175">
        <v>126.5</v>
      </c>
      <c r="AC46" s="585">
        <f t="shared" si="4"/>
        <v>151.80000000000001</v>
      </c>
      <c r="AD46" s="585">
        <f t="shared" si="5"/>
        <v>0</v>
      </c>
      <c r="AE46" s="585">
        <f t="shared" si="6"/>
        <v>151.80000000000001</v>
      </c>
    </row>
    <row r="47" spans="1:31" ht="15.75">
      <c r="A47" s="160">
        <v>23</v>
      </c>
      <c r="B47" s="186" t="s">
        <v>80</v>
      </c>
      <c r="C47" s="187" t="s">
        <v>1559</v>
      </c>
      <c r="D47" s="1" t="s">
        <v>2784</v>
      </c>
      <c r="E47" s="6">
        <v>61</v>
      </c>
      <c r="F47" s="6"/>
      <c r="G47" s="1">
        <v>61</v>
      </c>
      <c r="H47" s="6"/>
      <c r="I47" s="6"/>
      <c r="J47" s="1">
        <v>0</v>
      </c>
      <c r="K47" s="6">
        <v>76</v>
      </c>
      <c r="L47" s="6"/>
      <c r="M47" s="6">
        <v>76</v>
      </c>
      <c r="N47" s="6">
        <v>98</v>
      </c>
      <c r="O47" s="6"/>
      <c r="P47" s="6">
        <v>98</v>
      </c>
      <c r="Q47" s="6">
        <v>101</v>
      </c>
      <c r="R47" s="6"/>
      <c r="S47" s="6">
        <v>101</v>
      </c>
      <c r="T47" s="6">
        <v>100</v>
      </c>
      <c r="U47" s="6"/>
      <c r="V47" s="6">
        <v>100</v>
      </c>
      <c r="W47" s="174">
        <v>436</v>
      </c>
      <c r="X47" s="174">
        <v>0</v>
      </c>
      <c r="Y47" s="174">
        <v>436</v>
      </c>
      <c r="Z47" s="175">
        <v>72.666666666666671</v>
      </c>
      <c r="AA47" s="175">
        <v>0</v>
      </c>
      <c r="AB47" s="175">
        <v>72.666666666666671</v>
      </c>
      <c r="AC47" s="585">
        <f t="shared" si="4"/>
        <v>87.2</v>
      </c>
      <c r="AD47" s="585">
        <f t="shared" si="5"/>
        <v>0</v>
      </c>
      <c r="AE47" s="585">
        <f t="shared" si="6"/>
        <v>87.2</v>
      </c>
    </row>
    <row r="48" spans="1:31" ht="15.75">
      <c r="A48" s="160">
        <v>24</v>
      </c>
      <c r="B48" s="186" t="s">
        <v>1595</v>
      </c>
      <c r="C48" s="187" t="s">
        <v>1559</v>
      </c>
      <c r="D48" s="1" t="s">
        <v>2784</v>
      </c>
      <c r="E48" s="6">
        <v>32</v>
      </c>
      <c r="F48" s="6"/>
      <c r="G48" s="1">
        <v>32</v>
      </c>
      <c r="H48" s="6"/>
      <c r="I48" s="6"/>
      <c r="J48" s="1">
        <v>0</v>
      </c>
      <c r="K48" s="6"/>
      <c r="L48" s="6"/>
      <c r="M48" s="6">
        <v>0</v>
      </c>
      <c r="N48" s="6"/>
      <c r="O48" s="6"/>
      <c r="P48" s="6">
        <v>0</v>
      </c>
      <c r="Q48" s="6">
        <v>160</v>
      </c>
      <c r="R48" s="6"/>
      <c r="S48" s="6">
        <v>160</v>
      </c>
      <c r="T48" s="6">
        <v>245</v>
      </c>
      <c r="U48" s="6"/>
      <c r="V48" s="6">
        <v>245</v>
      </c>
      <c r="W48" s="174">
        <v>437</v>
      </c>
      <c r="X48" s="174">
        <v>0</v>
      </c>
      <c r="Y48" s="174">
        <v>437</v>
      </c>
      <c r="Z48" s="175">
        <v>72.833333333333329</v>
      </c>
      <c r="AA48" s="175">
        <v>0</v>
      </c>
      <c r="AB48" s="175">
        <v>72.833333333333329</v>
      </c>
      <c r="AC48" s="585">
        <f t="shared" si="4"/>
        <v>87.399999999999991</v>
      </c>
      <c r="AD48" s="585">
        <f t="shared" si="5"/>
        <v>0</v>
      </c>
      <c r="AE48" s="585">
        <f t="shared" si="6"/>
        <v>87.399999999999991</v>
      </c>
    </row>
    <row r="49" spans="1:31" ht="15.75">
      <c r="A49" s="160">
        <v>25</v>
      </c>
      <c r="B49" s="186" t="s">
        <v>1614</v>
      </c>
      <c r="C49" s="187" t="s">
        <v>1559</v>
      </c>
      <c r="D49" s="1" t="s">
        <v>2784</v>
      </c>
      <c r="E49" s="6">
        <v>250</v>
      </c>
      <c r="F49" s="6"/>
      <c r="G49" s="1">
        <v>250</v>
      </c>
      <c r="H49" s="6">
        <v>48</v>
      </c>
      <c r="I49" s="6"/>
      <c r="J49" s="1">
        <v>48</v>
      </c>
      <c r="K49" s="6">
        <v>250</v>
      </c>
      <c r="L49" s="6"/>
      <c r="M49" s="6">
        <v>250</v>
      </c>
      <c r="N49" s="6">
        <v>256</v>
      </c>
      <c r="O49" s="6"/>
      <c r="P49" s="6">
        <v>256</v>
      </c>
      <c r="Q49" s="6">
        <v>296</v>
      </c>
      <c r="R49" s="6">
        <v>72</v>
      </c>
      <c r="S49" s="6">
        <v>368</v>
      </c>
      <c r="T49" s="6">
        <v>300</v>
      </c>
      <c r="U49" s="6"/>
      <c r="V49" s="6">
        <v>300</v>
      </c>
      <c r="W49" s="174">
        <v>1400</v>
      </c>
      <c r="X49" s="174">
        <v>72</v>
      </c>
      <c r="Y49" s="174">
        <v>1472</v>
      </c>
      <c r="Z49" s="175">
        <v>233.33333333333334</v>
      </c>
      <c r="AA49" s="175">
        <v>12</v>
      </c>
      <c r="AB49" s="175">
        <v>245.33333333333334</v>
      </c>
      <c r="AC49" s="585">
        <f t="shared" si="4"/>
        <v>280</v>
      </c>
      <c r="AD49" s="585">
        <f t="shared" si="5"/>
        <v>14.4</v>
      </c>
      <c r="AE49" s="585">
        <f t="shared" si="6"/>
        <v>294.40000000000003</v>
      </c>
    </row>
    <row r="50" spans="1:31" ht="15.75">
      <c r="A50" s="160">
        <v>26</v>
      </c>
      <c r="B50" s="186" t="s">
        <v>1616</v>
      </c>
      <c r="C50" s="187" t="s">
        <v>1559</v>
      </c>
      <c r="D50" s="1" t="s">
        <v>2784</v>
      </c>
      <c r="E50" s="6">
        <v>50</v>
      </c>
      <c r="F50" s="6"/>
      <c r="G50" s="1">
        <v>50</v>
      </c>
      <c r="H50" s="6"/>
      <c r="I50" s="6"/>
      <c r="J50" s="1">
        <v>0</v>
      </c>
      <c r="K50" s="6">
        <v>198</v>
      </c>
      <c r="L50" s="6"/>
      <c r="M50" s="6">
        <v>198</v>
      </c>
      <c r="N50" s="6">
        <v>144</v>
      </c>
      <c r="O50" s="6"/>
      <c r="P50" s="6">
        <v>144</v>
      </c>
      <c r="Q50" s="6">
        <v>250</v>
      </c>
      <c r="R50" s="6"/>
      <c r="S50" s="6">
        <v>250</v>
      </c>
      <c r="T50" s="6"/>
      <c r="U50" s="6"/>
      <c r="V50" s="6">
        <v>0</v>
      </c>
      <c r="W50" s="174">
        <v>642</v>
      </c>
      <c r="X50" s="174">
        <v>0</v>
      </c>
      <c r="Y50" s="174">
        <v>642</v>
      </c>
      <c r="Z50" s="175">
        <v>107</v>
      </c>
      <c r="AA50" s="175">
        <v>0</v>
      </c>
      <c r="AB50" s="175">
        <v>107</v>
      </c>
      <c r="AC50" s="585">
        <f t="shared" si="4"/>
        <v>128.4</v>
      </c>
      <c r="AD50" s="585">
        <f t="shared" si="5"/>
        <v>0</v>
      </c>
      <c r="AE50" s="585">
        <f t="shared" si="6"/>
        <v>128.4</v>
      </c>
    </row>
    <row r="51" spans="1:31" ht="15.75">
      <c r="A51" s="160">
        <v>27</v>
      </c>
      <c r="B51" s="186" t="s">
        <v>1624</v>
      </c>
      <c r="C51" s="6" t="s">
        <v>1625</v>
      </c>
      <c r="D51" s="1" t="s">
        <v>2784</v>
      </c>
      <c r="E51" s="188">
        <v>100</v>
      </c>
      <c r="F51" s="6"/>
      <c r="G51" s="6"/>
      <c r="H51" s="188"/>
      <c r="I51" s="6"/>
      <c r="J51" s="1">
        <v>0</v>
      </c>
      <c r="K51" s="188"/>
      <c r="L51" s="6"/>
      <c r="M51" s="6">
        <v>0</v>
      </c>
      <c r="N51" s="188">
        <v>250</v>
      </c>
      <c r="O51" s="6">
        <v>45</v>
      </c>
      <c r="P51" s="6">
        <v>295</v>
      </c>
      <c r="Q51" s="188"/>
      <c r="R51" s="6"/>
      <c r="S51" s="6">
        <v>0</v>
      </c>
      <c r="T51" s="188"/>
      <c r="U51" s="6"/>
      <c r="V51" s="6">
        <v>0</v>
      </c>
      <c r="W51" s="174">
        <v>350</v>
      </c>
      <c r="X51" s="174">
        <v>45</v>
      </c>
      <c r="Y51" s="174">
        <v>295</v>
      </c>
      <c r="Z51" s="175">
        <v>58.333333333333336</v>
      </c>
      <c r="AA51" s="175">
        <v>7.5</v>
      </c>
      <c r="AB51" s="175">
        <v>49.166666666666664</v>
      </c>
      <c r="AC51" s="585">
        <f t="shared" si="4"/>
        <v>70</v>
      </c>
      <c r="AD51" s="585">
        <f t="shared" si="5"/>
        <v>9</v>
      </c>
      <c r="AE51" s="585">
        <f t="shared" si="6"/>
        <v>59</v>
      </c>
    </row>
    <row r="52" spans="1:31">
      <c r="A52" s="160">
        <v>28</v>
      </c>
      <c r="B52" s="265" t="s">
        <v>1627</v>
      </c>
      <c r="C52" s="265" t="s">
        <v>1628</v>
      </c>
      <c r="D52" s="1" t="s">
        <v>2784</v>
      </c>
      <c r="E52" s="172">
        <v>119</v>
      </c>
      <c r="F52" s="265"/>
      <c r="G52" s="265"/>
      <c r="H52" s="172"/>
      <c r="I52" s="265"/>
      <c r="J52" s="1">
        <v>0</v>
      </c>
      <c r="K52" s="172">
        <v>184</v>
      </c>
      <c r="L52" s="265"/>
      <c r="M52" s="265">
        <v>184</v>
      </c>
      <c r="N52" s="172"/>
      <c r="O52" s="265"/>
      <c r="P52" s="265">
        <v>0</v>
      </c>
      <c r="Q52" s="172">
        <v>180</v>
      </c>
      <c r="R52" s="265"/>
      <c r="S52" s="265">
        <v>180</v>
      </c>
      <c r="T52" s="172"/>
      <c r="U52" s="265"/>
      <c r="V52" s="265">
        <v>0</v>
      </c>
      <c r="W52" s="174">
        <v>483</v>
      </c>
      <c r="X52" s="174">
        <v>0</v>
      </c>
      <c r="Y52" s="174">
        <v>364</v>
      </c>
      <c r="Z52" s="175">
        <v>80.5</v>
      </c>
      <c r="AA52" s="175">
        <v>0</v>
      </c>
      <c r="AB52" s="175">
        <v>60.666666666666664</v>
      </c>
      <c r="AC52" s="585">
        <f t="shared" si="4"/>
        <v>96.6</v>
      </c>
      <c r="AD52" s="585">
        <f t="shared" si="5"/>
        <v>0</v>
      </c>
      <c r="AE52" s="585">
        <f t="shared" si="6"/>
        <v>72.8</v>
      </c>
    </row>
    <row r="53" spans="1:31">
      <c r="A53" s="160">
        <v>29</v>
      </c>
      <c r="B53" s="265" t="s">
        <v>1701</v>
      </c>
      <c r="C53" s="265" t="s">
        <v>1702</v>
      </c>
      <c r="D53" s="495" t="s">
        <v>2785</v>
      </c>
      <c r="E53" s="265">
        <v>150</v>
      </c>
      <c r="F53" s="265"/>
      <c r="G53" s="265">
        <f t="shared" ref="G53:G54" si="7">E53+F53</f>
        <v>150</v>
      </c>
      <c r="H53" s="269"/>
      <c r="I53" s="269"/>
      <c r="J53" s="269">
        <f t="shared" ref="J53:J54" si="8">H53+I53</f>
        <v>0</v>
      </c>
      <c r="K53" s="269">
        <v>150</v>
      </c>
      <c r="L53" s="269"/>
      <c r="M53" s="269">
        <f t="shared" ref="M53:M54" si="9">K53+L53</f>
        <v>150</v>
      </c>
      <c r="N53" s="269"/>
      <c r="O53" s="269"/>
      <c r="P53" s="269">
        <f t="shared" ref="P53:P54" si="10">N53+O53</f>
        <v>0</v>
      </c>
      <c r="Q53" s="269"/>
      <c r="R53" s="269"/>
      <c r="S53" s="269">
        <f t="shared" ref="S53:S54" si="11">Q53+R53</f>
        <v>0</v>
      </c>
      <c r="T53" s="51"/>
      <c r="U53" s="51"/>
      <c r="V53" s="51">
        <f t="shared" ref="V53:V54" si="12">T53+U53</f>
        <v>0</v>
      </c>
      <c r="W53" s="174">
        <f t="shared" ref="W53:Y54" si="13">E53+H53+K53+N53+Q53+T53</f>
        <v>300</v>
      </c>
      <c r="X53" s="174">
        <f t="shared" si="13"/>
        <v>0</v>
      </c>
      <c r="Y53" s="174">
        <f t="shared" si="13"/>
        <v>300</v>
      </c>
      <c r="Z53" s="175">
        <f t="shared" ref="Z53:AB54" si="14">W53/6</f>
        <v>50</v>
      </c>
      <c r="AA53" s="175">
        <f t="shared" si="14"/>
        <v>0</v>
      </c>
      <c r="AB53" s="175">
        <f t="shared" si="14"/>
        <v>50</v>
      </c>
      <c r="AC53" s="585">
        <f t="shared" si="4"/>
        <v>60</v>
      </c>
      <c r="AD53" s="585">
        <f t="shared" si="5"/>
        <v>0</v>
      </c>
      <c r="AE53" s="585">
        <f t="shared" si="6"/>
        <v>60</v>
      </c>
    </row>
    <row r="54" spans="1:31">
      <c r="A54" s="160">
        <v>30</v>
      </c>
      <c r="B54" s="265" t="s">
        <v>1762</v>
      </c>
      <c r="C54" s="265" t="s">
        <v>1746</v>
      </c>
      <c r="D54" s="1" t="s">
        <v>2785</v>
      </c>
      <c r="E54" s="265">
        <v>80</v>
      </c>
      <c r="F54" s="265"/>
      <c r="G54" s="265">
        <f t="shared" si="7"/>
        <v>80</v>
      </c>
      <c r="H54" s="269">
        <v>250</v>
      </c>
      <c r="I54" s="269"/>
      <c r="J54" s="269">
        <f t="shared" si="8"/>
        <v>250</v>
      </c>
      <c r="K54" s="269">
        <v>100</v>
      </c>
      <c r="L54" s="269"/>
      <c r="M54" s="269">
        <f t="shared" si="9"/>
        <v>100</v>
      </c>
      <c r="N54" s="269"/>
      <c r="O54" s="269"/>
      <c r="P54" s="269">
        <f t="shared" si="10"/>
        <v>0</v>
      </c>
      <c r="Q54" s="269">
        <v>100</v>
      </c>
      <c r="R54" s="269"/>
      <c r="S54" s="269">
        <f t="shared" si="11"/>
        <v>100</v>
      </c>
      <c r="T54" s="51"/>
      <c r="U54" s="51">
        <v>30</v>
      </c>
      <c r="V54" s="51">
        <f t="shared" si="12"/>
        <v>30</v>
      </c>
      <c r="W54" s="174">
        <f t="shared" si="13"/>
        <v>530</v>
      </c>
      <c r="X54" s="174">
        <f t="shared" si="13"/>
        <v>30</v>
      </c>
      <c r="Y54" s="174">
        <f t="shared" si="13"/>
        <v>560</v>
      </c>
      <c r="Z54" s="175">
        <f t="shared" si="14"/>
        <v>88.333333333333329</v>
      </c>
      <c r="AA54" s="175">
        <f t="shared" si="14"/>
        <v>5</v>
      </c>
      <c r="AB54" s="175">
        <f t="shared" si="14"/>
        <v>93.333333333333329</v>
      </c>
      <c r="AC54" s="585">
        <f t="shared" si="4"/>
        <v>106</v>
      </c>
      <c r="AD54" s="585">
        <f t="shared" si="5"/>
        <v>6</v>
      </c>
      <c r="AE54" s="585">
        <f t="shared" si="6"/>
        <v>112</v>
      </c>
    </row>
    <row r="55" spans="1:31">
      <c r="A55" s="160">
        <v>31</v>
      </c>
      <c r="B55" s="265" t="s">
        <v>1881</v>
      </c>
      <c r="C55" s="265" t="s">
        <v>1835</v>
      </c>
      <c r="D55" s="1" t="s">
        <v>2785</v>
      </c>
      <c r="E55" s="265"/>
      <c r="F55" s="265"/>
      <c r="G55" s="265">
        <v>0</v>
      </c>
      <c r="H55" s="269">
        <v>100</v>
      </c>
      <c r="I55" s="269"/>
      <c r="J55" s="269">
        <v>100</v>
      </c>
      <c r="K55" s="269"/>
      <c r="L55" s="269"/>
      <c r="M55" s="269">
        <v>0</v>
      </c>
      <c r="N55" s="269">
        <v>100</v>
      </c>
      <c r="O55" s="269"/>
      <c r="P55" s="269">
        <v>100</v>
      </c>
      <c r="Q55" s="269">
        <v>100</v>
      </c>
      <c r="R55" s="269"/>
      <c r="S55" s="269">
        <v>100</v>
      </c>
      <c r="T55" s="51"/>
      <c r="U55" s="51"/>
      <c r="V55" s="51">
        <v>0</v>
      </c>
      <c r="W55" s="174">
        <v>300</v>
      </c>
      <c r="X55" s="174">
        <v>0</v>
      </c>
      <c r="Y55" s="174">
        <v>300</v>
      </c>
      <c r="Z55" s="175">
        <v>50</v>
      </c>
      <c r="AA55" s="175">
        <v>0</v>
      </c>
      <c r="AB55" s="175">
        <v>50</v>
      </c>
      <c r="AC55" s="585">
        <f t="shared" si="4"/>
        <v>60</v>
      </c>
      <c r="AD55" s="585">
        <f t="shared" si="5"/>
        <v>0</v>
      </c>
      <c r="AE55" s="585">
        <f t="shared" si="6"/>
        <v>60</v>
      </c>
    </row>
    <row r="56" spans="1:31">
      <c r="A56" s="160">
        <v>32</v>
      </c>
      <c r="B56" s="265" t="s">
        <v>1909</v>
      </c>
      <c r="C56" s="158" t="s">
        <v>1910</v>
      </c>
      <c r="D56" s="1" t="s">
        <v>2785</v>
      </c>
      <c r="E56" s="265"/>
      <c r="F56" s="265">
        <v>18</v>
      </c>
      <c r="G56" s="265">
        <v>18</v>
      </c>
      <c r="H56" s="269">
        <v>250</v>
      </c>
      <c r="I56" s="269"/>
      <c r="J56" s="269">
        <v>250</v>
      </c>
      <c r="K56" s="269"/>
      <c r="L56" s="269"/>
      <c r="M56" s="269">
        <v>0</v>
      </c>
      <c r="N56" s="269"/>
      <c r="O56" s="269"/>
      <c r="P56" s="269">
        <v>0</v>
      </c>
      <c r="Q56" s="269">
        <v>150</v>
      </c>
      <c r="R56" s="269">
        <v>10</v>
      </c>
      <c r="S56" s="269">
        <v>160</v>
      </c>
      <c r="T56" s="51">
        <v>150</v>
      </c>
      <c r="U56" s="51"/>
      <c r="V56" s="51">
        <v>150</v>
      </c>
      <c r="W56" s="174">
        <v>550</v>
      </c>
      <c r="X56" s="174">
        <v>28</v>
      </c>
      <c r="Y56" s="174">
        <v>578</v>
      </c>
      <c r="Z56" s="175">
        <v>91.666666666666671</v>
      </c>
      <c r="AA56" s="175">
        <v>4.666666666666667</v>
      </c>
      <c r="AB56" s="175">
        <v>96.333333333333329</v>
      </c>
      <c r="AC56" s="585">
        <f t="shared" si="4"/>
        <v>110</v>
      </c>
      <c r="AD56" s="585">
        <f t="shared" si="5"/>
        <v>5.6000000000000005</v>
      </c>
      <c r="AE56" s="585">
        <f t="shared" si="6"/>
        <v>115.6</v>
      </c>
    </row>
    <row r="57" spans="1:31">
      <c r="A57" s="160">
        <v>33</v>
      </c>
      <c r="B57" s="265" t="s">
        <v>1918</v>
      </c>
      <c r="C57" s="158" t="s">
        <v>1910</v>
      </c>
      <c r="D57" s="1" t="s">
        <v>2785</v>
      </c>
      <c r="E57" s="265"/>
      <c r="F57" s="265"/>
      <c r="G57" s="265">
        <v>0</v>
      </c>
      <c r="H57" s="269">
        <v>60</v>
      </c>
      <c r="I57" s="269"/>
      <c r="J57" s="269">
        <v>60</v>
      </c>
      <c r="K57" s="269">
        <v>100</v>
      </c>
      <c r="L57" s="269">
        <v>20</v>
      </c>
      <c r="M57" s="269">
        <v>120</v>
      </c>
      <c r="N57" s="269"/>
      <c r="O57" s="269">
        <v>10</v>
      </c>
      <c r="P57" s="269">
        <v>10</v>
      </c>
      <c r="Q57" s="269">
        <v>100</v>
      </c>
      <c r="R57" s="269">
        <v>20</v>
      </c>
      <c r="S57" s="269">
        <v>120</v>
      </c>
      <c r="T57" s="51">
        <v>60</v>
      </c>
      <c r="U57" s="51"/>
      <c r="V57" s="51">
        <v>60</v>
      </c>
      <c r="W57" s="174">
        <v>320</v>
      </c>
      <c r="X57" s="174">
        <v>50</v>
      </c>
      <c r="Y57" s="174">
        <v>370</v>
      </c>
      <c r="Z57" s="175">
        <v>53.333333333333336</v>
      </c>
      <c r="AA57" s="175">
        <v>8.3333333333333339</v>
      </c>
      <c r="AB57" s="175">
        <v>61.666666666666664</v>
      </c>
      <c r="AC57" s="585">
        <f t="shared" si="4"/>
        <v>64</v>
      </c>
      <c r="AD57" s="585">
        <f t="shared" si="5"/>
        <v>10</v>
      </c>
      <c r="AE57" s="585">
        <f t="shared" si="6"/>
        <v>74</v>
      </c>
    </row>
    <row r="58" spans="1:31">
      <c r="A58" s="160">
        <v>34</v>
      </c>
      <c r="B58" s="265" t="s">
        <v>1928</v>
      </c>
      <c r="C58" s="158" t="s">
        <v>1910</v>
      </c>
      <c r="D58" s="1" t="s">
        <v>2785</v>
      </c>
      <c r="E58" s="265">
        <v>120</v>
      </c>
      <c r="F58" s="265"/>
      <c r="G58" s="265">
        <v>120</v>
      </c>
      <c r="H58" s="269">
        <v>90</v>
      </c>
      <c r="I58" s="269"/>
      <c r="J58" s="269">
        <v>90</v>
      </c>
      <c r="K58" s="269">
        <v>90</v>
      </c>
      <c r="L58" s="269">
        <v>20</v>
      </c>
      <c r="M58" s="269">
        <v>110</v>
      </c>
      <c r="N58" s="269">
        <v>100</v>
      </c>
      <c r="O58" s="269"/>
      <c r="P58" s="269">
        <v>100</v>
      </c>
      <c r="Q58" s="269">
        <v>110</v>
      </c>
      <c r="R58" s="269"/>
      <c r="S58" s="269">
        <v>110</v>
      </c>
      <c r="T58" s="51">
        <v>90</v>
      </c>
      <c r="U58" s="51"/>
      <c r="V58" s="51">
        <v>90</v>
      </c>
      <c r="W58" s="174">
        <v>600</v>
      </c>
      <c r="X58" s="174">
        <v>20</v>
      </c>
      <c r="Y58" s="174">
        <v>620</v>
      </c>
      <c r="Z58" s="175">
        <v>100</v>
      </c>
      <c r="AA58" s="175">
        <v>3.3333333333333335</v>
      </c>
      <c r="AB58" s="175">
        <v>103.33333333333333</v>
      </c>
      <c r="AC58" s="585">
        <f t="shared" si="4"/>
        <v>120</v>
      </c>
      <c r="AD58" s="585">
        <f t="shared" si="5"/>
        <v>4</v>
      </c>
      <c r="AE58" s="585">
        <f t="shared" si="6"/>
        <v>124</v>
      </c>
    </row>
    <row r="59" spans="1:31">
      <c r="A59" s="160">
        <v>35</v>
      </c>
      <c r="B59" s="265" t="s">
        <v>1930</v>
      </c>
      <c r="C59" s="158" t="s">
        <v>1910</v>
      </c>
      <c r="D59" s="1" t="s">
        <v>2785</v>
      </c>
      <c r="E59" s="265">
        <v>20</v>
      </c>
      <c r="F59" s="265"/>
      <c r="G59" s="265">
        <v>20</v>
      </c>
      <c r="H59" s="269">
        <v>60</v>
      </c>
      <c r="I59" s="269"/>
      <c r="J59" s="269">
        <v>60</v>
      </c>
      <c r="K59" s="269">
        <v>60</v>
      </c>
      <c r="L59" s="269"/>
      <c r="M59" s="269">
        <v>60</v>
      </c>
      <c r="N59" s="269">
        <v>60</v>
      </c>
      <c r="O59" s="269"/>
      <c r="P59" s="269">
        <v>60</v>
      </c>
      <c r="Q59" s="269">
        <v>92</v>
      </c>
      <c r="R59" s="269"/>
      <c r="S59" s="269">
        <v>92</v>
      </c>
      <c r="T59" s="51">
        <v>60</v>
      </c>
      <c r="U59" s="51"/>
      <c r="V59" s="51">
        <v>60</v>
      </c>
      <c r="W59" s="174">
        <v>352</v>
      </c>
      <c r="X59" s="174">
        <v>0</v>
      </c>
      <c r="Y59" s="174">
        <v>352</v>
      </c>
      <c r="Z59" s="175">
        <v>58.666666666666664</v>
      </c>
      <c r="AA59" s="175">
        <v>0</v>
      </c>
      <c r="AB59" s="175">
        <v>58.666666666666664</v>
      </c>
      <c r="AC59" s="585">
        <f t="shared" si="4"/>
        <v>70.400000000000006</v>
      </c>
      <c r="AD59" s="585">
        <f t="shared" si="5"/>
        <v>0</v>
      </c>
      <c r="AE59" s="585">
        <f t="shared" si="6"/>
        <v>70.400000000000006</v>
      </c>
    </row>
    <row r="60" spans="1:31">
      <c r="A60" s="160">
        <v>36</v>
      </c>
      <c r="B60" s="265" t="s">
        <v>1941</v>
      </c>
      <c r="C60" s="158" t="s">
        <v>1910</v>
      </c>
      <c r="D60" s="1" t="s">
        <v>2785</v>
      </c>
      <c r="E60" s="265"/>
      <c r="F60" s="265"/>
      <c r="G60" s="265">
        <v>0</v>
      </c>
      <c r="H60" s="269">
        <v>50</v>
      </c>
      <c r="I60" s="269"/>
      <c r="J60" s="269">
        <v>50</v>
      </c>
      <c r="K60" s="269">
        <v>80</v>
      </c>
      <c r="L60" s="269"/>
      <c r="M60" s="269">
        <v>80</v>
      </c>
      <c r="N60" s="269">
        <v>80</v>
      </c>
      <c r="O60" s="269">
        <v>20</v>
      </c>
      <c r="P60" s="269">
        <v>100</v>
      </c>
      <c r="Q60" s="269">
        <v>85</v>
      </c>
      <c r="R60" s="269"/>
      <c r="S60" s="269">
        <v>85</v>
      </c>
      <c r="T60" s="51">
        <v>100</v>
      </c>
      <c r="U60" s="51">
        <v>20</v>
      </c>
      <c r="V60" s="51">
        <v>120</v>
      </c>
      <c r="W60" s="174">
        <v>395</v>
      </c>
      <c r="X60" s="174">
        <v>40</v>
      </c>
      <c r="Y60" s="174">
        <v>435</v>
      </c>
      <c r="Z60" s="175">
        <v>65.833333333333329</v>
      </c>
      <c r="AA60" s="175">
        <v>6.666666666666667</v>
      </c>
      <c r="AB60" s="175">
        <v>72.5</v>
      </c>
      <c r="AC60" s="585">
        <f t="shared" si="4"/>
        <v>79</v>
      </c>
      <c r="AD60" s="585">
        <f t="shared" si="5"/>
        <v>8</v>
      </c>
      <c r="AE60" s="585">
        <f t="shared" si="6"/>
        <v>87</v>
      </c>
    </row>
    <row r="61" spans="1:31">
      <c r="A61" s="160">
        <v>37</v>
      </c>
      <c r="B61" s="158" t="s">
        <v>1951</v>
      </c>
      <c r="C61" s="158" t="s">
        <v>1910</v>
      </c>
      <c r="D61" s="1" t="s">
        <v>2785</v>
      </c>
      <c r="E61" s="265">
        <v>156</v>
      </c>
      <c r="F61" s="265"/>
      <c r="G61" s="265">
        <v>156</v>
      </c>
      <c r="H61" s="269">
        <v>150</v>
      </c>
      <c r="I61" s="269"/>
      <c r="J61" s="269">
        <v>150</v>
      </c>
      <c r="K61" s="269">
        <v>150</v>
      </c>
      <c r="L61" s="269">
        <v>18</v>
      </c>
      <c r="M61" s="269">
        <v>168</v>
      </c>
      <c r="N61" s="269">
        <v>125</v>
      </c>
      <c r="O61" s="269">
        <v>16</v>
      </c>
      <c r="P61" s="269">
        <v>141</v>
      </c>
      <c r="Q61" s="269">
        <v>160</v>
      </c>
      <c r="R61" s="269"/>
      <c r="S61" s="269">
        <v>160</v>
      </c>
      <c r="T61" s="51">
        <v>150</v>
      </c>
      <c r="U61" s="51"/>
      <c r="V61" s="51">
        <v>150</v>
      </c>
      <c r="W61" s="174">
        <v>891</v>
      </c>
      <c r="X61" s="174">
        <v>34</v>
      </c>
      <c r="Y61" s="174">
        <v>925</v>
      </c>
      <c r="Z61" s="175">
        <v>148.5</v>
      </c>
      <c r="AA61" s="175">
        <v>5.666666666666667</v>
      </c>
      <c r="AB61" s="175">
        <v>154.16666666666666</v>
      </c>
      <c r="AC61" s="585">
        <f t="shared" si="4"/>
        <v>178.2</v>
      </c>
      <c r="AD61" s="585">
        <f t="shared" si="5"/>
        <v>6.8000000000000007</v>
      </c>
      <c r="AE61" s="585">
        <f t="shared" si="6"/>
        <v>185</v>
      </c>
    </row>
    <row r="62" spans="1:31">
      <c r="A62" s="64"/>
      <c r="B62" s="1102" t="s">
        <v>2780</v>
      </c>
      <c r="C62" s="1103"/>
      <c r="D62" s="64"/>
      <c r="E62" s="64">
        <f t="shared" ref="E62:AE62" si="15">SUM(E25:E61)</f>
        <v>3790</v>
      </c>
      <c r="F62" s="64">
        <f t="shared" si="15"/>
        <v>90</v>
      </c>
      <c r="G62" s="64">
        <f t="shared" si="15"/>
        <v>3661</v>
      </c>
      <c r="H62" s="64">
        <f t="shared" si="15"/>
        <v>3134</v>
      </c>
      <c r="I62" s="64">
        <f t="shared" si="15"/>
        <v>72</v>
      </c>
      <c r="J62" s="64">
        <f t="shared" si="15"/>
        <v>3206</v>
      </c>
      <c r="K62" s="64">
        <f t="shared" si="15"/>
        <v>2514</v>
      </c>
      <c r="L62" s="64">
        <f t="shared" si="15"/>
        <v>159</v>
      </c>
      <c r="M62" s="64">
        <f t="shared" si="15"/>
        <v>2673</v>
      </c>
      <c r="N62" s="64">
        <f t="shared" si="15"/>
        <v>3332</v>
      </c>
      <c r="O62" s="64">
        <f t="shared" si="15"/>
        <v>191</v>
      </c>
      <c r="P62" s="64">
        <f t="shared" si="15"/>
        <v>3523</v>
      </c>
      <c r="Q62" s="64">
        <f t="shared" si="15"/>
        <v>3772</v>
      </c>
      <c r="R62" s="64">
        <f t="shared" si="15"/>
        <v>498</v>
      </c>
      <c r="S62" s="64">
        <f t="shared" si="15"/>
        <v>4270</v>
      </c>
      <c r="T62" s="64">
        <f t="shared" si="15"/>
        <v>3320</v>
      </c>
      <c r="U62" s="64">
        <f t="shared" si="15"/>
        <v>212</v>
      </c>
      <c r="V62" s="64">
        <f t="shared" si="15"/>
        <v>3532</v>
      </c>
      <c r="W62" s="64">
        <f t="shared" si="15"/>
        <v>19862</v>
      </c>
      <c r="X62" s="64">
        <f t="shared" si="15"/>
        <v>1222</v>
      </c>
      <c r="Y62" s="64">
        <f t="shared" si="15"/>
        <v>20865</v>
      </c>
      <c r="Z62" s="519">
        <f t="shared" si="15"/>
        <v>3310.3333333333344</v>
      </c>
      <c r="AA62" s="519">
        <f t="shared" si="15"/>
        <v>203.66666666666666</v>
      </c>
      <c r="AB62" s="519">
        <f t="shared" si="15"/>
        <v>3477.5000000000005</v>
      </c>
      <c r="AC62" s="519">
        <f t="shared" si="15"/>
        <v>3972.3999999999996</v>
      </c>
      <c r="AD62" s="519">
        <f t="shared" si="15"/>
        <v>244.40000000000003</v>
      </c>
      <c r="AE62" s="519">
        <f t="shared" si="15"/>
        <v>4173</v>
      </c>
    </row>
    <row r="64" spans="1:31">
      <c r="A64" s="522"/>
      <c r="B64" s="1104" t="s">
        <v>2783</v>
      </c>
      <c r="C64" s="1105"/>
      <c r="D64" s="522"/>
      <c r="E64" s="522">
        <f t="shared" ref="E64:AE64" si="16">E24+E62</f>
        <v>6597</v>
      </c>
      <c r="F64" s="522">
        <f t="shared" si="16"/>
        <v>325</v>
      </c>
      <c r="G64" s="522">
        <f t="shared" si="16"/>
        <v>6703</v>
      </c>
      <c r="H64" s="522">
        <f t="shared" si="16"/>
        <v>6917</v>
      </c>
      <c r="I64" s="522">
        <f t="shared" si="16"/>
        <v>512</v>
      </c>
      <c r="J64" s="522">
        <f t="shared" si="16"/>
        <v>7429</v>
      </c>
      <c r="K64" s="522">
        <f t="shared" si="16"/>
        <v>3303</v>
      </c>
      <c r="L64" s="522">
        <f t="shared" si="16"/>
        <v>403</v>
      </c>
      <c r="M64" s="522">
        <f t="shared" si="16"/>
        <v>3706</v>
      </c>
      <c r="N64" s="522">
        <f t="shared" si="16"/>
        <v>5689</v>
      </c>
      <c r="O64" s="522">
        <f t="shared" si="16"/>
        <v>591</v>
      </c>
      <c r="P64" s="522">
        <f t="shared" si="16"/>
        <v>6280</v>
      </c>
      <c r="Q64" s="522">
        <f t="shared" si="16"/>
        <v>4406</v>
      </c>
      <c r="R64" s="522">
        <f t="shared" si="16"/>
        <v>644</v>
      </c>
      <c r="S64" s="522">
        <f t="shared" si="16"/>
        <v>5050</v>
      </c>
      <c r="T64" s="522">
        <f t="shared" si="16"/>
        <v>7782</v>
      </c>
      <c r="U64" s="522">
        <f t="shared" si="16"/>
        <v>862</v>
      </c>
      <c r="V64" s="522">
        <f t="shared" si="16"/>
        <v>8644</v>
      </c>
      <c r="W64" s="522">
        <f t="shared" si="16"/>
        <v>34694</v>
      </c>
      <c r="X64" s="522">
        <f t="shared" si="16"/>
        <v>3337</v>
      </c>
      <c r="Y64" s="522">
        <f t="shared" si="16"/>
        <v>37812</v>
      </c>
      <c r="Z64" s="523">
        <f t="shared" si="16"/>
        <v>7390.3333333333339</v>
      </c>
      <c r="AA64" s="523">
        <f t="shared" si="16"/>
        <v>649.66666666666663</v>
      </c>
      <c r="AB64" s="522">
        <f t="shared" si="16"/>
        <v>7979.5</v>
      </c>
      <c r="AC64" s="523">
        <f t="shared" si="16"/>
        <v>8868.4</v>
      </c>
      <c r="AD64" s="523">
        <f t="shared" si="16"/>
        <v>779.40000000000009</v>
      </c>
      <c r="AE64" s="523">
        <f t="shared" si="16"/>
        <v>9604</v>
      </c>
    </row>
  </sheetData>
  <autoFilter ref="A5:AE62"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</autoFilter>
  <mergeCells count="8">
    <mergeCell ref="B24:C24"/>
    <mergeCell ref="B62:C62"/>
    <mergeCell ref="B64:C64"/>
    <mergeCell ref="A3:AE3"/>
    <mergeCell ref="AC5:AE5"/>
    <mergeCell ref="T5:V5"/>
    <mergeCell ref="W5:Y5"/>
    <mergeCell ref="Z5:AB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6" tint="0.39997558519241921"/>
  </sheetPr>
  <dimension ref="A2:AE72"/>
  <sheetViews>
    <sheetView workbookViewId="0">
      <pane xSplit="4" ySplit="5" topLeftCell="Z6" activePane="bottomRight" state="frozen"/>
      <selection pane="topRight" activeCell="E1" sqref="E1"/>
      <selection pane="bottomLeft" activeCell="A4" sqref="A4"/>
      <selection pane="bottomRight" activeCell="AC29" sqref="AC29"/>
    </sheetView>
  </sheetViews>
  <sheetFormatPr defaultRowHeight="14.25"/>
  <cols>
    <col min="1" max="1" width="6.3984375" customWidth="1"/>
    <col min="2" max="2" width="28" bestFit="1" customWidth="1"/>
    <col min="3" max="3" width="17.86328125" bestFit="1" customWidth="1"/>
    <col min="5" max="25" width="0" hidden="1" customWidth="1"/>
  </cols>
  <sheetData>
    <row r="2" spans="1:31" ht="14.65" thickBot="1"/>
    <row r="3" spans="1:31" ht="18.399999999999999" thickBot="1">
      <c r="A3" s="1091" t="s">
        <v>2791</v>
      </c>
      <c r="B3" s="1092"/>
      <c r="C3" s="1092"/>
      <c r="D3" s="1092"/>
      <c r="E3" s="1092"/>
      <c r="F3" s="1092"/>
      <c r="G3" s="1092"/>
      <c r="H3" s="1092"/>
      <c r="I3" s="1092"/>
      <c r="J3" s="1092"/>
      <c r="K3" s="1092"/>
      <c r="L3" s="1092"/>
      <c r="M3" s="1092"/>
      <c r="N3" s="1092"/>
      <c r="O3" s="1092"/>
      <c r="P3" s="1092"/>
      <c r="Q3" s="1092"/>
      <c r="R3" s="1092"/>
      <c r="S3" s="1092"/>
      <c r="T3" s="1092"/>
      <c r="U3" s="1092"/>
      <c r="V3" s="1092"/>
      <c r="W3" s="1092"/>
      <c r="X3" s="1092"/>
      <c r="Y3" s="1092"/>
      <c r="Z3" s="1092"/>
      <c r="AA3" s="1092"/>
      <c r="AB3" s="1092"/>
      <c r="AC3" s="1092"/>
      <c r="AD3" s="1092"/>
      <c r="AE3" s="1093"/>
    </row>
    <row r="4" spans="1:31" ht="14.65" thickBot="1">
      <c r="A4" t="s">
        <v>2797</v>
      </c>
      <c r="B4" t="s">
        <v>2798</v>
      </c>
      <c r="Z4" s="575" t="s">
        <v>9</v>
      </c>
      <c r="AA4" s="586" t="s">
        <v>2792</v>
      </c>
      <c r="AB4" s="576" t="s">
        <v>2780</v>
      </c>
      <c r="AC4" s="586" t="s">
        <v>9</v>
      </c>
      <c r="AD4" s="586" t="s">
        <v>2792</v>
      </c>
      <c r="AE4" s="576" t="s">
        <v>2780</v>
      </c>
    </row>
    <row r="5" spans="1:31" ht="36" customHeight="1" thickBot="1">
      <c r="A5" s="34" t="s">
        <v>2774</v>
      </c>
      <c r="B5" s="34" t="s">
        <v>2773</v>
      </c>
      <c r="C5" s="34" t="s">
        <v>2772</v>
      </c>
      <c r="D5" s="34" t="s">
        <v>2775</v>
      </c>
      <c r="E5" s="263"/>
      <c r="F5" s="39"/>
      <c r="G5" s="39" t="s">
        <v>883</v>
      </c>
      <c r="H5" s="263"/>
      <c r="I5" s="39"/>
      <c r="J5" s="39" t="s">
        <v>889</v>
      </c>
      <c r="K5" s="263"/>
      <c r="L5" s="39"/>
      <c r="M5" s="39" t="s">
        <v>895</v>
      </c>
      <c r="N5" s="263"/>
      <c r="O5" s="39"/>
      <c r="P5" s="39" t="s">
        <v>896</v>
      </c>
      <c r="Q5" s="263"/>
      <c r="R5" s="39"/>
      <c r="S5" s="39" t="s">
        <v>897</v>
      </c>
      <c r="T5" s="967" t="s">
        <v>898</v>
      </c>
      <c r="U5" s="967"/>
      <c r="V5" s="967"/>
      <c r="W5" s="968" t="s">
        <v>901</v>
      </c>
      <c r="X5" s="968"/>
      <c r="Y5" s="968"/>
      <c r="Z5" s="1097" t="s">
        <v>2799</v>
      </c>
      <c r="AA5" s="1098"/>
      <c r="AB5" s="1099"/>
      <c r="AC5" s="1109" t="s">
        <v>2793</v>
      </c>
      <c r="AD5" s="1110"/>
      <c r="AE5" s="1111"/>
    </row>
    <row r="6" spans="1:31">
      <c r="A6" s="524">
        <v>1</v>
      </c>
      <c r="B6" s="437" t="s">
        <v>2023</v>
      </c>
      <c r="C6" s="451" t="s">
        <v>1976</v>
      </c>
      <c r="D6" s="19" t="s">
        <v>2786</v>
      </c>
      <c r="E6" s="437">
        <v>204</v>
      </c>
      <c r="F6" s="438">
        <v>0</v>
      </c>
      <c r="G6" s="442">
        <v>204</v>
      </c>
      <c r="H6" s="441">
        <v>336</v>
      </c>
      <c r="I6" s="438">
        <v>0</v>
      </c>
      <c r="J6" s="442">
        <v>336</v>
      </c>
      <c r="K6" s="441">
        <v>322</v>
      </c>
      <c r="L6" s="438">
        <v>0</v>
      </c>
      <c r="M6" s="442">
        <v>322</v>
      </c>
      <c r="N6" s="441">
        <v>326</v>
      </c>
      <c r="O6" s="438">
        <v>0</v>
      </c>
      <c r="P6" s="442">
        <v>326</v>
      </c>
      <c r="Q6" s="441">
        <v>0</v>
      </c>
      <c r="R6" s="438">
        <v>0</v>
      </c>
      <c r="S6" s="442">
        <v>0</v>
      </c>
      <c r="T6" s="441">
        <v>191</v>
      </c>
      <c r="U6" s="438">
        <v>0</v>
      </c>
      <c r="V6" s="439">
        <v>191</v>
      </c>
      <c r="W6" s="443">
        <v>1379</v>
      </c>
      <c r="X6" s="444">
        <v>0</v>
      </c>
      <c r="Y6" s="445">
        <v>1379</v>
      </c>
      <c r="Z6" s="446">
        <v>229.83333333333334</v>
      </c>
      <c r="AA6" s="447">
        <v>0</v>
      </c>
      <c r="AB6" s="448">
        <v>229.83333333333334</v>
      </c>
      <c r="AC6" s="585">
        <f t="shared" ref="AC6:AC44" si="0">Z6*20%+Z6</f>
        <v>275.8</v>
      </c>
      <c r="AD6" s="585">
        <f t="shared" ref="AD6:AD44" si="1">AA6*20%+AA6</f>
        <v>0</v>
      </c>
      <c r="AE6" s="585">
        <f t="shared" ref="AE6:AE44" si="2">AB6*20%+AB6</f>
        <v>275.8</v>
      </c>
    </row>
    <row r="7" spans="1:31">
      <c r="A7" s="525">
        <v>2</v>
      </c>
      <c r="B7" s="437" t="s">
        <v>2025</v>
      </c>
      <c r="C7" s="451" t="s">
        <v>1976</v>
      </c>
      <c r="D7" s="19" t="s">
        <v>2786</v>
      </c>
      <c r="E7" s="437">
        <v>0</v>
      </c>
      <c r="F7" s="438">
        <v>0</v>
      </c>
      <c r="G7" s="442">
        <v>0</v>
      </c>
      <c r="H7" s="441">
        <v>170</v>
      </c>
      <c r="I7" s="438">
        <v>0</v>
      </c>
      <c r="J7" s="442">
        <v>170</v>
      </c>
      <c r="K7" s="441">
        <v>0</v>
      </c>
      <c r="L7" s="438">
        <v>0</v>
      </c>
      <c r="M7" s="442">
        <v>0</v>
      </c>
      <c r="N7" s="441">
        <v>162</v>
      </c>
      <c r="O7" s="438">
        <v>0</v>
      </c>
      <c r="P7" s="442">
        <v>162</v>
      </c>
      <c r="Q7" s="441">
        <v>0</v>
      </c>
      <c r="R7" s="438">
        <v>0</v>
      </c>
      <c r="S7" s="442">
        <v>0</v>
      </c>
      <c r="T7" s="441">
        <v>250</v>
      </c>
      <c r="U7" s="438">
        <v>0</v>
      </c>
      <c r="V7" s="439">
        <v>250</v>
      </c>
      <c r="W7" s="443">
        <v>582</v>
      </c>
      <c r="X7" s="444">
        <v>0</v>
      </c>
      <c r="Y7" s="445">
        <v>582</v>
      </c>
      <c r="Z7" s="446">
        <v>97</v>
      </c>
      <c r="AA7" s="447">
        <v>0</v>
      </c>
      <c r="AB7" s="448">
        <v>97</v>
      </c>
      <c r="AC7" s="585">
        <f t="shared" si="0"/>
        <v>116.4</v>
      </c>
      <c r="AD7" s="585">
        <f t="shared" si="1"/>
        <v>0</v>
      </c>
      <c r="AE7" s="585">
        <f t="shared" si="2"/>
        <v>116.4</v>
      </c>
    </row>
    <row r="8" spans="1:31" hidden="1">
      <c r="A8" s="628">
        <v>3</v>
      </c>
      <c r="B8" s="629" t="s">
        <v>2027</v>
      </c>
      <c r="C8" s="630" t="s">
        <v>1976</v>
      </c>
      <c r="D8" s="64" t="s">
        <v>2786</v>
      </c>
      <c r="E8" s="437">
        <v>1805</v>
      </c>
      <c r="F8" s="438">
        <v>36</v>
      </c>
      <c r="G8" s="442">
        <v>1841</v>
      </c>
      <c r="H8" s="441">
        <v>1510</v>
      </c>
      <c r="I8" s="438">
        <v>0</v>
      </c>
      <c r="J8" s="442">
        <v>1510</v>
      </c>
      <c r="K8" s="441">
        <v>1595</v>
      </c>
      <c r="L8" s="438">
        <v>0</v>
      </c>
      <c r="M8" s="442">
        <v>1595</v>
      </c>
      <c r="N8" s="441">
        <v>1003</v>
      </c>
      <c r="O8" s="438">
        <v>0</v>
      </c>
      <c r="P8" s="442">
        <v>1003</v>
      </c>
      <c r="Q8" s="441">
        <v>2303</v>
      </c>
      <c r="R8" s="438">
        <v>0</v>
      </c>
      <c r="S8" s="442">
        <v>2303</v>
      </c>
      <c r="T8" s="441">
        <v>1192</v>
      </c>
      <c r="U8" s="438">
        <v>0</v>
      </c>
      <c r="V8" s="439">
        <v>1192</v>
      </c>
      <c r="W8" s="443">
        <v>9408</v>
      </c>
      <c r="X8" s="444">
        <v>36</v>
      </c>
      <c r="Y8" s="445">
        <v>9444</v>
      </c>
      <c r="Z8" s="631">
        <v>1568</v>
      </c>
      <c r="AA8" s="632">
        <v>6</v>
      </c>
      <c r="AB8" s="633">
        <v>1574</v>
      </c>
      <c r="AC8" s="585">
        <f t="shared" si="0"/>
        <v>1881.6</v>
      </c>
      <c r="AD8" s="585">
        <f t="shared" si="1"/>
        <v>7.2</v>
      </c>
      <c r="AE8" s="585">
        <f t="shared" si="2"/>
        <v>1888.8</v>
      </c>
    </row>
    <row r="9" spans="1:31">
      <c r="A9" s="525">
        <v>4</v>
      </c>
      <c r="B9" s="437" t="s">
        <v>2029</v>
      </c>
      <c r="C9" s="451" t="s">
        <v>1976</v>
      </c>
      <c r="D9" s="19" t="s">
        <v>2786</v>
      </c>
      <c r="E9" s="437">
        <v>347</v>
      </c>
      <c r="F9" s="438">
        <v>36</v>
      </c>
      <c r="G9" s="442">
        <v>383</v>
      </c>
      <c r="H9" s="441">
        <v>0</v>
      </c>
      <c r="I9" s="438">
        <v>0</v>
      </c>
      <c r="J9" s="442">
        <v>0</v>
      </c>
      <c r="K9" s="441">
        <v>345</v>
      </c>
      <c r="L9" s="438">
        <v>0</v>
      </c>
      <c r="M9" s="442">
        <v>345</v>
      </c>
      <c r="N9" s="441">
        <v>374</v>
      </c>
      <c r="O9" s="438">
        <v>0</v>
      </c>
      <c r="P9" s="442">
        <v>374</v>
      </c>
      <c r="Q9" s="441">
        <v>0</v>
      </c>
      <c r="R9" s="438">
        <v>0</v>
      </c>
      <c r="S9" s="442">
        <v>0</v>
      </c>
      <c r="T9" s="441">
        <v>728</v>
      </c>
      <c r="U9" s="438">
        <v>0</v>
      </c>
      <c r="V9" s="439">
        <v>728</v>
      </c>
      <c r="W9" s="443">
        <v>1794</v>
      </c>
      <c r="X9" s="444">
        <v>36</v>
      </c>
      <c r="Y9" s="445">
        <v>1830</v>
      </c>
      <c r="Z9" s="446">
        <v>299</v>
      </c>
      <c r="AA9" s="447">
        <v>6</v>
      </c>
      <c r="AB9" s="448">
        <v>305</v>
      </c>
      <c r="AC9" s="585">
        <f t="shared" si="0"/>
        <v>358.8</v>
      </c>
      <c r="AD9" s="585">
        <f t="shared" si="1"/>
        <v>7.2</v>
      </c>
      <c r="AE9" s="585">
        <f t="shared" si="2"/>
        <v>366</v>
      </c>
    </row>
    <row r="10" spans="1:31">
      <c r="A10" s="524">
        <v>5</v>
      </c>
      <c r="B10" s="437" t="s">
        <v>2031</v>
      </c>
      <c r="C10" s="451" t="s">
        <v>1976</v>
      </c>
      <c r="D10" s="19" t="s">
        <v>2786</v>
      </c>
      <c r="E10" s="437">
        <v>480</v>
      </c>
      <c r="F10" s="438">
        <v>0</v>
      </c>
      <c r="G10" s="442">
        <v>480</v>
      </c>
      <c r="H10" s="441">
        <v>480</v>
      </c>
      <c r="I10" s="438">
        <v>0</v>
      </c>
      <c r="J10" s="442">
        <v>480</v>
      </c>
      <c r="K10" s="441">
        <v>0</v>
      </c>
      <c r="L10" s="438">
        <v>0</v>
      </c>
      <c r="M10" s="442">
        <v>0</v>
      </c>
      <c r="N10" s="441">
        <v>0</v>
      </c>
      <c r="O10" s="438">
        <v>0</v>
      </c>
      <c r="P10" s="442">
        <v>0</v>
      </c>
      <c r="Q10" s="441">
        <v>0</v>
      </c>
      <c r="R10" s="438">
        <v>0</v>
      </c>
      <c r="S10" s="442">
        <v>0</v>
      </c>
      <c r="T10" s="441">
        <v>0</v>
      </c>
      <c r="U10" s="438">
        <v>0</v>
      </c>
      <c r="V10" s="439">
        <v>0</v>
      </c>
      <c r="W10" s="443">
        <v>960</v>
      </c>
      <c r="X10" s="444">
        <v>0</v>
      </c>
      <c r="Y10" s="445">
        <v>960</v>
      </c>
      <c r="Z10" s="446">
        <v>160</v>
      </c>
      <c r="AA10" s="447">
        <v>0</v>
      </c>
      <c r="AB10" s="448">
        <v>160</v>
      </c>
      <c r="AC10" s="585">
        <f t="shared" si="0"/>
        <v>192</v>
      </c>
      <c r="AD10" s="585">
        <f t="shared" si="1"/>
        <v>0</v>
      </c>
      <c r="AE10" s="585">
        <f t="shared" si="2"/>
        <v>192</v>
      </c>
    </row>
    <row r="11" spans="1:31">
      <c r="A11" s="525">
        <v>3</v>
      </c>
      <c r="B11" s="437" t="s">
        <v>2082</v>
      </c>
      <c r="C11" s="451" t="s">
        <v>2078</v>
      </c>
      <c r="D11" s="19" t="s">
        <v>2786</v>
      </c>
      <c r="E11" s="437">
        <v>48</v>
      </c>
      <c r="F11" s="438">
        <v>0</v>
      </c>
      <c r="G11" s="442">
        <v>48</v>
      </c>
      <c r="H11" s="441">
        <v>70</v>
      </c>
      <c r="I11" s="438">
        <v>0</v>
      </c>
      <c r="J11" s="442">
        <v>70</v>
      </c>
      <c r="K11" s="441">
        <v>93</v>
      </c>
      <c r="L11" s="438">
        <v>0</v>
      </c>
      <c r="M11" s="442">
        <v>93</v>
      </c>
      <c r="N11" s="441">
        <v>0</v>
      </c>
      <c r="O11" s="438">
        <v>0</v>
      </c>
      <c r="P11" s="442">
        <v>0</v>
      </c>
      <c r="Q11" s="441">
        <v>0</v>
      </c>
      <c r="R11" s="438">
        <v>0</v>
      </c>
      <c r="S11" s="442">
        <v>0</v>
      </c>
      <c r="T11" s="441">
        <v>34</v>
      </c>
      <c r="U11" s="438">
        <v>0</v>
      </c>
      <c r="V11" s="439">
        <v>34</v>
      </c>
      <c r="W11" s="443">
        <v>245</v>
      </c>
      <c r="X11" s="444">
        <v>0</v>
      </c>
      <c r="Y11" s="445">
        <v>245</v>
      </c>
      <c r="Z11" s="446">
        <v>40.833333333333336</v>
      </c>
      <c r="AA11" s="447">
        <v>0</v>
      </c>
      <c r="AB11" s="448">
        <v>40.833333333333336</v>
      </c>
      <c r="AC11" s="585">
        <f t="shared" si="0"/>
        <v>49</v>
      </c>
      <c r="AD11" s="585">
        <f t="shared" si="1"/>
        <v>0</v>
      </c>
      <c r="AE11" s="585">
        <f t="shared" si="2"/>
        <v>49</v>
      </c>
    </row>
    <row r="12" spans="1:31">
      <c r="A12" s="524">
        <v>7</v>
      </c>
      <c r="B12" s="437" t="s">
        <v>2084</v>
      </c>
      <c r="C12" s="451" t="s">
        <v>2078</v>
      </c>
      <c r="D12" s="19" t="s">
        <v>2786</v>
      </c>
      <c r="E12" s="437">
        <v>562</v>
      </c>
      <c r="F12" s="438">
        <v>0</v>
      </c>
      <c r="G12" s="442">
        <v>562</v>
      </c>
      <c r="H12" s="441">
        <v>386</v>
      </c>
      <c r="I12" s="438">
        <v>0</v>
      </c>
      <c r="J12" s="442">
        <v>386</v>
      </c>
      <c r="K12" s="441">
        <v>540</v>
      </c>
      <c r="L12" s="438">
        <v>0</v>
      </c>
      <c r="M12" s="442">
        <v>540</v>
      </c>
      <c r="N12" s="441">
        <v>225</v>
      </c>
      <c r="O12" s="438">
        <v>0</v>
      </c>
      <c r="P12" s="442">
        <v>225</v>
      </c>
      <c r="Q12" s="441">
        <v>282</v>
      </c>
      <c r="R12" s="438">
        <v>0</v>
      </c>
      <c r="S12" s="442">
        <v>282</v>
      </c>
      <c r="T12" s="441">
        <v>162</v>
      </c>
      <c r="U12" s="438">
        <v>36</v>
      </c>
      <c r="V12" s="439">
        <v>198</v>
      </c>
      <c r="W12" s="443">
        <v>2157</v>
      </c>
      <c r="X12" s="444">
        <v>36</v>
      </c>
      <c r="Y12" s="445">
        <v>2193</v>
      </c>
      <c r="Z12" s="446">
        <v>359.5</v>
      </c>
      <c r="AA12" s="447">
        <v>6</v>
      </c>
      <c r="AB12" s="448">
        <v>365.5</v>
      </c>
      <c r="AC12" s="585">
        <f t="shared" si="0"/>
        <v>431.4</v>
      </c>
      <c r="AD12" s="585">
        <f t="shared" si="1"/>
        <v>7.2</v>
      </c>
      <c r="AE12" s="585">
        <f t="shared" si="2"/>
        <v>438.6</v>
      </c>
    </row>
    <row r="13" spans="1:31">
      <c r="A13" s="525">
        <v>4</v>
      </c>
      <c r="B13" s="437" t="s">
        <v>2086</v>
      </c>
      <c r="C13" s="451" t="s">
        <v>2045</v>
      </c>
      <c r="D13" s="19" t="s">
        <v>2786</v>
      </c>
      <c r="E13" s="437">
        <v>532</v>
      </c>
      <c r="F13" s="438">
        <v>0</v>
      </c>
      <c r="G13" s="442">
        <v>532</v>
      </c>
      <c r="H13" s="441">
        <v>220</v>
      </c>
      <c r="I13" s="438">
        <v>0</v>
      </c>
      <c r="J13" s="442">
        <v>220</v>
      </c>
      <c r="K13" s="441">
        <v>550</v>
      </c>
      <c r="L13" s="438">
        <v>0</v>
      </c>
      <c r="M13" s="442">
        <v>550</v>
      </c>
      <c r="N13" s="441">
        <v>0</v>
      </c>
      <c r="O13" s="438">
        <v>0</v>
      </c>
      <c r="P13" s="442">
        <v>0</v>
      </c>
      <c r="Q13" s="441">
        <v>620</v>
      </c>
      <c r="R13" s="438">
        <v>0</v>
      </c>
      <c r="S13" s="442">
        <v>620</v>
      </c>
      <c r="T13" s="441">
        <v>397</v>
      </c>
      <c r="U13" s="438">
        <v>0</v>
      </c>
      <c r="V13" s="439">
        <v>397</v>
      </c>
      <c r="W13" s="443">
        <v>2319</v>
      </c>
      <c r="X13" s="444">
        <v>0</v>
      </c>
      <c r="Y13" s="445">
        <v>2319</v>
      </c>
      <c r="Z13" s="446">
        <v>386.5</v>
      </c>
      <c r="AA13" s="447">
        <v>0</v>
      </c>
      <c r="AB13" s="448">
        <v>386.5</v>
      </c>
      <c r="AC13" s="585">
        <f t="shared" si="0"/>
        <v>463.8</v>
      </c>
      <c r="AD13" s="585">
        <f t="shared" si="1"/>
        <v>0</v>
      </c>
      <c r="AE13" s="585">
        <f t="shared" si="2"/>
        <v>463.8</v>
      </c>
    </row>
    <row r="14" spans="1:31" hidden="1">
      <c r="A14" s="628">
        <v>9</v>
      </c>
      <c r="B14" s="629" t="s">
        <v>2089</v>
      </c>
      <c r="C14" s="630" t="s">
        <v>2090</v>
      </c>
      <c r="D14" s="64" t="s">
        <v>2786</v>
      </c>
      <c r="E14" s="437">
        <v>2010</v>
      </c>
      <c r="F14" s="438">
        <v>72</v>
      </c>
      <c r="G14" s="442">
        <v>2082</v>
      </c>
      <c r="H14" s="441">
        <v>2010</v>
      </c>
      <c r="I14" s="438">
        <v>267</v>
      </c>
      <c r="J14" s="442">
        <v>2277</v>
      </c>
      <c r="K14" s="441">
        <v>983</v>
      </c>
      <c r="L14" s="438">
        <v>54</v>
      </c>
      <c r="M14" s="442">
        <v>1037</v>
      </c>
      <c r="N14" s="441">
        <v>1614</v>
      </c>
      <c r="O14" s="438">
        <v>148</v>
      </c>
      <c r="P14" s="442">
        <v>1762</v>
      </c>
      <c r="Q14" s="441">
        <v>2200</v>
      </c>
      <c r="R14" s="438">
        <v>310</v>
      </c>
      <c r="S14" s="442">
        <v>2510</v>
      </c>
      <c r="T14" s="441">
        <v>2602</v>
      </c>
      <c r="U14" s="438">
        <v>90</v>
      </c>
      <c r="V14" s="439">
        <v>2692</v>
      </c>
      <c r="W14" s="443">
        <v>11419</v>
      </c>
      <c r="X14" s="444">
        <v>941</v>
      </c>
      <c r="Y14" s="445">
        <v>12360</v>
      </c>
      <c r="Z14" s="631">
        <v>1903.1666666666667</v>
      </c>
      <c r="AA14" s="632">
        <v>156.83333333333334</v>
      </c>
      <c r="AB14" s="633">
        <v>2060</v>
      </c>
      <c r="AC14" s="585">
        <f t="shared" si="0"/>
        <v>2283.8000000000002</v>
      </c>
      <c r="AD14" s="585">
        <f t="shared" si="1"/>
        <v>188.20000000000002</v>
      </c>
      <c r="AE14" s="585">
        <f t="shared" si="2"/>
        <v>2472</v>
      </c>
    </row>
    <row r="15" spans="1:31">
      <c r="A15" s="525">
        <v>5</v>
      </c>
      <c r="B15" s="437" t="s">
        <v>2092</v>
      </c>
      <c r="C15" s="451" t="s">
        <v>2093</v>
      </c>
      <c r="D15" s="19" t="s">
        <v>2786</v>
      </c>
      <c r="E15" s="437">
        <v>159</v>
      </c>
      <c r="F15" s="438">
        <v>0</v>
      </c>
      <c r="G15" s="442">
        <v>159</v>
      </c>
      <c r="H15" s="441">
        <v>257</v>
      </c>
      <c r="I15" s="438">
        <v>0</v>
      </c>
      <c r="J15" s="442">
        <v>257</v>
      </c>
      <c r="K15" s="441">
        <v>74</v>
      </c>
      <c r="L15" s="438">
        <v>0</v>
      </c>
      <c r="M15" s="442">
        <v>74</v>
      </c>
      <c r="N15" s="441">
        <v>81</v>
      </c>
      <c r="O15" s="438">
        <v>0</v>
      </c>
      <c r="P15" s="442">
        <v>81</v>
      </c>
      <c r="Q15" s="441">
        <v>112</v>
      </c>
      <c r="R15" s="438">
        <v>0</v>
      </c>
      <c r="S15" s="442">
        <v>112</v>
      </c>
      <c r="T15" s="441">
        <v>157</v>
      </c>
      <c r="U15" s="438">
        <v>0</v>
      </c>
      <c r="V15" s="439">
        <v>157</v>
      </c>
      <c r="W15" s="443">
        <v>840</v>
      </c>
      <c r="X15" s="444">
        <v>0</v>
      </c>
      <c r="Y15" s="445">
        <v>840</v>
      </c>
      <c r="Z15" s="446">
        <v>140</v>
      </c>
      <c r="AA15" s="447">
        <v>0</v>
      </c>
      <c r="AB15" s="448">
        <v>140</v>
      </c>
      <c r="AC15" s="585">
        <f t="shared" si="0"/>
        <v>168</v>
      </c>
      <c r="AD15" s="585">
        <f t="shared" si="1"/>
        <v>0</v>
      </c>
      <c r="AE15" s="585">
        <f t="shared" si="2"/>
        <v>168</v>
      </c>
    </row>
    <row r="16" spans="1:31">
      <c r="A16" s="524">
        <v>11</v>
      </c>
      <c r="B16" s="437" t="s">
        <v>2147</v>
      </c>
      <c r="C16" s="451" t="s">
        <v>2095</v>
      </c>
      <c r="D16" s="19" t="s">
        <v>2786</v>
      </c>
      <c r="E16" s="437">
        <v>756</v>
      </c>
      <c r="F16" s="438">
        <v>0</v>
      </c>
      <c r="G16" s="442">
        <v>756</v>
      </c>
      <c r="H16" s="441">
        <v>760</v>
      </c>
      <c r="I16" s="438">
        <v>0</v>
      </c>
      <c r="J16" s="442">
        <v>760</v>
      </c>
      <c r="K16" s="441">
        <v>948</v>
      </c>
      <c r="L16" s="438">
        <v>0</v>
      </c>
      <c r="M16" s="442">
        <v>948</v>
      </c>
      <c r="N16" s="441">
        <v>516</v>
      </c>
      <c r="O16" s="438">
        <v>0</v>
      </c>
      <c r="P16" s="442">
        <v>516</v>
      </c>
      <c r="Q16" s="441">
        <v>798</v>
      </c>
      <c r="R16" s="438"/>
      <c r="S16" s="442">
        <v>798</v>
      </c>
      <c r="T16" s="441">
        <v>1586</v>
      </c>
      <c r="U16" s="438">
        <v>0</v>
      </c>
      <c r="V16" s="439">
        <v>1586</v>
      </c>
      <c r="W16" s="443">
        <v>5364</v>
      </c>
      <c r="X16" s="444">
        <v>0</v>
      </c>
      <c r="Y16" s="445">
        <v>5364</v>
      </c>
      <c r="Z16" s="446">
        <v>894</v>
      </c>
      <c r="AA16" s="447">
        <v>0</v>
      </c>
      <c r="AB16" s="448">
        <v>894</v>
      </c>
      <c r="AC16" s="585">
        <f t="shared" si="0"/>
        <v>1072.8</v>
      </c>
      <c r="AD16" s="585">
        <f t="shared" si="1"/>
        <v>0</v>
      </c>
      <c r="AE16" s="585">
        <f t="shared" si="2"/>
        <v>1072.8</v>
      </c>
    </row>
    <row r="17" spans="1:31">
      <c r="A17" s="525">
        <v>6</v>
      </c>
      <c r="B17" s="437" t="s">
        <v>2149</v>
      </c>
      <c r="C17" s="451" t="s">
        <v>2095</v>
      </c>
      <c r="D17" s="19" t="s">
        <v>2786</v>
      </c>
      <c r="E17" s="437">
        <v>315</v>
      </c>
      <c r="F17" s="438">
        <v>18</v>
      </c>
      <c r="G17" s="442">
        <v>333</v>
      </c>
      <c r="H17" s="441">
        <v>317</v>
      </c>
      <c r="I17" s="438">
        <v>18</v>
      </c>
      <c r="J17" s="442">
        <v>335</v>
      </c>
      <c r="K17" s="441">
        <v>277</v>
      </c>
      <c r="L17" s="438">
        <v>18</v>
      </c>
      <c r="M17" s="442">
        <v>295</v>
      </c>
      <c r="N17" s="441">
        <v>320</v>
      </c>
      <c r="O17" s="438">
        <v>0</v>
      </c>
      <c r="P17" s="442">
        <v>320</v>
      </c>
      <c r="Q17" s="441">
        <v>347</v>
      </c>
      <c r="R17" s="438">
        <v>0</v>
      </c>
      <c r="S17" s="442">
        <v>347</v>
      </c>
      <c r="T17" s="441">
        <v>237</v>
      </c>
      <c r="U17" s="438">
        <v>0</v>
      </c>
      <c r="V17" s="439">
        <v>237</v>
      </c>
      <c r="W17" s="443">
        <v>1813</v>
      </c>
      <c r="X17" s="444">
        <v>54</v>
      </c>
      <c r="Y17" s="445">
        <v>1867</v>
      </c>
      <c r="Z17" s="446">
        <v>302.16666666666669</v>
      </c>
      <c r="AA17" s="447">
        <v>9</v>
      </c>
      <c r="AB17" s="448">
        <v>311.16666666666669</v>
      </c>
      <c r="AC17" s="585">
        <f t="shared" si="0"/>
        <v>362.6</v>
      </c>
      <c r="AD17" s="585">
        <f t="shared" si="1"/>
        <v>10.8</v>
      </c>
      <c r="AE17" s="585">
        <f t="shared" si="2"/>
        <v>373.40000000000003</v>
      </c>
    </row>
    <row r="18" spans="1:31">
      <c r="A18" s="524">
        <v>7</v>
      </c>
      <c r="B18" s="437" t="s">
        <v>2151</v>
      </c>
      <c r="C18" s="451" t="s">
        <v>2095</v>
      </c>
      <c r="D18" s="19" t="s">
        <v>2786</v>
      </c>
      <c r="E18" s="437">
        <v>76</v>
      </c>
      <c r="F18" s="438">
        <v>0</v>
      </c>
      <c r="G18" s="442">
        <v>76</v>
      </c>
      <c r="H18" s="441">
        <v>101</v>
      </c>
      <c r="I18" s="438">
        <v>0</v>
      </c>
      <c r="J18" s="442">
        <v>101</v>
      </c>
      <c r="K18" s="441">
        <v>0</v>
      </c>
      <c r="L18" s="438">
        <v>0</v>
      </c>
      <c r="M18" s="442">
        <v>0</v>
      </c>
      <c r="N18" s="441">
        <v>0</v>
      </c>
      <c r="O18" s="438">
        <v>0</v>
      </c>
      <c r="P18" s="442">
        <v>0</v>
      </c>
      <c r="Q18" s="441">
        <v>0</v>
      </c>
      <c r="R18" s="438">
        <v>0</v>
      </c>
      <c r="S18" s="442">
        <v>0</v>
      </c>
      <c r="T18" s="441">
        <v>98</v>
      </c>
      <c r="U18" s="438">
        <v>0</v>
      </c>
      <c r="V18" s="439">
        <v>98</v>
      </c>
      <c r="W18" s="443">
        <v>275</v>
      </c>
      <c r="X18" s="444">
        <v>0</v>
      </c>
      <c r="Y18" s="445">
        <v>275</v>
      </c>
      <c r="Z18" s="446">
        <v>45.833333333333336</v>
      </c>
      <c r="AA18" s="447">
        <v>0</v>
      </c>
      <c r="AB18" s="448">
        <v>45.833333333333336</v>
      </c>
      <c r="AC18" s="585">
        <f t="shared" si="0"/>
        <v>55</v>
      </c>
      <c r="AD18" s="585">
        <f t="shared" si="1"/>
        <v>0</v>
      </c>
      <c r="AE18" s="585">
        <f t="shared" si="2"/>
        <v>55</v>
      </c>
    </row>
    <row r="19" spans="1:31">
      <c r="A19" s="525">
        <v>8</v>
      </c>
      <c r="B19" s="437" t="s">
        <v>2153</v>
      </c>
      <c r="C19" s="451" t="s">
        <v>2154</v>
      </c>
      <c r="D19" s="19" t="s">
        <v>2786</v>
      </c>
      <c r="E19" s="437">
        <v>0</v>
      </c>
      <c r="F19" s="438">
        <v>0</v>
      </c>
      <c r="G19" s="442">
        <v>0</v>
      </c>
      <c r="H19" s="441">
        <v>620</v>
      </c>
      <c r="I19" s="438">
        <v>0</v>
      </c>
      <c r="J19" s="442">
        <v>620</v>
      </c>
      <c r="K19" s="441">
        <v>600</v>
      </c>
      <c r="L19" s="438">
        <v>0</v>
      </c>
      <c r="M19" s="442">
        <v>600</v>
      </c>
      <c r="N19" s="441">
        <v>430</v>
      </c>
      <c r="O19" s="438">
        <v>0</v>
      </c>
      <c r="P19" s="442">
        <v>430</v>
      </c>
      <c r="Q19" s="441">
        <v>700</v>
      </c>
      <c r="R19" s="438">
        <v>0</v>
      </c>
      <c r="S19" s="442">
        <v>700</v>
      </c>
      <c r="T19" s="441">
        <v>1460</v>
      </c>
      <c r="U19" s="438">
        <v>0</v>
      </c>
      <c r="V19" s="439">
        <v>1460</v>
      </c>
      <c r="W19" s="443">
        <v>3810</v>
      </c>
      <c r="X19" s="444">
        <v>0</v>
      </c>
      <c r="Y19" s="445">
        <v>3810</v>
      </c>
      <c r="Z19" s="446">
        <v>635</v>
      </c>
      <c r="AA19" s="447">
        <v>0</v>
      </c>
      <c r="AB19" s="448">
        <v>635</v>
      </c>
      <c r="AC19" s="585">
        <f t="shared" si="0"/>
        <v>762</v>
      </c>
      <c r="AD19" s="585">
        <f t="shared" si="1"/>
        <v>0</v>
      </c>
      <c r="AE19" s="585">
        <f t="shared" si="2"/>
        <v>762</v>
      </c>
    </row>
    <row r="20" spans="1:31" hidden="1">
      <c r="A20" s="628">
        <v>15</v>
      </c>
      <c r="B20" s="629" t="s">
        <v>2156</v>
      </c>
      <c r="C20" s="630" t="s">
        <v>2154</v>
      </c>
      <c r="D20" s="64" t="s">
        <v>2786</v>
      </c>
      <c r="E20" s="437">
        <v>1070</v>
      </c>
      <c r="F20" s="438">
        <v>0</v>
      </c>
      <c r="G20" s="442">
        <v>1070</v>
      </c>
      <c r="H20" s="441">
        <v>1006</v>
      </c>
      <c r="I20" s="438">
        <v>126</v>
      </c>
      <c r="J20" s="442">
        <v>1132</v>
      </c>
      <c r="K20" s="441">
        <v>1084</v>
      </c>
      <c r="L20" s="438">
        <v>36</v>
      </c>
      <c r="M20" s="442">
        <v>1120</v>
      </c>
      <c r="N20" s="441">
        <v>884</v>
      </c>
      <c r="O20" s="438">
        <v>18</v>
      </c>
      <c r="P20" s="442">
        <v>902</v>
      </c>
      <c r="Q20" s="441">
        <v>885</v>
      </c>
      <c r="R20" s="438">
        <v>54</v>
      </c>
      <c r="S20" s="442">
        <v>939</v>
      </c>
      <c r="T20" s="441">
        <v>1540</v>
      </c>
      <c r="U20" s="438">
        <v>36</v>
      </c>
      <c r="V20" s="439">
        <v>1576</v>
      </c>
      <c r="W20" s="443">
        <v>6469</v>
      </c>
      <c r="X20" s="444">
        <v>270</v>
      </c>
      <c r="Y20" s="445">
        <v>6739</v>
      </c>
      <c r="Z20" s="631">
        <v>1078.1666666666667</v>
      </c>
      <c r="AA20" s="632">
        <v>45</v>
      </c>
      <c r="AB20" s="633">
        <v>1123.1666666666667</v>
      </c>
      <c r="AC20" s="585">
        <f t="shared" si="0"/>
        <v>1293.8000000000002</v>
      </c>
      <c r="AD20" s="585">
        <f t="shared" si="1"/>
        <v>54</v>
      </c>
      <c r="AE20" s="585">
        <f t="shared" si="2"/>
        <v>1347.8000000000002</v>
      </c>
    </row>
    <row r="21" spans="1:31">
      <c r="A21" s="525">
        <v>9</v>
      </c>
      <c r="B21" s="437" t="s">
        <v>2192</v>
      </c>
      <c r="C21" s="451" t="s">
        <v>2159</v>
      </c>
      <c r="D21" s="19" t="s">
        <v>2786</v>
      </c>
      <c r="E21" s="437">
        <v>0</v>
      </c>
      <c r="F21" s="438">
        <v>0</v>
      </c>
      <c r="G21" s="442">
        <v>0</v>
      </c>
      <c r="H21" s="441">
        <v>208</v>
      </c>
      <c r="I21" s="438">
        <v>0</v>
      </c>
      <c r="J21" s="442">
        <v>208</v>
      </c>
      <c r="K21" s="441">
        <v>0</v>
      </c>
      <c r="L21" s="438">
        <v>0</v>
      </c>
      <c r="M21" s="442">
        <v>0</v>
      </c>
      <c r="N21" s="441">
        <v>0</v>
      </c>
      <c r="O21" s="438">
        <v>0</v>
      </c>
      <c r="P21" s="442">
        <v>0</v>
      </c>
      <c r="Q21" s="441">
        <v>0</v>
      </c>
      <c r="R21" s="438">
        <v>0</v>
      </c>
      <c r="S21" s="442">
        <v>0</v>
      </c>
      <c r="T21" s="441">
        <v>0</v>
      </c>
      <c r="U21" s="438">
        <v>0</v>
      </c>
      <c r="V21" s="439">
        <v>0</v>
      </c>
      <c r="W21" s="443">
        <v>208</v>
      </c>
      <c r="X21" s="444">
        <v>0</v>
      </c>
      <c r="Y21" s="445">
        <v>208</v>
      </c>
      <c r="Z21" s="446">
        <v>34.666666666666664</v>
      </c>
      <c r="AA21" s="447">
        <v>0</v>
      </c>
      <c r="AB21" s="448">
        <v>34.666666666666664</v>
      </c>
      <c r="AC21" s="585">
        <f t="shared" si="0"/>
        <v>41.599999999999994</v>
      </c>
      <c r="AD21" s="585">
        <f t="shared" si="1"/>
        <v>0</v>
      </c>
      <c r="AE21" s="585">
        <f t="shared" si="2"/>
        <v>41.599999999999994</v>
      </c>
    </row>
    <row r="22" spans="1:31">
      <c r="A22" s="524">
        <v>10</v>
      </c>
      <c r="B22" s="437" t="s">
        <v>2194</v>
      </c>
      <c r="C22" s="451" t="s">
        <v>2159</v>
      </c>
      <c r="D22" s="19" t="s">
        <v>2786</v>
      </c>
      <c r="E22" s="437">
        <v>310</v>
      </c>
      <c r="F22" s="438">
        <v>0</v>
      </c>
      <c r="G22" s="442">
        <v>310</v>
      </c>
      <c r="H22" s="441">
        <v>304</v>
      </c>
      <c r="I22" s="438">
        <v>0</v>
      </c>
      <c r="J22" s="442">
        <v>304</v>
      </c>
      <c r="K22" s="441">
        <v>0</v>
      </c>
      <c r="L22" s="438">
        <v>0</v>
      </c>
      <c r="M22" s="442">
        <v>0</v>
      </c>
      <c r="N22" s="441">
        <v>0</v>
      </c>
      <c r="O22" s="438">
        <v>0</v>
      </c>
      <c r="P22" s="442">
        <v>0</v>
      </c>
      <c r="Q22" s="441">
        <v>570</v>
      </c>
      <c r="R22" s="438">
        <v>0</v>
      </c>
      <c r="S22" s="442">
        <v>570</v>
      </c>
      <c r="T22" s="441">
        <v>608</v>
      </c>
      <c r="U22" s="438">
        <v>0</v>
      </c>
      <c r="V22" s="439">
        <v>608</v>
      </c>
      <c r="W22" s="443">
        <v>1792</v>
      </c>
      <c r="X22" s="444">
        <v>0</v>
      </c>
      <c r="Y22" s="445">
        <v>1792</v>
      </c>
      <c r="Z22" s="446">
        <v>298.66666666666669</v>
      </c>
      <c r="AA22" s="447">
        <v>0</v>
      </c>
      <c r="AB22" s="448">
        <v>298.66666666666669</v>
      </c>
      <c r="AC22" s="585">
        <f t="shared" si="0"/>
        <v>358.40000000000003</v>
      </c>
      <c r="AD22" s="585">
        <f t="shared" si="1"/>
        <v>0</v>
      </c>
      <c r="AE22" s="585">
        <f t="shared" si="2"/>
        <v>358.40000000000003</v>
      </c>
    </row>
    <row r="23" spans="1:31">
      <c r="A23" s="525">
        <v>11</v>
      </c>
      <c r="B23" s="437" t="s">
        <v>2196</v>
      </c>
      <c r="C23" s="451" t="s">
        <v>2159</v>
      </c>
      <c r="D23" s="19" t="s">
        <v>2786</v>
      </c>
      <c r="E23" s="437">
        <v>0</v>
      </c>
      <c r="F23" s="438">
        <v>0</v>
      </c>
      <c r="G23" s="442">
        <v>0</v>
      </c>
      <c r="H23" s="441">
        <v>340</v>
      </c>
      <c r="I23" s="438">
        <v>0</v>
      </c>
      <c r="J23" s="442">
        <v>340</v>
      </c>
      <c r="K23" s="441">
        <v>0</v>
      </c>
      <c r="L23" s="438">
        <v>0</v>
      </c>
      <c r="M23" s="442">
        <v>0</v>
      </c>
      <c r="N23" s="441">
        <v>0</v>
      </c>
      <c r="O23" s="438">
        <v>0</v>
      </c>
      <c r="P23" s="442">
        <v>0</v>
      </c>
      <c r="Q23" s="441"/>
      <c r="R23" s="438">
        <v>0</v>
      </c>
      <c r="S23" s="442">
        <v>0</v>
      </c>
      <c r="T23" s="441">
        <v>0</v>
      </c>
      <c r="U23" s="438">
        <v>0</v>
      </c>
      <c r="V23" s="439">
        <v>0</v>
      </c>
      <c r="W23" s="443">
        <v>340</v>
      </c>
      <c r="X23" s="444">
        <v>0</v>
      </c>
      <c r="Y23" s="445">
        <v>340</v>
      </c>
      <c r="Z23" s="446">
        <v>56.666666666666664</v>
      </c>
      <c r="AA23" s="447">
        <v>0</v>
      </c>
      <c r="AB23" s="448">
        <v>56.666666666666664</v>
      </c>
      <c r="AC23" s="585">
        <f t="shared" si="0"/>
        <v>68</v>
      </c>
      <c r="AD23" s="585">
        <f t="shared" si="1"/>
        <v>0</v>
      </c>
      <c r="AE23" s="585">
        <f t="shared" si="2"/>
        <v>68</v>
      </c>
    </row>
    <row r="24" spans="1:31">
      <c r="A24" s="524">
        <v>12</v>
      </c>
      <c r="B24" s="437" t="s">
        <v>2239</v>
      </c>
      <c r="C24" s="451" t="s">
        <v>2199</v>
      </c>
      <c r="D24" s="19" t="s">
        <v>2786</v>
      </c>
      <c r="E24" s="437">
        <v>0</v>
      </c>
      <c r="F24" s="438">
        <v>0</v>
      </c>
      <c r="G24" s="442">
        <v>0</v>
      </c>
      <c r="H24" s="441">
        <v>0</v>
      </c>
      <c r="I24" s="438">
        <v>0</v>
      </c>
      <c r="J24" s="442">
        <v>0</v>
      </c>
      <c r="K24" s="441">
        <v>100</v>
      </c>
      <c r="L24" s="438">
        <v>0</v>
      </c>
      <c r="M24" s="442">
        <v>100</v>
      </c>
      <c r="N24" s="441">
        <v>0</v>
      </c>
      <c r="O24" s="438">
        <v>0</v>
      </c>
      <c r="P24" s="442">
        <v>0</v>
      </c>
      <c r="Q24" s="441">
        <v>0</v>
      </c>
      <c r="R24" s="438">
        <v>0</v>
      </c>
      <c r="S24" s="442">
        <v>0</v>
      </c>
      <c r="T24" s="441">
        <v>0</v>
      </c>
      <c r="U24" s="438">
        <v>0</v>
      </c>
      <c r="V24" s="439">
        <v>0</v>
      </c>
      <c r="W24" s="443">
        <v>100</v>
      </c>
      <c r="X24" s="444">
        <v>0</v>
      </c>
      <c r="Y24" s="445">
        <v>100</v>
      </c>
      <c r="Z24" s="446">
        <v>16.666666666666668</v>
      </c>
      <c r="AA24" s="447">
        <v>0</v>
      </c>
      <c r="AB24" s="448">
        <v>16.666666666666668</v>
      </c>
      <c r="AC24" s="585">
        <f t="shared" si="0"/>
        <v>20</v>
      </c>
      <c r="AD24" s="585">
        <f t="shared" si="1"/>
        <v>0</v>
      </c>
      <c r="AE24" s="585">
        <f t="shared" si="2"/>
        <v>20</v>
      </c>
    </row>
    <row r="25" spans="1:31">
      <c r="A25" s="525">
        <v>13</v>
      </c>
      <c r="B25" s="437" t="s">
        <v>2241</v>
      </c>
      <c r="C25" s="451" t="s">
        <v>2199</v>
      </c>
      <c r="D25" s="19" t="s">
        <v>2786</v>
      </c>
      <c r="E25" s="437">
        <v>0</v>
      </c>
      <c r="F25" s="438">
        <v>0</v>
      </c>
      <c r="G25" s="442">
        <v>0</v>
      </c>
      <c r="H25" s="441">
        <v>270</v>
      </c>
      <c r="I25" s="438">
        <v>0</v>
      </c>
      <c r="J25" s="442">
        <v>270</v>
      </c>
      <c r="K25" s="441">
        <v>175</v>
      </c>
      <c r="L25" s="438">
        <v>0</v>
      </c>
      <c r="M25" s="442">
        <v>175</v>
      </c>
      <c r="N25" s="441">
        <v>172</v>
      </c>
      <c r="O25" s="438">
        <v>0</v>
      </c>
      <c r="P25" s="442">
        <v>172</v>
      </c>
      <c r="Q25" s="441">
        <v>146</v>
      </c>
      <c r="R25" s="438">
        <v>0</v>
      </c>
      <c r="S25" s="442">
        <v>146</v>
      </c>
      <c r="T25" s="441">
        <v>284</v>
      </c>
      <c r="U25" s="438">
        <v>0</v>
      </c>
      <c r="V25" s="439">
        <v>284</v>
      </c>
      <c r="W25" s="443">
        <v>1047</v>
      </c>
      <c r="X25" s="444">
        <v>0</v>
      </c>
      <c r="Y25" s="445">
        <v>1047</v>
      </c>
      <c r="Z25" s="446">
        <v>174.5</v>
      </c>
      <c r="AA25" s="447">
        <v>0</v>
      </c>
      <c r="AB25" s="448">
        <v>174.5</v>
      </c>
      <c r="AC25" s="585">
        <f t="shared" si="0"/>
        <v>209.4</v>
      </c>
      <c r="AD25" s="585">
        <f t="shared" si="1"/>
        <v>0</v>
      </c>
      <c r="AE25" s="585">
        <f t="shared" si="2"/>
        <v>209.4</v>
      </c>
    </row>
    <row r="26" spans="1:31" hidden="1">
      <c r="A26" s="628">
        <v>21</v>
      </c>
      <c r="B26" s="634" t="s">
        <v>2275</v>
      </c>
      <c r="C26" s="635" t="s">
        <v>2276</v>
      </c>
      <c r="D26" s="64" t="s">
        <v>2786</v>
      </c>
      <c r="E26" s="437">
        <v>2530</v>
      </c>
      <c r="F26" s="438">
        <v>108</v>
      </c>
      <c r="G26" s="442">
        <v>2638</v>
      </c>
      <c r="H26" s="441">
        <v>3192</v>
      </c>
      <c r="I26" s="438">
        <v>270</v>
      </c>
      <c r="J26" s="442">
        <v>3462</v>
      </c>
      <c r="K26" s="441">
        <v>2066</v>
      </c>
      <c r="L26" s="438">
        <v>180</v>
      </c>
      <c r="M26" s="442">
        <v>2246</v>
      </c>
      <c r="N26" s="441">
        <v>1296</v>
      </c>
      <c r="O26" s="438">
        <v>36</v>
      </c>
      <c r="P26" s="442">
        <v>1332</v>
      </c>
      <c r="Q26" s="441">
        <v>3290</v>
      </c>
      <c r="R26" s="438">
        <v>216</v>
      </c>
      <c r="S26" s="442">
        <v>3506</v>
      </c>
      <c r="T26" s="441">
        <v>746</v>
      </c>
      <c r="U26" s="438">
        <v>108</v>
      </c>
      <c r="V26" s="439">
        <v>854</v>
      </c>
      <c r="W26" s="443">
        <v>13120</v>
      </c>
      <c r="X26" s="444">
        <v>918</v>
      </c>
      <c r="Y26" s="445">
        <v>14038</v>
      </c>
      <c r="Z26" s="631">
        <v>2186.6666666666665</v>
      </c>
      <c r="AA26" s="632">
        <v>153</v>
      </c>
      <c r="AB26" s="633">
        <v>2339.6666666666665</v>
      </c>
      <c r="AC26" s="585">
        <f t="shared" si="0"/>
        <v>2624</v>
      </c>
      <c r="AD26" s="585">
        <f t="shared" si="1"/>
        <v>183.6</v>
      </c>
      <c r="AE26" s="585">
        <f t="shared" si="2"/>
        <v>2807.6</v>
      </c>
    </row>
    <row r="27" spans="1:31">
      <c r="A27" s="525">
        <v>22</v>
      </c>
      <c r="B27" s="437" t="s">
        <v>2278</v>
      </c>
      <c r="C27" s="451" t="s">
        <v>2279</v>
      </c>
      <c r="D27" s="19" t="s">
        <v>2786</v>
      </c>
      <c r="E27" s="437">
        <v>1170</v>
      </c>
      <c r="F27" s="438">
        <v>0</v>
      </c>
      <c r="G27" s="442">
        <v>1170</v>
      </c>
      <c r="H27" s="441">
        <v>1170</v>
      </c>
      <c r="I27" s="438">
        <v>0</v>
      </c>
      <c r="J27" s="442">
        <v>1170</v>
      </c>
      <c r="K27" s="441">
        <v>1000</v>
      </c>
      <c r="L27" s="438">
        <v>0</v>
      </c>
      <c r="M27" s="442">
        <v>1000</v>
      </c>
      <c r="N27" s="441">
        <v>0</v>
      </c>
      <c r="O27" s="438">
        <v>0</v>
      </c>
      <c r="P27" s="442">
        <v>0</v>
      </c>
      <c r="Q27" s="441">
        <v>2048</v>
      </c>
      <c r="R27" s="438">
        <v>0</v>
      </c>
      <c r="S27" s="442">
        <v>2048</v>
      </c>
      <c r="T27" s="441">
        <v>2349</v>
      </c>
      <c r="U27" s="438">
        <v>0</v>
      </c>
      <c r="V27" s="439">
        <v>2349</v>
      </c>
      <c r="W27" s="443">
        <v>7737</v>
      </c>
      <c r="X27" s="444">
        <v>0</v>
      </c>
      <c r="Y27" s="445">
        <v>7737</v>
      </c>
      <c r="Z27" s="446">
        <v>1289.5</v>
      </c>
      <c r="AA27" s="447">
        <v>0</v>
      </c>
      <c r="AB27" s="448">
        <v>1289.5</v>
      </c>
      <c r="AC27" s="585">
        <f t="shared" si="0"/>
        <v>1547.4</v>
      </c>
      <c r="AD27" s="585">
        <f t="shared" si="1"/>
        <v>0</v>
      </c>
      <c r="AE27" s="585">
        <f t="shared" si="2"/>
        <v>1547.4</v>
      </c>
    </row>
    <row r="28" spans="1:31" ht="15.75">
      <c r="A28" s="524">
        <v>14</v>
      </c>
      <c r="B28" s="480" t="s">
        <v>2281</v>
      </c>
      <c r="C28" s="451" t="s">
        <v>2282</v>
      </c>
      <c r="D28" s="19" t="s">
        <v>2786</v>
      </c>
      <c r="E28" s="457"/>
      <c r="F28" s="457"/>
      <c r="G28" s="457"/>
      <c r="H28" s="457"/>
      <c r="I28" s="457"/>
      <c r="J28" s="457"/>
      <c r="K28" s="457"/>
      <c r="L28" s="457"/>
      <c r="M28" s="458"/>
      <c r="N28" s="459">
        <v>0</v>
      </c>
      <c r="O28" s="460">
        <v>0</v>
      </c>
      <c r="P28" s="442">
        <v>0</v>
      </c>
      <c r="Q28" s="459">
        <v>106</v>
      </c>
      <c r="R28" s="460">
        <v>0</v>
      </c>
      <c r="S28" s="442">
        <v>106</v>
      </c>
      <c r="T28" s="459">
        <v>140</v>
      </c>
      <c r="U28" s="460">
        <v>0</v>
      </c>
      <c r="V28" s="439">
        <v>140</v>
      </c>
      <c r="W28" s="443">
        <v>246</v>
      </c>
      <c r="X28" s="444">
        <v>0</v>
      </c>
      <c r="Y28" s="445">
        <v>246</v>
      </c>
      <c r="Z28" s="446">
        <v>41</v>
      </c>
      <c r="AA28" s="447">
        <v>0</v>
      </c>
      <c r="AB28" s="448">
        <v>41</v>
      </c>
      <c r="AC28" s="585">
        <f t="shared" si="0"/>
        <v>49.2</v>
      </c>
      <c r="AD28" s="585">
        <f t="shared" si="1"/>
        <v>0</v>
      </c>
      <c r="AE28" s="585">
        <f t="shared" si="2"/>
        <v>49.2</v>
      </c>
    </row>
    <row r="29" spans="1:31" ht="15.75">
      <c r="A29" s="524">
        <v>25</v>
      </c>
      <c r="B29" s="461" t="s">
        <v>2286</v>
      </c>
      <c r="C29" s="451" t="s">
        <v>2282</v>
      </c>
      <c r="D29" s="19" t="s">
        <v>2786</v>
      </c>
      <c r="E29" s="466"/>
      <c r="F29" s="466"/>
      <c r="G29" s="466"/>
      <c r="H29" s="466"/>
      <c r="I29" s="466"/>
      <c r="J29" s="466"/>
      <c r="K29" s="466"/>
      <c r="L29" s="466"/>
      <c r="M29" s="467"/>
      <c r="N29" s="459">
        <v>0</v>
      </c>
      <c r="O29" s="460">
        <v>0</v>
      </c>
      <c r="P29" s="442">
        <v>0</v>
      </c>
      <c r="Q29" s="459">
        <v>4205</v>
      </c>
      <c r="R29" s="460">
        <v>0</v>
      </c>
      <c r="S29" s="442">
        <v>4205</v>
      </c>
      <c r="T29" s="459">
        <v>0</v>
      </c>
      <c r="U29" s="460">
        <v>0</v>
      </c>
      <c r="V29" s="439">
        <v>0</v>
      </c>
      <c r="W29" s="443">
        <v>4205</v>
      </c>
      <c r="X29" s="444">
        <v>0</v>
      </c>
      <c r="Y29" s="445">
        <v>4205</v>
      </c>
      <c r="Z29" s="446">
        <v>700.83333333333337</v>
      </c>
      <c r="AA29" s="447">
        <v>0</v>
      </c>
      <c r="AB29" s="448">
        <v>700.83333333333337</v>
      </c>
      <c r="AC29" s="585">
        <f t="shared" si="0"/>
        <v>841</v>
      </c>
      <c r="AD29" s="585">
        <f t="shared" si="1"/>
        <v>0</v>
      </c>
      <c r="AE29" s="585">
        <f t="shared" si="2"/>
        <v>841</v>
      </c>
    </row>
    <row r="30" spans="1:31" ht="15.75">
      <c r="A30" s="525">
        <v>15</v>
      </c>
      <c r="B30" s="348" t="s">
        <v>2337</v>
      </c>
      <c r="C30" s="323" t="s">
        <v>2292</v>
      </c>
      <c r="D30" s="492" t="s">
        <v>2788</v>
      </c>
      <c r="E30" s="326">
        <v>0</v>
      </c>
      <c r="F30" s="327">
        <v>0</v>
      </c>
      <c r="G30" s="318">
        <f t="shared" ref="G30:G31" si="3">E30+F30</f>
        <v>0</v>
      </c>
      <c r="H30" s="326">
        <v>135</v>
      </c>
      <c r="I30" s="327">
        <v>0</v>
      </c>
      <c r="J30" s="318">
        <f t="shared" ref="J30:J31" si="4">H30+I30</f>
        <v>135</v>
      </c>
      <c r="K30" s="326">
        <v>211</v>
      </c>
      <c r="L30" s="327">
        <v>0</v>
      </c>
      <c r="M30" s="318">
        <f t="shared" ref="M30:M31" si="5">K30+L30</f>
        <v>211</v>
      </c>
      <c r="N30" s="326">
        <v>0</v>
      </c>
      <c r="O30" s="327">
        <v>0</v>
      </c>
      <c r="P30" s="318">
        <f t="shared" ref="P30:P31" si="6">N30+O30</f>
        <v>0</v>
      </c>
      <c r="Q30" s="326">
        <v>142</v>
      </c>
      <c r="R30" s="327">
        <v>0</v>
      </c>
      <c r="S30" s="318">
        <f t="shared" ref="S30:S31" si="7">Q30+R30</f>
        <v>142</v>
      </c>
      <c r="T30" s="326">
        <v>0</v>
      </c>
      <c r="U30" s="327">
        <v>0</v>
      </c>
      <c r="V30" s="318">
        <f t="shared" ref="V30:V31" si="8">T30+U30</f>
        <v>0</v>
      </c>
      <c r="W30" s="319">
        <f t="shared" ref="W30:Y31" si="9">E30+H30+K30+N30+Q30+T30</f>
        <v>488</v>
      </c>
      <c r="X30" s="19">
        <f t="shared" si="9"/>
        <v>0</v>
      </c>
      <c r="Y30" s="320">
        <f t="shared" si="9"/>
        <v>488</v>
      </c>
      <c r="Z30" s="321">
        <f t="shared" ref="Z30:AB31" si="10">W30/6</f>
        <v>81.333333333333329</v>
      </c>
      <c r="AA30" s="60">
        <f t="shared" si="10"/>
        <v>0</v>
      </c>
      <c r="AB30" s="322">
        <f t="shared" si="10"/>
        <v>81.333333333333329</v>
      </c>
      <c r="AC30" s="585">
        <f t="shared" si="0"/>
        <v>97.6</v>
      </c>
      <c r="AD30" s="585">
        <f t="shared" si="1"/>
        <v>0</v>
      </c>
      <c r="AE30" s="585">
        <f t="shared" si="2"/>
        <v>97.6</v>
      </c>
    </row>
    <row r="31" spans="1:31" ht="15.75" hidden="1">
      <c r="A31" s="628">
        <v>27</v>
      </c>
      <c r="B31" s="636" t="s">
        <v>2339</v>
      </c>
      <c r="C31" s="637" t="s">
        <v>2292</v>
      </c>
      <c r="D31" s="64" t="s">
        <v>2788</v>
      </c>
      <c r="E31" s="537">
        <v>1168</v>
      </c>
      <c r="F31" s="327">
        <v>72</v>
      </c>
      <c r="G31" s="318">
        <f t="shared" si="3"/>
        <v>1240</v>
      </c>
      <c r="H31" s="326">
        <v>1410</v>
      </c>
      <c r="I31" s="327">
        <v>72</v>
      </c>
      <c r="J31" s="318">
        <f t="shared" si="4"/>
        <v>1482</v>
      </c>
      <c r="K31" s="326">
        <v>1170</v>
      </c>
      <c r="L31" s="327">
        <v>72</v>
      </c>
      <c r="M31" s="318">
        <f t="shared" si="5"/>
        <v>1242</v>
      </c>
      <c r="N31" s="326">
        <v>610</v>
      </c>
      <c r="O31" s="327">
        <v>0</v>
      </c>
      <c r="P31" s="318">
        <f t="shared" si="6"/>
        <v>610</v>
      </c>
      <c r="Q31" s="326">
        <v>2750</v>
      </c>
      <c r="R31" s="327">
        <v>288</v>
      </c>
      <c r="S31" s="318">
        <f t="shared" si="7"/>
        <v>3038</v>
      </c>
      <c r="T31" s="326">
        <v>624</v>
      </c>
      <c r="U31" s="327">
        <v>72</v>
      </c>
      <c r="V31" s="318">
        <f t="shared" si="8"/>
        <v>696</v>
      </c>
      <c r="W31" s="319">
        <f t="shared" si="9"/>
        <v>7732</v>
      </c>
      <c r="X31" s="19">
        <f t="shared" si="9"/>
        <v>576</v>
      </c>
      <c r="Y31" s="320">
        <f t="shared" si="9"/>
        <v>8308</v>
      </c>
      <c r="Z31" s="310">
        <f t="shared" si="10"/>
        <v>1288.6666666666667</v>
      </c>
      <c r="AA31" s="65">
        <f t="shared" si="10"/>
        <v>96</v>
      </c>
      <c r="AB31" s="311">
        <f t="shared" si="10"/>
        <v>1384.6666666666667</v>
      </c>
      <c r="AC31" s="585">
        <f t="shared" si="0"/>
        <v>1546.4</v>
      </c>
      <c r="AD31" s="585">
        <f t="shared" si="1"/>
        <v>115.2</v>
      </c>
      <c r="AE31" s="585">
        <f t="shared" si="2"/>
        <v>1661.6000000000001</v>
      </c>
    </row>
    <row r="32" spans="1:31" ht="15.75">
      <c r="A32" s="525">
        <v>16</v>
      </c>
      <c r="B32" s="461" t="s">
        <v>2400</v>
      </c>
      <c r="C32" s="451" t="s">
        <v>2282</v>
      </c>
      <c r="D32" s="19" t="s">
        <v>2788</v>
      </c>
      <c r="E32" s="538">
        <v>41</v>
      </c>
      <c r="F32" s="460">
        <v>0</v>
      </c>
      <c r="G32" s="442">
        <f t="shared" ref="G32:G44" si="11">E32+F32</f>
        <v>41</v>
      </c>
      <c r="H32" s="459">
        <v>112</v>
      </c>
      <c r="I32" s="460">
        <v>0</v>
      </c>
      <c r="J32" s="442">
        <f t="shared" ref="J32:J44" si="12">H32+I32</f>
        <v>112</v>
      </c>
      <c r="K32" s="459">
        <v>112</v>
      </c>
      <c r="L32" s="460">
        <v>0</v>
      </c>
      <c r="M32" s="442">
        <f t="shared" ref="M32:M44" si="13">K32+L32</f>
        <v>112</v>
      </c>
      <c r="N32" s="459">
        <v>59</v>
      </c>
      <c r="O32" s="460">
        <v>0</v>
      </c>
      <c r="P32" s="442">
        <f t="shared" ref="P32:P44" si="14">N32+O32</f>
        <v>59</v>
      </c>
      <c r="Q32" s="459">
        <v>61</v>
      </c>
      <c r="R32" s="460">
        <v>0</v>
      </c>
      <c r="S32" s="442">
        <f t="shared" ref="S32:S44" si="15">Q32+R32</f>
        <v>61</v>
      </c>
      <c r="T32" s="459">
        <v>0</v>
      </c>
      <c r="U32" s="460">
        <v>0</v>
      </c>
      <c r="V32" s="442">
        <f t="shared" ref="V32:V44" si="16">T32+U32</f>
        <v>0</v>
      </c>
      <c r="W32" s="482">
        <f t="shared" ref="W32:W44" si="17">E32+H32+K32+N32+Q32+T32</f>
        <v>385</v>
      </c>
      <c r="X32" s="54">
        <f t="shared" ref="X32:X44" si="18">F32+I32+L32+O32+R32+U32</f>
        <v>0</v>
      </c>
      <c r="Y32" s="483">
        <f t="shared" ref="Y32:Y44" si="19">G32+J32+M32+P32+S32+V32</f>
        <v>385</v>
      </c>
      <c r="Z32" s="484">
        <f t="shared" ref="Z32:Z44" si="20">W32/6</f>
        <v>64.166666666666671</v>
      </c>
      <c r="AA32" s="485">
        <f t="shared" ref="AA32:AA44" si="21">X32/6</f>
        <v>0</v>
      </c>
      <c r="AB32" s="486">
        <f t="shared" ref="AB32:AB44" si="22">Y32/6</f>
        <v>64.166666666666671</v>
      </c>
      <c r="AC32" s="585">
        <f t="shared" si="0"/>
        <v>77</v>
      </c>
      <c r="AD32" s="585">
        <f t="shared" si="1"/>
        <v>0</v>
      </c>
      <c r="AE32" s="585">
        <f t="shared" si="2"/>
        <v>77</v>
      </c>
    </row>
    <row r="33" spans="1:31" ht="15.75">
      <c r="A33" s="524">
        <v>17</v>
      </c>
      <c r="B33" s="461" t="s">
        <v>2402</v>
      </c>
      <c r="C33" s="451" t="s">
        <v>2282</v>
      </c>
      <c r="D33" s="19" t="s">
        <v>2788</v>
      </c>
      <c r="E33" s="538">
        <v>93</v>
      </c>
      <c r="F33" s="460">
        <v>0</v>
      </c>
      <c r="G33" s="442">
        <f t="shared" si="11"/>
        <v>93</v>
      </c>
      <c r="H33" s="459">
        <v>85</v>
      </c>
      <c r="I33" s="460">
        <v>0</v>
      </c>
      <c r="J33" s="442">
        <f t="shared" si="12"/>
        <v>85</v>
      </c>
      <c r="K33" s="459">
        <v>144</v>
      </c>
      <c r="L33" s="460">
        <v>0</v>
      </c>
      <c r="M33" s="442">
        <f t="shared" si="13"/>
        <v>144</v>
      </c>
      <c r="N33" s="459">
        <v>20</v>
      </c>
      <c r="O33" s="460">
        <v>0</v>
      </c>
      <c r="P33" s="442">
        <f t="shared" si="14"/>
        <v>20</v>
      </c>
      <c r="Q33" s="459">
        <v>50</v>
      </c>
      <c r="R33" s="460">
        <v>0</v>
      </c>
      <c r="S33" s="442">
        <f t="shared" si="15"/>
        <v>50</v>
      </c>
      <c r="T33" s="459">
        <v>85</v>
      </c>
      <c r="U33" s="460">
        <v>0</v>
      </c>
      <c r="V33" s="442">
        <f t="shared" si="16"/>
        <v>85</v>
      </c>
      <c r="W33" s="482">
        <f t="shared" si="17"/>
        <v>477</v>
      </c>
      <c r="X33" s="54">
        <f t="shared" si="18"/>
        <v>0</v>
      </c>
      <c r="Y33" s="483">
        <f t="shared" si="19"/>
        <v>477</v>
      </c>
      <c r="Z33" s="484">
        <f t="shared" si="20"/>
        <v>79.5</v>
      </c>
      <c r="AA33" s="485">
        <f t="shared" si="21"/>
        <v>0</v>
      </c>
      <c r="AB33" s="486">
        <f t="shared" si="22"/>
        <v>79.5</v>
      </c>
      <c r="AC33" s="585">
        <f t="shared" si="0"/>
        <v>95.4</v>
      </c>
      <c r="AD33" s="585">
        <f t="shared" si="1"/>
        <v>0</v>
      </c>
      <c r="AE33" s="585">
        <f t="shared" si="2"/>
        <v>95.4</v>
      </c>
    </row>
    <row r="34" spans="1:31" ht="15.75">
      <c r="A34" s="525">
        <v>18</v>
      </c>
      <c r="B34" s="480" t="s">
        <v>2281</v>
      </c>
      <c r="C34" s="451" t="s">
        <v>2282</v>
      </c>
      <c r="D34" s="19" t="s">
        <v>2788</v>
      </c>
      <c r="E34" s="538">
        <v>0</v>
      </c>
      <c r="F34" s="460">
        <v>0</v>
      </c>
      <c r="G34" s="442">
        <f t="shared" si="11"/>
        <v>0</v>
      </c>
      <c r="H34" s="459">
        <v>241</v>
      </c>
      <c r="I34" s="460">
        <v>0</v>
      </c>
      <c r="J34" s="442">
        <f t="shared" si="12"/>
        <v>241</v>
      </c>
      <c r="K34" s="459">
        <v>0</v>
      </c>
      <c r="L34" s="460">
        <v>0</v>
      </c>
      <c r="M34" s="442">
        <f t="shared" si="13"/>
        <v>0</v>
      </c>
      <c r="N34" s="487">
        <v>0</v>
      </c>
      <c r="O34" s="488">
        <v>0</v>
      </c>
      <c r="P34" s="489">
        <f t="shared" si="14"/>
        <v>0</v>
      </c>
      <c r="Q34" s="487">
        <v>0</v>
      </c>
      <c r="R34" s="488">
        <v>0</v>
      </c>
      <c r="S34" s="489">
        <f t="shared" si="15"/>
        <v>0</v>
      </c>
      <c r="T34" s="487">
        <v>0</v>
      </c>
      <c r="U34" s="488">
        <v>0</v>
      </c>
      <c r="V34" s="489">
        <f t="shared" si="16"/>
        <v>0</v>
      </c>
      <c r="W34" s="482">
        <f t="shared" si="17"/>
        <v>241</v>
      </c>
      <c r="X34" s="54">
        <f t="shared" si="18"/>
        <v>0</v>
      </c>
      <c r="Y34" s="483">
        <f t="shared" si="19"/>
        <v>241</v>
      </c>
      <c r="Z34" s="484">
        <f t="shared" si="20"/>
        <v>40.166666666666664</v>
      </c>
      <c r="AA34" s="485">
        <f t="shared" si="21"/>
        <v>0</v>
      </c>
      <c r="AB34" s="486">
        <f t="shared" si="22"/>
        <v>40.166666666666664</v>
      </c>
      <c r="AC34" s="585">
        <f t="shared" si="0"/>
        <v>48.199999999999996</v>
      </c>
      <c r="AD34" s="585">
        <f t="shared" si="1"/>
        <v>0</v>
      </c>
      <c r="AE34" s="585">
        <f t="shared" si="2"/>
        <v>48.199999999999996</v>
      </c>
    </row>
    <row r="35" spans="1:31" ht="15.75">
      <c r="A35" s="524">
        <v>19</v>
      </c>
      <c r="B35" s="461" t="s">
        <v>2404</v>
      </c>
      <c r="C35" s="451" t="s">
        <v>2282</v>
      </c>
      <c r="D35" s="19" t="s">
        <v>2788</v>
      </c>
      <c r="E35" s="538">
        <v>500</v>
      </c>
      <c r="F35" s="460">
        <v>0</v>
      </c>
      <c r="G35" s="442">
        <f t="shared" si="11"/>
        <v>500</v>
      </c>
      <c r="H35" s="459">
        <v>501</v>
      </c>
      <c r="I35" s="460">
        <v>0</v>
      </c>
      <c r="J35" s="442">
        <f t="shared" si="12"/>
        <v>501</v>
      </c>
      <c r="K35" s="459">
        <v>501</v>
      </c>
      <c r="L35" s="460">
        <v>36</v>
      </c>
      <c r="M35" s="442">
        <f t="shared" si="13"/>
        <v>537</v>
      </c>
      <c r="N35" s="459">
        <v>0</v>
      </c>
      <c r="O35" s="460">
        <v>0</v>
      </c>
      <c r="P35" s="442">
        <f t="shared" si="14"/>
        <v>0</v>
      </c>
      <c r="Q35" s="459">
        <v>0</v>
      </c>
      <c r="R35" s="460">
        <v>0</v>
      </c>
      <c r="S35" s="442">
        <f t="shared" si="15"/>
        <v>0</v>
      </c>
      <c r="T35" s="459">
        <v>502</v>
      </c>
      <c r="U35" s="460">
        <v>0</v>
      </c>
      <c r="V35" s="442">
        <f t="shared" si="16"/>
        <v>502</v>
      </c>
      <c r="W35" s="482">
        <f t="shared" si="17"/>
        <v>2004</v>
      </c>
      <c r="X35" s="54">
        <f t="shared" si="18"/>
        <v>36</v>
      </c>
      <c r="Y35" s="483">
        <f t="shared" si="19"/>
        <v>2040</v>
      </c>
      <c r="Z35" s="484">
        <f t="shared" si="20"/>
        <v>334</v>
      </c>
      <c r="AA35" s="485">
        <f t="shared" si="21"/>
        <v>6</v>
      </c>
      <c r="AB35" s="486">
        <f t="shared" si="22"/>
        <v>340</v>
      </c>
      <c r="AC35" s="585">
        <f t="shared" si="0"/>
        <v>400.8</v>
      </c>
      <c r="AD35" s="585">
        <f t="shared" si="1"/>
        <v>7.2</v>
      </c>
      <c r="AE35" s="585">
        <f t="shared" si="2"/>
        <v>408</v>
      </c>
    </row>
    <row r="36" spans="1:31" ht="15.75">
      <c r="A36" s="525">
        <v>20</v>
      </c>
      <c r="B36" s="461" t="s">
        <v>2284</v>
      </c>
      <c r="C36" s="451" t="s">
        <v>2282</v>
      </c>
      <c r="D36" s="19" t="s">
        <v>2788</v>
      </c>
      <c r="E36" s="538">
        <v>422</v>
      </c>
      <c r="F36" s="460">
        <v>0</v>
      </c>
      <c r="G36" s="442">
        <f t="shared" si="11"/>
        <v>422</v>
      </c>
      <c r="H36" s="459">
        <v>770</v>
      </c>
      <c r="I36" s="460">
        <v>0</v>
      </c>
      <c r="J36" s="442">
        <f t="shared" si="12"/>
        <v>770</v>
      </c>
      <c r="K36" s="459">
        <v>798</v>
      </c>
      <c r="L36" s="460">
        <v>0</v>
      </c>
      <c r="M36" s="442">
        <f t="shared" si="13"/>
        <v>798</v>
      </c>
      <c r="N36" s="487">
        <v>0</v>
      </c>
      <c r="O36" s="488">
        <v>0</v>
      </c>
      <c r="P36" s="489">
        <f t="shared" si="14"/>
        <v>0</v>
      </c>
      <c r="Q36" s="487">
        <v>0</v>
      </c>
      <c r="R36" s="488">
        <v>0</v>
      </c>
      <c r="S36" s="489">
        <f t="shared" si="15"/>
        <v>0</v>
      </c>
      <c r="T36" s="487">
        <v>0</v>
      </c>
      <c r="U36" s="488">
        <v>0</v>
      </c>
      <c r="V36" s="489">
        <f t="shared" si="16"/>
        <v>0</v>
      </c>
      <c r="W36" s="482">
        <f t="shared" si="17"/>
        <v>1990</v>
      </c>
      <c r="X36" s="54">
        <f t="shared" si="18"/>
        <v>0</v>
      </c>
      <c r="Y36" s="483">
        <f t="shared" si="19"/>
        <v>1990</v>
      </c>
      <c r="Z36" s="484">
        <f t="shared" si="20"/>
        <v>331.66666666666669</v>
      </c>
      <c r="AA36" s="485">
        <f t="shared" si="21"/>
        <v>0</v>
      </c>
      <c r="AB36" s="486">
        <f t="shared" si="22"/>
        <v>331.66666666666669</v>
      </c>
      <c r="AC36" s="585">
        <f t="shared" si="0"/>
        <v>398</v>
      </c>
      <c r="AD36" s="585">
        <f t="shared" si="1"/>
        <v>0</v>
      </c>
      <c r="AE36" s="585">
        <f t="shared" si="2"/>
        <v>398</v>
      </c>
    </row>
    <row r="37" spans="1:31" ht="15.75">
      <c r="A37" s="524">
        <v>21</v>
      </c>
      <c r="B37" s="461" t="s">
        <v>2286</v>
      </c>
      <c r="C37" s="451" t="s">
        <v>2282</v>
      </c>
      <c r="D37" s="19" t="s">
        <v>2788</v>
      </c>
      <c r="E37" s="538">
        <v>880</v>
      </c>
      <c r="F37" s="460">
        <v>0</v>
      </c>
      <c r="G37" s="442">
        <f t="shared" si="11"/>
        <v>880</v>
      </c>
      <c r="H37" s="459">
        <v>0</v>
      </c>
      <c r="I37" s="460">
        <v>0</v>
      </c>
      <c r="J37" s="442">
        <f t="shared" si="12"/>
        <v>0</v>
      </c>
      <c r="K37" s="459">
        <v>1065</v>
      </c>
      <c r="L37" s="460">
        <v>0</v>
      </c>
      <c r="M37" s="442">
        <f t="shared" si="13"/>
        <v>1065</v>
      </c>
      <c r="N37" s="487">
        <v>0</v>
      </c>
      <c r="O37" s="488">
        <v>0</v>
      </c>
      <c r="P37" s="489">
        <f t="shared" si="14"/>
        <v>0</v>
      </c>
      <c r="Q37" s="487">
        <v>0</v>
      </c>
      <c r="R37" s="488">
        <v>0</v>
      </c>
      <c r="S37" s="489">
        <f t="shared" si="15"/>
        <v>0</v>
      </c>
      <c r="T37" s="487">
        <v>0</v>
      </c>
      <c r="U37" s="488">
        <v>0</v>
      </c>
      <c r="V37" s="489">
        <f t="shared" si="16"/>
        <v>0</v>
      </c>
      <c r="W37" s="482">
        <f t="shared" si="17"/>
        <v>1945</v>
      </c>
      <c r="X37" s="54">
        <f t="shared" si="18"/>
        <v>0</v>
      </c>
      <c r="Y37" s="483">
        <f t="shared" si="19"/>
        <v>1945</v>
      </c>
      <c r="Z37" s="484">
        <f t="shared" si="20"/>
        <v>324.16666666666669</v>
      </c>
      <c r="AA37" s="485">
        <f t="shared" si="21"/>
        <v>0</v>
      </c>
      <c r="AB37" s="486">
        <f t="shared" si="22"/>
        <v>324.16666666666669</v>
      </c>
      <c r="AC37" s="585">
        <f t="shared" si="0"/>
        <v>389</v>
      </c>
      <c r="AD37" s="585">
        <f t="shared" si="1"/>
        <v>0</v>
      </c>
      <c r="AE37" s="585">
        <f t="shared" si="2"/>
        <v>389</v>
      </c>
    </row>
    <row r="38" spans="1:31" ht="15.75">
      <c r="A38" s="525">
        <v>22</v>
      </c>
      <c r="B38" s="461" t="s">
        <v>2406</v>
      </c>
      <c r="C38" s="451" t="s">
        <v>2282</v>
      </c>
      <c r="D38" s="19" t="s">
        <v>2788</v>
      </c>
      <c r="E38" s="538">
        <v>307</v>
      </c>
      <c r="F38" s="460">
        <v>0</v>
      </c>
      <c r="G38" s="442">
        <f t="shared" si="11"/>
        <v>307</v>
      </c>
      <c r="H38" s="459">
        <v>0</v>
      </c>
      <c r="I38" s="460">
        <v>0</v>
      </c>
      <c r="J38" s="442">
        <f t="shared" si="12"/>
        <v>0</v>
      </c>
      <c r="K38" s="459">
        <v>354</v>
      </c>
      <c r="L38" s="460">
        <v>0</v>
      </c>
      <c r="M38" s="442">
        <f t="shared" si="13"/>
        <v>354</v>
      </c>
      <c r="N38" s="459">
        <v>362</v>
      </c>
      <c r="O38" s="460">
        <v>0</v>
      </c>
      <c r="P38" s="442">
        <f t="shared" si="14"/>
        <v>362</v>
      </c>
      <c r="Q38" s="459">
        <v>0</v>
      </c>
      <c r="R38" s="460">
        <v>0</v>
      </c>
      <c r="S38" s="442">
        <f t="shared" si="15"/>
        <v>0</v>
      </c>
      <c r="T38" s="459">
        <v>326</v>
      </c>
      <c r="U38" s="460">
        <v>0</v>
      </c>
      <c r="V38" s="442">
        <f t="shared" si="16"/>
        <v>326</v>
      </c>
      <c r="W38" s="482">
        <f t="shared" si="17"/>
        <v>1349</v>
      </c>
      <c r="X38" s="54">
        <f t="shared" si="18"/>
        <v>0</v>
      </c>
      <c r="Y38" s="483">
        <f t="shared" si="19"/>
        <v>1349</v>
      </c>
      <c r="Z38" s="484">
        <f t="shared" si="20"/>
        <v>224.83333333333334</v>
      </c>
      <c r="AA38" s="485">
        <f t="shared" si="21"/>
        <v>0</v>
      </c>
      <c r="AB38" s="486">
        <f t="shared" si="22"/>
        <v>224.83333333333334</v>
      </c>
      <c r="AC38" s="585">
        <f t="shared" si="0"/>
        <v>269.8</v>
      </c>
      <c r="AD38" s="585">
        <f t="shared" si="1"/>
        <v>0</v>
      </c>
      <c r="AE38" s="585">
        <f t="shared" si="2"/>
        <v>269.8</v>
      </c>
    </row>
    <row r="39" spans="1:31" ht="15.75">
      <c r="A39" s="524">
        <v>23</v>
      </c>
      <c r="B39" s="353" t="s">
        <v>2441</v>
      </c>
      <c r="C39" s="323" t="s">
        <v>2409</v>
      </c>
      <c r="D39" s="19" t="s">
        <v>2788</v>
      </c>
      <c r="E39" s="537">
        <v>178</v>
      </c>
      <c r="F39" s="327">
        <v>0</v>
      </c>
      <c r="G39" s="318">
        <f t="shared" si="11"/>
        <v>178</v>
      </c>
      <c r="H39" s="326">
        <v>137</v>
      </c>
      <c r="I39" s="327">
        <v>0</v>
      </c>
      <c r="J39" s="318">
        <f t="shared" si="12"/>
        <v>137</v>
      </c>
      <c r="K39" s="326">
        <v>137</v>
      </c>
      <c r="L39" s="327">
        <v>0</v>
      </c>
      <c r="M39" s="318">
        <f t="shared" si="13"/>
        <v>137</v>
      </c>
      <c r="N39" s="326">
        <v>140</v>
      </c>
      <c r="O39" s="327">
        <v>0</v>
      </c>
      <c r="P39" s="318">
        <f t="shared" si="14"/>
        <v>140</v>
      </c>
      <c r="Q39" s="326">
        <v>36</v>
      </c>
      <c r="R39" s="327">
        <v>0</v>
      </c>
      <c r="S39" s="318">
        <f t="shared" si="15"/>
        <v>36</v>
      </c>
      <c r="T39" s="326">
        <v>104</v>
      </c>
      <c r="U39" s="327">
        <v>0</v>
      </c>
      <c r="V39" s="318">
        <f t="shared" si="16"/>
        <v>104</v>
      </c>
      <c r="W39" s="319">
        <f t="shared" si="17"/>
        <v>732</v>
      </c>
      <c r="X39" s="19">
        <f t="shared" si="18"/>
        <v>0</v>
      </c>
      <c r="Y39" s="320">
        <f t="shared" si="19"/>
        <v>732</v>
      </c>
      <c r="Z39" s="321">
        <f t="shared" si="20"/>
        <v>122</v>
      </c>
      <c r="AA39" s="60">
        <f t="shared" si="21"/>
        <v>0</v>
      </c>
      <c r="AB39" s="322">
        <f t="shared" si="22"/>
        <v>122</v>
      </c>
      <c r="AC39" s="585">
        <f t="shared" si="0"/>
        <v>146.4</v>
      </c>
      <c r="AD39" s="585">
        <f t="shared" si="1"/>
        <v>0</v>
      </c>
      <c r="AE39" s="585">
        <f t="shared" si="2"/>
        <v>146.4</v>
      </c>
    </row>
    <row r="40" spans="1:31" ht="15.75">
      <c r="A40" s="525">
        <v>24</v>
      </c>
      <c r="B40" s="353" t="s">
        <v>2443</v>
      </c>
      <c r="C40" s="323" t="s">
        <v>2409</v>
      </c>
      <c r="D40" s="19" t="s">
        <v>2788</v>
      </c>
      <c r="E40" s="537">
        <v>0</v>
      </c>
      <c r="F40" s="327">
        <v>0</v>
      </c>
      <c r="G40" s="318">
        <f t="shared" si="11"/>
        <v>0</v>
      </c>
      <c r="H40" s="326">
        <v>620</v>
      </c>
      <c r="I40" s="327">
        <v>0</v>
      </c>
      <c r="J40" s="318">
        <f t="shared" si="12"/>
        <v>620</v>
      </c>
      <c r="K40" s="326">
        <v>0</v>
      </c>
      <c r="L40" s="327">
        <v>0</v>
      </c>
      <c r="M40" s="318">
        <f t="shared" si="13"/>
        <v>0</v>
      </c>
      <c r="N40" s="326">
        <v>1003</v>
      </c>
      <c r="O40" s="327">
        <v>0</v>
      </c>
      <c r="P40" s="318">
        <f t="shared" si="14"/>
        <v>1003</v>
      </c>
      <c r="Q40" s="326">
        <v>997</v>
      </c>
      <c r="R40" s="327">
        <v>0</v>
      </c>
      <c r="S40" s="318">
        <f t="shared" si="15"/>
        <v>997</v>
      </c>
      <c r="T40" s="326">
        <v>0</v>
      </c>
      <c r="U40" s="327">
        <v>0</v>
      </c>
      <c r="V40" s="318">
        <f t="shared" si="16"/>
        <v>0</v>
      </c>
      <c r="W40" s="319">
        <f t="shared" si="17"/>
        <v>2620</v>
      </c>
      <c r="X40" s="19">
        <f t="shared" si="18"/>
        <v>0</v>
      </c>
      <c r="Y40" s="320">
        <f t="shared" si="19"/>
        <v>2620</v>
      </c>
      <c r="Z40" s="321">
        <f t="shared" si="20"/>
        <v>436.66666666666669</v>
      </c>
      <c r="AA40" s="60">
        <f t="shared" si="21"/>
        <v>0</v>
      </c>
      <c r="AB40" s="322">
        <f t="shared" si="22"/>
        <v>436.66666666666669</v>
      </c>
      <c r="AC40" s="585">
        <f t="shared" si="0"/>
        <v>524</v>
      </c>
      <c r="AD40" s="585">
        <f t="shared" si="1"/>
        <v>0</v>
      </c>
      <c r="AE40" s="585">
        <f t="shared" si="2"/>
        <v>524</v>
      </c>
    </row>
    <row r="41" spans="1:31" ht="15.75">
      <c r="A41" s="524">
        <v>25</v>
      </c>
      <c r="B41" s="353" t="s">
        <v>2540</v>
      </c>
      <c r="C41" s="323" t="s">
        <v>2504</v>
      </c>
      <c r="D41" s="19" t="s">
        <v>2788</v>
      </c>
      <c r="E41" s="537">
        <v>146</v>
      </c>
      <c r="F41" s="327"/>
      <c r="G41" s="318">
        <f t="shared" si="11"/>
        <v>146</v>
      </c>
      <c r="H41" s="326">
        <v>289</v>
      </c>
      <c r="I41" s="327">
        <v>0</v>
      </c>
      <c r="J41" s="318">
        <f t="shared" si="12"/>
        <v>289</v>
      </c>
      <c r="K41" s="326">
        <v>174</v>
      </c>
      <c r="L41" s="327">
        <v>0</v>
      </c>
      <c r="M41" s="318">
        <f t="shared" si="13"/>
        <v>174</v>
      </c>
      <c r="N41" s="326">
        <v>150</v>
      </c>
      <c r="O41" s="327">
        <v>0</v>
      </c>
      <c r="P41" s="318">
        <f t="shared" si="14"/>
        <v>150</v>
      </c>
      <c r="Q41" s="326">
        <v>40</v>
      </c>
      <c r="R41" s="327">
        <v>0</v>
      </c>
      <c r="S41" s="318">
        <f t="shared" si="15"/>
        <v>40</v>
      </c>
      <c r="T41" s="326">
        <v>220</v>
      </c>
      <c r="U41" s="327">
        <v>0</v>
      </c>
      <c r="V41" s="318">
        <f t="shared" si="16"/>
        <v>220</v>
      </c>
      <c r="W41" s="319">
        <f t="shared" si="17"/>
        <v>1019</v>
      </c>
      <c r="X41" s="19">
        <f t="shared" si="18"/>
        <v>0</v>
      </c>
      <c r="Y41" s="320">
        <f t="shared" si="19"/>
        <v>1019</v>
      </c>
      <c r="Z41" s="321">
        <f t="shared" si="20"/>
        <v>169.83333333333334</v>
      </c>
      <c r="AA41" s="60">
        <f t="shared" si="21"/>
        <v>0</v>
      </c>
      <c r="AB41" s="322">
        <f t="shared" si="22"/>
        <v>169.83333333333334</v>
      </c>
      <c r="AC41" s="585">
        <f t="shared" si="0"/>
        <v>203.8</v>
      </c>
      <c r="AD41" s="585">
        <f t="shared" si="1"/>
        <v>0</v>
      </c>
      <c r="AE41" s="585">
        <f t="shared" si="2"/>
        <v>203.8</v>
      </c>
    </row>
    <row r="42" spans="1:31" ht="15.75">
      <c r="A42" s="525">
        <v>38</v>
      </c>
      <c r="B42" s="353" t="s">
        <v>2542</v>
      </c>
      <c r="C42" s="323" t="s">
        <v>2504</v>
      </c>
      <c r="D42" s="19" t="s">
        <v>2788</v>
      </c>
      <c r="E42" s="537">
        <v>0</v>
      </c>
      <c r="F42" s="327">
        <v>0</v>
      </c>
      <c r="G42" s="318">
        <f t="shared" si="11"/>
        <v>0</v>
      </c>
      <c r="H42" s="326">
        <v>265</v>
      </c>
      <c r="I42" s="327">
        <v>0</v>
      </c>
      <c r="J42" s="318">
        <f t="shared" si="12"/>
        <v>265</v>
      </c>
      <c r="K42" s="326">
        <v>320</v>
      </c>
      <c r="L42" s="327">
        <v>0</v>
      </c>
      <c r="M42" s="318">
        <f t="shared" si="13"/>
        <v>320</v>
      </c>
      <c r="N42" s="326">
        <v>134</v>
      </c>
      <c r="O42" s="327">
        <v>0</v>
      </c>
      <c r="P42" s="318">
        <f t="shared" si="14"/>
        <v>134</v>
      </c>
      <c r="Q42" s="326">
        <v>236</v>
      </c>
      <c r="R42" s="327">
        <v>0</v>
      </c>
      <c r="S42" s="318">
        <f t="shared" si="15"/>
        <v>236</v>
      </c>
      <c r="T42" s="326">
        <v>0</v>
      </c>
      <c r="U42" s="327">
        <v>0</v>
      </c>
      <c r="V42" s="318">
        <f t="shared" si="16"/>
        <v>0</v>
      </c>
      <c r="W42" s="319">
        <f t="shared" si="17"/>
        <v>955</v>
      </c>
      <c r="X42" s="19">
        <f t="shared" si="18"/>
        <v>0</v>
      </c>
      <c r="Y42" s="320">
        <f t="shared" si="19"/>
        <v>955</v>
      </c>
      <c r="Z42" s="321">
        <f t="shared" si="20"/>
        <v>159.16666666666666</v>
      </c>
      <c r="AA42" s="60">
        <f t="shared" si="21"/>
        <v>0</v>
      </c>
      <c r="AB42" s="322">
        <f t="shared" si="22"/>
        <v>159.16666666666666</v>
      </c>
      <c r="AC42" s="585">
        <f t="shared" si="0"/>
        <v>191</v>
      </c>
      <c r="AD42" s="585">
        <f t="shared" si="1"/>
        <v>0</v>
      </c>
      <c r="AE42" s="585">
        <f t="shared" si="2"/>
        <v>191</v>
      </c>
    </row>
    <row r="43" spans="1:31" ht="15.75">
      <c r="A43" s="524">
        <v>39</v>
      </c>
      <c r="B43" s="353" t="s">
        <v>2569</v>
      </c>
      <c r="C43" s="323" t="s">
        <v>2545</v>
      </c>
      <c r="D43" s="19" t="s">
        <v>2788</v>
      </c>
      <c r="E43" s="537">
        <v>0</v>
      </c>
      <c r="F43" s="327">
        <v>0</v>
      </c>
      <c r="G43" s="318">
        <f t="shared" si="11"/>
        <v>0</v>
      </c>
      <c r="H43" s="326">
        <v>0</v>
      </c>
      <c r="I43" s="327">
        <v>0</v>
      </c>
      <c r="J43" s="318">
        <f t="shared" si="12"/>
        <v>0</v>
      </c>
      <c r="K43" s="326">
        <v>0</v>
      </c>
      <c r="L43" s="327">
        <v>0</v>
      </c>
      <c r="M43" s="318">
        <f t="shared" si="13"/>
        <v>0</v>
      </c>
      <c r="N43" s="326">
        <v>0</v>
      </c>
      <c r="O43" s="327">
        <v>0</v>
      </c>
      <c r="P43" s="318">
        <f t="shared" si="14"/>
        <v>0</v>
      </c>
      <c r="Q43" s="326">
        <v>1026</v>
      </c>
      <c r="R43" s="327">
        <v>126</v>
      </c>
      <c r="S43" s="318">
        <f t="shared" si="15"/>
        <v>1152</v>
      </c>
      <c r="T43" s="326">
        <v>0</v>
      </c>
      <c r="U43" s="327">
        <v>0</v>
      </c>
      <c r="V43" s="318">
        <f t="shared" si="16"/>
        <v>0</v>
      </c>
      <c r="W43" s="319">
        <f t="shared" si="17"/>
        <v>1026</v>
      </c>
      <c r="X43" s="19">
        <f t="shared" si="18"/>
        <v>126</v>
      </c>
      <c r="Y43" s="320">
        <f t="shared" si="19"/>
        <v>1152</v>
      </c>
      <c r="Z43" s="321">
        <f t="shared" si="20"/>
        <v>171</v>
      </c>
      <c r="AA43" s="60">
        <f t="shared" si="21"/>
        <v>21</v>
      </c>
      <c r="AB43" s="322">
        <f t="shared" si="22"/>
        <v>192</v>
      </c>
      <c r="AC43" s="585">
        <f t="shared" si="0"/>
        <v>205.2</v>
      </c>
      <c r="AD43" s="585">
        <f t="shared" si="1"/>
        <v>25.2</v>
      </c>
      <c r="AE43" s="585">
        <f t="shared" si="2"/>
        <v>230.4</v>
      </c>
    </row>
    <row r="44" spans="1:31" ht="15.75">
      <c r="A44" s="526">
        <v>26</v>
      </c>
      <c r="B44" s="527" t="s">
        <v>2571</v>
      </c>
      <c r="C44" s="528" t="s">
        <v>2545</v>
      </c>
      <c r="D44" s="505" t="s">
        <v>2788</v>
      </c>
      <c r="E44" s="539">
        <v>140</v>
      </c>
      <c r="F44" s="530"/>
      <c r="G44" s="531">
        <f t="shared" si="11"/>
        <v>140</v>
      </c>
      <c r="H44" s="529">
        <v>134</v>
      </c>
      <c r="I44" s="530">
        <v>0</v>
      </c>
      <c r="J44" s="531">
        <f t="shared" si="12"/>
        <v>134</v>
      </c>
      <c r="K44" s="529">
        <v>137</v>
      </c>
      <c r="L44" s="530">
        <v>0</v>
      </c>
      <c r="M44" s="531">
        <f t="shared" si="13"/>
        <v>137</v>
      </c>
      <c r="N44" s="529">
        <v>151</v>
      </c>
      <c r="O44" s="530">
        <v>0</v>
      </c>
      <c r="P44" s="531">
        <f t="shared" si="14"/>
        <v>151</v>
      </c>
      <c r="Q44" s="529">
        <v>127</v>
      </c>
      <c r="R44" s="530">
        <v>0</v>
      </c>
      <c r="S44" s="531">
        <f t="shared" si="15"/>
        <v>127</v>
      </c>
      <c r="T44" s="529">
        <v>86</v>
      </c>
      <c r="U44" s="530">
        <v>0</v>
      </c>
      <c r="V44" s="531">
        <f t="shared" si="16"/>
        <v>86</v>
      </c>
      <c r="W44" s="532">
        <f t="shared" si="17"/>
        <v>775</v>
      </c>
      <c r="X44" s="505">
        <f t="shared" si="18"/>
        <v>0</v>
      </c>
      <c r="Y44" s="533">
        <f t="shared" si="19"/>
        <v>775</v>
      </c>
      <c r="Z44" s="534">
        <f t="shared" si="20"/>
        <v>129.16666666666666</v>
      </c>
      <c r="AA44" s="535">
        <f t="shared" si="21"/>
        <v>0</v>
      </c>
      <c r="AB44" s="536">
        <f t="shared" si="22"/>
        <v>129.16666666666666</v>
      </c>
      <c r="AC44" s="585">
        <f t="shared" si="0"/>
        <v>155</v>
      </c>
      <c r="AD44" s="585">
        <f t="shared" si="1"/>
        <v>0</v>
      </c>
      <c r="AE44" s="585">
        <f t="shared" si="2"/>
        <v>155</v>
      </c>
    </row>
    <row r="45" spans="1:31" ht="14.65" hidden="1" thickBot="1">
      <c r="A45" s="540"/>
      <c r="B45" s="1112" t="s">
        <v>2787</v>
      </c>
      <c r="C45" s="1112"/>
      <c r="D45" s="517"/>
      <c r="E45" s="517">
        <f>SUM(E6:E44)</f>
        <v>16249</v>
      </c>
      <c r="F45" s="517">
        <f t="shared" ref="F45:Y45" si="23">SUM(F6:F44)</f>
        <v>342</v>
      </c>
      <c r="G45" s="517">
        <f t="shared" si="23"/>
        <v>16591</v>
      </c>
      <c r="H45" s="517">
        <f t="shared" si="23"/>
        <v>18426</v>
      </c>
      <c r="I45" s="517">
        <f t="shared" si="23"/>
        <v>753</v>
      </c>
      <c r="J45" s="517">
        <f t="shared" si="23"/>
        <v>19179</v>
      </c>
      <c r="K45" s="517">
        <f t="shared" si="23"/>
        <v>15875</v>
      </c>
      <c r="L45" s="517">
        <f t="shared" si="23"/>
        <v>396</v>
      </c>
      <c r="M45" s="517">
        <f t="shared" si="23"/>
        <v>16271</v>
      </c>
      <c r="N45" s="517">
        <f t="shared" si="23"/>
        <v>10032</v>
      </c>
      <c r="O45" s="517">
        <f t="shared" si="23"/>
        <v>202</v>
      </c>
      <c r="P45" s="517">
        <f t="shared" si="23"/>
        <v>10234</v>
      </c>
      <c r="Q45" s="517">
        <f t="shared" si="23"/>
        <v>24077</v>
      </c>
      <c r="R45" s="517">
        <f t="shared" si="23"/>
        <v>994</v>
      </c>
      <c r="S45" s="517">
        <f t="shared" si="23"/>
        <v>25071</v>
      </c>
      <c r="T45" s="517">
        <f t="shared" si="23"/>
        <v>16708</v>
      </c>
      <c r="U45" s="517">
        <f t="shared" si="23"/>
        <v>342</v>
      </c>
      <c r="V45" s="517">
        <f t="shared" si="23"/>
        <v>17050</v>
      </c>
      <c r="W45" s="517">
        <f t="shared" si="23"/>
        <v>101367</v>
      </c>
      <c r="X45" s="517">
        <f t="shared" si="23"/>
        <v>3029</v>
      </c>
      <c r="Y45" s="517">
        <f t="shared" si="23"/>
        <v>104396</v>
      </c>
      <c r="Z45" s="599">
        <v>4837</v>
      </c>
      <c r="AA45" s="599">
        <v>15</v>
      </c>
      <c r="AB45" s="600">
        <f>Z45+AA45</f>
        <v>4852</v>
      </c>
      <c r="AC45" s="541">
        <v>5804</v>
      </c>
      <c r="AD45" s="541">
        <v>18</v>
      </c>
      <c r="AE45" s="541">
        <f>AC45+AD45</f>
        <v>5822</v>
      </c>
    </row>
    <row r="46" spans="1:31" hidden="1">
      <c r="A46" s="543">
        <v>1</v>
      </c>
      <c r="B46" s="303" t="s">
        <v>1978</v>
      </c>
      <c r="C46" s="304" t="s">
        <v>1976</v>
      </c>
      <c r="D46" s="495" t="s">
        <v>2789</v>
      </c>
      <c r="E46" s="307">
        <v>65</v>
      </c>
      <c r="F46" s="302"/>
      <c r="G46" s="294">
        <v>65</v>
      </c>
      <c r="H46" s="307">
        <v>40</v>
      </c>
      <c r="I46" s="302"/>
      <c r="J46" s="294">
        <v>40</v>
      </c>
      <c r="K46" s="307">
        <v>95</v>
      </c>
      <c r="L46" s="302"/>
      <c r="M46" s="294">
        <v>95</v>
      </c>
      <c r="N46" s="307">
        <v>75</v>
      </c>
      <c r="O46" s="302"/>
      <c r="P46" s="294">
        <v>75</v>
      </c>
      <c r="Q46" s="307">
        <v>60</v>
      </c>
      <c r="R46" s="302"/>
      <c r="S46" s="294">
        <v>60</v>
      </c>
      <c r="T46" s="307">
        <v>95</v>
      </c>
      <c r="U46" s="302"/>
      <c r="V46" s="291">
        <v>95</v>
      </c>
      <c r="W46" s="308">
        <v>430</v>
      </c>
      <c r="X46" s="64">
        <v>0</v>
      </c>
      <c r="Y46" s="309">
        <v>430</v>
      </c>
      <c r="Z46" s="310">
        <v>71.666666666666671</v>
      </c>
      <c r="AA46" s="65">
        <v>0</v>
      </c>
      <c r="AB46" s="311">
        <v>71.666666666666671</v>
      </c>
      <c r="AC46" s="585">
        <f t="shared" ref="AC46:AC69" si="24">Z46*20%+Z46</f>
        <v>86</v>
      </c>
      <c r="AD46" s="585">
        <f t="shared" ref="AD46:AD69" si="25">AA46*20%+AA46</f>
        <v>0</v>
      </c>
      <c r="AE46" s="585">
        <f t="shared" ref="AE46:AE69" si="26">AB46*20%+AB46</f>
        <v>86</v>
      </c>
    </row>
    <row r="47" spans="1:31" hidden="1">
      <c r="A47" s="544">
        <v>2</v>
      </c>
      <c r="B47" s="313" t="s">
        <v>1980</v>
      </c>
      <c r="C47" s="305" t="s">
        <v>1976</v>
      </c>
      <c r="D47" s="1" t="s">
        <v>2789</v>
      </c>
      <c r="E47" s="313">
        <v>55</v>
      </c>
      <c r="F47" s="302"/>
      <c r="G47" s="294">
        <v>55</v>
      </c>
      <c r="H47" s="307">
        <v>36</v>
      </c>
      <c r="I47" s="302"/>
      <c r="J47" s="294">
        <v>36</v>
      </c>
      <c r="K47" s="307">
        <v>65</v>
      </c>
      <c r="L47" s="302"/>
      <c r="M47" s="294">
        <v>65</v>
      </c>
      <c r="N47" s="307">
        <v>66</v>
      </c>
      <c r="O47" s="302"/>
      <c r="P47" s="294">
        <v>66</v>
      </c>
      <c r="Q47" s="307">
        <v>75</v>
      </c>
      <c r="R47" s="302"/>
      <c r="S47" s="294">
        <v>75</v>
      </c>
      <c r="T47" s="307">
        <v>105</v>
      </c>
      <c r="U47" s="302"/>
      <c r="V47" s="291">
        <v>105</v>
      </c>
      <c r="W47" s="308">
        <v>402</v>
      </c>
      <c r="X47" s="64">
        <v>0</v>
      </c>
      <c r="Y47" s="309">
        <v>402</v>
      </c>
      <c r="Z47" s="310">
        <v>67</v>
      </c>
      <c r="AA47" s="65">
        <v>0</v>
      </c>
      <c r="AB47" s="311">
        <v>67</v>
      </c>
      <c r="AC47" s="585">
        <f t="shared" si="24"/>
        <v>80.400000000000006</v>
      </c>
      <c r="AD47" s="585">
        <f t="shared" si="25"/>
        <v>0</v>
      </c>
      <c r="AE47" s="585">
        <f t="shared" si="26"/>
        <v>80.400000000000006</v>
      </c>
    </row>
    <row r="48" spans="1:31" hidden="1">
      <c r="A48" s="543">
        <v>3</v>
      </c>
      <c r="B48" s="313" t="s">
        <v>1986</v>
      </c>
      <c r="C48" s="305" t="s">
        <v>1976</v>
      </c>
      <c r="D48" s="1" t="s">
        <v>2789</v>
      </c>
      <c r="E48" s="313">
        <v>70</v>
      </c>
      <c r="F48" s="302"/>
      <c r="G48" s="294">
        <v>70</v>
      </c>
      <c r="H48" s="307">
        <v>41</v>
      </c>
      <c r="I48" s="302"/>
      <c r="J48" s="294">
        <v>41</v>
      </c>
      <c r="K48" s="307">
        <v>88</v>
      </c>
      <c r="L48" s="302"/>
      <c r="M48" s="294">
        <v>88</v>
      </c>
      <c r="N48" s="307">
        <v>36</v>
      </c>
      <c r="O48" s="302"/>
      <c r="P48" s="294">
        <v>36</v>
      </c>
      <c r="Q48" s="307"/>
      <c r="R48" s="302"/>
      <c r="S48" s="294">
        <v>0</v>
      </c>
      <c r="T48" s="307">
        <v>65</v>
      </c>
      <c r="U48" s="302"/>
      <c r="V48" s="291">
        <v>65</v>
      </c>
      <c r="W48" s="308">
        <v>300</v>
      </c>
      <c r="X48" s="64">
        <v>0</v>
      </c>
      <c r="Y48" s="309">
        <v>300</v>
      </c>
      <c r="Z48" s="310">
        <v>50</v>
      </c>
      <c r="AA48" s="65">
        <v>0</v>
      </c>
      <c r="AB48" s="311">
        <v>50</v>
      </c>
      <c r="AC48" s="585">
        <f t="shared" si="24"/>
        <v>60</v>
      </c>
      <c r="AD48" s="585">
        <f t="shared" si="25"/>
        <v>0</v>
      </c>
      <c r="AE48" s="585">
        <f t="shared" si="26"/>
        <v>60</v>
      </c>
    </row>
    <row r="49" spans="1:31" hidden="1">
      <c r="A49" s="544">
        <v>4</v>
      </c>
      <c r="B49" s="313" t="s">
        <v>2080</v>
      </c>
      <c r="C49" s="305" t="s">
        <v>2078</v>
      </c>
      <c r="D49" s="1" t="s">
        <v>2789</v>
      </c>
      <c r="E49" s="313">
        <v>36</v>
      </c>
      <c r="F49" s="302"/>
      <c r="G49" s="294">
        <f t="shared" ref="G49:G52" si="27">E49+F49</f>
        <v>36</v>
      </c>
      <c r="H49" s="307">
        <v>95</v>
      </c>
      <c r="I49" s="302"/>
      <c r="J49" s="294">
        <f t="shared" ref="J49:J52" si="28">H49+I49</f>
        <v>95</v>
      </c>
      <c r="K49" s="307">
        <v>45</v>
      </c>
      <c r="L49" s="302"/>
      <c r="M49" s="294">
        <f t="shared" ref="M49:M52" si="29">K49+L49</f>
        <v>45</v>
      </c>
      <c r="N49" s="307">
        <v>55</v>
      </c>
      <c r="O49" s="302"/>
      <c r="P49" s="294">
        <f t="shared" ref="P49:P52" si="30">N49+O49</f>
        <v>55</v>
      </c>
      <c r="Q49" s="307">
        <v>75</v>
      </c>
      <c r="R49" s="302"/>
      <c r="S49" s="294">
        <f t="shared" ref="S49:S52" si="31">Q49+R49</f>
        <v>75</v>
      </c>
      <c r="T49" s="307">
        <v>50</v>
      </c>
      <c r="U49" s="302"/>
      <c r="V49" s="291">
        <f t="shared" ref="V49:V52" si="32">T49+U49</f>
        <v>50</v>
      </c>
      <c r="W49" s="308">
        <f t="shared" ref="W49:Y52" si="33">E49+H49+K49+N49+Q49+T49</f>
        <v>356</v>
      </c>
      <c r="X49" s="64">
        <f t="shared" si="33"/>
        <v>0</v>
      </c>
      <c r="Y49" s="309">
        <f t="shared" si="33"/>
        <v>356</v>
      </c>
      <c r="Z49" s="310">
        <f t="shared" ref="Z49:AB52" si="34">W49/6</f>
        <v>59.333333333333336</v>
      </c>
      <c r="AA49" s="65">
        <f t="shared" si="34"/>
        <v>0</v>
      </c>
      <c r="AB49" s="311">
        <f t="shared" si="34"/>
        <v>59.333333333333336</v>
      </c>
      <c r="AC49" s="585">
        <f t="shared" si="24"/>
        <v>71.2</v>
      </c>
      <c r="AD49" s="585">
        <f t="shared" si="25"/>
        <v>0</v>
      </c>
      <c r="AE49" s="585">
        <f t="shared" si="26"/>
        <v>71.2</v>
      </c>
    </row>
    <row r="50" spans="1:31" hidden="1">
      <c r="A50" s="543">
        <v>5</v>
      </c>
      <c r="B50" s="313" t="s">
        <v>2047</v>
      </c>
      <c r="C50" s="305" t="s">
        <v>2095</v>
      </c>
      <c r="D50" s="1" t="s">
        <v>2789</v>
      </c>
      <c r="E50" s="313">
        <v>65</v>
      </c>
      <c r="F50" s="302">
        <v>14</v>
      </c>
      <c r="G50" s="294">
        <f t="shared" si="27"/>
        <v>79</v>
      </c>
      <c r="H50" s="307">
        <v>150</v>
      </c>
      <c r="I50" s="302"/>
      <c r="J50" s="294">
        <f t="shared" si="28"/>
        <v>150</v>
      </c>
      <c r="K50" s="307">
        <v>120</v>
      </c>
      <c r="L50" s="302"/>
      <c r="M50" s="294">
        <f t="shared" si="29"/>
        <v>120</v>
      </c>
      <c r="N50" s="307">
        <v>76</v>
      </c>
      <c r="O50" s="302"/>
      <c r="P50" s="294">
        <f t="shared" si="30"/>
        <v>76</v>
      </c>
      <c r="Q50" s="307"/>
      <c r="R50" s="302"/>
      <c r="S50" s="294">
        <f t="shared" si="31"/>
        <v>0</v>
      </c>
      <c r="T50" s="307">
        <v>13.5</v>
      </c>
      <c r="U50" s="302"/>
      <c r="V50" s="291">
        <f t="shared" si="32"/>
        <v>13.5</v>
      </c>
      <c r="W50" s="308">
        <f t="shared" si="33"/>
        <v>424.5</v>
      </c>
      <c r="X50" s="64">
        <f t="shared" si="33"/>
        <v>14</v>
      </c>
      <c r="Y50" s="309">
        <f t="shared" si="33"/>
        <v>438.5</v>
      </c>
      <c r="Z50" s="310">
        <f t="shared" si="34"/>
        <v>70.75</v>
      </c>
      <c r="AA50" s="65">
        <f t="shared" si="34"/>
        <v>2.3333333333333335</v>
      </c>
      <c r="AB50" s="311">
        <f t="shared" si="34"/>
        <v>73.083333333333329</v>
      </c>
      <c r="AC50" s="585">
        <f t="shared" si="24"/>
        <v>84.9</v>
      </c>
      <c r="AD50" s="585">
        <f t="shared" si="25"/>
        <v>2.8000000000000003</v>
      </c>
      <c r="AE50" s="585">
        <f t="shared" si="26"/>
        <v>87.699999999999989</v>
      </c>
    </row>
    <row r="51" spans="1:31" hidden="1">
      <c r="A51" s="544">
        <v>6</v>
      </c>
      <c r="B51" s="313" t="s">
        <v>2172</v>
      </c>
      <c r="C51" s="305" t="s">
        <v>2159</v>
      </c>
      <c r="D51" s="1" t="s">
        <v>2789</v>
      </c>
      <c r="E51" s="313">
        <v>220</v>
      </c>
      <c r="F51" s="302">
        <v>36</v>
      </c>
      <c r="G51" s="294">
        <f t="shared" si="27"/>
        <v>256</v>
      </c>
      <c r="H51" s="307">
        <v>302</v>
      </c>
      <c r="I51" s="302"/>
      <c r="J51" s="294">
        <f t="shared" si="28"/>
        <v>302</v>
      </c>
      <c r="K51" s="307">
        <v>192</v>
      </c>
      <c r="L51" s="302"/>
      <c r="M51" s="294">
        <f t="shared" si="29"/>
        <v>192</v>
      </c>
      <c r="N51" s="307">
        <v>138</v>
      </c>
      <c r="O51" s="302"/>
      <c r="P51" s="294">
        <f t="shared" si="30"/>
        <v>138</v>
      </c>
      <c r="Q51" s="307">
        <v>100</v>
      </c>
      <c r="R51" s="302"/>
      <c r="S51" s="294">
        <f t="shared" si="31"/>
        <v>100</v>
      </c>
      <c r="T51" s="307">
        <v>65</v>
      </c>
      <c r="U51" s="302"/>
      <c r="V51" s="291">
        <f t="shared" si="32"/>
        <v>65</v>
      </c>
      <c r="W51" s="308">
        <f t="shared" si="33"/>
        <v>1017</v>
      </c>
      <c r="X51" s="64">
        <f t="shared" si="33"/>
        <v>36</v>
      </c>
      <c r="Y51" s="309">
        <f t="shared" si="33"/>
        <v>1053</v>
      </c>
      <c r="Z51" s="310">
        <f t="shared" si="34"/>
        <v>169.5</v>
      </c>
      <c r="AA51" s="65">
        <f t="shared" si="34"/>
        <v>6</v>
      </c>
      <c r="AB51" s="311">
        <f t="shared" si="34"/>
        <v>175.5</v>
      </c>
      <c r="AC51" s="585">
        <f t="shared" si="24"/>
        <v>203.4</v>
      </c>
      <c r="AD51" s="585">
        <f t="shared" si="25"/>
        <v>7.2</v>
      </c>
      <c r="AE51" s="585">
        <f t="shared" si="26"/>
        <v>210.6</v>
      </c>
    </row>
    <row r="52" spans="1:31" hidden="1">
      <c r="A52" s="543">
        <v>7</v>
      </c>
      <c r="B52" s="313" t="s">
        <v>2235</v>
      </c>
      <c r="C52" s="305" t="s">
        <v>2199</v>
      </c>
      <c r="D52" s="1" t="s">
        <v>2789</v>
      </c>
      <c r="E52" s="313"/>
      <c r="F52" s="302"/>
      <c r="G52" s="294">
        <f t="shared" si="27"/>
        <v>0</v>
      </c>
      <c r="H52" s="307">
        <v>198</v>
      </c>
      <c r="I52" s="302"/>
      <c r="J52" s="294">
        <f t="shared" si="28"/>
        <v>198</v>
      </c>
      <c r="K52" s="307">
        <v>250</v>
      </c>
      <c r="L52" s="302"/>
      <c r="M52" s="294">
        <f t="shared" si="29"/>
        <v>250</v>
      </c>
      <c r="N52" s="307">
        <v>140</v>
      </c>
      <c r="O52" s="302">
        <v>7</v>
      </c>
      <c r="P52" s="294">
        <f t="shared" si="30"/>
        <v>147</v>
      </c>
      <c r="Q52" s="307">
        <v>182</v>
      </c>
      <c r="R52" s="302"/>
      <c r="S52" s="294">
        <f t="shared" si="31"/>
        <v>182</v>
      </c>
      <c r="T52" s="307">
        <v>55</v>
      </c>
      <c r="U52" s="302">
        <v>22</v>
      </c>
      <c r="V52" s="291">
        <f t="shared" si="32"/>
        <v>77</v>
      </c>
      <c r="W52" s="308">
        <f t="shared" si="33"/>
        <v>825</v>
      </c>
      <c r="X52" s="64">
        <f t="shared" si="33"/>
        <v>29</v>
      </c>
      <c r="Y52" s="309">
        <f t="shared" si="33"/>
        <v>854</v>
      </c>
      <c r="Z52" s="310">
        <f t="shared" si="34"/>
        <v>137.5</v>
      </c>
      <c r="AA52" s="65">
        <f t="shared" si="34"/>
        <v>4.833333333333333</v>
      </c>
      <c r="AB52" s="311">
        <f t="shared" si="34"/>
        <v>142.33333333333334</v>
      </c>
      <c r="AC52" s="585">
        <f t="shared" si="24"/>
        <v>165</v>
      </c>
      <c r="AD52" s="585">
        <f t="shared" si="25"/>
        <v>5.8</v>
      </c>
      <c r="AE52" s="585">
        <f t="shared" si="26"/>
        <v>170.8</v>
      </c>
    </row>
    <row r="53" spans="1:31" ht="15.75" hidden="1">
      <c r="A53" s="544">
        <v>8</v>
      </c>
      <c r="B53" s="345" t="s">
        <v>2298</v>
      </c>
      <c r="C53" s="305" t="s">
        <v>2292</v>
      </c>
      <c r="D53" s="1" t="s">
        <v>2788</v>
      </c>
      <c r="E53" s="313">
        <v>80</v>
      </c>
      <c r="F53" s="289"/>
      <c r="G53" s="294">
        <v>80</v>
      </c>
      <c r="H53" s="346">
        <v>115</v>
      </c>
      <c r="I53" s="289"/>
      <c r="J53" s="294">
        <v>115</v>
      </c>
      <c r="K53" s="346">
        <v>25</v>
      </c>
      <c r="L53" s="289"/>
      <c r="M53" s="294">
        <v>25</v>
      </c>
      <c r="N53" s="346">
        <v>65</v>
      </c>
      <c r="O53" s="289"/>
      <c r="P53" s="294">
        <v>65</v>
      </c>
      <c r="Q53" s="346">
        <v>85</v>
      </c>
      <c r="R53" s="289"/>
      <c r="S53" s="294">
        <v>85</v>
      </c>
      <c r="T53" s="346">
        <v>18</v>
      </c>
      <c r="U53" s="289"/>
      <c r="V53" s="294">
        <v>18</v>
      </c>
      <c r="W53" s="308">
        <v>388</v>
      </c>
      <c r="X53" s="64">
        <v>0</v>
      </c>
      <c r="Y53" s="309">
        <v>388</v>
      </c>
      <c r="Z53" s="310">
        <v>64.666666666666671</v>
      </c>
      <c r="AA53" s="65">
        <v>0</v>
      </c>
      <c r="AB53" s="311">
        <v>64.666666666666671</v>
      </c>
      <c r="AC53" s="585">
        <f t="shared" si="24"/>
        <v>77.600000000000009</v>
      </c>
      <c r="AD53" s="585">
        <f t="shared" si="25"/>
        <v>0</v>
      </c>
      <c r="AE53" s="585">
        <f t="shared" si="26"/>
        <v>77.600000000000009</v>
      </c>
    </row>
    <row r="54" spans="1:31" ht="15.75" hidden="1">
      <c r="A54" s="543">
        <v>9</v>
      </c>
      <c r="B54" s="345" t="s">
        <v>2304</v>
      </c>
      <c r="C54" s="305" t="s">
        <v>2292</v>
      </c>
      <c r="D54" s="1" t="s">
        <v>2788</v>
      </c>
      <c r="E54" s="313">
        <v>89</v>
      </c>
      <c r="F54" s="289"/>
      <c r="G54" s="294">
        <v>89</v>
      </c>
      <c r="H54" s="346">
        <v>120</v>
      </c>
      <c r="I54" s="289"/>
      <c r="J54" s="294">
        <v>120</v>
      </c>
      <c r="K54" s="346">
        <v>35</v>
      </c>
      <c r="L54" s="289"/>
      <c r="M54" s="294">
        <v>35</v>
      </c>
      <c r="N54" s="346">
        <v>55</v>
      </c>
      <c r="O54" s="289"/>
      <c r="P54" s="294">
        <v>55</v>
      </c>
      <c r="Q54" s="346">
        <v>65</v>
      </c>
      <c r="R54" s="289"/>
      <c r="S54" s="294">
        <v>65</v>
      </c>
      <c r="T54" s="346">
        <v>20</v>
      </c>
      <c r="U54" s="289"/>
      <c r="V54" s="294">
        <v>20</v>
      </c>
      <c r="W54" s="308">
        <v>384</v>
      </c>
      <c r="X54" s="64">
        <v>0</v>
      </c>
      <c r="Y54" s="309">
        <v>384</v>
      </c>
      <c r="Z54" s="310">
        <v>64</v>
      </c>
      <c r="AA54" s="65">
        <v>0</v>
      </c>
      <c r="AB54" s="311">
        <v>64</v>
      </c>
      <c r="AC54" s="585">
        <f t="shared" si="24"/>
        <v>76.8</v>
      </c>
      <c r="AD54" s="585">
        <f t="shared" si="25"/>
        <v>0</v>
      </c>
      <c r="AE54" s="585">
        <f t="shared" si="26"/>
        <v>76.8</v>
      </c>
    </row>
    <row r="55" spans="1:31" ht="15.75" hidden="1">
      <c r="A55" s="544">
        <v>10</v>
      </c>
      <c r="B55" s="345" t="s">
        <v>2323</v>
      </c>
      <c r="C55" s="305" t="s">
        <v>2292</v>
      </c>
      <c r="D55" s="1" t="s">
        <v>2788</v>
      </c>
      <c r="E55" s="313">
        <v>50</v>
      </c>
      <c r="F55" s="289"/>
      <c r="G55" s="294">
        <v>50</v>
      </c>
      <c r="H55" s="346">
        <v>95</v>
      </c>
      <c r="I55" s="289"/>
      <c r="J55" s="294">
        <v>95</v>
      </c>
      <c r="K55" s="346">
        <v>35</v>
      </c>
      <c r="L55" s="289"/>
      <c r="M55" s="294">
        <v>35</v>
      </c>
      <c r="N55" s="346">
        <v>65</v>
      </c>
      <c r="O55" s="289"/>
      <c r="P55" s="294">
        <v>65</v>
      </c>
      <c r="Q55" s="346">
        <v>75</v>
      </c>
      <c r="R55" s="289"/>
      <c r="S55" s="294">
        <v>75</v>
      </c>
      <c r="T55" s="346">
        <v>25</v>
      </c>
      <c r="U55" s="289"/>
      <c r="V55" s="294">
        <v>25</v>
      </c>
      <c r="W55" s="308">
        <v>345</v>
      </c>
      <c r="X55" s="64">
        <v>0</v>
      </c>
      <c r="Y55" s="309">
        <v>345</v>
      </c>
      <c r="Z55" s="310">
        <v>57.5</v>
      </c>
      <c r="AA55" s="65">
        <v>0</v>
      </c>
      <c r="AB55" s="311">
        <v>57.5</v>
      </c>
      <c r="AC55" s="585">
        <f t="shared" si="24"/>
        <v>69</v>
      </c>
      <c r="AD55" s="585">
        <f t="shared" si="25"/>
        <v>0</v>
      </c>
      <c r="AE55" s="585">
        <f t="shared" si="26"/>
        <v>69</v>
      </c>
    </row>
    <row r="56" spans="1:31" ht="15.75" hidden="1">
      <c r="A56" s="543">
        <v>11</v>
      </c>
      <c r="B56" s="351" t="s">
        <v>2343</v>
      </c>
      <c r="C56" s="305" t="s">
        <v>2282</v>
      </c>
      <c r="D56" s="1" t="s">
        <v>2788</v>
      </c>
      <c r="E56" s="313">
        <v>55</v>
      </c>
      <c r="F56" s="289"/>
      <c r="G56" s="294">
        <v>55</v>
      </c>
      <c r="H56" s="346">
        <v>125</v>
      </c>
      <c r="I56" s="289"/>
      <c r="J56" s="294">
        <v>125</v>
      </c>
      <c r="K56" s="346">
        <v>45</v>
      </c>
      <c r="L56" s="289"/>
      <c r="M56" s="294">
        <v>45</v>
      </c>
      <c r="N56" s="346">
        <v>60</v>
      </c>
      <c r="O56" s="289"/>
      <c r="P56" s="294">
        <v>60</v>
      </c>
      <c r="Q56" s="346">
        <v>75</v>
      </c>
      <c r="R56" s="289"/>
      <c r="S56" s="294">
        <v>75</v>
      </c>
      <c r="T56" s="346">
        <v>25</v>
      </c>
      <c r="U56" s="289"/>
      <c r="V56" s="294">
        <v>25</v>
      </c>
      <c r="W56" s="308">
        <v>385</v>
      </c>
      <c r="X56" s="64">
        <v>0</v>
      </c>
      <c r="Y56" s="309">
        <v>385</v>
      </c>
      <c r="Z56" s="310">
        <v>64.166666666666671</v>
      </c>
      <c r="AA56" s="65">
        <v>0</v>
      </c>
      <c r="AB56" s="311">
        <v>64.166666666666671</v>
      </c>
      <c r="AC56" s="585">
        <f t="shared" si="24"/>
        <v>77</v>
      </c>
      <c r="AD56" s="585">
        <f t="shared" si="25"/>
        <v>0</v>
      </c>
      <c r="AE56" s="585">
        <f t="shared" si="26"/>
        <v>77</v>
      </c>
    </row>
    <row r="57" spans="1:31" ht="15.75" hidden="1">
      <c r="A57" s="544">
        <v>12</v>
      </c>
      <c r="B57" s="351" t="s">
        <v>2357</v>
      </c>
      <c r="C57" s="305" t="s">
        <v>2282</v>
      </c>
      <c r="D57" s="1" t="s">
        <v>2788</v>
      </c>
      <c r="E57" s="313">
        <v>45</v>
      </c>
      <c r="F57" s="289"/>
      <c r="G57" s="294">
        <v>45</v>
      </c>
      <c r="H57" s="346">
        <v>170</v>
      </c>
      <c r="I57" s="289"/>
      <c r="J57" s="294">
        <v>170</v>
      </c>
      <c r="K57" s="346">
        <v>50</v>
      </c>
      <c r="L57" s="289"/>
      <c r="M57" s="294">
        <v>50</v>
      </c>
      <c r="N57" s="346">
        <v>65</v>
      </c>
      <c r="O57" s="289"/>
      <c r="P57" s="294">
        <v>65</v>
      </c>
      <c r="Q57" s="346">
        <v>75</v>
      </c>
      <c r="R57" s="289"/>
      <c r="S57" s="294">
        <v>75</v>
      </c>
      <c r="T57" s="346">
        <v>25</v>
      </c>
      <c r="U57" s="289"/>
      <c r="V57" s="294">
        <v>25</v>
      </c>
      <c r="W57" s="308">
        <v>430</v>
      </c>
      <c r="X57" s="64">
        <v>0</v>
      </c>
      <c r="Y57" s="309">
        <v>430</v>
      </c>
      <c r="Z57" s="310">
        <v>71.666666666666671</v>
      </c>
      <c r="AA57" s="65">
        <v>0</v>
      </c>
      <c r="AB57" s="311">
        <v>71.666666666666671</v>
      </c>
      <c r="AC57" s="585">
        <f t="shared" si="24"/>
        <v>86</v>
      </c>
      <c r="AD57" s="585">
        <f t="shared" si="25"/>
        <v>0</v>
      </c>
      <c r="AE57" s="585">
        <f t="shared" si="26"/>
        <v>86</v>
      </c>
    </row>
    <row r="58" spans="1:31" ht="15.75" hidden="1">
      <c r="A58" s="543">
        <v>13</v>
      </c>
      <c r="B58" s="351" t="s">
        <v>2372</v>
      </c>
      <c r="C58" s="305" t="s">
        <v>2282</v>
      </c>
      <c r="D58" s="1" t="s">
        <v>2788</v>
      </c>
      <c r="E58" s="313">
        <v>45</v>
      </c>
      <c r="F58" s="289">
        <v>6</v>
      </c>
      <c r="G58" s="294">
        <v>51</v>
      </c>
      <c r="H58" s="346">
        <v>125</v>
      </c>
      <c r="I58" s="289"/>
      <c r="J58" s="294">
        <v>125</v>
      </c>
      <c r="K58" s="346">
        <v>55</v>
      </c>
      <c r="L58" s="289"/>
      <c r="M58" s="294">
        <v>55</v>
      </c>
      <c r="N58" s="346">
        <v>70</v>
      </c>
      <c r="O58" s="289"/>
      <c r="P58" s="294">
        <v>70</v>
      </c>
      <c r="Q58" s="346">
        <v>75</v>
      </c>
      <c r="R58" s="289"/>
      <c r="S58" s="294">
        <v>75</v>
      </c>
      <c r="T58" s="346">
        <v>30</v>
      </c>
      <c r="U58" s="289">
        <v>18</v>
      </c>
      <c r="V58" s="294">
        <v>48</v>
      </c>
      <c r="W58" s="308">
        <v>400</v>
      </c>
      <c r="X58" s="64">
        <v>24</v>
      </c>
      <c r="Y58" s="309">
        <v>424</v>
      </c>
      <c r="Z58" s="310">
        <v>66.666666666666671</v>
      </c>
      <c r="AA58" s="65">
        <v>4</v>
      </c>
      <c r="AB58" s="311">
        <v>70.666666666666671</v>
      </c>
      <c r="AC58" s="585">
        <f t="shared" si="24"/>
        <v>80</v>
      </c>
      <c r="AD58" s="585">
        <f t="shared" si="25"/>
        <v>4.8</v>
      </c>
      <c r="AE58" s="585">
        <f t="shared" si="26"/>
        <v>84.800000000000011</v>
      </c>
    </row>
    <row r="59" spans="1:31" ht="15.75" hidden="1">
      <c r="A59" s="544">
        <v>14</v>
      </c>
      <c r="B59" s="351" t="s">
        <v>2413</v>
      </c>
      <c r="C59" s="305" t="s">
        <v>2409</v>
      </c>
      <c r="D59" s="1" t="s">
        <v>2788</v>
      </c>
      <c r="E59" s="313">
        <v>120</v>
      </c>
      <c r="F59" s="302"/>
      <c r="G59" s="294">
        <f t="shared" ref="G59" si="35">E59+F59</f>
        <v>120</v>
      </c>
      <c r="H59" s="346">
        <v>195</v>
      </c>
      <c r="I59" s="302"/>
      <c r="J59" s="294">
        <f t="shared" ref="J59" si="36">H59+I59</f>
        <v>195</v>
      </c>
      <c r="K59" s="346">
        <v>45</v>
      </c>
      <c r="L59" s="302"/>
      <c r="M59" s="294">
        <f t="shared" ref="M59" si="37">K59+L59</f>
        <v>45</v>
      </c>
      <c r="N59" s="346">
        <v>120</v>
      </c>
      <c r="O59" s="302"/>
      <c r="P59" s="294">
        <f t="shared" ref="P59" si="38">N59+O59</f>
        <v>120</v>
      </c>
      <c r="Q59" s="346">
        <v>135</v>
      </c>
      <c r="R59" s="302"/>
      <c r="S59" s="294">
        <f t="shared" ref="S59" si="39">Q59+R59</f>
        <v>135</v>
      </c>
      <c r="T59" s="346">
        <v>45</v>
      </c>
      <c r="U59" s="302"/>
      <c r="V59" s="294">
        <f t="shared" ref="V59" si="40">T59+U59</f>
        <v>45</v>
      </c>
      <c r="W59" s="308">
        <f t="shared" ref="W59:Y59" si="41">E59+H59+K59+N59+Q59+T59</f>
        <v>660</v>
      </c>
      <c r="X59" s="64">
        <f t="shared" si="41"/>
        <v>0</v>
      </c>
      <c r="Y59" s="309">
        <f t="shared" si="41"/>
        <v>660</v>
      </c>
      <c r="Z59" s="310">
        <f t="shared" ref="Z59:AB59" si="42">W59/6</f>
        <v>110</v>
      </c>
      <c r="AA59" s="65">
        <f t="shared" si="42"/>
        <v>0</v>
      </c>
      <c r="AB59" s="311">
        <f t="shared" si="42"/>
        <v>110</v>
      </c>
      <c r="AC59" s="585">
        <f t="shared" si="24"/>
        <v>132</v>
      </c>
      <c r="AD59" s="585">
        <f t="shared" si="25"/>
        <v>0</v>
      </c>
      <c r="AE59" s="585">
        <f t="shared" si="26"/>
        <v>132</v>
      </c>
    </row>
    <row r="60" spans="1:31" ht="15.75" hidden="1">
      <c r="A60" s="543">
        <v>15</v>
      </c>
      <c r="B60" s="350" t="s">
        <v>2446</v>
      </c>
      <c r="C60" s="305" t="s">
        <v>2447</v>
      </c>
      <c r="D60" s="1" t="s">
        <v>2788</v>
      </c>
      <c r="E60" s="307">
        <v>120</v>
      </c>
      <c r="F60" s="302"/>
      <c r="G60" s="294">
        <v>120</v>
      </c>
      <c r="H60" s="346">
        <v>175</v>
      </c>
      <c r="I60" s="302"/>
      <c r="J60" s="294">
        <v>175</v>
      </c>
      <c r="K60" s="346">
        <v>55</v>
      </c>
      <c r="L60" s="302"/>
      <c r="M60" s="294">
        <v>55</v>
      </c>
      <c r="N60" s="346">
        <v>90</v>
      </c>
      <c r="O60" s="302"/>
      <c r="P60" s="294">
        <v>90</v>
      </c>
      <c r="Q60" s="346">
        <v>110</v>
      </c>
      <c r="R60" s="302"/>
      <c r="S60" s="294">
        <v>110</v>
      </c>
      <c r="T60" s="346">
        <v>35</v>
      </c>
      <c r="U60" s="302"/>
      <c r="V60" s="294">
        <v>35</v>
      </c>
      <c r="W60" s="308">
        <v>585</v>
      </c>
      <c r="X60" s="64">
        <v>0</v>
      </c>
      <c r="Y60" s="309">
        <v>585</v>
      </c>
      <c r="Z60" s="310">
        <v>97.5</v>
      </c>
      <c r="AA60" s="65">
        <v>0</v>
      </c>
      <c r="AB60" s="311">
        <v>97.5</v>
      </c>
      <c r="AC60" s="585">
        <f t="shared" si="24"/>
        <v>117</v>
      </c>
      <c r="AD60" s="585">
        <f t="shared" si="25"/>
        <v>0</v>
      </c>
      <c r="AE60" s="585">
        <f t="shared" si="26"/>
        <v>117</v>
      </c>
    </row>
    <row r="61" spans="1:31" ht="15.75" hidden="1">
      <c r="A61" s="544">
        <v>16</v>
      </c>
      <c r="B61" s="351" t="s">
        <v>2459</v>
      </c>
      <c r="C61" s="305" t="s">
        <v>2447</v>
      </c>
      <c r="D61" s="1" t="s">
        <v>2788</v>
      </c>
      <c r="E61" s="307">
        <v>50</v>
      </c>
      <c r="F61" s="302"/>
      <c r="G61" s="294">
        <v>50</v>
      </c>
      <c r="H61" s="346">
        <v>180</v>
      </c>
      <c r="I61" s="302"/>
      <c r="J61" s="294">
        <v>180</v>
      </c>
      <c r="K61" s="346">
        <v>45</v>
      </c>
      <c r="L61" s="302"/>
      <c r="M61" s="294">
        <v>45</v>
      </c>
      <c r="N61" s="346">
        <v>65</v>
      </c>
      <c r="O61" s="302"/>
      <c r="P61" s="294">
        <v>65</v>
      </c>
      <c r="Q61" s="346">
        <v>85</v>
      </c>
      <c r="R61" s="302"/>
      <c r="S61" s="294">
        <v>85</v>
      </c>
      <c r="T61" s="346">
        <v>35</v>
      </c>
      <c r="U61" s="302"/>
      <c r="V61" s="294">
        <v>35</v>
      </c>
      <c r="W61" s="308">
        <v>460</v>
      </c>
      <c r="X61" s="64">
        <v>0</v>
      </c>
      <c r="Y61" s="309">
        <v>460</v>
      </c>
      <c r="Z61" s="310">
        <v>76.666666666666671</v>
      </c>
      <c r="AA61" s="65">
        <v>0</v>
      </c>
      <c r="AB61" s="311">
        <v>76.666666666666671</v>
      </c>
      <c r="AC61" s="585">
        <f t="shared" si="24"/>
        <v>92</v>
      </c>
      <c r="AD61" s="585">
        <f t="shared" si="25"/>
        <v>0</v>
      </c>
      <c r="AE61" s="585">
        <f t="shared" si="26"/>
        <v>92</v>
      </c>
    </row>
    <row r="62" spans="1:31" ht="15.75" hidden="1">
      <c r="A62" s="543">
        <v>17</v>
      </c>
      <c r="B62" s="351" t="s">
        <v>2461</v>
      </c>
      <c r="C62" s="305" t="s">
        <v>2447</v>
      </c>
      <c r="D62" s="1" t="s">
        <v>2788</v>
      </c>
      <c r="E62" s="307">
        <v>120</v>
      </c>
      <c r="F62" s="302"/>
      <c r="G62" s="294">
        <v>120</v>
      </c>
      <c r="H62" s="346">
        <v>195</v>
      </c>
      <c r="I62" s="302"/>
      <c r="J62" s="294">
        <v>195</v>
      </c>
      <c r="K62" s="346">
        <v>60</v>
      </c>
      <c r="L62" s="302"/>
      <c r="M62" s="294">
        <v>60</v>
      </c>
      <c r="N62" s="346">
        <v>85</v>
      </c>
      <c r="O62" s="302"/>
      <c r="P62" s="294">
        <v>85</v>
      </c>
      <c r="Q62" s="346">
        <v>100</v>
      </c>
      <c r="R62" s="302"/>
      <c r="S62" s="294">
        <v>100</v>
      </c>
      <c r="T62" s="346">
        <v>40</v>
      </c>
      <c r="U62" s="302"/>
      <c r="V62" s="294">
        <v>40</v>
      </c>
      <c r="W62" s="308">
        <v>600</v>
      </c>
      <c r="X62" s="64">
        <v>0</v>
      </c>
      <c r="Y62" s="309">
        <v>600</v>
      </c>
      <c r="Z62" s="310">
        <v>100</v>
      </c>
      <c r="AA62" s="65">
        <v>0</v>
      </c>
      <c r="AB62" s="311">
        <v>100</v>
      </c>
      <c r="AC62" s="585">
        <f t="shared" si="24"/>
        <v>120</v>
      </c>
      <c r="AD62" s="585">
        <f t="shared" si="25"/>
        <v>0</v>
      </c>
      <c r="AE62" s="585">
        <f t="shared" si="26"/>
        <v>120</v>
      </c>
    </row>
    <row r="63" spans="1:31" ht="15.75" hidden="1">
      <c r="A63" s="544">
        <v>18</v>
      </c>
      <c r="B63" s="351" t="s">
        <v>2471</v>
      </c>
      <c r="C63" s="305" t="s">
        <v>2447</v>
      </c>
      <c r="D63" s="1" t="s">
        <v>2788</v>
      </c>
      <c r="E63" s="307">
        <v>110</v>
      </c>
      <c r="F63" s="302"/>
      <c r="G63" s="294">
        <v>110</v>
      </c>
      <c r="H63" s="346">
        <v>110</v>
      </c>
      <c r="I63" s="302"/>
      <c r="J63" s="294">
        <v>110</v>
      </c>
      <c r="K63" s="346">
        <v>45</v>
      </c>
      <c r="L63" s="302"/>
      <c r="M63" s="294">
        <v>45</v>
      </c>
      <c r="N63" s="346">
        <v>75</v>
      </c>
      <c r="O63" s="302"/>
      <c r="P63" s="294">
        <v>75</v>
      </c>
      <c r="Q63" s="346">
        <v>95</v>
      </c>
      <c r="R63" s="302"/>
      <c r="S63" s="294">
        <v>95</v>
      </c>
      <c r="T63" s="346">
        <v>35</v>
      </c>
      <c r="U63" s="302"/>
      <c r="V63" s="294">
        <v>35</v>
      </c>
      <c r="W63" s="308">
        <v>470</v>
      </c>
      <c r="X63" s="64">
        <v>0</v>
      </c>
      <c r="Y63" s="309">
        <v>470</v>
      </c>
      <c r="Z63" s="310">
        <v>78.333333333333329</v>
      </c>
      <c r="AA63" s="65">
        <v>0</v>
      </c>
      <c r="AB63" s="311">
        <v>78.333333333333329</v>
      </c>
      <c r="AC63" s="585">
        <f t="shared" si="24"/>
        <v>94</v>
      </c>
      <c r="AD63" s="585">
        <f t="shared" si="25"/>
        <v>0</v>
      </c>
      <c r="AE63" s="585">
        <f t="shared" si="26"/>
        <v>94</v>
      </c>
    </row>
    <row r="64" spans="1:31" ht="15.75" hidden="1">
      <c r="A64" s="543">
        <v>19</v>
      </c>
      <c r="B64" s="351" t="s">
        <v>2513</v>
      </c>
      <c r="C64" s="305" t="s">
        <v>2504</v>
      </c>
      <c r="D64" s="1" t="s">
        <v>2788</v>
      </c>
      <c r="E64" s="307">
        <v>120</v>
      </c>
      <c r="F64" s="302"/>
      <c r="G64" s="294">
        <v>120</v>
      </c>
      <c r="H64" s="346">
        <v>105</v>
      </c>
      <c r="I64" s="302"/>
      <c r="J64" s="294">
        <v>105</v>
      </c>
      <c r="K64" s="346">
        <v>60</v>
      </c>
      <c r="L64" s="302"/>
      <c r="M64" s="294">
        <v>60</v>
      </c>
      <c r="N64" s="346">
        <v>110</v>
      </c>
      <c r="O64" s="302"/>
      <c r="P64" s="294">
        <v>110</v>
      </c>
      <c r="Q64" s="346">
        <v>125</v>
      </c>
      <c r="R64" s="302"/>
      <c r="S64" s="294">
        <v>125</v>
      </c>
      <c r="T64" s="346">
        <v>45</v>
      </c>
      <c r="U64" s="302"/>
      <c r="V64" s="294">
        <v>45</v>
      </c>
      <c r="W64" s="308">
        <v>565</v>
      </c>
      <c r="X64" s="64">
        <v>0</v>
      </c>
      <c r="Y64" s="309">
        <v>565</v>
      </c>
      <c r="Z64" s="310">
        <v>94.166666666666671</v>
      </c>
      <c r="AA64" s="65">
        <v>0</v>
      </c>
      <c r="AB64" s="311">
        <v>94.166666666666671</v>
      </c>
      <c r="AC64" s="585">
        <f t="shared" si="24"/>
        <v>113</v>
      </c>
      <c r="AD64" s="585">
        <f t="shared" si="25"/>
        <v>0</v>
      </c>
      <c r="AE64" s="585">
        <f t="shared" si="26"/>
        <v>113</v>
      </c>
    </row>
    <row r="65" spans="1:31" ht="15.75" hidden="1">
      <c r="A65" s="544">
        <v>20</v>
      </c>
      <c r="B65" s="351" t="s">
        <v>2534</v>
      </c>
      <c r="C65" s="305" t="s">
        <v>2504</v>
      </c>
      <c r="D65" s="1" t="s">
        <v>2788</v>
      </c>
      <c r="E65" s="307">
        <v>110</v>
      </c>
      <c r="F65" s="302"/>
      <c r="G65" s="294">
        <v>110</v>
      </c>
      <c r="H65" s="346">
        <v>95</v>
      </c>
      <c r="I65" s="302"/>
      <c r="J65" s="294">
        <v>95</v>
      </c>
      <c r="K65" s="346">
        <v>45</v>
      </c>
      <c r="L65" s="302"/>
      <c r="M65" s="294">
        <v>45</v>
      </c>
      <c r="N65" s="346">
        <v>75</v>
      </c>
      <c r="O65" s="302"/>
      <c r="P65" s="294">
        <v>75</v>
      </c>
      <c r="Q65" s="346">
        <v>95</v>
      </c>
      <c r="R65" s="302"/>
      <c r="S65" s="294">
        <v>95</v>
      </c>
      <c r="T65" s="346">
        <v>55</v>
      </c>
      <c r="U65" s="302"/>
      <c r="V65" s="294">
        <v>55</v>
      </c>
      <c r="W65" s="308">
        <v>475</v>
      </c>
      <c r="X65" s="64">
        <v>0</v>
      </c>
      <c r="Y65" s="309">
        <v>475</v>
      </c>
      <c r="Z65" s="310">
        <v>79.166666666666671</v>
      </c>
      <c r="AA65" s="65">
        <v>0</v>
      </c>
      <c r="AB65" s="311">
        <v>79.166666666666671</v>
      </c>
      <c r="AC65" s="585">
        <f t="shared" si="24"/>
        <v>95</v>
      </c>
      <c r="AD65" s="585">
        <f t="shared" si="25"/>
        <v>0</v>
      </c>
      <c r="AE65" s="585">
        <f t="shared" si="26"/>
        <v>95</v>
      </c>
    </row>
    <row r="66" spans="1:31" ht="15.75" hidden="1">
      <c r="A66" s="543">
        <v>21</v>
      </c>
      <c r="B66" s="351" t="s">
        <v>2536</v>
      </c>
      <c r="C66" s="305" t="s">
        <v>2504</v>
      </c>
      <c r="D66" s="1" t="s">
        <v>2788</v>
      </c>
      <c r="E66" s="307">
        <v>90</v>
      </c>
      <c r="F66" s="302"/>
      <c r="G66" s="294">
        <v>90</v>
      </c>
      <c r="H66" s="346">
        <v>90</v>
      </c>
      <c r="I66" s="302"/>
      <c r="J66" s="294">
        <v>90</v>
      </c>
      <c r="K66" s="346">
        <v>40</v>
      </c>
      <c r="L66" s="302"/>
      <c r="M66" s="294">
        <v>40</v>
      </c>
      <c r="N66" s="346">
        <v>75</v>
      </c>
      <c r="O66" s="302"/>
      <c r="P66" s="294">
        <v>75</v>
      </c>
      <c r="Q66" s="346">
        <v>90</v>
      </c>
      <c r="R66" s="302"/>
      <c r="S66" s="294">
        <v>90</v>
      </c>
      <c r="T66" s="346">
        <v>50</v>
      </c>
      <c r="U66" s="302"/>
      <c r="V66" s="294">
        <v>50</v>
      </c>
      <c r="W66" s="308">
        <v>435</v>
      </c>
      <c r="X66" s="64">
        <v>0</v>
      </c>
      <c r="Y66" s="309">
        <v>435</v>
      </c>
      <c r="Z66" s="310">
        <v>72.5</v>
      </c>
      <c r="AA66" s="65">
        <v>0</v>
      </c>
      <c r="AB66" s="311">
        <v>72.5</v>
      </c>
      <c r="AC66" s="585">
        <f t="shared" si="24"/>
        <v>87</v>
      </c>
      <c r="AD66" s="585">
        <f t="shared" si="25"/>
        <v>0</v>
      </c>
      <c r="AE66" s="585">
        <f t="shared" si="26"/>
        <v>87</v>
      </c>
    </row>
    <row r="67" spans="1:31" ht="15.75" hidden="1">
      <c r="A67" s="544">
        <v>22</v>
      </c>
      <c r="B67" s="350" t="s">
        <v>2544</v>
      </c>
      <c r="C67" s="305" t="s">
        <v>2545</v>
      </c>
      <c r="D67" s="1" t="s">
        <v>2788</v>
      </c>
      <c r="E67" s="307">
        <v>160</v>
      </c>
      <c r="F67" s="302"/>
      <c r="G67" s="294">
        <v>160</v>
      </c>
      <c r="H67" s="346">
        <v>150</v>
      </c>
      <c r="I67" s="302"/>
      <c r="J67" s="294">
        <v>150</v>
      </c>
      <c r="K67" s="346">
        <v>75</v>
      </c>
      <c r="L67" s="302"/>
      <c r="M67" s="294">
        <v>75</v>
      </c>
      <c r="N67" s="346">
        <v>95</v>
      </c>
      <c r="O67" s="302"/>
      <c r="P67" s="294">
        <v>95</v>
      </c>
      <c r="Q67" s="346">
        <v>135</v>
      </c>
      <c r="R67" s="302"/>
      <c r="S67" s="294">
        <v>135</v>
      </c>
      <c r="T67" s="346">
        <v>80</v>
      </c>
      <c r="U67" s="302"/>
      <c r="V67" s="294">
        <v>80</v>
      </c>
      <c r="W67" s="308">
        <v>695</v>
      </c>
      <c r="X67" s="64">
        <v>0</v>
      </c>
      <c r="Y67" s="309">
        <v>695</v>
      </c>
      <c r="Z67" s="310">
        <v>115.83333333333333</v>
      </c>
      <c r="AA67" s="65">
        <v>0</v>
      </c>
      <c r="AB67" s="311">
        <v>115.83333333333333</v>
      </c>
      <c r="AC67" s="585">
        <f t="shared" si="24"/>
        <v>139</v>
      </c>
      <c r="AD67" s="585">
        <f t="shared" si="25"/>
        <v>0</v>
      </c>
      <c r="AE67" s="585">
        <f t="shared" si="26"/>
        <v>139</v>
      </c>
    </row>
    <row r="68" spans="1:31" ht="15.75" hidden="1">
      <c r="A68" s="543">
        <v>23</v>
      </c>
      <c r="B68" s="351" t="s">
        <v>2553</v>
      </c>
      <c r="C68" s="305" t="s">
        <v>2545</v>
      </c>
      <c r="D68" s="1" t="s">
        <v>2788</v>
      </c>
      <c r="E68" s="307">
        <v>210</v>
      </c>
      <c r="F68" s="302"/>
      <c r="G68" s="294">
        <v>210</v>
      </c>
      <c r="H68" s="346">
        <v>254</v>
      </c>
      <c r="I68" s="302"/>
      <c r="J68" s="294">
        <v>254</v>
      </c>
      <c r="K68" s="346">
        <v>192</v>
      </c>
      <c r="L68" s="302"/>
      <c r="M68" s="294">
        <v>192</v>
      </c>
      <c r="N68" s="346">
        <v>225</v>
      </c>
      <c r="O68" s="302"/>
      <c r="P68" s="294">
        <v>225</v>
      </c>
      <c r="Q68" s="346">
        <v>235</v>
      </c>
      <c r="R68" s="302"/>
      <c r="S68" s="294">
        <v>235</v>
      </c>
      <c r="T68" s="346">
        <v>108</v>
      </c>
      <c r="U68" s="302"/>
      <c r="V68" s="294">
        <v>108</v>
      </c>
      <c r="W68" s="308">
        <v>1224</v>
      </c>
      <c r="X68" s="64">
        <v>0</v>
      </c>
      <c r="Y68" s="309">
        <v>1224</v>
      </c>
      <c r="Z68" s="310">
        <v>204</v>
      </c>
      <c r="AA68" s="65">
        <v>0</v>
      </c>
      <c r="AB68" s="311">
        <v>204</v>
      </c>
      <c r="AC68" s="585">
        <f t="shared" si="24"/>
        <v>244.8</v>
      </c>
      <c r="AD68" s="585">
        <f t="shared" si="25"/>
        <v>0</v>
      </c>
      <c r="AE68" s="585">
        <f t="shared" si="26"/>
        <v>244.8</v>
      </c>
    </row>
    <row r="69" spans="1:31" ht="15.75" hidden="1">
      <c r="A69" s="545">
        <v>24</v>
      </c>
      <c r="B69" s="546" t="s">
        <v>2565</v>
      </c>
      <c r="C69" s="304" t="s">
        <v>2545</v>
      </c>
      <c r="D69" s="404" t="s">
        <v>2788</v>
      </c>
      <c r="E69" s="547">
        <v>50</v>
      </c>
      <c r="F69" s="325"/>
      <c r="G69" s="548">
        <v>50</v>
      </c>
      <c r="H69" s="549">
        <v>65</v>
      </c>
      <c r="I69" s="325"/>
      <c r="J69" s="548">
        <v>65</v>
      </c>
      <c r="K69" s="549">
        <v>20</v>
      </c>
      <c r="L69" s="325"/>
      <c r="M69" s="548">
        <v>20</v>
      </c>
      <c r="N69" s="549">
        <v>75</v>
      </c>
      <c r="O69" s="325"/>
      <c r="P69" s="548">
        <v>75</v>
      </c>
      <c r="Q69" s="549">
        <v>85</v>
      </c>
      <c r="R69" s="325"/>
      <c r="S69" s="548">
        <v>85</v>
      </c>
      <c r="T69" s="549">
        <v>40</v>
      </c>
      <c r="U69" s="325"/>
      <c r="V69" s="548">
        <v>40</v>
      </c>
      <c r="W69" s="550">
        <v>335</v>
      </c>
      <c r="X69" s="498">
        <v>0</v>
      </c>
      <c r="Y69" s="551">
        <v>335</v>
      </c>
      <c r="Z69" s="552">
        <v>55.833333333333336</v>
      </c>
      <c r="AA69" s="499">
        <v>0</v>
      </c>
      <c r="AB69" s="553">
        <v>55.833333333333336</v>
      </c>
      <c r="AC69" s="585">
        <f t="shared" si="24"/>
        <v>67</v>
      </c>
      <c r="AD69" s="585">
        <f t="shared" si="25"/>
        <v>0</v>
      </c>
      <c r="AE69" s="585">
        <f t="shared" si="26"/>
        <v>67</v>
      </c>
    </row>
    <row r="70" spans="1:31" ht="14.65" hidden="1" thickBot="1">
      <c r="A70" s="540"/>
      <c r="B70" s="1113" t="s">
        <v>2787</v>
      </c>
      <c r="C70" s="1114"/>
      <c r="D70" s="517"/>
      <c r="E70" s="517">
        <f>SUM(E46:E69)</f>
        <v>2135</v>
      </c>
      <c r="F70" s="517">
        <f t="shared" ref="F70:AB70" si="43">SUM(F46:F69)</f>
        <v>56</v>
      </c>
      <c r="G70" s="517">
        <f t="shared" si="43"/>
        <v>2191</v>
      </c>
      <c r="H70" s="517">
        <f t="shared" si="43"/>
        <v>3226</v>
      </c>
      <c r="I70" s="517">
        <f t="shared" si="43"/>
        <v>0</v>
      </c>
      <c r="J70" s="517">
        <f t="shared" si="43"/>
        <v>3226</v>
      </c>
      <c r="K70" s="517">
        <f t="shared" si="43"/>
        <v>1782</v>
      </c>
      <c r="L70" s="517">
        <f t="shared" si="43"/>
        <v>0</v>
      </c>
      <c r="M70" s="517">
        <f t="shared" si="43"/>
        <v>1782</v>
      </c>
      <c r="N70" s="517">
        <f t="shared" si="43"/>
        <v>2056</v>
      </c>
      <c r="O70" s="517">
        <f t="shared" si="43"/>
        <v>7</v>
      </c>
      <c r="P70" s="517">
        <f t="shared" si="43"/>
        <v>2063</v>
      </c>
      <c r="Q70" s="517">
        <f t="shared" si="43"/>
        <v>2232</v>
      </c>
      <c r="R70" s="517">
        <f t="shared" si="43"/>
        <v>0</v>
      </c>
      <c r="S70" s="517">
        <f t="shared" si="43"/>
        <v>2232</v>
      </c>
      <c r="T70" s="517">
        <f t="shared" si="43"/>
        <v>1159.5</v>
      </c>
      <c r="U70" s="517">
        <f t="shared" si="43"/>
        <v>40</v>
      </c>
      <c r="V70" s="517">
        <f t="shared" si="43"/>
        <v>1199.5</v>
      </c>
      <c r="W70" s="541">
        <f t="shared" si="43"/>
        <v>12590.5</v>
      </c>
      <c r="X70" s="541">
        <f t="shared" si="43"/>
        <v>103</v>
      </c>
      <c r="Y70" s="541">
        <f t="shared" si="43"/>
        <v>12693.5</v>
      </c>
      <c r="Z70" s="599">
        <f t="shared" si="43"/>
        <v>2098.4166666666665</v>
      </c>
      <c r="AA70" s="599">
        <f t="shared" si="43"/>
        <v>17.166666666666668</v>
      </c>
      <c r="AB70" s="599">
        <f t="shared" si="43"/>
        <v>2115.5833333333335</v>
      </c>
      <c r="AC70" s="541">
        <f t="shared" ref="AC70" si="44">SUM(AC46:AC69)</f>
        <v>2518.1000000000004</v>
      </c>
      <c r="AD70" s="541">
        <f t="shared" ref="AD70" si="45">SUM(AD46:AD69)</f>
        <v>20.6</v>
      </c>
      <c r="AE70" s="541">
        <f t="shared" ref="AE70" si="46">SUM(AE46:AE69)</f>
        <v>2538.6999999999998</v>
      </c>
    </row>
    <row r="72" spans="1:31">
      <c r="A72" s="522"/>
      <c r="B72" s="1104" t="s">
        <v>2783</v>
      </c>
      <c r="C72" s="1105"/>
      <c r="D72" s="522"/>
      <c r="E72" s="522">
        <f>E45+E70</f>
        <v>18384</v>
      </c>
      <c r="F72" s="522">
        <f t="shared" ref="F72:Y72" si="47">F45+F70</f>
        <v>398</v>
      </c>
      <c r="G72" s="522">
        <f t="shared" si="47"/>
        <v>18782</v>
      </c>
      <c r="H72" s="522">
        <f t="shared" si="47"/>
        <v>21652</v>
      </c>
      <c r="I72" s="522">
        <f t="shared" si="47"/>
        <v>753</v>
      </c>
      <c r="J72" s="522">
        <f t="shared" si="47"/>
        <v>22405</v>
      </c>
      <c r="K72" s="522">
        <f t="shared" si="47"/>
        <v>17657</v>
      </c>
      <c r="L72" s="522">
        <f t="shared" si="47"/>
        <v>396</v>
      </c>
      <c r="M72" s="522">
        <f t="shared" si="47"/>
        <v>18053</v>
      </c>
      <c r="N72" s="522">
        <f t="shared" si="47"/>
        <v>12088</v>
      </c>
      <c r="O72" s="522">
        <f t="shared" si="47"/>
        <v>209</v>
      </c>
      <c r="P72" s="522">
        <f t="shared" si="47"/>
        <v>12297</v>
      </c>
      <c r="Q72" s="522">
        <f t="shared" si="47"/>
        <v>26309</v>
      </c>
      <c r="R72" s="522">
        <f t="shared" si="47"/>
        <v>994</v>
      </c>
      <c r="S72" s="522">
        <f t="shared" si="47"/>
        <v>27303</v>
      </c>
      <c r="T72" s="523">
        <f t="shared" si="47"/>
        <v>17867.5</v>
      </c>
      <c r="U72" s="523">
        <f t="shared" si="47"/>
        <v>382</v>
      </c>
      <c r="V72" s="523">
        <f t="shared" si="47"/>
        <v>18249.5</v>
      </c>
      <c r="W72" s="523">
        <f t="shared" si="47"/>
        <v>113957.5</v>
      </c>
      <c r="X72" s="523">
        <f t="shared" si="47"/>
        <v>3132</v>
      </c>
      <c r="Y72" s="523">
        <f t="shared" si="47"/>
        <v>117089.5</v>
      </c>
      <c r="Z72" s="602">
        <f t="shared" ref="Z72:AE72" si="48">Z45+Z70</f>
        <v>6935.4166666666661</v>
      </c>
      <c r="AA72" s="602">
        <f t="shared" si="48"/>
        <v>32.166666666666671</v>
      </c>
      <c r="AB72" s="602">
        <f t="shared" si="48"/>
        <v>6967.5833333333339</v>
      </c>
      <c r="AC72" s="523">
        <f t="shared" si="48"/>
        <v>8322.1</v>
      </c>
      <c r="AD72" s="523">
        <f t="shared" si="48"/>
        <v>38.6</v>
      </c>
      <c r="AE72" s="523">
        <f t="shared" si="48"/>
        <v>8360.7000000000007</v>
      </c>
    </row>
  </sheetData>
  <autoFilter ref="A5:AE70">
    <filterColumn colId="1">
      <colorFilter dxfId="0"/>
    </filterColumn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</autoFilter>
  <mergeCells count="8">
    <mergeCell ref="B45:C45"/>
    <mergeCell ref="B70:C70"/>
    <mergeCell ref="B72:C72"/>
    <mergeCell ref="A3:AE3"/>
    <mergeCell ref="AC5:AE5"/>
    <mergeCell ref="T5:V5"/>
    <mergeCell ref="W5:Y5"/>
    <mergeCell ref="Z5:AB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E31"/>
  <sheetViews>
    <sheetView topLeftCell="A2" workbookViewId="0">
      <selection activeCell="AH16" sqref="AH16"/>
    </sheetView>
  </sheetViews>
  <sheetFormatPr defaultRowHeight="14.25"/>
  <cols>
    <col min="2" max="2" width="31.265625" bestFit="1" customWidth="1"/>
    <col min="3" max="3" width="17.59765625" customWidth="1"/>
    <col min="5" max="25" width="0" hidden="1" customWidth="1"/>
  </cols>
  <sheetData>
    <row r="1" spans="1:31" ht="14.65" thickBot="1"/>
    <row r="2" spans="1:31" ht="18.399999999999999" thickBot="1">
      <c r="A2" s="1091" t="s">
        <v>2791</v>
      </c>
      <c r="B2" s="1092"/>
      <c r="C2" s="1092"/>
      <c r="D2" s="1092"/>
      <c r="E2" s="1092"/>
      <c r="F2" s="1092"/>
      <c r="G2" s="1092"/>
      <c r="H2" s="1092"/>
      <c r="I2" s="1092"/>
      <c r="J2" s="1092"/>
      <c r="K2" s="1092"/>
      <c r="L2" s="1092"/>
      <c r="M2" s="1092"/>
      <c r="N2" s="1092"/>
      <c r="O2" s="1092"/>
      <c r="P2" s="1092"/>
      <c r="Q2" s="1092"/>
      <c r="R2" s="1092"/>
      <c r="S2" s="1092"/>
      <c r="T2" s="1092"/>
      <c r="U2" s="1092"/>
      <c r="V2" s="1092"/>
      <c r="W2" s="1092"/>
      <c r="X2" s="1092"/>
      <c r="Y2" s="1092"/>
      <c r="Z2" s="1092"/>
      <c r="AA2" s="1092"/>
      <c r="AB2" s="1092"/>
      <c r="AC2" s="1092"/>
      <c r="AD2" s="1092"/>
      <c r="AE2" s="1093"/>
    </row>
    <row r="3" spans="1:31" ht="14.65" thickBot="1">
      <c r="A3" t="s">
        <v>2797</v>
      </c>
      <c r="B3" t="s">
        <v>2798</v>
      </c>
      <c r="Z3" s="575" t="s">
        <v>9</v>
      </c>
      <c r="AA3" s="586" t="s">
        <v>2792</v>
      </c>
      <c r="AB3" s="576" t="s">
        <v>2780</v>
      </c>
      <c r="AC3" s="586" t="s">
        <v>9</v>
      </c>
      <c r="AD3" s="586" t="s">
        <v>2792</v>
      </c>
      <c r="AE3" s="576" t="s">
        <v>2780</v>
      </c>
    </row>
    <row r="4" spans="1:31" ht="35.25" customHeight="1" thickBot="1">
      <c r="A4" s="34" t="s">
        <v>2774</v>
      </c>
      <c r="B4" s="34" t="s">
        <v>2773</v>
      </c>
      <c r="C4" s="34" t="s">
        <v>2772</v>
      </c>
      <c r="D4" s="34" t="s">
        <v>2775</v>
      </c>
      <c r="E4" s="263"/>
      <c r="F4" s="39"/>
      <c r="G4" s="39" t="s">
        <v>883</v>
      </c>
      <c r="H4" s="263"/>
      <c r="I4" s="39"/>
      <c r="J4" s="39" t="s">
        <v>889</v>
      </c>
      <c r="K4" s="263"/>
      <c r="L4" s="39"/>
      <c r="M4" s="39" t="s">
        <v>895</v>
      </c>
      <c r="N4" s="263"/>
      <c r="O4" s="39"/>
      <c r="P4" s="39" t="s">
        <v>896</v>
      </c>
      <c r="Q4" s="263"/>
      <c r="R4" s="39"/>
      <c r="S4" s="39" t="s">
        <v>897</v>
      </c>
      <c r="T4" s="967" t="s">
        <v>898</v>
      </c>
      <c r="U4" s="967"/>
      <c r="V4" s="967"/>
      <c r="W4" s="968" t="s">
        <v>901</v>
      </c>
      <c r="X4" s="968"/>
      <c r="Y4" s="968"/>
      <c r="Z4" s="1097" t="s">
        <v>2799</v>
      </c>
      <c r="AA4" s="1098"/>
      <c r="AB4" s="1099"/>
      <c r="AC4" s="1109" t="s">
        <v>2793</v>
      </c>
      <c r="AD4" s="1110"/>
      <c r="AE4" s="1111"/>
    </row>
    <row r="5" spans="1:31" ht="18">
      <c r="A5" s="180">
        <v>1</v>
      </c>
      <c r="B5" s="383" t="s">
        <v>2595</v>
      </c>
      <c r="C5" s="111" t="s">
        <v>2578</v>
      </c>
      <c r="D5" s="54" t="s">
        <v>2790</v>
      </c>
      <c r="E5" s="100">
        <v>941</v>
      </c>
      <c r="F5" s="100">
        <v>476.5</v>
      </c>
      <c r="G5" s="385">
        <f t="shared" ref="G5:G13" si="0">E5+F5</f>
        <v>1417.5</v>
      </c>
      <c r="H5" s="319">
        <v>900</v>
      </c>
      <c r="I5" s="100">
        <v>650</v>
      </c>
      <c r="J5" s="385">
        <f t="shared" ref="J5:J13" si="1">H5+I5</f>
        <v>1550</v>
      </c>
      <c r="K5" s="319">
        <v>1808</v>
      </c>
      <c r="L5" s="100">
        <v>198</v>
      </c>
      <c r="M5" s="385">
        <f t="shared" ref="M5:M13" si="2">K5+L5</f>
        <v>2006</v>
      </c>
      <c r="N5" s="386">
        <v>526</v>
      </c>
      <c r="O5" s="387">
        <v>556</v>
      </c>
      <c r="P5" s="385">
        <f t="shared" ref="P5:P13" si="3">N5+O5</f>
        <v>1082</v>
      </c>
      <c r="Q5" s="386">
        <v>2280</v>
      </c>
      <c r="R5" s="387">
        <v>504</v>
      </c>
      <c r="S5" s="385">
        <f t="shared" ref="S5:S13" si="4">Q5+R5</f>
        <v>2784</v>
      </c>
      <c r="T5" s="386">
        <v>800</v>
      </c>
      <c r="U5" s="387">
        <v>0</v>
      </c>
      <c r="V5" s="385">
        <f t="shared" ref="V5:V13" si="5">T5+U5</f>
        <v>800</v>
      </c>
      <c r="W5" s="386">
        <f t="shared" ref="W5:Y13" si="6">E5+H5+K5+N5+Q5+T5</f>
        <v>7255</v>
      </c>
      <c r="X5" s="388">
        <f t="shared" si="6"/>
        <v>2384.5</v>
      </c>
      <c r="Y5" s="389">
        <f t="shared" si="6"/>
        <v>9639.5</v>
      </c>
      <c r="Z5" s="390">
        <f t="shared" ref="Z5:AB13" si="7">W5/6</f>
        <v>1209.1666666666667</v>
      </c>
      <c r="AA5" s="391">
        <f t="shared" si="7"/>
        <v>397.41666666666669</v>
      </c>
      <c r="AB5" s="392">
        <f t="shared" si="7"/>
        <v>1606.5833333333333</v>
      </c>
      <c r="AC5" s="609">
        <f>Z5*20%+Z5</f>
        <v>1451</v>
      </c>
      <c r="AD5" s="585">
        <f>AA5*20%+AA5</f>
        <v>476.90000000000003</v>
      </c>
      <c r="AE5" s="610">
        <f>AB5*20%+AB5</f>
        <v>1927.8999999999999</v>
      </c>
    </row>
    <row r="6" spans="1:31" ht="18">
      <c r="A6" s="180">
        <v>2</v>
      </c>
      <c r="B6" s="383" t="s">
        <v>2597</v>
      </c>
      <c r="C6" s="111" t="s">
        <v>2578</v>
      </c>
      <c r="D6" s="54" t="s">
        <v>2790</v>
      </c>
      <c r="E6" s="100">
        <v>200</v>
      </c>
      <c r="F6" s="100">
        <v>136</v>
      </c>
      <c r="G6" s="385">
        <f t="shared" si="0"/>
        <v>336</v>
      </c>
      <c r="H6" s="319">
        <v>386</v>
      </c>
      <c r="I6" s="100">
        <v>204</v>
      </c>
      <c r="J6" s="385">
        <f t="shared" si="1"/>
        <v>590</v>
      </c>
      <c r="K6" s="319">
        <v>0</v>
      </c>
      <c r="L6" s="100">
        <v>0</v>
      </c>
      <c r="M6" s="385">
        <f t="shared" si="2"/>
        <v>0</v>
      </c>
      <c r="N6" s="386">
        <v>380</v>
      </c>
      <c r="O6" s="387"/>
      <c r="P6" s="385">
        <f t="shared" si="3"/>
        <v>380</v>
      </c>
      <c r="Q6" s="386">
        <v>300</v>
      </c>
      <c r="R6" s="387"/>
      <c r="S6" s="385">
        <f t="shared" si="4"/>
        <v>300</v>
      </c>
      <c r="T6" s="386">
        <v>410</v>
      </c>
      <c r="U6" s="387">
        <v>154</v>
      </c>
      <c r="V6" s="385">
        <f t="shared" si="5"/>
        <v>564</v>
      </c>
      <c r="W6" s="386">
        <f t="shared" si="6"/>
        <v>1676</v>
      </c>
      <c r="X6" s="388">
        <f t="shared" si="6"/>
        <v>494</v>
      </c>
      <c r="Y6" s="389">
        <f t="shared" si="6"/>
        <v>2170</v>
      </c>
      <c r="Z6" s="390">
        <f t="shared" si="7"/>
        <v>279.33333333333331</v>
      </c>
      <c r="AA6" s="391">
        <f t="shared" si="7"/>
        <v>82.333333333333329</v>
      </c>
      <c r="AB6" s="392">
        <f t="shared" si="7"/>
        <v>361.66666666666669</v>
      </c>
      <c r="AC6" s="609">
        <f t="shared" ref="AC6:AC13" si="8">Z6*20%+Z6</f>
        <v>335.2</v>
      </c>
      <c r="AD6" s="585">
        <f t="shared" ref="AD6:AD13" si="9">AA6*20%+AA6</f>
        <v>98.8</v>
      </c>
      <c r="AE6" s="610">
        <f t="shared" ref="AE6:AE13" si="10">AB6*20%+AB6</f>
        <v>434</v>
      </c>
    </row>
    <row r="7" spans="1:31" ht="18">
      <c r="A7" s="180">
        <v>3</v>
      </c>
      <c r="B7" s="383" t="s">
        <v>2649</v>
      </c>
      <c r="C7" s="111" t="s">
        <v>2625</v>
      </c>
      <c r="D7" s="54" t="s">
        <v>2790</v>
      </c>
      <c r="E7" s="100"/>
      <c r="F7" s="100"/>
      <c r="G7" s="385">
        <f t="shared" si="0"/>
        <v>0</v>
      </c>
      <c r="H7" s="319">
        <v>296</v>
      </c>
      <c r="I7" s="100">
        <v>72</v>
      </c>
      <c r="J7" s="385">
        <f t="shared" si="1"/>
        <v>368</v>
      </c>
      <c r="K7" s="319"/>
      <c r="L7" s="100"/>
      <c r="M7" s="385">
        <f t="shared" si="2"/>
        <v>0</v>
      </c>
      <c r="N7" s="386"/>
      <c r="O7" s="387"/>
      <c r="P7" s="385">
        <f t="shared" si="3"/>
        <v>0</v>
      </c>
      <c r="Q7" s="386">
        <v>200</v>
      </c>
      <c r="R7" s="387"/>
      <c r="S7" s="385">
        <f t="shared" si="4"/>
        <v>200</v>
      </c>
      <c r="T7" s="386"/>
      <c r="U7" s="387"/>
      <c r="V7" s="385">
        <f t="shared" si="5"/>
        <v>0</v>
      </c>
      <c r="W7" s="386">
        <f t="shared" si="6"/>
        <v>496</v>
      </c>
      <c r="X7" s="388">
        <f t="shared" si="6"/>
        <v>72</v>
      </c>
      <c r="Y7" s="389">
        <f t="shared" si="6"/>
        <v>568</v>
      </c>
      <c r="Z7" s="390">
        <f t="shared" si="7"/>
        <v>82.666666666666671</v>
      </c>
      <c r="AA7" s="391">
        <f t="shared" si="7"/>
        <v>12</v>
      </c>
      <c r="AB7" s="392">
        <f t="shared" si="7"/>
        <v>94.666666666666671</v>
      </c>
      <c r="AC7" s="609">
        <f t="shared" si="8"/>
        <v>99.2</v>
      </c>
      <c r="AD7" s="585">
        <f t="shared" si="9"/>
        <v>14.4</v>
      </c>
      <c r="AE7" s="610">
        <f t="shared" si="10"/>
        <v>113.60000000000001</v>
      </c>
    </row>
    <row r="8" spans="1:31" ht="18">
      <c r="A8" s="180">
        <v>4</v>
      </c>
      <c r="B8" s="383" t="s">
        <v>2651</v>
      </c>
      <c r="C8" s="111" t="s">
        <v>2625</v>
      </c>
      <c r="D8" s="54" t="s">
        <v>2790</v>
      </c>
      <c r="E8" s="100"/>
      <c r="F8" s="100"/>
      <c r="G8" s="385">
        <f t="shared" si="0"/>
        <v>0</v>
      </c>
      <c r="H8" s="319"/>
      <c r="I8" s="100"/>
      <c r="J8" s="385">
        <f t="shared" si="1"/>
        <v>0</v>
      </c>
      <c r="K8" s="319"/>
      <c r="L8" s="100"/>
      <c r="M8" s="385">
        <f t="shared" si="2"/>
        <v>0</v>
      </c>
      <c r="N8" s="386"/>
      <c r="O8" s="387"/>
      <c r="P8" s="385">
        <f t="shared" si="3"/>
        <v>0</v>
      </c>
      <c r="Q8" s="386">
        <v>0</v>
      </c>
      <c r="R8" s="387"/>
      <c r="S8" s="385">
        <f t="shared" si="4"/>
        <v>0</v>
      </c>
      <c r="T8" s="386"/>
      <c r="U8" s="387"/>
      <c r="V8" s="385">
        <f t="shared" si="5"/>
        <v>0</v>
      </c>
      <c r="W8" s="386">
        <f t="shared" si="6"/>
        <v>0</v>
      </c>
      <c r="X8" s="388">
        <f t="shared" si="6"/>
        <v>0</v>
      </c>
      <c r="Y8" s="389">
        <f t="shared" si="6"/>
        <v>0</v>
      </c>
      <c r="Z8" s="390">
        <f t="shared" si="7"/>
        <v>0</v>
      </c>
      <c r="AA8" s="391">
        <f t="shared" si="7"/>
        <v>0</v>
      </c>
      <c r="AB8" s="392">
        <f t="shared" si="7"/>
        <v>0</v>
      </c>
      <c r="AC8" s="609">
        <f t="shared" si="8"/>
        <v>0</v>
      </c>
      <c r="AD8" s="585">
        <f t="shared" si="9"/>
        <v>0</v>
      </c>
      <c r="AE8" s="610">
        <f t="shared" si="10"/>
        <v>0</v>
      </c>
    </row>
    <row r="9" spans="1:31" ht="18">
      <c r="A9" s="180">
        <v>5</v>
      </c>
      <c r="B9" s="383" t="s">
        <v>2653</v>
      </c>
      <c r="C9" s="111" t="s">
        <v>2625</v>
      </c>
      <c r="D9" s="54" t="s">
        <v>2790</v>
      </c>
      <c r="E9" s="100">
        <v>156.5</v>
      </c>
      <c r="F9" s="100"/>
      <c r="G9" s="385">
        <f t="shared" si="0"/>
        <v>156.5</v>
      </c>
      <c r="H9" s="319">
        <v>297</v>
      </c>
      <c r="I9" s="100"/>
      <c r="J9" s="385">
        <f t="shared" si="1"/>
        <v>297</v>
      </c>
      <c r="K9" s="319"/>
      <c r="L9" s="100"/>
      <c r="M9" s="385">
        <f t="shared" si="2"/>
        <v>0</v>
      </c>
      <c r="N9" s="386">
        <v>162</v>
      </c>
      <c r="O9" s="387"/>
      <c r="P9" s="385">
        <f t="shared" si="3"/>
        <v>162</v>
      </c>
      <c r="Q9" s="386">
        <v>154</v>
      </c>
      <c r="R9" s="387"/>
      <c r="S9" s="385">
        <f t="shared" si="4"/>
        <v>154</v>
      </c>
      <c r="T9" s="386">
        <v>134</v>
      </c>
      <c r="U9" s="387"/>
      <c r="V9" s="385">
        <f t="shared" si="5"/>
        <v>134</v>
      </c>
      <c r="W9" s="386">
        <f t="shared" si="6"/>
        <v>903.5</v>
      </c>
      <c r="X9" s="388">
        <f t="shared" si="6"/>
        <v>0</v>
      </c>
      <c r="Y9" s="389">
        <f t="shared" si="6"/>
        <v>903.5</v>
      </c>
      <c r="Z9" s="390">
        <f t="shared" si="7"/>
        <v>150.58333333333334</v>
      </c>
      <c r="AA9" s="391">
        <f t="shared" si="7"/>
        <v>0</v>
      </c>
      <c r="AB9" s="392">
        <f t="shared" si="7"/>
        <v>150.58333333333334</v>
      </c>
      <c r="AC9" s="609">
        <f t="shared" si="8"/>
        <v>180.70000000000002</v>
      </c>
      <c r="AD9" s="585">
        <f t="shared" si="9"/>
        <v>0</v>
      </c>
      <c r="AE9" s="610">
        <f t="shared" si="10"/>
        <v>180.70000000000002</v>
      </c>
    </row>
    <row r="10" spans="1:31" ht="18">
      <c r="A10" s="180">
        <v>6</v>
      </c>
      <c r="B10" s="383" t="s">
        <v>2655</v>
      </c>
      <c r="C10" s="111" t="s">
        <v>2625</v>
      </c>
      <c r="D10" s="54" t="s">
        <v>2790</v>
      </c>
      <c r="E10" s="100">
        <v>66</v>
      </c>
      <c r="F10" s="100"/>
      <c r="G10" s="385">
        <f t="shared" si="0"/>
        <v>66</v>
      </c>
      <c r="H10" s="319">
        <v>116</v>
      </c>
      <c r="I10" s="100">
        <v>96</v>
      </c>
      <c r="J10" s="385">
        <f t="shared" si="1"/>
        <v>212</v>
      </c>
      <c r="K10" s="319">
        <v>156</v>
      </c>
      <c r="L10" s="100">
        <v>18</v>
      </c>
      <c r="M10" s="385">
        <f t="shared" si="2"/>
        <v>174</v>
      </c>
      <c r="N10" s="386">
        <v>76</v>
      </c>
      <c r="O10" s="387">
        <v>78</v>
      </c>
      <c r="P10" s="385">
        <f t="shared" si="3"/>
        <v>154</v>
      </c>
      <c r="Q10" s="386">
        <v>0</v>
      </c>
      <c r="R10" s="387"/>
      <c r="S10" s="385">
        <f t="shared" si="4"/>
        <v>0</v>
      </c>
      <c r="T10" s="386">
        <v>116</v>
      </c>
      <c r="U10" s="387">
        <v>116</v>
      </c>
      <c r="V10" s="385">
        <f t="shared" si="5"/>
        <v>232</v>
      </c>
      <c r="W10" s="386">
        <f t="shared" si="6"/>
        <v>530</v>
      </c>
      <c r="X10" s="388">
        <f t="shared" si="6"/>
        <v>308</v>
      </c>
      <c r="Y10" s="389">
        <f t="shared" si="6"/>
        <v>838</v>
      </c>
      <c r="Z10" s="390">
        <f t="shared" si="7"/>
        <v>88.333333333333329</v>
      </c>
      <c r="AA10" s="391">
        <f t="shared" si="7"/>
        <v>51.333333333333336</v>
      </c>
      <c r="AB10" s="392">
        <f t="shared" si="7"/>
        <v>139.66666666666666</v>
      </c>
      <c r="AC10" s="609">
        <f t="shared" si="8"/>
        <v>106</v>
      </c>
      <c r="AD10" s="585">
        <f t="shared" si="9"/>
        <v>61.6</v>
      </c>
      <c r="AE10" s="610">
        <f t="shared" si="10"/>
        <v>167.6</v>
      </c>
    </row>
    <row r="11" spans="1:31" ht="18">
      <c r="A11" s="180">
        <v>7</v>
      </c>
      <c r="B11" s="383" t="s">
        <v>2692</v>
      </c>
      <c r="C11" s="111" t="s">
        <v>2662</v>
      </c>
      <c r="D11" s="54" t="s">
        <v>2790</v>
      </c>
      <c r="E11" s="100">
        <v>192</v>
      </c>
      <c r="F11" s="100"/>
      <c r="G11" s="385">
        <f t="shared" si="0"/>
        <v>192</v>
      </c>
      <c r="H11" s="319">
        <v>298</v>
      </c>
      <c r="I11" s="100">
        <v>106</v>
      </c>
      <c r="J11" s="385">
        <f t="shared" si="1"/>
        <v>404</v>
      </c>
      <c r="K11" s="319"/>
      <c r="L11" s="100"/>
      <c r="M11" s="385">
        <f t="shared" si="2"/>
        <v>0</v>
      </c>
      <c r="N11" s="386">
        <v>222</v>
      </c>
      <c r="O11" s="387">
        <v>108</v>
      </c>
      <c r="P11" s="385">
        <f t="shared" si="3"/>
        <v>330</v>
      </c>
      <c r="Q11" s="386">
        <v>234</v>
      </c>
      <c r="R11" s="387">
        <v>102</v>
      </c>
      <c r="S11" s="385">
        <f t="shared" si="4"/>
        <v>336</v>
      </c>
      <c r="T11" s="386">
        <v>274</v>
      </c>
      <c r="U11" s="387">
        <v>76</v>
      </c>
      <c r="V11" s="385">
        <f t="shared" si="5"/>
        <v>350</v>
      </c>
      <c r="W11" s="386">
        <f t="shared" si="6"/>
        <v>1220</v>
      </c>
      <c r="X11" s="388">
        <f t="shared" si="6"/>
        <v>392</v>
      </c>
      <c r="Y11" s="389">
        <f t="shared" si="6"/>
        <v>1612</v>
      </c>
      <c r="Z11" s="390">
        <f t="shared" si="7"/>
        <v>203.33333333333334</v>
      </c>
      <c r="AA11" s="391">
        <f t="shared" si="7"/>
        <v>65.333333333333329</v>
      </c>
      <c r="AB11" s="392">
        <f t="shared" si="7"/>
        <v>268.66666666666669</v>
      </c>
      <c r="AC11" s="609">
        <f t="shared" si="8"/>
        <v>244</v>
      </c>
      <c r="AD11" s="585">
        <f t="shared" si="9"/>
        <v>78.399999999999991</v>
      </c>
      <c r="AE11" s="610">
        <f t="shared" si="10"/>
        <v>322.40000000000003</v>
      </c>
    </row>
    <row r="12" spans="1:31" ht="18">
      <c r="A12" s="180">
        <v>8</v>
      </c>
      <c r="B12" s="399" t="s">
        <v>2717</v>
      </c>
      <c r="C12" s="111" t="s">
        <v>2695</v>
      </c>
      <c r="D12" s="54" t="s">
        <v>2790</v>
      </c>
      <c r="E12" s="100"/>
      <c r="F12" s="100"/>
      <c r="G12" s="385">
        <f t="shared" si="0"/>
        <v>0</v>
      </c>
      <c r="H12" s="319">
        <v>300</v>
      </c>
      <c r="I12" s="100"/>
      <c r="J12" s="385">
        <f t="shared" si="1"/>
        <v>300</v>
      </c>
      <c r="K12" s="319">
        <v>300</v>
      </c>
      <c r="L12" s="100"/>
      <c r="M12" s="385">
        <f t="shared" si="2"/>
        <v>300</v>
      </c>
      <c r="N12" s="386"/>
      <c r="O12" s="387"/>
      <c r="P12" s="385">
        <f t="shared" si="3"/>
        <v>0</v>
      </c>
      <c r="Q12" s="386">
        <v>300</v>
      </c>
      <c r="R12" s="387"/>
      <c r="S12" s="385">
        <f t="shared" si="4"/>
        <v>300</v>
      </c>
      <c r="T12" s="386">
        <v>300</v>
      </c>
      <c r="U12" s="387">
        <v>0</v>
      </c>
      <c r="V12" s="385">
        <f t="shared" si="5"/>
        <v>300</v>
      </c>
      <c r="W12" s="386">
        <f t="shared" si="6"/>
        <v>1200</v>
      </c>
      <c r="X12" s="388">
        <f t="shared" si="6"/>
        <v>0</v>
      </c>
      <c r="Y12" s="389">
        <f t="shared" si="6"/>
        <v>1200</v>
      </c>
      <c r="Z12" s="390">
        <f t="shared" si="7"/>
        <v>200</v>
      </c>
      <c r="AA12" s="391">
        <f t="shared" si="7"/>
        <v>0</v>
      </c>
      <c r="AB12" s="392">
        <f t="shared" si="7"/>
        <v>200</v>
      </c>
      <c r="AC12" s="609">
        <f t="shared" si="8"/>
        <v>240</v>
      </c>
      <c r="AD12" s="585">
        <f t="shared" si="9"/>
        <v>0</v>
      </c>
      <c r="AE12" s="610">
        <f t="shared" si="10"/>
        <v>240</v>
      </c>
    </row>
    <row r="13" spans="1:31" ht="16.149999999999999" thickBot="1">
      <c r="A13" s="180">
        <v>9</v>
      </c>
      <c r="B13" s="555" t="s">
        <v>2719</v>
      </c>
      <c r="C13" s="556" t="s">
        <v>2695</v>
      </c>
      <c r="D13" s="557" t="s">
        <v>2790</v>
      </c>
      <c r="E13" s="558">
        <v>100</v>
      </c>
      <c r="F13" s="558"/>
      <c r="G13" s="559">
        <f t="shared" si="0"/>
        <v>100</v>
      </c>
      <c r="H13" s="532">
        <v>100</v>
      </c>
      <c r="I13" s="558"/>
      <c r="J13" s="559">
        <f t="shared" si="1"/>
        <v>100</v>
      </c>
      <c r="K13" s="532"/>
      <c r="L13" s="558"/>
      <c r="M13" s="559">
        <f t="shared" si="2"/>
        <v>0</v>
      </c>
      <c r="N13" s="560"/>
      <c r="O13" s="561"/>
      <c r="P13" s="559">
        <f t="shared" si="3"/>
        <v>0</v>
      </c>
      <c r="Q13" s="560">
        <v>0</v>
      </c>
      <c r="R13" s="561"/>
      <c r="S13" s="559">
        <f t="shared" si="4"/>
        <v>0</v>
      </c>
      <c r="T13" s="560"/>
      <c r="U13" s="561"/>
      <c r="V13" s="559">
        <f t="shared" si="5"/>
        <v>0</v>
      </c>
      <c r="W13" s="560">
        <f t="shared" si="6"/>
        <v>200</v>
      </c>
      <c r="X13" s="492">
        <f t="shared" si="6"/>
        <v>0</v>
      </c>
      <c r="Y13" s="562">
        <f t="shared" si="6"/>
        <v>200</v>
      </c>
      <c r="Z13" s="563">
        <f t="shared" si="7"/>
        <v>33.333333333333336</v>
      </c>
      <c r="AA13" s="564">
        <f t="shared" si="7"/>
        <v>0</v>
      </c>
      <c r="AB13" s="565">
        <f t="shared" si="7"/>
        <v>33.333333333333336</v>
      </c>
      <c r="AC13" s="609">
        <f t="shared" si="8"/>
        <v>40</v>
      </c>
      <c r="AD13" s="585">
        <f t="shared" si="9"/>
        <v>0</v>
      </c>
      <c r="AE13" s="610">
        <f t="shared" si="10"/>
        <v>40</v>
      </c>
    </row>
    <row r="14" spans="1:31" ht="14.65" thickBot="1">
      <c r="A14" s="540"/>
      <c r="B14" s="1113" t="s">
        <v>2780</v>
      </c>
      <c r="C14" s="1114"/>
      <c r="D14" s="517"/>
      <c r="E14" s="541">
        <f>SUM(E5:E13)</f>
        <v>1655.5</v>
      </c>
      <c r="F14" s="541">
        <f t="shared" ref="F14:AB14" si="11">SUM(F5:F13)</f>
        <v>612.5</v>
      </c>
      <c r="G14" s="541">
        <f t="shared" si="11"/>
        <v>2268</v>
      </c>
      <c r="H14" s="541">
        <f t="shared" si="11"/>
        <v>2693</v>
      </c>
      <c r="I14" s="541">
        <f t="shared" si="11"/>
        <v>1128</v>
      </c>
      <c r="J14" s="541">
        <f t="shared" si="11"/>
        <v>3821</v>
      </c>
      <c r="K14" s="541">
        <f t="shared" si="11"/>
        <v>2264</v>
      </c>
      <c r="L14" s="541">
        <f t="shared" si="11"/>
        <v>216</v>
      </c>
      <c r="M14" s="541">
        <f t="shared" si="11"/>
        <v>2480</v>
      </c>
      <c r="N14" s="541">
        <f t="shared" si="11"/>
        <v>1366</v>
      </c>
      <c r="O14" s="541">
        <f t="shared" si="11"/>
        <v>742</v>
      </c>
      <c r="P14" s="541">
        <f t="shared" si="11"/>
        <v>2108</v>
      </c>
      <c r="Q14" s="541">
        <f t="shared" si="11"/>
        <v>3468</v>
      </c>
      <c r="R14" s="541">
        <f t="shared" si="11"/>
        <v>606</v>
      </c>
      <c r="S14" s="541">
        <f t="shared" si="11"/>
        <v>4074</v>
      </c>
      <c r="T14" s="541">
        <f t="shared" si="11"/>
        <v>2034</v>
      </c>
      <c r="U14" s="541">
        <f t="shared" si="11"/>
        <v>346</v>
      </c>
      <c r="V14" s="541">
        <f t="shared" si="11"/>
        <v>2380</v>
      </c>
      <c r="W14" s="541">
        <f t="shared" si="11"/>
        <v>13480.5</v>
      </c>
      <c r="X14" s="541">
        <f t="shared" si="11"/>
        <v>3650.5</v>
      </c>
      <c r="Y14" s="603">
        <f t="shared" si="11"/>
        <v>17131</v>
      </c>
      <c r="Z14" s="604">
        <f t="shared" si="11"/>
        <v>2246.75</v>
      </c>
      <c r="AA14" s="599">
        <f t="shared" si="11"/>
        <v>608.41666666666674</v>
      </c>
      <c r="AB14" s="600">
        <f t="shared" si="11"/>
        <v>2855.1666666666665</v>
      </c>
      <c r="AC14" s="611">
        <f t="shared" ref="AC14" si="12">SUM(AC5:AC13)</f>
        <v>2696.1</v>
      </c>
      <c r="AD14" s="541">
        <f t="shared" ref="AD14" si="13">SUM(AD5:AD13)</f>
        <v>730.1</v>
      </c>
      <c r="AE14" s="542">
        <f t="shared" ref="AE14" si="14">SUM(AE5:AE13)</f>
        <v>3426.1999999999994</v>
      </c>
    </row>
    <row r="15" spans="1:31" ht="18">
      <c r="A15" s="370">
        <v>1</v>
      </c>
      <c r="B15" s="371" t="s">
        <v>2577</v>
      </c>
      <c r="C15" s="372" t="s">
        <v>2578</v>
      </c>
      <c r="D15" s="567" t="s">
        <v>2790</v>
      </c>
      <c r="E15" s="376"/>
      <c r="F15" s="376"/>
      <c r="G15" s="377">
        <f>E15+F15</f>
        <v>0</v>
      </c>
      <c r="H15" s="375">
        <v>152</v>
      </c>
      <c r="I15" s="376">
        <v>154</v>
      </c>
      <c r="J15" s="377">
        <f t="shared" ref="J15" si="15">H15+I15</f>
        <v>306</v>
      </c>
      <c r="K15" s="375">
        <v>0</v>
      </c>
      <c r="L15" s="376">
        <v>187</v>
      </c>
      <c r="M15" s="377">
        <f t="shared" ref="M15" si="16">K15+L15</f>
        <v>187</v>
      </c>
      <c r="N15" s="375">
        <v>52</v>
      </c>
      <c r="O15" s="376">
        <v>38</v>
      </c>
      <c r="P15" s="377">
        <f t="shared" ref="P15" si="17">N15+O15</f>
        <v>90</v>
      </c>
      <c r="Q15" s="375">
        <v>190</v>
      </c>
      <c r="R15" s="376">
        <v>112</v>
      </c>
      <c r="S15" s="377">
        <f>Q15+R15</f>
        <v>302</v>
      </c>
      <c r="T15" s="375">
        <v>96</v>
      </c>
      <c r="U15" s="376">
        <v>138</v>
      </c>
      <c r="V15" s="377">
        <f t="shared" ref="V15" si="18">T15+U15</f>
        <v>234</v>
      </c>
      <c r="W15" s="375">
        <f>E15+H15+K15+N15+Q15+T15</f>
        <v>490</v>
      </c>
      <c r="X15" s="510">
        <f>F15+I15+L15+O15+R15+U15</f>
        <v>629</v>
      </c>
      <c r="Y15" s="372">
        <f>G15+J15+M15+P15+S15+V15</f>
        <v>1119</v>
      </c>
      <c r="Z15" s="568">
        <f>W15/6</f>
        <v>81.666666666666671</v>
      </c>
      <c r="AA15" s="373">
        <f>X15/6</f>
        <v>104.83333333333333</v>
      </c>
      <c r="AB15" s="569">
        <f>Y15/6</f>
        <v>186.5</v>
      </c>
      <c r="AC15" s="609">
        <f t="shared" ref="AC15:AC28" si="19">Z15*20%+Z15</f>
        <v>98</v>
      </c>
      <c r="AD15" s="585">
        <f t="shared" ref="AD15:AD28" si="20">AA15*20%+AA15</f>
        <v>125.8</v>
      </c>
      <c r="AE15" s="610">
        <f t="shared" ref="AE15:AE27" si="21">AB15*20%+AB15</f>
        <v>223.8</v>
      </c>
    </row>
    <row r="16" spans="1:31" ht="18">
      <c r="A16" s="180">
        <v>2</v>
      </c>
      <c r="B16" s="20" t="s">
        <v>2599</v>
      </c>
      <c r="C16" s="379" t="s">
        <v>2600</v>
      </c>
      <c r="D16" s="490" t="s">
        <v>2790</v>
      </c>
      <c r="E16" s="382">
        <v>110</v>
      </c>
      <c r="F16" s="103">
        <v>3</v>
      </c>
      <c r="G16" s="377">
        <v>113</v>
      </c>
      <c r="H16" s="382">
        <v>106</v>
      </c>
      <c r="I16" s="103"/>
      <c r="J16" s="377">
        <v>106</v>
      </c>
      <c r="K16" s="382">
        <v>75</v>
      </c>
      <c r="L16" s="103">
        <v>56</v>
      </c>
      <c r="M16" s="377">
        <v>131</v>
      </c>
      <c r="N16" s="375"/>
      <c r="O16" s="376"/>
      <c r="P16" s="377">
        <v>0</v>
      </c>
      <c r="Q16" s="375">
        <v>45</v>
      </c>
      <c r="R16" s="376"/>
      <c r="S16" s="377">
        <v>45</v>
      </c>
      <c r="T16" s="375">
        <v>192</v>
      </c>
      <c r="U16" s="376">
        <v>0</v>
      </c>
      <c r="V16" s="377">
        <v>192</v>
      </c>
      <c r="W16" s="375">
        <v>528</v>
      </c>
      <c r="X16" s="510">
        <v>59</v>
      </c>
      <c r="Y16" s="372">
        <v>587</v>
      </c>
      <c r="Z16" s="568">
        <v>88</v>
      </c>
      <c r="AA16" s="373">
        <v>9.8333333333333339</v>
      </c>
      <c r="AB16" s="569">
        <v>97.833333333333329</v>
      </c>
      <c r="AC16" s="609">
        <f t="shared" si="19"/>
        <v>105.6</v>
      </c>
      <c r="AD16" s="585">
        <f t="shared" si="20"/>
        <v>11.8</v>
      </c>
      <c r="AE16" s="610">
        <f t="shared" si="21"/>
        <v>117.39999999999999</v>
      </c>
    </row>
    <row r="17" spans="1:31" ht="18">
      <c r="A17" s="180">
        <v>3</v>
      </c>
      <c r="B17" s="20" t="s">
        <v>2606</v>
      </c>
      <c r="C17" s="379" t="s">
        <v>2600</v>
      </c>
      <c r="D17" s="490" t="s">
        <v>2790</v>
      </c>
      <c r="E17" s="382">
        <v>600</v>
      </c>
      <c r="F17" s="103"/>
      <c r="G17" s="377">
        <v>600</v>
      </c>
      <c r="H17" s="382">
        <v>140</v>
      </c>
      <c r="I17" s="103"/>
      <c r="J17" s="377">
        <v>140</v>
      </c>
      <c r="K17" s="382">
        <v>300</v>
      </c>
      <c r="L17" s="103"/>
      <c r="M17" s="377">
        <v>300</v>
      </c>
      <c r="N17" s="375">
        <v>300</v>
      </c>
      <c r="O17" s="376"/>
      <c r="P17" s="377">
        <v>300</v>
      </c>
      <c r="Q17" s="375">
        <v>400</v>
      </c>
      <c r="R17" s="376"/>
      <c r="S17" s="377">
        <v>400</v>
      </c>
      <c r="T17" s="375"/>
      <c r="U17" s="376"/>
      <c r="V17" s="377">
        <v>0</v>
      </c>
      <c r="W17" s="375">
        <v>1740</v>
      </c>
      <c r="X17" s="510">
        <v>0</v>
      </c>
      <c r="Y17" s="372">
        <v>1740</v>
      </c>
      <c r="Z17" s="568">
        <v>290</v>
      </c>
      <c r="AA17" s="373">
        <v>0</v>
      </c>
      <c r="AB17" s="569">
        <v>290</v>
      </c>
      <c r="AC17" s="609">
        <f t="shared" si="19"/>
        <v>348</v>
      </c>
      <c r="AD17" s="585">
        <f t="shared" si="20"/>
        <v>0</v>
      </c>
      <c r="AE17" s="610">
        <f t="shared" si="21"/>
        <v>348</v>
      </c>
    </row>
    <row r="18" spans="1:31" ht="18">
      <c r="A18" s="180">
        <v>4</v>
      </c>
      <c r="B18" s="20" t="s">
        <v>2608</v>
      </c>
      <c r="C18" s="379" t="s">
        <v>2600</v>
      </c>
      <c r="D18" s="490" t="s">
        <v>2790</v>
      </c>
      <c r="E18" s="382">
        <v>204</v>
      </c>
      <c r="F18" s="103">
        <v>144</v>
      </c>
      <c r="G18" s="377">
        <v>348</v>
      </c>
      <c r="H18" s="382"/>
      <c r="I18" s="103"/>
      <c r="J18" s="377">
        <v>0</v>
      </c>
      <c r="K18" s="382">
        <v>212</v>
      </c>
      <c r="L18" s="103">
        <v>132</v>
      </c>
      <c r="M18" s="377">
        <v>344</v>
      </c>
      <c r="N18" s="375">
        <v>100</v>
      </c>
      <c r="O18" s="376"/>
      <c r="P18" s="377">
        <v>100</v>
      </c>
      <c r="Q18" s="375">
        <v>0</v>
      </c>
      <c r="R18" s="376">
        <v>18</v>
      </c>
      <c r="S18" s="377">
        <v>18</v>
      </c>
      <c r="T18" s="375">
        <v>108</v>
      </c>
      <c r="U18" s="376">
        <v>200</v>
      </c>
      <c r="V18" s="377">
        <v>308</v>
      </c>
      <c r="W18" s="375">
        <v>624</v>
      </c>
      <c r="X18" s="510">
        <v>494</v>
      </c>
      <c r="Y18" s="372">
        <v>1118</v>
      </c>
      <c r="Z18" s="568">
        <v>104</v>
      </c>
      <c r="AA18" s="373">
        <v>82.333333333333329</v>
      </c>
      <c r="AB18" s="569">
        <v>186.33333333333334</v>
      </c>
      <c r="AC18" s="609">
        <f t="shared" si="19"/>
        <v>124.8</v>
      </c>
      <c r="AD18" s="585">
        <f t="shared" si="20"/>
        <v>98.8</v>
      </c>
      <c r="AE18" s="610">
        <f t="shared" si="21"/>
        <v>223.60000000000002</v>
      </c>
    </row>
    <row r="19" spans="1:31" ht="18">
      <c r="A19" s="180">
        <v>5</v>
      </c>
      <c r="B19" s="394" t="s">
        <v>2612</v>
      </c>
      <c r="C19" s="379" t="s">
        <v>2600</v>
      </c>
      <c r="D19" s="490" t="s">
        <v>2790</v>
      </c>
      <c r="E19" s="382">
        <v>150</v>
      </c>
      <c r="F19" s="103">
        <v>20</v>
      </c>
      <c r="G19" s="377">
        <v>170</v>
      </c>
      <c r="H19" s="382"/>
      <c r="I19" s="103"/>
      <c r="J19" s="377">
        <v>0</v>
      </c>
      <c r="K19" s="382">
        <v>154.5</v>
      </c>
      <c r="L19" s="103">
        <v>90</v>
      </c>
      <c r="M19" s="377">
        <v>244.5</v>
      </c>
      <c r="N19" s="375"/>
      <c r="O19" s="376"/>
      <c r="P19" s="377">
        <v>0</v>
      </c>
      <c r="Q19" s="375">
        <v>236</v>
      </c>
      <c r="R19" s="376">
        <v>72</v>
      </c>
      <c r="S19" s="377">
        <v>308</v>
      </c>
      <c r="T19" s="375"/>
      <c r="U19" s="376"/>
      <c r="V19" s="377">
        <v>0</v>
      </c>
      <c r="W19" s="375">
        <v>540.5</v>
      </c>
      <c r="X19" s="510">
        <v>182</v>
      </c>
      <c r="Y19" s="372">
        <v>722.5</v>
      </c>
      <c r="Z19" s="568">
        <v>90.083333333333329</v>
      </c>
      <c r="AA19" s="373">
        <v>30.333333333333332</v>
      </c>
      <c r="AB19" s="569">
        <v>120.41666666666667</v>
      </c>
      <c r="AC19" s="609">
        <f t="shared" si="19"/>
        <v>108.1</v>
      </c>
      <c r="AD19" s="585">
        <f t="shared" si="20"/>
        <v>36.4</v>
      </c>
      <c r="AE19" s="610">
        <f t="shared" si="21"/>
        <v>144.5</v>
      </c>
    </row>
    <row r="20" spans="1:31" ht="18">
      <c r="A20" s="180">
        <v>6</v>
      </c>
      <c r="B20" s="20" t="s">
        <v>2614</v>
      </c>
      <c r="C20" s="379" t="s">
        <v>2600</v>
      </c>
      <c r="D20" s="490" t="s">
        <v>2790</v>
      </c>
      <c r="E20" s="382">
        <v>81</v>
      </c>
      <c r="F20" s="103">
        <v>6</v>
      </c>
      <c r="G20" s="377">
        <v>87</v>
      </c>
      <c r="H20" s="382">
        <v>214.5</v>
      </c>
      <c r="I20" s="103"/>
      <c r="J20" s="377">
        <v>214.5</v>
      </c>
      <c r="K20" s="382">
        <v>18</v>
      </c>
      <c r="L20" s="103"/>
      <c r="M20" s="377">
        <v>18</v>
      </c>
      <c r="N20" s="375">
        <v>18</v>
      </c>
      <c r="O20" s="376"/>
      <c r="P20" s="377">
        <v>18</v>
      </c>
      <c r="Q20" s="375">
        <v>114</v>
      </c>
      <c r="R20" s="376">
        <v>7</v>
      </c>
      <c r="S20" s="377">
        <v>121</v>
      </c>
      <c r="T20" s="375">
        <v>36</v>
      </c>
      <c r="U20" s="376"/>
      <c r="V20" s="377">
        <v>36</v>
      </c>
      <c r="W20" s="375">
        <v>481.5</v>
      </c>
      <c r="X20" s="510">
        <v>13</v>
      </c>
      <c r="Y20" s="372">
        <v>494.5</v>
      </c>
      <c r="Z20" s="568">
        <v>80.25</v>
      </c>
      <c r="AA20" s="373">
        <v>2.1666666666666665</v>
      </c>
      <c r="AB20" s="569">
        <v>82.416666666666671</v>
      </c>
      <c r="AC20" s="609">
        <f t="shared" si="19"/>
        <v>96.3</v>
      </c>
      <c r="AD20" s="585">
        <f t="shared" si="20"/>
        <v>2.5999999999999996</v>
      </c>
      <c r="AE20" s="610">
        <f t="shared" si="21"/>
        <v>98.9</v>
      </c>
    </row>
    <row r="21" spans="1:31" ht="18">
      <c r="A21" s="180">
        <v>7</v>
      </c>
      <c r="B21" s="20" t="s">
        <v>2616</v>
      </c>
      <c r="C21" s="379" t="s">
        <v>2600</v>
      </c>
      <c r="D21" s="490" t="s">
        <v>2790</v>
      </c>
      <c r="E21" s="382"/>
      <c r="F21" s="103"/>
      <c r="G21" s="377">
        <v>0</v>
      </c>
      <c r="H21" s="382">
        <v>240</v>
      </c>
      <c r="I21" s="103"/>
      <c r="J21" s="377">
        <v>240</v>
      </c>
      <c r="K21" s="382"/>
      <c r="L21" s="103"/>
      <c r="M21" s="377">
        <v>0</v>
      </c>
      <c r="N21" s="375">
        <v>300</v>
      </c>
      <c r="O21" s="376"/>
      <c r="P21" s="377">
        <v>300</v>
      </c>
      <c r="Q21" s="375">
        <v>400</v>
      </c>
      <c r="R21" s="376"/>
      <c r="S21" s="377">
        <v>400</v>
      </c>
      <c r="T21" s="375"/>
      <c r="U21" s="376"/>
      <c r="V21" s="377">
        <v>0</v>
      </c>
      <c r="W21" s="375">
        <v>940</v>
      </c>
      <c r="X21" s="510">
        <v>0</v>
      </c>
      <c r="Y21" s="372">
        <v>940</v>
      </c>
      <c r="Z21" s="568">
        <v>156.66666666666666</v>
      </c>
      <c r="AA21" s="373">
        <v>0</v>
      </c>
      <c r="AB21" s="569">
        <v>156.66666666666666</v>
      </c>
      <c r="AC21" s="609">
        <f t="shared" si="19"/>
        <v>188</v>
      </c>
      <c r="AD21" s="585">
        <f t="shared" si="20"/>
        <v>0</v>
      </c>
      <c r="AE21" s="610">
        <f t="shared" si="21"/>
        <v>188</v>
      </c>
    </row>
    <row r="22" spans="1:31" ht="18">
      <c r="A22" s="180">
        <v>8</v>
      </c>
      <c r="B22" s="20" t="s">
        <v>2631</v>
      </c>
      <c r="C22" s="379" t="s">
        <v>2623</v>
      </c>
      <c r="D22" s="490" t="s">
        <v>2790</v>
      </c>
      <c r="E22" s="382">
        <v>217</v>
      </c>
      <c r="F22" s="103"/>
      <c r="G22" s="377">
        <v>217</v>
      </c>
      <c r="H22" s="382"/>
      <c r="I22" s="103"/>
      <c r="J22" s="377">
        <v>0</v>
      </c>
      <c r="K22" s="382"/>
      <c r="L22" s="103"/>
      <c r="M22" s="377">
        <v>0</v>
      </c>
      <c r="N22" s="375">
        <v>150</v>
      </c>
      <c r="O22" s="376"/>
      <c r="P22" s="377">
        <v>150</v>
      </c>
      <c r="Q22" s="375"/>
      <c r="R22" s="376"/>
      <c r="S22" s="377">
        <v>0</v>
      </c>
      <c r="T22" s="375"/>
      <c r="U22" s="376"/>
      <c r="V22" s="377">
        <v>0</v>
      </c>
      <c r="W22" s="375">
        <v>367</v>
      </c>
      <c r="X22" s="510">
        <v>0</v>
      </c>
      <c r="Y22" s="372">
        <v>367</v>
      </c>
      <c r="Z22" s="568">
        <v>61.166666666666664</v>
      </c>
      <c r="AA22" s="373">
        <v>0</v>
      </c>
      <c r="AB22" s="569">
        <v>61.166666666666664</v>
      </c>
      <c r="AC22" s="609">
        <f t="shared" si="19"/>
        <v>73.400000000000006</v>
      </c>
      <c r="AD22" s="585">
        <f t="shared" si="20"/>
        <v>0</v>
      </c>
      <c r="AE22" s="610">
        <f t="shared" si="21"/>
        <v>73.400000000000006</v>
      </c>
    </row>
    <row r="23" spans="1:31" ht="18">
      <c r="A23" s="180">
        <v>9</v>
      </c>
      <c r="B23" s="20" t="s">
        <v>2659</v>
      </c>
      <c r="C23" s="379" t="s">
        <v>2625</v>
      </c>
      <c r="D23" s="490" t="s">
        <v>2790</v>
      </c>
      <c r="E23" s="382">
        <v>200</v>
      </c>
      <c r="F23" s="103">
        <v>20</v>
      </c>
      <c r="G23" s="377">
        <v>220</v>
      </c>
      <c r="H23" s="382">
        <v>50</v>
      </c>
      <c r="I23" s="103"/>
      <c r="J23" s="377">
        <v>50</v>
      </c>
      <c r="K23" s="382"/>
      <c r="L23" s="103">
        <v>56</v>
      </c>
      <c r="M23" s="377">
        <v>56</v>
      </c>
      <c r="N23" s="375">
        <v>80</v>
      </c>
      <c r="O23" s="376"/>
      <c r="P23" s="377">
        <v>80</v>
      </c>
      <c r="Q23" s="375">
        <v>65</v>
      </c>
      <c r="R23" s="376"/>
      <c r="S23" s="377">
        <v>65</v>
      </c>
      <c r="T23" s="375">
        <v>240</v>
      </c>
      <c r="U23" s="376">
        <v>56</v>
      </c>
      <c r="V23" s="377">
        <v>296</v>
      </c>
      <c r="W23" s="375">
        <v>635</v>
      </c>
      <c r="X23" s="510">
        <v>132</v>
      </c>
      <c r="Y23" s="372">
        <v>767</v>
      </c>
      <c r="Z23" s="568">
        <v>105.83333333333333</v>
      </c>
      <c r="AA23" s="373">
        <v>22</v>
      </c>
      <c r="AB23" s="569">
        <v>127.83333333333333</v>
      </c>
      <c r="AC23" s="609">
        <f t="shared" si="19"/>
        <v>127</v>
      </c>
      <c r="AD23" s="585">
        <f t="shared" si="20"/>
        <v>26.4</v>
      </c>
      <c r="AE23" s="610">
        <f t="shared" si="21"/>
        <v>153.4</v>
      </c>
    </row>
    <row r="24" spans="1:31" ht="18">
      <c r="A24" s="180">
        <v>10</v>
      </c>
      <c r="B24" s="20" t="s">
        <v>2661</v>
      </c>
      <c r="C24" s="379" t="s">
        <v>2662</v>
      </c>
      <c r="D24" s="490" t="s">
        <v>2790</v>
      </c>
      <c r="E24" s="382">
        <v>232</v>
      </c>
      <c r="F24" s="103">
        <v>56</v>
      </c>
      <c r="G24" s="377">
        <v>288</v>
      </c>
      <c r="H24" s="382"/>
      <c r="I24" s="103"/>
      <c r="J24" s="377">
        <v>0</v>
      </c>
      <c r="K24" s="382">
        <v>36</v>
      </c>
      <c r="L24" s="103">
        <v>112</v>
      </c>
      <c r="M24" s="377">
        <v>148</v>
      </c>
      <c r="N24" s="375">
        <v>106</v>
      </c>
      <c r="O24" s="376"/>
      <c r="P24" s="377">
        <v>106</v>
      </c>
      <c r="Q24" s="375"/>
      <c r="R24" s="376"/>
      <c r="S24" s="377">
        <v>0</v>
      </c>
      <c r="T24" s="375"/>
      <c r="U24" s="376"/>
      <c r="V24" s="377">
        <v>0</v>
      </c>
      <c r="W24" s="375">
        <v>374</v>
      </c>
      <c r="X24" s="510">
        <v>168</v>
      </c>
      <c r="Y24" s="372">
        <v>542</v>
      </c>
      <c r="Z24" s="568">
        <v>62.333333333333336</v>
      </c>
      <c r="AA24" s="373">
        <v>28</v>
      </c>
      <c r="AB24" s="569">
        <v>90.333333333333329</v>
      </c>
      <c r="AC24" s="609">
        <f t="shared" si="19"/>
        <v>74.800000000000011</v>
      </c>
      <c r="AD24" s="585">
        <f t="shared" si="20"/>
        <v>33.6</v>
      </c>
      <c r="AE24" s="610">
        <f t="shared" si="21"/>
        <v>108.39999999999999</v>
      </c>
    </row>
    <row r="25" spans="1:31" ht="18">
      <c r="A25" s="180">
        <v>11</v>
      </c>
      <c r="B25" s="20" t="s">
        <v>2678</v>
      </c>
      <c r="C25" s="379" t="s">
        <v>2662</v>
      </c>
      <c r="D25" s="490" t="s">
        <v>2790</v>
      </c>
      <c r="E25" s="382">
        <v>300</v>
      </c>
      <c r="F25" s="103"/>
      <c r="G25" s="377">
        <v>300</v>
      </c>
      <c r="H25" s="382">
        <v>100</v>
      </c>
      <c r="I25" s="103"/>
      <c r="J25" s="377">
        <v>100</v>
      </c>
      <c r="K25" s="382">
        <v>40</v>
      </c>
      <c r="L25" s="103">
        <v>36</v>
      </c>
      <c r="M25" s="377">
        <v>76</v>
      </c>
      <c r="N25" s="375"/>
      <c r="O25" s="376"/>
      <c r="P25" s="377">
        <v>0</v>
      </c>
      <c r="Q25" s="375"/>
      <c r="R25" s="376"/>
      <c r="S25" s="377">
        <v>0</v>
      </c>
      <c r="T25" s="375">
        <v>10</v>
      </c>
      <c r="U25" s="376"/>
      <c r="V25" s="377">
        <v>10</v>
      </c>
      <c r="W25" s="375">
        <v>450</v>
      </c>
      <c r="X25" s="510">
        <v>36</v>
      </c>
      <c r="Y25" s="372">
        <v>486</v>
      </c>
      <c r="Z25" s="568">
        <v>75</v>
      </c>
      <c r="AA25" s="373">
        <v>6</v>
      </c>
      <c r="AB25" s="569">
        <v>81</v>
      </c>
      <c r="AC25" s="609">
        <f t="shared" si="19"/>
        <v>90</v>
      </c>
      <c r="AD25" s="585">
        <f t="shared" si="20"/>
        <v>7.2</v>
      </c>
      <c r="AE25" s="610">
        <f t="shared" si="21"/>
        <v>97.2</v>
      </c>
    </row>
    <row r="26" spans="1:31" ht="18">
      <c r="A26" s="180">
        <v>12</v>
      </c>
      <c r="B26" s="20" t="s">
        <v>2713</v>
      </c>
      <c r="C26" s="379" t="s">
        <v>2695</v>
      </c>
      <c r="D26" s="490" t="s">
        <v>2790</v>
      </c>
      <c r="E26" s="382">
        <v>1360</v>
      </c>
      <c r="F26" s="103"/>
      <c r="G26" s="377">
        <f t="shared" ref="G26" si="22">E26+F26</f>
        <v>1360</v>
      </c>
      <c r="H26" s="382">
        <v>1020</v>
      </c>
      <c r="I26" s="103"/>
      <c r="J26" s="377">
        <f t="shared" ref="J26" si="23">H26+I26</f>
        <v>1020</v>
      </c>
      <c r="K26" s="382"/>
      <c r="L26" s="103"/>
      <c r="M26" s="377">
        <f t="shared" ref="M26" si="24">K26+L26</f>
        <v>0</v>
      </c>
      <c r="N26" s="375">
        <v>1180</v>
      </c>
      <c r="O26" s="376"/>
      <c r="P26" s="377">
        <f t="shared" ref="P26" si="25">N26+O26</f>
        <v>1180</v>
      </c>
      <c r="Q26" s="375">
        <v>720</v>
      </c>
      <c r="R26" s="376"/>
      <c r="S26" s="377">
        <f t="shared" ref="S26" si="26">Q26+R26</f>
        <v>720</v>
      </c>
      <c r="T26" s="375">
        <v>280</v>
      </c>
      <c r="U26" s="376">
        <v>0</v>
      </c>
      <c r="V26" s="377">
        <f t="shared" ref="V26" si="27">T26+U26</f>
        <v>280</v>
      </c>
      <c r="W26" s="375">
        <f t="shared" ref="W26:Y26" si="28">E26+H26+K26+N26+Q26+T26</f>
        <v>4560</v>
      </c>
      <c r="X26" s="510">
        <f t="shared" si="28"/>
        <v>0</v>
      </c>
      <c r="Y26" s="372">
        <f t="shared" si="28"/>
        <v>4560</v>
      </c>
      <c r="Z26" s="568">
        <f t="shared" ref="Z26:AB26" si="29">W26/6</f>
        <v>760</v>
      </c>
      <c r="AA26" s="373">
        <f t="shared" si="29"/>
        <v>0</v>
      </c>
      <c r="AB26" s="569">
        <f t="shared" si="29"/>
        <v>760</v>
      </c>
      <c r="AC26" s="609">
        <f t="shared" si="19"/>
        <v>912</v>
      </c>
      <c r="AD26" s="585">
        <f t="shared" si="20"/>
        <v>0</v>
      </c>
      <c r="AE26" s="610">
        <f t="shared" si="21"/>
        <v>912</v>
      </c>
    </row>
    <row r="27" spans="1:31" ht="18">
      <c r="A27" s="180">
        <v>13</v>
      </c>
      <c r="B27" s="20" t="s">
        <v>2741</v>
      </c>
      <c r="C27" s="1" t="s">
        <v>2742</v>
      </c>
      <c r="D27" s="490" t="s">
        <v>2790</v>
      </c>
      <c r="E27" s="1">
        <v>176</v>
      </c>
      <c r="F27" s="1">
        <v>164</v>
      </c>
      <c r="G27" s="1">
        <v>340</v>
      </c>
      <c r="H27" s="1"/>
      <c r="I27" s="1"/>
      <c r="J27" s="1">
        <v>0</v>
      </c>
      <c r="K27" s="1">
        <v>100</v>
      </c>
      <c r="L27" s="1">
        <v>90</v>
      </c>
      <c r="M27" s="1">
        <v>190</v>
      </c>
      <c r="N27" s="1"/>
      <c r="O27" s="1"/>
      <c r="P27" s="1">
        <v>0</v>
      </c>
      <c r="Q27" s="1">
        <v>20</v>
      </c>
      <c r="R27" s="1">
        <v>112</v>
      </c>
      <c r="S27" s="1">
        <v>132</v>
      </c>
      <c r="T27" s="1">
        <v>138</v>
      </c>
      <c r="U27" s="1">
        <v>0</v>
      </c>
      <c r="V27" s="1">
        <v>138</v>
      </c>
      <c r="W27" s="1">
        <v>434</v>
      </c>
      <c r="X27" s="1">
        <v>366</v>
      </c>
      <c r="Y27" s="379">
        <v>800</v>
      </c>
      <c r="Z27" s="605">
        <v>72.333333333333329</v>
      </c>
      <c r="AA27" s="380">
        <v>61</v>
      </c>
      <c r="AB27" s="606">
        <v>133.33333333333334</v>
      </c>
      <c r="AC27" s="609">
        <f t="shared" si="19"/>
        <v>86.8</v>
      </c>
      <c r="AD27" s="585">
        <f t="shared" si="20"/>
        <v>73.2</v>
      </c>
      <c r="AE27" s="610">
        <f t="shared" si="21"/>
        <v>160</v>
      </c>
    </row>
    <row r="28" spans="1:31" ht="18.399999999999999" thickBot="1">
      <c r="A28" s="180">
        <v>14</v>
      </c>
      <c r="B28" s="566" t="s">
        <v>2755</v>
      </c>
      <c r="C28" s="404" t="s">
        <v>2737</v>
      </c>
      <c r="D28" s="403" t="s">
        <v>2790</v>
      </c>
      <c r="E28" s="404">
        <v>160</v>
      </c>
      <c r="F28" s="404"/>
      <c r="G28" s="404">
        <v>160</v>
      </c>
      <c r="H28" s="404">
        <v>256</v>
      </c>
      <c r="I28" s="404"/>
      <c r="J28" s="404">
        <v>256</v>
      </c>
      <c r="K28" s="404"/>
      <c r="L28" s="404"/>
      <c r="M28" s="404">
        <v>0</v>
      </c>
      <c r="N28" s="404">
        <v>300</v>
      </c>
      <c r="O28" s="404"/>
      <c r="P28" s="404">
        <v>300</v>
      </c>
      <c r="Q28" s="404">
        <v>297</v>
      </c>
      <c r="R28" s="404">
        <v>0</v>
      </c>
      <c r="S28" s="404">
        <v>297</v>
      </c>
      <c r="T28" s="404">
        <v>156</v>
      </c>
      <c r="U28" s="404"/>
      <c r="V28" s="404">
        <v>156</v>
      </c>
      <c r="W28" s="404">
        <v>1169</v>
      </c>
      <c r="X28" s="404">
        <v>0</v>
      </c>
      <c r="Y28" s="401">
        <v>1169</v>
      </c>
      <c r="Z28" s="607">
        <v>194.83333333333334</v>
      </c>
      <c r="AA28" s="570">
        <v>0</v>
      </c>
      <c r="AB28" s="608">
        <v>194.83333333333334</v>
      </c>
      <c r="AC28" s="609">
        <f t="shared" si="19"/>
        <v>233.8</v>
      </c>
      <c r="AD28" s="585">
        <f t="shared" si="20"/>
        <v>0</v>
      </c>
      <c r="AE28" s="610">
        <f>AB28*20%+AB28</f>
        <v>233.8</v>
      </c>
    </row>
    <row r="29" spans="1:31" ht="14.65" thickBot="1">
      <c r="A29" s="540"/>
      <c r="B29" s="1113" t="s">
        <v>2780</v>
      </c>
      <c r="C29" s="1114"/>
      <c r="D29" s="554"/>
      <c r="E29" s="620">
        <f>SUM(E15:E28)</f>
        <v>3790</v>
      </c>
      <c r="F29" s="517">
        <f t="shared" ref="F29:AB29" si="30">SUM(F15:F28)</f>
        <v>413</v>
      </c>
      <c r="G29" s="517">
        <f t="shared" si="30"/>
        <v>4203</v>
      </c>
      <c r="H29" s="541">
        <f t="shared" si="30"/>
        <v>2278.5</v>
      </c>
      <c r="I29" s="541">
        <f t="shared" si="30"/>
        <v>154</v>
      </c>
      <c r="J29" s="541">
        <f t="shared" si="30"/>
        <v>2432.5</v>
      </c>
      <c r="K29" s="541">
        <f t="shared" si="30"/>
        <v>935.5</v>
      </c>
      <c r="L29" s="541">
        <f t="shared" si="30"/>
        <v>759</v>
      </c>
      <c r="M29" s="541">
        <f t="shared" si="30"/>
        <v>1694.5</v>
      </c>
      <c r="N29" s="541">
        <f t="shared" si="30"/>
        <v>2586</v>
      </c>
      <c r="O29" s="541">
        <f t="shared" si="30"/>
        <v>38</v>
      </c>
      <c r="P29" s="541">
        <f t="shared" si="30"/>
        <v>2624</v>
      </c>
      <c r="Q29" s="541">
        <f t="shared" si="30"/>
        <v>2487</v>
      </c>
      <c r="R29" s="541">
        <f t="shared" si="30"/>
        <v>321</v>
      </c>
      <c r="S29" s="541">
        <f t="shared" si="30"/>
        <v>2808</v>
      </c>
      <c r="T29" s="541">
        <f t="shared" si="30"/>
        <v>1256</v>
      </c>
      <c r="U29" s="541">
        <f t="shared" si="30"/>
        <v>394</v>
      </c>
      <c r="V29" s="541">
        <f t="shared" si="30"/>
        <v>1650</v>
      </c>
      <c r="W29" s="541">
        <f t="shared" si="30"/>
        <v>13333</v>
      </c>
      <c r="X29" s="541">
        <f t="shared" si="30"/>
        <v>2079</v>
      </c>
      <c r="Y29" s="603">
        <f t="shared" si="30"/>
        <v>15412</v>
      </c>
      <c r="Z29" s="604">
        <f t="shared" si="30"/>
        <v>2222.1666666666665</v>
      </c>
      <c r="AA29" s="599">
        <f t="shared" si="30"/>
        <v>346.5</v>
      </c>
      <c r="AB29" s="600">
        <f t="shared" si="30"/>
        <v>2568.666666666667</v>
      </c>
      <c r="AC29" s="611">
        <f>SUM(AC15:AC28)</f>
        <v>2666.6000000000004</v>
      </c>
      <c r="AD29" s="541">
        <f>SUM(AD15:AD28)</f>
        <v>415.79999999999995</v>
      </c>
      <c r="AE29" s="542">
        <f>SUM(AE15:AE28)</f>
        <v>3082.4000000000005</v>
      </c>
    </row>
    <row r="30" spans="1:31" ht="14.65" thickBot="1"/>
    <row r="31" spans="1:31" ht="14.65" thickBot="1">
      <c r="A31" s="612"/>
      <c r="B31" s="1115" t="s">
        <v>2783</v>
      </c>
      <c r="C31" s="1116"/>
      <c r="D31" s="622"/>
      <c r="E31" s="621">
        <f>E14+E29</f>
        <v>5445.5</v>
      </c>
      <c r="F31" s="613">
        <f t="shared" ref="F31:AB31" si="31">F14+F29</f>
        <v>1025.5</v>
      </c>
      <c r="G31" s="613">
        <f t="shared" si="31"/>
        <v>6471</v>
      </c>
      <c r="H31" s="613">
        <f t="shared" si="31"/>
        <v>4971.5</v>
      </c>
      <c r="I31" s="613">
        <f t="shared" si="31"/>
        <v>1282</v>
      </c>
      <c r="J31" s="613">
        <f t="shared" si="31"/>
        <v>6253.5</v>
      </c>
      <c r="K31" s="613">
        <f t="shared" si="31"/>
        <v>3199.5</v>
      </c>
      <c r="L31" s="613">
        <f t="shared" si="31"/>
        <v>975</v>
      </c>
      <c r="M31" s="613">
        <f t="shared" si="31"/>
        <v>4174.5</v>
      </c>
      <c r="N31" s="613">
        <f t="shared" si="31"/>
        <v>3952</v>
      </c>
      <c r="O31" s="613">
        <f t="shared" si="31"/>
        <v>780</v>
      </c>
      <c r="P31" s="613">
        <f t="shared" si="31"/>
        <v>4732</v>
      </c>
      <c r="Q31" s="613">
        <f t="shared" si="31"/>
        <v>5955</v>
      </c>
      <c r="R31" s="613">
        <f t="shared" si="31"/>
        <v>927</v>
      </c>
      <c r="S31" s="613">
        <f t="shared" si="31"/>
        <v>6882</v>
      </c>
      <c r="T31" s="613">
        <f t="shared" si="31"/>
        <v>3290</v>
      </c>
      <c r="U31" s="613">
        <f t="shared" si="31"/>
        <v>740</v>
      </c>
      <c r="V31" s="613">
        <f t="shared" si="31"/>
        <v>4030</v>
      </c>
      <c r="W31" s="613">
        <f t="shared" si="31"/>
        <v>26813.5</v>
      </c>
      <c r="X31" s="613">
        <f t="shared" si="31"/>
        <v>5729.5</v>
      </c>
      <c r="Y31" s="617">
        <f t="shared" si="31"/>
        <v>32543</v>
      </c>
      <c r="Z31" s="618">
        <f t="shared" si="31"/>
        <v>4468.9166666666661</v>
      </c>
      <c r="AA31" s="614">
        <f t="shared" si="31"/>
        <v>954.91666666666674</v>
      </c>
      <c r="AB31" s="619">
        <f t="shared" si="31"/>
        <v>5423.8333333333339</v>
      </c>
      <c r="AC31" s="616">
        <f>AC14+AC29</f>
        <v>5362.7000000000007</v>
      </c>
      <c r="AD31" s="613">
        <f>AD14+AD29</f>
        <v>1145.9000000000001</v>
      </c>
      <c r="AE31" s="615">
        <f>AE14+AE29</f>
        <v>6508.6</v>
      </c>
    </row>
  </sheetData>
  <autoFilter ref="A4:AE29"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</autoFilter>
  <mergeCells count="8">
    <mergeCell ref="B14:C14"/>
    <mergeCell ref="B29:C29"/>
    <mergeCell ref="B31:C31"/>
    <mergeCell ref="A2:AE2"/>
    <mergeCell ref="AC4:AE4"/>
    <mergeCell ref="T4:V4"/>
    <mergeCell ref="W4:Y4"/>
    <mergeCell ref="Z4:A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AMIR</vt:lpstr>
      <vt:lpstr>RAMEEZ</vt:lpstr>
      <vt:lpstr>RIZWAN </vt:lpstr>
      <vt:lpstr>SHOAIB</vt:lpstr>
      <vt:lpstr>FARZAN </vt:lpstr>
      <vt:lpstr>TAHA </vt:lpstr>
      <vt:lpstr>IQBAL </vt:lpstr>
      <vt:lpstr>MUZEEF</vt:lpstr>
      <vt:lpstr>KASHIF</vt:lpstr>
      <vt:lpstr>QAMAR</vt:lpstr>
      <vt:lpstr>AQEEL</vt:lpstr>
      <vt:lpstr>SHAHBAZ  HYD</vt:lpstr>
      <vt:lpstr>SHOAIB IQBAL HYD</vt:lpstr>
      <vt:lpstr>SUMMARY</vt:lpstr>
      <vt:lpstr>MAKKA MARKETING</vt:lpstr>
      <vt:lpstr>MA TRADERS</vt:lpstr>
      <vt:lpstr>SHASH EBTERPRISES</vt:lpstr>
      <vt:lpstr>SALES MOVER</vt:lpstr>
      <vt:lpstr>AL NOOR TRADERS</vt:lpstr>
    </vt:vector>
  </TitlesOfParts>
  <Company>Saad Communication Computers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COMMUNICATION</dc:creator>
  <cp:lastModifiedBy>LENEVO X1 YOGA</cp:lastModifiedBy>
  <cp:lastPrinted>2025-10-21T12:43:58Z</cp:lastPrinted>
  <dcterms:created xsi:type="dcterms:W3CDTF">2025-01-03T09:40:32Z</dcterms:created>
  <dcterms:modified xsi:type="dcterms:W3CDTF">2025-11-04T21:07:21Z</dcterms:modified>
</cp:coreProperties>
</file>